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▶️ Инструкция" sheetId="1" r:id="rId5"/>
    <sheet state="visible" name="🤖 Калькулятор" sheetId="2" r:id="rId6"/>
    <sheet state="visible" name="📄 Комиссии" sheetId="3" r:id="rId7"/>
    <sheet state="visible" name="🔒 Доп. информация" sheetId="4" r:id="rId8"/>
    <sheet state="hidden" name="data" sheetId="5" r:id="rId9"/>
  </sheets>
  <definedNames/>
  <calcPr/>
</workbook>
</file>

<file path=xl/sharedStrings.xml><?xml version="1.0" encoding="utf-8"?>
<sst xmlns="http://schemas.openxmlformats.org/spreadsheetml/2006/main" count="17254" uniqueCount="7788">
  <si>
    <t>ИНСТРУКЦИЯ ПО НАСТРОЙКЕ КАЛЬКУЛЯТОРА:</t>
  </si>
  <si>
    <t>01.1</t>
  </si>
  <si>
    <t>01.2</t>
  </si>
  <si>
    <t>01.3</t>
  </si>
  <si>
    <t>Жмем «Файл» → «Создать копию» → Вводим
свое название → «Копировать»</t>
  </si>
  <si>
    <r>
      <rPr>
        <rFont val="Montserrat"/>
        <color rgb="FF000000"/>
        <u/>
      </rPr>
      <t xml:space="preserve">Вручную обновите данные во вкладке
</t>
    </r>
    <r>
      <rPr>
        <rFont val="Montserrat"/>
        <color rgb="FF628B3D"/>
        <u/>
      </rPr>
      <t>«📄Комиссии»</t>
    </r>
    <r>
      <rPr>
        <rFont val="Montserrat"/>
        <color rgb="FF9FC67D"/>
        <u/>
      </rPr>
      <t xml:space="preserve"> </t>
    </r>
    <r>
      <rPr>
        <rFont val="Montserrat"/>
        <color rgb="FF000000"/>
        <u/>
      </rPr>
      <t xml:space="preserve">в ячейках ниже 6-ой
строки на актуальные из личного
кабинета селлера </t>
    </r>
    <r>
      <rPr>
        <rFont val="Montserrat"/>
        <color rgb="FF628B3D"/>
        <u/>
      </rPr>
      <t>по ссылке</t>
    </r>
  </si>
  <si>
    <r>
      <rPr>
        <rFont val="Montserrat"/>
        <color rgb="FF000000"/>
        <u/>
      </rPr>
      <t xml:space="preserve">Вручную обновите данные во вкладке
</t>
    </r>
    <r>
      <rPr>
        <rFont val="Montserrat"/>
        <color rgb="FF628B3D"/>
        <u/>
      </rPr>
      <t>«🔒Доп. информация»</t>
    </r>
    <r>
      <rPr>
        <rFont val="Montserrat"/>
        <color rgb="FF000000"/>
        <u/>
      </rPr>
      <t xml:space="preserve"> в ячейках
I9:N10 и C12:F100 на актуальные
из личного кабинета
селлера </t>
    </r>
    <r>
      <rPr>
        <rFont val="Montserrat"/>
        <color rgb="FF628B3D"/>
        <u/>
      </rPr>
      <t>по ссылке</t>
    </r>
  </si>
  <si>
    <t>02</t>
  </si>
  <si>
    <t>03</t>
  </si>
  <si>
    <t>04</t>
  </si>
  <si>
    <t>05</t>
  </si>
  <si>
    <t>06</t>
  </si>
  <si>
    <t>07</t>
  </si>
  <si>
    <t>08</t>
  </si>
  <si>
    <t>09</t>
  </si>
  <si>
    <t>Названия
ваших ИП</t>
  </si>
  <si>
    <t>Что для нас важно — маржинальность от
пришедших денег на счет
или маржинальность
от цены продажи?</t>
  </si>
  <si>
    <t xml:space="preserve">Маржинальность в процентах,
ниже которой
нам не интересно работать </t>
  </si>
  <si>
    <t>Налог УСН «Доходы» + страховые</t>
  </si>
  <si>
    <t>Выбираем, как считать
налог — с продаж
(это правильно) или
с денег, пришедших
на счет</t>
  </si>
  <si>
    <t>Налог НДС</t>
  </si>
  <si>
    <t>Выбираем процент эквайринга на WB.
Может быть
от 0,4%
до 3,0%</t>
  </si>
  <si>
    <t>ИП Копытина К.В.</t>
  </si>
  <si>
    <t>Маржинальность прихода</t>
  </si>
  <si>
    <t>Налог с продаж</t>
  </si>
  <si>
    <t>ип Samga</t>
  </si>
  <si>
    <t>ип F</t>
  </si>
  <si>
    <t>ИП Кузнецов И.И.</t>
  </si>
  <si>
    <t>12</t>
  </si>
  <si>
    <t>13</t>
  </si>
  <si>
    <t>14</t>
  </si>
  <si>
    <r>
      <rPr>
        <rFont val="Montserrat"/>
      </rPr>
      <t>В</t>
    </r>
    <r>
      <rPr>
        <rFont val="Montserrat"/>
        <color rgb="FF9FC67D"/>
      </rPr>
      <t xml:space="preserve"> </t>
    </r>
    <r>
      <rPr>
        <rFont val="Montserrat"/>
        <color rgb="FF628B3D"/>
        <u/>
      </rPr>
      <t>«🤖 Калькулятор»</t>
    </r>
    <r>
      <rPr>
        <rFont val="Montserrat"/>
        <color rgb="FF9FC67D"/>
      </rPr>
      <t xml:space="preserve"> </t>
    </r>
    <r>
      <rPr>
        <rFont val="Montserrat"/>
        <color rgb="FF000000"/>
      </rPr>
      <t xml:space="preserve"> в столбце AP выбираем ваше ИП</t>
    </r>
  </si>
  <si>
    <r>
      <rPr>
        <rFont val="Montserrat"/>
        <color rgb="FF000000"/>
        <u/>
      </rPr>
      <t xml:space="preserve">В </t>
    </r>
    <r>
      <rPr>
        <rFont val="Montserrat"/>
        <color rgb="FF628B3D"/>
        <u/>
      </rPr>
      <t>«🤖 Калькулятор»</t>
    </r>
    <r>
      <rPr>
        <rFont val="Montserrat"/>
        <color rgb="FF1155CC"/>
        <u/>
      </rPr>
      <t xml:space="preserve"> </t>
    </r>
    <r>
      <rPr>
        <rFont val="Montserrat"/>
        <color rgb="FF000000"/>
        <u/>
      </rPr>
      <t xml:space="preserve"> в столбце AQ выбираем название маркетплейса, для которого делаем расчет</t>
    </r>
  </si>
  <si>
    <r>
      <rPr>
        <rFont val="Montserrat"/>
        <color rgb="FF000000"/>
        <u/>
      </rPr>
      <t xml:space="preserve">В </t>
    </r>
    <r>
      <rPr>
        <rFont val="Montserrat"/>
        <color rgb="FF628B3D"/>
        <u/>
      </rPr>
      <t>«🤖 Калькулятор»</t>
    </r>
    <r>
      <rPr>
        <rFont val="Montserrat"/>
        <color rgb="FF1155CC"/>
        <u/>
      </rPr>
      <t xml:space="preserve"> </t>
    </r>
    <r>
      <rPr>
        <rFont val="Montserrat"/>
        <color rgb="FF000000"/>
        <u/>
      </rPr>
      <t xml:space="preserve"> в столбце AR выбираем FBO или FBS</t>
    </r>
  </si>
  <si>
    <t>15</t>
  </si>
  <si>
    <t>Чтобы верно посчитать Unit-экономику WB,
нужно использовать коэффициенты
самого дорого нашего склада.</t>
  </si>
  <si>
    <t>Вписываем, на какие склады WB
мы готовы грузиться или уже грузимся</t>
  </si>
  <si>
    <t>Коледино, Электросталь, Краснодар (Тихорецкая), Казань, Санкт-Петербург (Уткина Заводь), СЦ Хабаровск, Тула</t>
  </si>
  <si>
    <t>16</t>
  </si>
  <si>
    <t>Выбор опций для ваших ИП
из Конструктора тарифов
на WB</t>
  </si>
  <si>
    <t>Выбираем ИП из вашего списка в пункте 02:</t>
  </si>
  <si>
    <t>Суммарный %:</t>
  </si>
  <si>
    <t>Выбираем опции тарифа:</t>
  </si>
  <si>
    <t>2 Бренд</t>
  </si>
  <si>
    <t>ОПИСАНИЕ ВКЛАДОК:</t>
  </si>
  <si>
    <t>01</t>
  </si>
  <si>
    <r>
      <rPr>
        <rFont val="Montserrat"/>
      </rPr>
      <t xml:space="preserve">В 5 строчке в </t>
    </r>
    <r>
      <rPr>
        <rFont val="Montserrat"/>
        <color rgb="FF628B3D"/>
        <u/>
      </rPr>
      <t>«🤖Калькулятор»</t>
    </r>
    <r>
      <rPr>
        <rFont val="Montserrat"/>
      </rPr>
      <t xml:space="preserve"> указаны
объяснения значений каждого
столбца калькулятора.
Их можно скрыть или открыть,
нажав на ➕слева от строки 4</t>
    </r>
  </si>
  <si>
    <r>
      <rPr>
        <rFont val="Montserrat"/>
      </rPr>
      <t xml:space="preserve">Во вкладке </t>
    </r>
    <r>
      <rPr>
        <rFont val="Montserrat"/>
        <color rgb="FF628B3D"/>
        <u/>
      </rPr>
      <t>«📄Комиссии»</t>
    </r>
    <r>
      <rPr>
        <rFont val="Montserrat"/>
      </rPr>
      <t xml:space="preserve"> — актуальные комиссии всех марктелпейсов. Эти данные периодически меняются, ссылки на актуальные данные указаны в таблице </t>
    </r>
  </si>
  <si>
    <r>
      <rPr>
        <rFont val="Montserrat"/>
      </rPr>
      <t xml:space="preserve">Во вкладке </t>
    </r>
    <r>
      <rPr>
        <rFont val="Montserrat"/>
        <color rgb="FF628B3D"/>
        <u/>
      </rPr>
      <t>«🔒Доп. информация»</t>
    </r>
    <r>
      <rPr>
        <rFont val="Montserrat"/>
      </rPr>
      <t xml:space="preserve"> указаны актуальные дополнительные данные
от марктеплейсов. Эти данные
периодически меняются, ссылки на актуальные данные указаны в таблице</t>
    </r>
  </si>
  <si>
    <t>✏️ ЗАПОЛНИТЬ</t>
  </si>
  <si>
    <t>💼 УСЛОВИЯ</t>
  </si>
  <si>
    <t>📈 ЭФФЕКТИВНОСТЬ ПРОДАЖИ</t>
  </si>
  <si>
    <t>🧮 РАСЧЁТЫ</t>
  </si>
  <si>
    <t>⬇️</t>
  </si>
  <si>
    <t>💰</t>
  </si>
  <si>
    <t>🔒</t>
  </si>
  <si>
    <t>✅/❌</t>
  </si>
  <si>
    <t>FBS/
FBO</t>
  </si>
  <si>
    <t xml:space="preserve">  SKU</t>
  </si>
  <si>
    <t>Вкл.
строку</t>
  </si>
  <si>
    <t>Менеджер</t>
  </si>
  <si>
    <t>Вывод</t>
  </si>
  <si>
    <t>Закупка,
1 шт</t>
  </si>
  <si>
    <t>Продажа,
1 шт</t>
  </si>
  <si>
    <t>Предпола-
гаемый СПП + Кошелек WB</t>
  </si>
  <si>
    <t>Кешбек WB</t>
  </si>
  <si>
    <t>Сколько % комиссии снижает акция OZON</t>
  </si>
  <si>
    <t>Сколько штук в партии?</t>
  </si>
  <si>
    <t>Комиссия
маркетплейса</t>
  </si>
  <si>
    <t>Куда и как отгружаем WB?</t>
  </si>
  <si>
    <t>ИЛ WB</t>
  </si>
  <si>
    <t>Индекс лока-
лизации OZON</t>
  </si>
  <si>
    <t>Обработка товара в составе грузоместа OZON</t>
  </si>
  <si>
    <t>Доля локаль-
ных продаж Я.Маркет</t>
  </si>
  <si>
    <t>Коэфф приемки WB</t>
  </si>
  <si>
    <t>Приемка WB</t>
  </si>
  <si>
    <t>Передал до рекомендованного слота отгрузки OZON</t>
  </si>
  <si>
    <t>Приемка OZON</t>
  </si>
  <si>
    <t>Приемка Я.Маркет</t>
  </si>
  <si>
    <t>Дней на продажу партии FBW</t>
  </si>
  <si>
    <t>Высота
Ширина
Длина
в !СМ!</t>
  </si>
  <si>
    <t>Объем/ объем. вес</t>
  </si>
  <si>
    <t>Доп. объем</t>
  </si>
  <si>
    <t>Вес, кг
Я.Маркет</t>
  </si>
  <si>
    <t>Эквай-
ринг WB</t>
  </si>
  <si>
    <t>Перевод платежей Я.Маркет</t>
  </si>
  <si>
    <t>Цена отгруз-ки еди-
ницы на FBO</t>
  </si>
  <si>
    <t>Цена отгруз-ки еди-
ницы на FBS</t>
  </si>
  <si>
    <t>Доп. затра-
ты на еди-
ницу</t>
  </si>
  <si>
    <r>
      <rPr>
        <rFont val="Montserrat"/>
        <b/>
        <color rgb="FF000000"/>
        <sz val="9.0"/>
      </rPr>
      <t xml:space="preserve">%
</t>
    </r>
    <r>
      <rPr>
        <rFont val="Montserrat"/>
        <b/>
        <color rgb="FFCC4125"/>
        <sz val="9.0"/>
        <u/>
      </rPr>
      <t>выкупа</t>
    </r>
  </si>
  <si>
    <t>%
брака</t>
  </si>
  <si>
    <t>% на марке-
тинг</t>
  </si>
  <si>
    <t>ИП</t>
  </si>
  <si>
    <t>Площадка</t>
  </si>
  <si>
    <t>Направ-
ление</t>
  </si>
  <si>
    <t>CPO
Цена заказа</t>
  </si>
  <si>
    <t>CPS
Цена продажи</t>
  </si>
  <si>
    <t>Процент рекламы в ЧП</t>
  </si>
  <si>
    <t>CPO (задаем)</t>
  </si>
  <si>
    <t>ДРР
из CPO</t>
  </si>
  <si>
    <t>ЦЕНА-
CPO</t>
  </si>
  <si>
    <t>ЧП 1 шт.</t>
  </si>
  <si>
    <t>ЧП партии</t>
  </si>
  <si>
    <t>Выручка партии</t>
  </si>
  <si>
    <t>Рентабель-
ность инвестиций</t>
  </si>
  <si>
    <t>Маржинальность продаж</t>
  </si>
  <si>
    <t>Xране-
ние</t>
  </si>
  <si>
    <t>Логис-
тика</t>
  </si>
  <si>
    <t>Доставка до места выдачи OZON</t>
  </si>
  <si>
    <t>Между нас. пунктами/ Ср. миля Я.Маркет</t>
  </si>
  <si>
    <t>Обра-
ботка воз-
врата</t>
  </si>
  <si>
    <t>Цена
воз-
врата</t>
  </si>
  <si>
    <t>МП → Клиент</t>
  </si>
  <si>
    <t>Комис-
сия
МП</t>
  </si>
  <si>
    <t>Удер-
жания МП Итог</t>
  </si>
  <si>
    <t>НДС</t>
  </si>
  <si>
    <t>Налог с НДС</t>
  </si>
  <si>
    <t>Косты без закуп</t>
  </si>
  <si>
    <t>Реально тратим</t>
  </si>
  <si>
    <t>Приход на счет</t>
  </si>
  <si>
    <t>При-
быль</t>
  </si>
  <si>
    <t>WB</t>
  </si>
  <si>
    <t>OZON</t>
  </si>
  <si>
    <t>Я.Маркет</t>
  </si>
  <si>
    <t>Прода-
ем или нет</t>
  </si>
  <si>
    <t>FBS или FBO, выбран-
ный в столбце AQ:AQ</t>
  </si>
  <si>
    <t>Название товара, для вашего удобства</t>
  </si>
  <si>
    <t>Вклю-
чение отобра-
жения строки. Можно выкл. то, чем не пользу-
емся, чтобы не мешало</t>
  </si>
  <si>
    <t>Имя менеджера, для вашего удобства</t>
  </si>
  <si>
    <r>
      <rPr>
        <rFont val="Montserrat"/>
        <color rgb="FF000000"/>
        <sz val="8.0"/>
      </rPr>
      <t xml:space="preserve">Вывод, продаем или не продаем товар, основываясь на типе и размере маржинальности во вкладке 
</t>
    </r>
    <r>
      <rPr>
        <rFont val="Montserrat"/>
        <color rgb="FF1155CC"/>
        <sz val="8.0"/>
        <u/>
      </rPr>
      <t>«▶️ Инструкция»</t>
    </r>
  </si>
  <si>
    <t>Закупочная себесто-
имость 1 единицы товара
(1 штуки, если продаете
по одному, сумма нескольких штук, если продаете комплектом)</t>
  </si>
  <si>
    <t>Цена, по которой планируется продажа
1 единицы товара
(1 штуки, если продаете по одному, сумма нескольких штук, если продаете комплектом)</t>
  </si>
  <si>
    <t>Предполага-
емый СПП от WB и Соинвест от OZON для правиль-
ного расчета налогов</t>
  </si>
  <si>
    <t>Укажите кешбек, который вернете клиенту. Автоматом плюсуется 10% комиссии WB на этот кешбек</t>
  </si>
  <si>
    <t>% комиссии, на который OZON снижает свою комиссию, если мы будем участвовать в акции</t>
  </si>
  <si>
    <t>Пример-
ное количест-
во штук
в постав-
ляемой партии (может быть 1, для простоты расчетов)</t>
  </si>
  <si>
    <t>Название категории, подгружается автоматически после введения первых букв названия</t>
  </si>
  <si>
    <t>Комис-
сия маркет-
плейса подгру-
жается автома-
тически</t>
  </si>
  <si>
    <r>
      <rPr>
        <rFont val="Montserrat"/>
        <sz val="8.0"/>
      </rPr>
      <t xml:space="preserve">Название склада для отгрузки. Если складов несколько, то задаем их в </t>
    </r>
    <r>
      <rPr>
        <rFont val="Montserrat"/>
        <color rgb="FF1155CC"/>
        <sz val="8.0"/>
        <u/>
      </rPr>
      <t>«▶️ Инструкция»</t>
    </r>
    <r>
      <rPr>
        <rFont val="Montserrat"/>
        <sz val="8.0"/>
      </rPr>
      <t xml:space="preserve"> в столбце Е:Е, а потом тут выбираем «Макс. из наших»</t>
    </r>
  </si>
  <si>
    <t>Выбираем как отгружаем, коробами или монопал-
летами</t>
  </si>
  <si>
    <t>Коэффициент территориального распределения за неделю из ЛК WB</t>
  </si>
  <si>
    <t>Индекс локали-
зации из ЛК OZON</t>
  </si>
  <si>
    <r>
      <rPr>
        <rFont val="Montserrat"/>
        <color rgb="FF000000"/>
        <sz val="8.0"/>
        <u/>
      </rPr>
      <t xml:space="preserve">Подробнее об этом – </t>
    </r>
    <r>
      <rPr>
        <rFont val="Montserrat"/>
        <color rgb="FF1F3E78"/>
        <sz val="8.0"/>
        <u/>
      </rPr>
      <t>тут</t>
    </r>
  </si>
  <si>
    <t>Доля локальных продаж
из ЛК Я.Маркет</t>
  </si>
  <si>
    <t>Коэффициент приемки на WB тут</t>
  </si>
  <si>
    <r>
      <rPr>
        <rFont val="Montserrat"/>
        <color rgb="FF1A1A1A"/>
        <sz val="8.0"/>
        <u/>
      </rPr>
      <t xml:space="preserve">Цена приемки WB во время сдачи товара </t>
    </r>
    <r>
      <rPr>
        <rFont val="Montserrat"/>
        <color rgb="FF1A1A1A"/>
        <sz val="8.0"/>
        <u/>
      </rPr>
      <t>тут</t>
    </r>
  </si>
  <si>
    <t>При передаче до рекомендованного слота отгрузки – скидка 4% по FBS</t>
  </si>
  <si>
    <r>
      <rPr>
        <rFont val="Montserrat, Arial"/>
        <sz val="8.0"/>
      </rPr>
      <t xml:space="preserve">Цена приемки OZON, формируется исходя из выбора, сделанного в </t>
    </r>
    <r>
      <rPr>
        <rFont val="Montserrat, Arial"/>
        <color rgb="FF628B3D"/>
        <sz val="8.0"/>
        <u/>
      </rPr>
      <t>«⚙️Настройки»</t>
    </r>
  </si>
  <si>
    <r>
      <rPr>
        <rFont val="Montserrat, Arial"/>
        <sz val="8.0"/>
      </rPr>
      <t xml:space="preserve">Цена приемки Я.Маркет, формируется исходя из выбора, сделанного в </t>
    </r>
    <r>
      <rPr>
        <rFont val="Montserrat, Arial"/>
        <color rgb="FF628B3D"/>
        <sz val="8.0"/>
        <u/>
      </rPr>
      <t>«⚙️Настройки»</t>
    </r>
  </si>
  <si>
    <t>Пример-
ное время распро-
дажи партии из колич-
ества, указан-
ного в К:К, поставля-
емой на WB, для расчета цены хранения единицы</t>
  </si>
  <si>
    <t>Высота, ширина и длина в санти-
метрах
1 единицы товара
(1 штуки, если продаете по одному, сумма несколь-
ких штук, если продаете комплектом)</t>
  </si>
  <si>
    <t>Объем или объем-
ный вес выбира-
ется и рассчи-
тывается автома-
тически</t>
  </si>
  <si>
    <t>Допол-
нитель-
ный объем сверх указан-
ной на МП нормы выбира-
ется и рассчи-
тывается автома-
тически</t>
  </si>
  <si>
    <t>Вес товара нужно ввести вручную для расчета цены логистики</t>
  </si>
  <si>
    <r>
      <rPr>
        <rFont val="Montserrat, Arial"/>
        <sz val="8.0"/>
      </rPr>
      <t xml:space="preserve">Стоимость эквайринга рассчиты-
вается автомати-
чески, исходя из выбора, сделанного в </t>
    </r>
    <r>
      <rPr>
        <rFont val="Montserrat, Arial"/>
        <color rgb="FF1155CC"/>
        <sz val="8.0"/>
        <u/>
      </rPr>
      <t>«▶️ Инструкция»</t>
    </r>
  </si>
  <si>
    <r>
      <rPr>
        <rFont val="Montserrat, Arial"/>
        <sz val="8.0"/>
      </rPr>
      <t xml:space="preserve">Стоимость Перевода платежей от Я.Маркет вам рассчиты-
вается автомати-
чески, исходя из выбора, сделанного в </t>
    </r>
    <r>
      <rPr>
        <rFont val="Montserrat, Arial"/>
        <color rgb="FF628B3D"/>
        <sz val="8.0"/>
        <u/>
      </rPr>
      <t>«⚙️Настройки»</t>
    </r>
  </si>
  <si>
    <t>Цена отгрузки 1 единицы или комплекта товара для FBO и/или FBS. Обычно эту цену определяет фулфилмент, она колеблется от 20 до 150 рублей за одну отгрузку.</t>
  </si>
  <si>
    <r>
      <rPr>
        <rFont val="Montserrat"/>
        <color theme="1"/>
        <sz val="8.0"/>
      </rPr>
      <t xml:space="preserve">Все дополни-
тельные затраты
для продажи
— на логистику, дизайнера, фотографа и прочее
</t>
    </r>
    <r>
      <rPr>
        <rFont val="Montserrat"/>
        <b/>
        <color theme="1"/>
        <sz val="8.0"/>
      </rPr>
      <t>на каждую единицу</t>
    </r>
    <r>
      <rPr>
        <rFont val="Montserrat"/>
        <color theme="1"/>
        <sz val="8.0"/>
      </rPr>
      <t>. Можно оставить ноль.</t>
    </r>
  </si>
  <si>
    <t>Предпо-
лагаемый или факти-
ческий процент выкупа</t>
  </si>
  <si>
    <t>Предпо-
лагаемый или факти-
ческий процент брака</t>
  </si>
  <si>
    <t>Предпо-
лагаемый или факти-
ческий процент, заложен-
ный на весь внутрен-
ний и внешний маркетинг</t>
  </si>
  <si>
    <t>Выбор вашего ИП, на основе которого будет считаться процент налога в столбце BH:BH</t>
  </si>
  <si>
    <t>Выбор площадки,
для которой делаем расчет</t>
  </si>
  <si>
    <t>Выбор направле-
ния, для которого делаем расчет</t>
  </si>
  <si>
    <t>Цена заказа</t>
  </si>
  <si>
    <t>Цена продажи</t>
  </si>
  <si>
    <t>Процент рекалмы в ЧП</t>
  </si>
  <si>
    <t>Задайте тут желаемый CPO, чтобы справа получить нужный вам для этого ДРР</t>
  </si>
  <si>
    <t>Получившийся ДРР из заданного левее CPO</t>
  </si>
  <si>
    <t>Цена продажи минус CPO</t>
  </si>
  <si>
    <t>Чистая прибыль с одной продажи, учитывая все те траты (косты), которые вы внесли</t>
  </si>
  <si>
    <t>Чистая прибыль всей партии, указанной
в K:K</t>
  </si>
  <si>
    <t>Выручка
до всех трат и комиссий от продажи партии, указанной
в К:К</t>
  </si>
  <si>
    <t>Рентабельность инвестиций (ROI) или отношение чистой прибыли
к реально затраченным на продажу средствам</t>
  </si>
  <si>
    <t>Отношение чистой прибыли
от продажи к цене до СПП и соинвеста, по которой товар был продан</t>
  </si>
  <si>
    <t>Отношение чистой прибыли
от продажи
к деньгам, пришедшим на счет после всех трат и комиссий маркет-
плейсов</t>
  </si>
  <si>
    <t>Обнуляем хранение, потому что на ВБ оно стало беслптаным до 60 дней, на Озон и Я.маркет до 120 дней.</t>
  </si>
  <si>
    <t>Расчет цены логис-
тики</t>
  </si>
  <si>
    <t>Расчет цены доставки до места выдачи на OZON</t>
  </si>
  <si>
    <t>Расчет цены средней мили на Я.Маркет</t>
  </si>
  <si>
    <t>Цена обра-
ботки возврата</t>
  </si>
  <si>
    <t>Цена воз-
врата, с учетом всех дополни-
тельных затрат на возврат</t>
  </si>
  <si>
    <t>Цена хранения и логис-
тики до получения товара клиентом</t>
  </si>
  <si>
    <t>Комис-
сия маркет-
плейса</t>
  </si>
  <si>
    <t>Итоговая сумма всех удержа-
ний маркет-
плейса</t>
  </si>
  <si>
    <t>Рассчет вашего НДС</t>
  </si>
  <si>
    <r>
      <rPr>
        <rFont val="Montserrat"/>
        <color rgb="FF151515"/>
        <sz val="8.0"/>
      </rPr>
      <t xml:space="preserve">Налог, рассчиты-
ваемый
на основании данных в </t>
    </r>
    <r>
      <rPr>
        <rFont val="Montserrat"/>
        <color rgb="FF151515"/>
        <sz val="8.0"/>
      </rPr>
      <t>«▶️ Инструкция»</t>
    </r>
  </si>
  <si>
    <t>Все траты (косты), без учета цены закупки товара</t>
  </si>
  <si>
    <t>Расчет реальных трат до продажи и получе-
ния выплат
от маркет-
плейса</t>
  </si>
  <si>
    <t>Расчет денег, теорети-
чески прихо-
дящих
на счет</t>
  </si>
  <si>
    <t>Кристина</t>
  </si>
  <si>
    <t>Свитеры</t>
  </si>
  <si>
    <t>Макс. из наших</t>
  </si>
  <si>
    <t>Короб</t>
  </si>
  <si>
    <t>FBO</t>
  </si>
  <si>
    <t>Название товара</t>
  </si>
  <si>
    <t>FBS: Маркетплейс: Уральский федеральный округ СГТ</t>
  </si>
  <si>
    <t>Лопатки игрушечные</t>
  </si>
  <si>
    <t>СЦ Оренбург Центральная</t>
  </si>
  <si>
    <t>FBS</t>
  </si>
  <si>
    <t>Флюза</t>
  </si>
  <si>
    <t>Накладные ресницы</t>
  </si>
  <si>
    <t>Электросталь</t>
  </si>
  <si>
    <t>ресницы</t>
  </si>
  <si>
    <t>Имя</t>
  </si>
  <si>
    <t>Коледино</t>
  </si>
  <si>
    <t>ИП Иванов И.И.</t>
  </si>
  <si>
    <t>📄 WB КОМИССИИ</t>
  </si>
  <si>
    <r>
      <rPr>
        <rFont val="Montserrat"/>
        <color rgb="FFFFFFFF"/>
        <sz val="10.0"/>
      </rPr>
      <t xml:space="preserve">📌 Актуальную информацию нужно взять </t>
    </r>
    <r>
      <rPr>
        <rFont val="Montserrat"/>
        <b/>
        <color rgb="FF9FC67D"/>
        <sz val="10.0"/>
        <u/>
      </rPr>
      <t>тут</t>
    </r>
    <r>
      <rPr>
        <rFont val="Montserrat"/>
        <color rgb="FFFFFFFF"/>
        <sz val="10.0"/>
      </rPr>
      <t>.</t>
    </r>
  </si>
  <si>
    <t>🗓️ Последнее обновление:</t>
  </si>
  <si>
    <t>Категория</t>
  </si>
  <si>
    <t>Предмет</t>
  </si>
  <si>
    <t>Склад WB, %</t>
  </si>
  <si>
    <t>Склад продавца
— везу на
склад WB, %</t>
  </si>
  <si>
    <t>Склад продавца
— везу само-
стоятельно до клиента, %</t>
  </si>
  <si>
    <t>Аксессуары для электроники</t>
  </si>
  <si>
    <t>Кронштейны для видеокамер</t>
  </si>
  <si>
    <t>Спортивный товар</t>
  </si>
  <si>
    <t>Катушки для лент гимнастических</t>
  </si>
  <si>
    <t>Садовая техника</t>
  </si>
  <si>
    <t>Ножи для триммеров</t>
  </si>
  <si>
    <t>Сантехника</t>
  </si>
  <si>
    <t>Фильтры вентиляционные</t>
  </si>
  <si>
    <t>Товары для малышей</t>
  </si>
  <si>
    <t>Аксессуары к стульчикам для кормления</t>
  </si>
  <si>
    <t>Кронштейны для мониторов</t>
  </si>
  <si>
    <t>Джамперы</t>
  </si>
  <si>
    <t>Электро-качели</t>
  </si>
  <si>
    <t>Шины и диски</t>
  </si>
  <si>
    <t>Диски колесные</t>
  </si>
  <si>
    <t>Продукты</t>
  </si>
  <si>
    <t>Кофе зерновой</t>
  </si>
  <si>
    <t>Здоровье</t>
  </si>
  <si>
    <t>Спринцовки</t>
  </si>
  <si>
    <t>Рукоделие</t>
  </si>
  <si>
    <t>Доски иконные</t>
  </si>
  <si>
    <t>Аксессуары для обуви</t>
  </si>
  <si>
    <t>Гелевые подушечки</t>
  </si>
  <si>
    <t>Подсветка для телевизоров</t>
  </si>
  <si>
    <t>Декор интерьера</t>
  </si>
  <si>
    <t>Масла лампадные</t>
  </si>
  <si>
    <t>Красота</t>
  </si>
  <si>
    <t>Скрабы</t>
  </si>
  <si>
    <t>Товары для взрослых</t>
  </si>
  <si>
    <t>Виброяйца</t>
  </si>
  <si>
    <t>Спортивные аксессуары</t>
  </si>
  <si>
    <t>Шипы для шиповок</t>
  </si>
  <si>
    <t>Садовые инструменты и полив</t>
  </si>
  <si>
    <t>Пульверизаторы для растений</t>
  </si>
  <si>
    <t>Фарма</t>
  </si>
  <si>
    <t>Препараты от простуды, гриппа и ОРВИ</t>
  </si>
  <si>
    <t>Белье для малышей</t>
  </si>
  <si>
    <t>Термоноски для малышей</t>
  </si>
  <si>
    <t>Финики</t>
  </si>
  <si>
    <t>Хранение вещей</t>
  </si>
  <si>
    <t>Ручной инструмент и оснастка</t>
  </si>
  <si>
    <t>Абразивы для пескоструйных работ</t>
  </si>
  <si>
    <t>Игрушки</t>
  </si>
  <si>
    <t>Железные дороги</t>
  </si>
  <si>
    <t>Очки-тренажеры</t>
  </si>
  <si>
    <t>Профессиональные музыкальные инструменты</t>
  </si>
  <si>
    <t>Шнуры гитарные</t>
  </si>
  <si>
    <t>Шторы и аксессуары</t>
  </si>
  <si>
    <t>Фототюль</t>
  </si>
  <si>
    <t>Пояса верности</t>
  </si>
  <si>
    <t>Ножи для ледобуров</t>
  </si>
  <si>
    <t>Ювелирные украшения</t>
  </si>
  <si>
    <t>Ювелирные колье</t>
  </si>
  <si>
    <t>Столы массажные</t>
  </si>
  <si>
    <t>Автозапчасти</t>
  </si>
  <si>
    <t>Электроприводы для клапанов</t>
  </si>
  <si>
    <t>Электроинструмент и оборудование</t>
  </si>
  <si>
    <t>Станки сверлильные</t>
  </si>
  <si>
    <t>Канцелярские товары</t>
  </si>
  <si>
    <t>Информационные стойки</t>
  </si>
  <si>
    <t>Мототовары</t>
  </si>
  <si>
    <t>Фильтры гидравлические</t>
  </si>
  <si>
    <t>Компрессионные носки</t>
  </si>
  <si>
    <t>Столешницы для ванной</t>
  </si>
  <si>
    <t>Неврологические препараты</t>
  </si>
  <si>
    <t>Спецодежда и СИЗы</t>
  </si>
  <si>
    <t>Наколенники рабочие</t>
  </si>
  <si>
    <t>Обувь</t>
  </si>
  <si>
    <t>Угги</t>
  </si>
  <si>
    <t>Крылья велосипедные</t>
  </si>
  <si>
    <t>Техника для кухни</t>
  </si>
  <si>
    <t>Фонтаны для напитков</t>
  </si>
  <si>
    <t>Купальники ортопедические</t>
  </si>
  <si>
    <t>Товары для животных</t>
  </si>
  <si>
    <t>Тестеры воды для аквариума</t>
  </si>
  <si>
    <t>Посуда и инвентарь</t>
  </si>
  <si>
    <t>Наборы для специй</t>
  </si>
  <si>
    <t>Каши быстрого приготовления</t>
  </si>
  <si>
    <t>Наборы для приготовления коктейлей</t>
  </si>
  <si>
    <t>Крупная бытовая техника</t>
  </si>
  <si>
    <t>Сплит-системы</t>
  </si>
  <si>
    <t>Автоаксессуары и дополнительное оборудование</t>
  </si>
  <si>
    <t>Подлокотники</t>
  </si>
  <si>
    <t>Стэки эротик</t>
  </si>
  <si>
    <t>Подставки для сумок</t>
  </si>
  <si>
    <t>Фото и Видеотехника</t>
  </si>
  <si>
    <t>Пульты для MP3-плееров</t>
  </si>
  <si>
    <t>Белье</t>
  </si>
  <si>
    <t>Неглиже</t>
  </si>
  <si>
    <t>Круглогубцы</t>
  </si>
  <si>
    <t>Гусятницы</t>
  </si>
  <si>
    <t>Пеленки для животных</t>
  </si>
  <si>
    <t>Скребки для лыж</t>
  </si>
  <si>
    <t>Составляющие автомобильных ламелей</t>
  </si>
  <si>
    <t>Гетры для животных</t>
  </si>
  <si>
    <t>Головные уборы</t>
  </si>
  <si>
    <t>Наушники утепленные</t>
  </si>
  <si>
    <t>Береты</t>
  </si>
  <si>
    <t>Цифровые товары</t>
  </si>
  <si>
    <t>Электронные сертификаты</t>
  </si>
  <si>
    <t>Леггинсы послеоперационные</t>
  </si>
  <si>
    <t>Ушки для шлема</t>
  </si>
  <si>
    <t>Краски для тату</t>
  </si>
  <si>
    <t>Бытовая техника</t>
  </si>
  <si>
    <t>Вышивальные машины</t>
  </si>
  <si>
    <t>Шоколад кондитерский</t>
  </si>
  <si>
    <t>Лепешки</t>
  </si>
  <si>
    <t>Автозагар</t>
  </si>
  <si>
    <t>Ремни тактические</t>
  </si>
  <si>
    <t>Разделители для пальцев</t>
  </si>
  <si>
    <t>Держатели для флаконов лака</t>
  </si>
  <si>
    <t>Переноски для детей</t>
  </si>
  <si>
    <t>Ультразвуковые детекторы</t>
  </si>
  <si>
    <t>Аксессуары</t>
  </si>
  <si>
    <t>Футляры для защитных масок</t>
  </si>
  <si>
    <t>Сетевое оборудование</t>
  </si>
  <si>
    <t>Модемы</t>
  </si>
  <si>
    <t>Товары для отдыха и кемпинга</t>
  </si>
  <si>
    <t>Жидкости для биотуалетов</t>
  </si>
  <si>
    <t>Корзины сервировочные</t>
  </si>
  <si>
    <t>Одежда</t>
  </si>
  <si>
    <t>Мантии</t>
  </si>
  <si>
    <t>Строительные материалы</t>
  </si>
  <si>
    <t>Фиксаторы арматуры</t>
  </si>
  <si>
    <t>Мясорубки электрические</t>
  </si>
  <si>
    <t>Накладки для проема стеклоочистителей</t>
  </si>
  <si>
    <t>Все для садоводства</t>
  </si>
  <si>
    <t>Комнатные растения</t>
  </si>
  <si>
    <t>Бейсболки</t>
  </si>
  <si>
    <t>Жемчуга жидкие</t>
  </si>
  <si>
    <t>Мебель офисная и торговое оборудование</t>
  </si>
  <si>
    <t>Подставки для ног</t>
  </si>
  <si>
    <t>Детские аптечки</t>
  </si>
  <si>
    <t>Ноутбуки и компьютеры</t>
  </si>
  <si>
    <t>Ноутбуки</t>
  </si>
  <si>
    <t>Расписание настенное</t>
  </si>
  <si>
    <t>Накладки на багажник</t>
  </si>
  <si>
    <t>Пигменты</t>
  </si>
  <si>
    <t>Горчичники</t>
  </si>
  <si>
    <t>Нагнетатели смазки</t>
  </si>
  <si>
    <t>Стяжки пружин</t>
  </si>
  <si>
    <t>Уголки крепежные</t>
  </si>
  <si>
    <t>Рыба вяленая</t>
  </si>
  <si>
    <t>Рубашки</t>
  </si>
  <si>
    <t>Передатчики видеосигнала</t>
  </si>
  <si>
    <t>Ролики килевые</t>
  </si>
  <si>
    <t>Шпатели строительные</t>
  </si>
  <si>
    <t>Мази лыжные</t>
  </si>
  <si>
    <t>Ниппели для спиц</t>
  </si>
  <si>
    <t>Пояса атлетические</t>
  </si>
  <si>
    <t>Держатели для бутылок</t>
  </si>
  <si>
    <t>Зарядные устройства для аккумуляторов</t>
  </si>
  <si>
    <t>Одеяла туристические</t>
  </si>
  <si>
    <t>Для праздника</t>
  </si>
  <si>
    <t>Композиции живых цветов</t>
  </si>
  <si>
    <t>Шприцы кондитерские</t>
  </si>
  <si>
    <t>Охлажденная птица</t>
  </si>
  <si>
    <t>Компрессоры кондиционера для авто</t>
  </si>
  <si>
    <t>Дрова</t>
  </si>
  <si>
    <t>Жидкости для розжига</t>
  </si>
  <si>
    <t>Автохимия и автокосметика</t>
  </si>
  <si>
    <t>Присадки автомобильные</t>
  </si>
  <si>
    <t>Хозяйственные товары</t>
  </si>
  <si>
    <t>Ведра хозяйственные</t>
  </si>
  <si>
    <t>Мармелад эротик</t>
  </si>
  <si>
    <t>Ролики переключателя</t>
  </si>
  <si>
    <t>Отделочные материалы</t>
  </si>
  <si>
    <t>Комплектующие к плинтусам</t>
  </si>
  <si>
    <t>Клейкие ленты монтажные</t>
  </si>
  <si>
    <t>Акриловые пудры</t>
  </si>
  <si>
    <t>Стеклоблоки</t>
  </si>
  <si>
    <t>Спортивная обувь</t>
  </si>
  <si>
    <t>Фламенко</t>
  </si>
  <si>
    <t>Ветаптека</t>
  </si>
  <si>
    <t>Антибиотики для животных</t>
  </si>
  <si>
    <t>Гидрошлемы</t>
  </si>
  <si>
    <t>Драйверы</t>
  </si>
  <si>
    <t>Запчасти для цепных пил</t>
  </si>
  <si>
    <t>Ручки мебельные</t>
  </si>
  <si>
    <t>Комплекты для монтажа радиаторов</t>
  </si>
  <si>
    <t>Туфли</t>
  </si>
  <si>
    <t>Теплоносители</t>
  </si>
  <si>
    <t>Вкладыши для слуховых аппаратов</t>
  </si>
  <si>
    <t>Электрические консервные ножи</t>
  </si>
  <si>
    <t>Препараты для лечение глаз и ушей у животных</t>
  </si>
  <si>
    <t>Пуховики</t>
  </si>
  <si>
    <t>Иммуностимуляторы для животных</t>
  </si>
  <si>
    <t>Гипс скульптурный</t>
  </si>
  <si>
    <t>Мешки для стирки</t>
  </si>
  <si>
    <t>Освещение</t>
  </si>
  <si>
    <t>Ночники</t>
  </si>
  <si>
    <t>Телевизоры и аудиотехника</t>
  </si>
  <si>
    <t>Приемники видеосигнала</t>
  </si>
  <si>
    <t>Щетки для лыж</t>
  </si>
  <si>
    <t>Полукомбинезоны</t>
  </si>
  <si>
    <t>Шприцы-ручки</t>
  </si>
  <si>
    <t>Нити для подтяжки лица</t>
  </si>
  <si>
    <t>Прокладки двигателя для мототехники</t>
  </si>
  <si>
    <t>Бытовая химия</t>
  </si>
  <si>
    <t>Соль для посудомоечной машины</t>
  </si>
  <si>
    <t>Спикерфоны</t>
  </si>
  <si>
    <t>Вилы для уборки</t>
  </si>
  <si>
    <t>Маски антихрап</t>
  </si>
  <si>
    <t>Шины для цепных пил</t>
  </si>
  <si>
    <t>Концентраты феромонов</t>
  </si>
  <si>
    <t>Чехлы для фиджет спиннеров</t>
  </si>
  <si>
    <t>Трибуны офисные</t>
  </si>
  <si>
    <t>Фигурки и обереги для бани</t>
  </si>
  <si>
    <t>Гермочехлы</t>
  </si>
  <si>
    <t>Формы для мыла</t>
  </si>
  <si>
    <t>Комбинезоны эротик</t>
  </si>
  <si>
    <t>Подводки для газа</t>
  </si>
  <si>
    <t>Мебель корпусная и мебель для хранения</t>
  </si>
  <si>
    <t>Стеллажи</t>
  </si>
  <si>
    <t>Суспензии для животных</t>
  </si>
  <si>
    <t>Одежда для малышей</t>
  </si>
  <si>
    <t>Ветровки для малышей</t>
  </si>
  <si>
    <t>Комплектующие для инвалидных колясок</t>
  </si>
  <si>
    <t>Креветки</t>
  </si>
  <si>
    <t>Халаты банные</t>
  </si>
  <si>
    <t>Лотереи</t>
  </si>
  <si>
    <t>Тени</t>
  </si>
  <si>
    <t>Шестерни для мясорубок</t>
  </si>
  <si>
    <t>Текстиль для дома</t>
  </si>
  <si>
    <t>Чехлы для мебели</t>
  </si>
  <si>
    <t>Хоппер-ковши</t>
  </si>
  <si>
    <t>Дождевики для малышей</t>
  </si>
  <si>
    <t>Автомобильные антенны</t>
  </si>
  <si>
    <t>Дафлкоты для малышей</t>
  </si>
  <si>
    <t>Балетки</t>
  </si>
  <si>
    <t>Уздечки</t>
  </si>
  <si>
    <t>Алкогольная продукция</t>
  </si>
  <si>
    <t>Аквавит</t>
  </si>
  <si>
    <t>Запчасти для втулок</t>
  </si>
  <si>
    <t>Товары для курения</t>
  </si>
  <si>
    <t>Колпаки для кальяна</t>
  </si>
  <si>
    <t>Счетчики пылевых частиц</t>
  </si>
  <si>
    <t>Чернила пищевые</t>
  </si>
  <si>
    <t>Унты</t>
  </si>
  <si>
    <t>Шкафы для спальни</t>
  </si>
  <si>
    <t>Наборы автомобилиста</t>
  </si>
  <si>
    <t>Игровые консоли и игры</t>
  </si>
  <si>
    <t>Камеры для игровых консолей</t>
  </si>
  <si>
    <t>Струны</t>
  </si>
  <si>
    <t>Клеммники</t>
  </si>
  <si>
    <t>Зельц</t>
  </si>
  <si>
    <t>Полотенца бумажные</t>
  </si>
  <si>
    <t>Шапки для бани</t>
  </si>
  <si>
    <t>Растяжки поперечного рычага</t>
  </si>
  <si>
    <t>Транспортные средства</t>
  </si>
  <si>
    <t>Питбайки</t>
  </si>
  <si>
    <t>Вертлюги для животных</t>
  </si>
  <si>
    <t>Проекторы</t>
  </si>
  <si>
    <t>Пневмоножницы</t>
  </si>
  <si>
    <t>Молоковарки</t>
  </si>
  <si>
    <t>Консервы грибные</t>
  </si>
  <si>
    <t>Контрольные системы давления в шинах</t>
  </si>
  <si>
    <t>Блоки питания для антенн</t>
  </si>
  <si>
    <t>Фартуки рыболовные</t>
  </si>
  <si>
    <t>Секс машины</t>
  </si>
  <si>
    <t>Ремкомплекты велосипедные</t>
  </si>
  <si>
    <t>Чертежные доски</t>
  </si>
  <si>
    <t>Серьги медицинские</t>
  </si>
  <si>
    <t>Чашки для бюстгальтера</t>
  </si>
  <si>
    <t>Кронштейны для телевизоров</t>
  </si>
  <si>
    <t>Усилители для микроэлектроники</t>
  </si>
  <si>
    <t>Шланги для аквариума</t>
  </si>
  <si>
    <t>MIDI-контроллеры</t>
  </si>
  <si>
    <t>Браслеты от укачивания</t>
  </si>
  <si>
    <t>Триммеры</t>
  </si>
  <si>
    <t>Вермикулит</t>
  </si>
  <si>
    <t>Варганы</t>
  </si>
  <si>
    <t>Батуты</t>
  </si>
  <si>
    <t>Печенье эротик</t>
  </si>
  <si>
    <t>Пряжа</t>
  </si>
  <si>
    <t>Аксессуары для малышей</t>
  </si>
  <si>
    <t>Шапки для малышей</t>
  </si>
  <si>
    <t>Направляющие суппорта</t>
  </si>
  <si>
    <t>Возбуждающие средства</t>
  </si>
  <si>
    <t>Кулачки механизма ручного стартера</t>
  </si>
  <si>
    <t>Контроллеры для микроэлектроники</t>
  </si>
  <si>
    <t>Автоматы торговые механические</t>
  </si>
  <si>
    <t>Свечи зажигания</t>
  </si>
  <si>
    <t>Тестеры батареек</t>
  </si>
  <si>
    <t>Спреи</t>
  </si>
  <si>
    <t>Подшипники</t>
  </si>
  <si>
    <t>Тапочки одноразовые</t>
  </si>
  <si>
    <t>Регуляторы автомобильные</t>
  </si>
  <si>
    <t>Подъемные механизмы для мебели</t>
  </si>
  <si>
    <t>Приспособления для надевания белья</t>
  </si>
  <si>
    <t>Сапборды</t>
  </si>
  <si>
    <t>Вибротрусики</t>
  </si>
  <si>
    <t>Запчасти для электрических щитков</t>
  </si>
  <si>
    <t>Буи</t>
  </si>
  <si>
    <t>Кувалды для тренировок</t>
  </si>
  <si>
    <t>Запчасти для стиральных машин</t>
  </si>
  <si>
    <t>Салазки для накопителей</t>
  </si>
  <si>
    <t>Кабели</t>
  </si>
  <si>
    <t>Подсветка для ноутбука</t>
  </si>
  <si>
    <t>Бензопилы</t>
  </si>
  <si>
    <t>Ошейники</t>
  </si>
  <si>
    <t>Перчатки</t>
  </si>
  <si>
    <t>Хлопья овсяные</t>
  </si>
  <si>
    <t>Грузовой и коммерческий транспорт</t>
  </si>
  <si>
    <t>Аксессуары для конюшни</t>
  </si>
  <si>
    <t>Машины посудомоечные</t>
  </si>
  <si>
    <t>Бубенцы</t>
  </si>
  <si>
    <t>Шкивы ременные</t>
  </si>
  <si>
    <t>Вставки для большого пальца</t>
  </si>
  <si>
    <t>Противогеморроидальные препараты</t>
  </si>
  <si>
    <t>Нижние юбки</t>
  </si>
  <si>
    <t>Препараты для опорно-двигательного аппарата</t>
  </si>
  <si>
    <t>Аксессуары для садовой мебели</t>
  </si>
  <si>
    <t>Временные татуировки и стразы</t>
  </si>
  <si>
    <t>Экипировка для картинга</t>
  </si>
  <si>
    <t>Насадки для машинок</t>
  </si>
  <si>
    <t>Наборы для ухода за новорожденными</t>
  </si>
  <si>
    <t>Краны топливные для мототехники</t>
  </si>
  <si>
    <t>Краги сварщика</t>
  </si>
  <si>
    <t>Светильники для террариумов</t>
  </si>
  <si>
    <t>Мебель малых форм</t>
  </si>
  <si>
    <t>Столы</t>
  </si>
  <si>
    <t>Переходы дверные</t>
  </si>
  <si>
    <t>Насадки для швабр</t>
  </si>
  <si>
    <t>Солезаменители</t>
  </si>
  <si>
    <t>Перга</t>
  </si>
  <si>
    <t>Проращиватели семян</t>
  </si>
  <si>
    <t>Преобразователи</t>
  </si>
  <si>
    <t>Гинекологические наборы</t>
  </si>
  <si>
    <t>Табло судейские</t>
  </si>
  <si>
    <t>Блоки строительные</t>
  </si>
  <si>
    <t>Одеяла для малышей</t>
  </si>
  <si>
    <t>Скутеры</t>
  </si>
  <si>
    <t>Гигиенические поддоны под мойку</t>
  </si>
  <si>
    <t>Мороженое</t>
  </si>
  <si>
    <t>Карточки судейские</t>
  </si>
  <si>
    <t>Двигатели для мототехники</t>
  </si>
  <si>
    <t>Обручи</t>
  </si>
  <si>
    <t>Щербет</t>
  </si>
  <si>
    <t>Пульты для камер</t>
  </si>
  <si>
    <t>Составляющие рулевых тяг</t>
  </si>
  <si>
    <t>Формодержатели</t>
  </si>
  <si>
    <t>Светильники уличные</t>
  </si>
  <si>
    <t>Гармошки</t>
  </si>
  <si>
    <t>Жилеты утяжелители</t>
  </si>
  <si>
    <t>Кисти для клея</t>
  </si>
  <si>
    <t>Грибы свежие</t>
  </si>
  <si>
    <t>Добавки для жидких обоев</t>
  </si>
  <si>
    <t>Дымари для пчел</t>
  </si>
  <si>
    <t>Карнавальные очки</t>
  </si>
  <si>
    <t>Умный дом и безопасность</t>
  </si>
  <si>
    <t>Умные лампочки</t>
  </si>
  <si>
    <t>Вертлюги рыболовные</t>
  </si>
  <si>
    <t>Хайлайтеры</t>
  </si>
  <si>
    <t>Батончики злаковые</t>
  </si>
  <si>
    <t>Фонари новогодние</t>
  </si>
  <si>
    <t>Валики малярные</t>
  </si>
  <si>
    <t>Клапаны вентиляционные</t>
  </si>
  <si>
    <t>Футболки для животных</t>
  </si>
  <si>
    <t>Аксессуары для волос</t>
  </si>
  <si>
    <t>Шпильки-спиральки</t>
  </si>
  <si>
    <t>Детское питание</t>
  </si>
  <si>
    <t>Смузи детские</t>
  </si>
  <si>
    <t>Лежаки для животных</t>
  </si>
  <si>
    <t>Модули для мотобуксировщика</t>
  </si>
  <si>
    <t>Дерматологические препараты для животных</t>
  </si>
  <si>
    <t>Мебель садовая</t>
  </si>
  <si>
    <t>Кресла-шезлонги</t>
  </si>
  <si>
    <t>Ножницы по металлу электрические</t>
  </si>
  <si>
    <t>Автопятки</t>
  </si>
  <si>
    <t>Подставки для коптильни</t>
  </si>
  <si>
    <t>Анатомические модели</t>
  </si>
  <si>
    <t>Разветвители электрические</t>
  </si>
  <si>
    <t>Самостраховки</t>
  </si>
  <si>
    <t>Спреи для горла</t>
  </si>
  <si>
    <t>Капли назальные</t>
  </si>
  <si>
    <t>Донные клапаны</t>
  </si>
  <si>
    <t>Спортивная одежда</t>
  </si>
  <si>
    <t>Рубашки спортивные</t>
  </si>
  <si>
    <t>Подстаканники электрические</t>
  </si>
  <si>
    <t>Колодки тормозные</t>
  </si>
  <si>
    <t>Юбки для каякинга</t>
  </si>
  <si>
    <t>Клещи строительные</t>
  </si>
  <si>
    <t>Лопатки на пальцы</t>
  </si>
  <si>
    <t>Корзины для пикника</t>
  </si>
  <si>
    <t>Термофутболки для малышей</t>
  </si>
  <si>
    <t>Тайтсы</t>
  </si>
  <si>
    <t>Ножницы садовые</t>
  </si>
  <si>
    <t>Рыбные палочки</t>
  </si>
  <si>
    <t>Коробки распределительные</t>
  </si>
  <si>
    <t>Витамины для сельскохозяйственных животных</t>
  </si>
  <si>
    <t>Диммеры</t>
  </si>
  <si>
    <t>Сортировщики банкнот</t>
  </si>
  <si>
    <t>Средства по уходу за пилоном</t>
  </si>
  <si>
    <t>Паровые шкафы для одежды</t>
  </si>
  <si>
    <t>Палочки для сахарной ваты</t>
  </si>
  <si>
    <t>Трансиверы</t>
  </si>
  <si>
    <t>Топливо для биокаминов</t>
  </si>
  <si>
    <t>Станки для холодной ковки</t>
  </si>
  <si>
    <t>Штанги для одежды</t>
  </si>
  <si>
    <t>Периферия и аксессуары</t>
  </si>
  <si>
    <t>Шторки для веб-камер</t>
  </si>
  <si>
    <t>Свечи накаливания</t>
  </si>
  <si>
    <t>Навесное оборудование для спецтехники</t>
  </si>
  <si>
    <t>Средства от грызунов</t>
  </si>
  <si>
    <t>Зарядные устройства для АКБ</t>
  </si>
  <si>
    <t>Газовые обогреватели туристические</t>
  </si>
  <si>
    <t>Изоляторы электрические</t>
  </si>
  <si>
    <t>Термометры для холодильников</t>
  </si>
  <si>
    <t>Туторы пальцевые</t>
  </si>
  <si>
    <t>Склизы для снегоходов</t>
  </si>
  <si>
    <t>Составы защитно-декоративные по дереву</t>
  </si>
  <si>
    <t>Сюжетные игровые наборы</t>
  </si>
  <si>
    <t>Ряженка</t>
  </si>
  <si>
    <t>Подгузники для взрослых</t>
  </si>
  <si>
    <t>Катера</t>
  </si>
  <si>
    <t>Насосы ГУР</t>
  </si>
  <si>
    <t>Шаурма</t>
  </si>
  <si>
    <t>Радиосистемы вокальные</t>
  </si>
  <si>
    <t>Димсамы</t>
  </si>
  <si>
    <t>Стерилизаторы косметологические</t>
  </si>
  <si>
    <t>Парфюмерная вода</t>
  </si>
  <si>
    <t>Сортировщики монет</t>
  </si>
  <si>
    <t>Кассеты для рассады</t>
  </si>
  <si>
    <t>Средства профилактики</t>
  </si>
  <si>
    <t>Поддоны для масел</t>
  </si>
  <si>
    <t>Аксессуары и комплектующие для яхт</t>
  </si>
  <si>
    <t>Масло деревозащитное</t>
  </si>
  <si>
    <t>Куртки рабочие</t>
  </si>
  <si>
    <t>Фены</t>
  </si>
  <si>
    <t>Кабели свечные</t>
  </si>
  <si>
    <t>Клетчатка</t>
  </si>
  <si>
    <t>Бигуди</t>
  </si>
  <si>
    <t>Пасты томатные</t>
  </si>
  <si>
    <t>Орехи в сиропе</t>
  </si>
  <si>
    <t>Тесто для лепки</t>
  </si>
  <si>
    <t>Наушники для стрельбы</t>
  </si>
  <si>
    <t>Концентраторы кислорода</t>
  </si>
  <si>
    <t>Инструменты и запчасти для часов</t>
  </si>
  <si>
    <t>Трафареты для тортов</t>
  </si>
  <si>
    <t>Держатели для балконных ящиков</t>
  </si>
  <si>
    <t>Перфораторы</t>
  </si>
  <si>
    <t>Муляжи книг</t>
  </si>
  <si>
    <t>Приборы для удаления косточек</t>
  </si>
  <si>
    <t>Препараты для опорно-двигательной системы животных</t>
  </si>
  <si>
    <t>Трубки термоусадочные</t>
  </si>
  <si>
    <t>Баулы хоккейные</t>
  </si>
  <si>
    <t>Гофры глушителя</t>
  </si>
  <si>
    <t>Тормоза механические дисковые</t>
  </si>
  <si>
    <t>Эмали строительные</t>
  </si>
  <si>
    <t>Ключи трещоточные</t>
  </si>
  <si>
    <t>Этикетки</t>
  </si>
  <si>
    <t>Катамараны</t>
  </si>
  <si>
    <t>Газовые плиты туристические</t>
  </si>
  <si>
    <t>Баллоны с гелием</t>
  </si>
  <si>
    <t>Пакеты полиэтиленовые</t>
  </si>
  <si>
    <t>Чехлы для сплит-систем</t>
  </si>
  <si>
    <t>Щиты мебельные</t>
  </si>
  <si>
    <t>Плинтусы для пола</t>
  </si>
  <si>
    <t>Пробки для ванной</t>
  </si>
  <si>
    <t>Салфетки для удаления смазки</t>
  </si>
  <si>
    <t>Ручки для бутылочек</t>
  </si>
  <si>
    <t>Палочки для еды</t>
  </si>
  <si>
    <t>Ленты капота снегохода</t>
  </si>
  <si>
    <t>Фильтры масляные</t>
  </si>
  <si>
    <t>Ключи трубные и газовые</t>
  </si>
  <si>
    <t>Пуговицы</t>
  </si>
  <si>
    <t>Рамки для номеров</t>
  </si>
  <si>
    <t>Клетки для птиц</t>
  </si>
  <si>
    <t>Спортивное питание и косметика</t>
  </si>
  <si>
    <t>L-карнитины</t>
  </si>
  <si>
    <t>Наборы для каллиграфии</t>
  </si>
  <si>
    <t>Молоко капсульное</t>
  </si>
  <si>
    <t>Палочки для леденцов</t>
  </si>
  <si>
    <t>Рогатки рыболовные</t>
  </si>
  <si>
    <t>Чехлы для парикмахерских инструментов</t>
  </si>
  <si>
    <t>Рейнстики</t>
  </si>
  <si>
    <t>БИПАП-аппараты</t>
  </si>
  <si>
    <t>Тяги автомобильные</t>
  </si>
  <si>
    <t>Пельмени</t>
  </si>
  <si>
    <t>Баки для бани</t>
  </si>
  <si>
    <t>Противотуманные фары</t>
  </si>
  <si>
    <t>Канторезы</t>
  </si>
  <si>
    <t>Праймеры для тела</t>
  </si>
  <si>
    <t>Термокомбинезоны для малышей</t>
  </si>
  <si>
    <t>MP3 плееры</t>
  </si>
  <si>
    <t>Замки велосипедные</t>
  </si>
  <si>
    <t>Модули зажигания</t>
  </si>
  <si>
    <t>Заглушки для подоконника</t>
  </si>
  <si>
    <t>Понтоны</t>
  </si>
  <si>
    <t>Благовония эротик</t>
  </si>
  <si>
    <t>Инструменты для чистки лица</t>
  </si>
  <si>
    <t>Крепления для багажника</t>
  </si>
  <si>
    <t>Шторы для ванной</t>
  </si>
  <si>
    <t>Жвачка для рук</t>
  </si>
  <si>
    <t>Пульты телевизионные</t>
  </si>
  <si>
    <t>Термоколготки для малышей</t>
  </si>
  <si>
    <t>Насадки для ирригатора</t>
  </si>
  <si>
    <t>Консервы ягодные</t>
  </si>
  <si>
    <t>Средства для сельскохозяйственного оборудования</t>
  </si>
  <si>
    <t>Стрелы для лука</t>
  </si>
  <si>
    <t>Ветеринарные паспорта</t>
  </si>
  <si>
    <t>Эфирные масла</t>
  </si>
  <si>
    <t>Трубочки для бутылочек</t>
  </si>
  <si>
    <t>Крыши складные</t>
  </si>
  <si>
    <t>Электротранспорт</t>
  </si>
  <si>
    <t>Электросамокаты</t>
  </si>
  <si>
    <t>Чаши для бритья</t>
  </si>
  <si>
    <t>Фитококтейли</t>
  </si>
  <si>
    <t>Ящики почтовые</t>
  </si>
  <si>
    <t>Профили для обработки лыж</t>
  </si>
  <si>
    <t>Щеточки эротик</t>
  </si>
  <si>
    <t>Сетки базальтовые</t>
  </si>
  <si>
    <t>Грелки туристические</t>
  </si>
  <si>
    <t>Диктофоны</t>
  </si>
  <si>
    <t>Проволоки вязальные</t>
  </si>
  <si>
    <t>Черенки</t>
  </si>
  <si>
    <t>Шкафы архивные</t>
  </si>
  <si>
    <t>Направляющие для напильника</t>
  </si>
  <si>
    <t>Йогуртницы</t>
  </si>
  <si>
    <t>Коврики в кухонные ящики</t>
  </si>
  <si>
    <t>Дисплеи для смартфонов</t>
  </si>
  <si>
    <t>Комплектующие для доильных аппаратов</t>
  </si>
  <si>
    <t>Карманные переводчики</t>
  </si>
  <si>
    <t>Блузки</t>
  </si>
  <si>
    <t>Корсеты</t>
  </si>
  <si>
    <t>Букеты искусственных цветов</t>
  </si>
  <si>
    <t>Крылья автомобильные</t>
  </si>
  <si>
    <t>Дефлекторы вентиляционные</t>
  </si>
  <si>
    <t>Нуга</t>
  </si>
  <si>
    <t>Составляющие эмульсионной трубки</t>
  </si>
  <si>
    <t>Штакетники</t>
  </si>
  <si>
    <t>Подушки для садовых качелей</t>
  </si>
  <si>
    <t>Распошивальные машины</t>
  </si>
  <si>
    <t>Наконечники для тату</t>
  </si>
  <si>
    <t>Блоки питания для систем безопасности</t>
  </si>
  <si>
    <t>Фары автомобильные</t>
  </si>
  <si>
    <t>Перчатки эротик</t>
  </si>
  <si>
    <t>Печать фотографий</t>
  </si>
  <si>
    <t>Лейки садовые</t>
  </si>
  <si>
    <t>Чипсы</t>
  </si>
  <si>
    <t>Резаки для сигары</t>
  </si>
  <si>
    <t>Тест-полоски крови</t>
  </si>
  <si>
    <t>Шпоры для верховой езды</t>
  </si>
  <si>
    <t>Пьезозажигалки</t>
  </si>
  <si>
    <t>Перчатки снарядные</t>
  </si>
  <si>
    <t>Полба</t>
  </si>
  <si>
    <t>Колонки</t>
  </si>
  <si>
    <t>Пеногасители</t>
  </si>
  <si>
    <t>Полировальные камни</t>
  </si>
  <si>
    <t>Теплоизоляционный материал для авто</t>
  </si>
  <si>
    <t>Коробки монтажные</t>
  </si>
  <si>
    <t>Термошорты для малышей</t>
  </si>
  <si>
    <t>Пирожки</t>
  </si>
  <si>
    <t>Шпатели косметические</t>
  </si>
  <si>
    <t>Накладки гимнастические</t>
  </si>
  <si>
    <t>Реле времени</t>
  </si>
  <si>
    <t>Перчатки садовые</t>
  </si>
  <si>
    <t>Фены для эмбоссинга</t>
  </si>
  <si>
    <t>Румяна</t>
  </si>
  <si>
    <t>Дезодоранты</t>
  </si>
  <si>
    <t>Слуховые аппараты</t>
  </si>
  <si>
    <t>Экзоскелеты</t>
  </si>
  <si>
    <t>Комплектующие топливных баков</t>
  </si>
  <si>
    <t>Панно для бани</t>
  </si>
  <si>
    <t>Корм фермерский</t>
  </si>
  <si>
    <t>Крысоловки</t>
  </si>
  <si>
    <t>Колготки</t>
  </si>
  <si>
    <t>Септики</t>
  </si>
  <si>
    <t>Пружинки игровые</t>
  </si>
  <si>
    <t>Наушники игровые</t>
  </si>
  <si>
    <t>Фены паяльные</t>
  </si>
  <si>
    <t>Корзины сцепления для авто</t>
  </si>
  <si>
    <t>Часы-кулон</t>
  </si>
  <si>
    <t>Пельменницы</t>
  </si>
  <si>
    <t>Чернила</t>
  </si>
  <si>
    <t>Аксессуары для игрушек эротик</t>
  </si>
  <si>
    <t>Травяные смеси для кошек</t>
  </si>
  <si>
    <t>Комбинезоны для животных</t>
  </si>
  <si>
    <t>Сиропы спортивные</t>
  </si>
  <si>
    <t>Аксессуары для проигрывателей</t>
  </si>
  <si>
    <t>Саморезы универсальные</t>
  </si>
  <si>
    <t>Разъемы</t>
  </si>
  <si>
    <t>Аэраторы для пруда</t>
  </si>
  <si>
    <t>Пеленки крестильные</t>
  </si>
  <si>
    <t>Плитка тротуарная</t>
  </si>
  <si>
    <t>Глина косметическая</t>
  </si>
  <si>
    <t>Насосы на член</t>
  </si>
  <si>
    <t>Киперы для бутылок</t>
  </si>
  <si>
    <t>Бестабачные смеси для кальянов</t>
  </si>
  <si>
    <t>Зеркала для ванной</t>
  </si>
  <si>
    <t>Стабилизаторы тканей</t>
  </si>
  <si>
    <t>Фонтаны</t>
  </si>
  <si>
    <t>Гвозди</t>
  </si>
  <si>
    <t>Прицепы для квадроциклов</t>
  </si>
  <si>
    <t>Мочеприемники</t>
  </si>
  <si>
    <t>Книжная продукция и диски</t>
  </si>
  <si>
    <t>Наборы карточек</t>
  </si>
  <si>
    <t>Холсты</t>
  </si>
  <si>
    <t>Листы пробковые</t>
  </si>
  <si>
    <t>Нут</t>
  </si>
  <si>
    <t>Наборы для кормления</t>
  </si>
  <si>
    <t>Тросики сцепления</t>
  </si>
  <si>
    <t>Корпусные лодки</t>
  </si>
  <si>
    <t>Приводы автомобильные</t>
  </si>
  <si>
    <t>Отводы вентиляционные</t>
  </si>
  <si>
    <t>Папки для рисования</t>
  </si>
  <si>
    <t>Травяные сборы</t>
  </si>
  <si>
    <t>Средства против окрашивания</t>
  </si>
  <si>
    <t>Гранола</t>
  </si>
  <si>
    <t>Впускные коллекторы</t>
  </si>
  <si>
    <t>Концевики велосипедные</t>
  </si>
  <si>
    <t>Системы очистки окон</t>
  </si>
  <si>
    <t>Конвейеры роликовые</t>
  </si>
  <si>
    <t>Контейнеры медицинские</t>
  </si>
  <si>
    <t>Оргтехника</t>
  </si>
  <si>
    <t>Принтеры</t>
  </si>
  <si>
    <t>Стиральные машины ультразвуковые</t>
  </si>
  <si>
    <t>Тиристоры и симисторы</t>
  </si>
  <si>
    <t>Основания для ракеток настольного тенниса</t>
  </si>
  <si>
    <t>Гидроуровни</t>
  </si>
  <si>
    <t>Куличи</t>
  </si>
  <si>
    <t>Тросики велосипедные</t>
  </si>
  <si>
    <t>Экстракты для купания</t>
  </si>
  <si>
    <t>Щепы для копчения</t>
  </si>
  <si>
    <t>Мини-печи</t>
  </si>
  <si>
    <t>Тандыры</t>
  </si>
  <si>
    <t>Панели приборные для мототехники</t>
  </si>
  <si>
    <t>Футболки рабочие</t>
  </si>
  <si>
    <t>Интеллект-карты</t>
  </si>
  <si>
    <t>Трекеры сна</t>
  </si>
  <si>
    <t>Противовзломная фурнитура</t>
  </si>
  <si>
    <t>Автомобили</t>
  </si>
  <si>
    <t>Изотоники</t>
  </si>
  <si>
    <t>Замороженные фрукты</t>
  </si>
  <si>
    <t>Горчица</t>
  </si>
  <si>
    <t>Путлища для лошадей</t>
  </si>
  <si>
    <t>Блокноты</t>
  </si>
  <si>
    <t>Телесуфлеры</t>
  </si>
  <si>
    <t>Крестильные рубашки для малышей</t>
  </si>
  <si>
    <t>Ювелирные зажимы</t>
  </si>
  <si>
    <t>Трубки забора топлива</t>
  </si>
  <si>
    <t>Ягоды в глазури</t>
  </si>
  <si>
    <t>Закрепители для лака</t>
  </si>
  <si>
    <t>Бильные пальцы</t>
  </si>
  <si>
    <t>Блесны рыболовные</t>
  </si>
  <si>
    <t>Полупроводниковые модули</t>
  </si>
  <si>
    <t>Кормушки бункерные</t>
  </si>
  <si>
    <t>Зонды измерительные</t>
  </si>
  <si>
    <t>Душевые лейки для животных</t>
  </si>
  <si>
    <t>Диоды</t>
  </si>
  <si>
    <t>Миски для животных</t>
  </si>
  <si>
    <t>Системы охлаждения</t>
  </si>
  <si>
    <t>Корзины встраиваемые</t>
  </si>
  <si>
    <t>Почтовые марки</t>
  </si>
  <si>
    <t>Подушечки для обручальных колец</t>
  </si>
  <si>
    <t>Фруктовницы</t>
  </si>
  <si>
    <t>Декор для маникюра</t>
  </si>
  <si>
    <t>Успокоители цепи</t>
  </si>
  <si>
    <t>Стекла для сварочных масок</t>
  </si>
  <si>
    <t>Сертификаты Wildberries</t>
  </si>
  <si>
    <t>Стулья для йоги</t>
  </si>
  <si>
    <t>Гели для зубов/десен</t>
  </si>
  <si>
    <t>Микрофоны</t>
  </si>
  <si>
    <t>NFC карты</t>
  </si>
  <si>
    <t>Фонарики бытовые</t>
  </si>
  <si>
    <t>Средства защиты растений</t>
  </si>
  <si>
    <t>Тепловые завесы</t>
  </si>
  <si>
    <t>Пистолеты термоклеевые</t>
  </si>
  <si>
    <t>Системы защиты от протечки воды</t>
  </si>
  <si>
    <t>Торсеты</t>
  </si>
  <si>
    <t>Ресиверы телевизионные</t>
  </si>
  <si>
    <t>Салфетницы интерьерные</t>
  </si>
  <si>
    <t>Насадки на страпон</t>
  </si>
  <si>
    <t>Наборы для лепки</t>
  </si>
  <si>
    <t>Гелевые полустельки</t>
  </si>
  <si>
    <t>Макивары</t>
  </si>
  <si>
    <t>Гамаши</t>
  </si>
  <si>
    <t>Пневматическое оружие</t>
  </si>
  <si>
    <t>Пароварка-блендеры</t>
  </si>
  <si>
    <t>Накладки спортивные</t>
  </si>
  <si>
    <t>Кондиционеры для волос</t>
  </si>
  <si>
    <t>Грации эротик</t>
  </si>
  <si>
    <t>Игрушки антистресс</t>
  </si>
  <si>
    <t>Салфетки для кормления</t>
  </si>
  <si>
    <t>Проволоки для рукоделия</t>
  </si>
  <si>
    <t>Шторки для колясок и кресел</t>
  </si>
  <si>
    <t>Адаптеры для трещоток</t>
  </si>
  <si>
    <t>BB-кремы</t>
  </si>
  <si>
    <t>Уплотнители межвенцовые</t>
  </si>
  <si>
    <t>Луки</t>
  </si>
  <si>
    <t>Защитные ленты</t>
  </si>
  <si>
    <t>Массажеры для бани</t>
  </si>
  <si>
    <t>Хлоргенераторы</t>
  </si>
  <si>
    <t>Корректирующие ленты</t>
  </si>
  <si>
    <t>Футляры для помад</t>
  </si>
  <si>
    <t>Гели для уборки</t>
  </si>
  <si>
    <t>Органайзеры для подгузников</t>
  </si>
  <si>
    <t>Корпуса ключей зажигания</t>
  </si>
  <si>
    <t>Хаусботы</t>
  </si>
  <si>
    <t>Портсигары</t>
  </si>
  <si>
    <t>Тяговые реле стартера</t>
  </si>
  <si>
    <t>Накладки на лыжи снегохода</t>
  </si>
  <si>
    <t>Эхолоты</t>
  </si>
  <si>
    <t>Туалетная бумага</t>
  </si>
  <si>
    <t>Устройства защиты</t>
  </si>
  <si>
    <t>Фиксаторы мебельных чехлов</t>
  </si>
  <si>
    <t>Стеки и плети для животных</t>
  </si>
  <si>
    <t>Растворы для ирригатора</t>
  </si>
  <si>
    <t>Дверные замки электронные</t>
  </si>
  <si>
    <t>Маслопрессы</t>
  </si>
  <si>
    <t>Насосы поверхностные</t>
  </si>
  <si>
    <t>Педикюрные наборы</t>
  </si>
  <si>
    <t>Ручки для пакетов</t>
  </si>
  <si>
    <t>Грунты для растений</t>
  </si>
  <si>
    <t>Вакцины для животных</t>
  </si>
  <si>
    <t>Сетки для глажения</t>
  </si>
  <si>
    <t>Фрукты сублимированные</t>
  </si>
  <si>
    <t>Подставки для чайных пакетиков</t>
  </si>
  <si>
    <t>Соль для аквариумов</t>
  </si>
  <si>
    <t>Шины автомобильные</t>
  </si>
  <si>
    <t>Папки канцелярские</t>
  </si>
  <si>
    <t>Мебель мягкая</t>
  </si>
  <si>
    <t>Активаторы клея для ресниц</t>
  </si>
  <si>
    <t>Шведские стенки</t>
  </si>
  <si>
    <t>Пеленки</t>
  </si>
  <si>
    <t>Наборы катушек</t>
  </si>
  <si>
    <t>Средства для прочистки труб</t>
  </si>
  <si>
    <t>Крышки маслозаливной горловины</t>
  </si>
  <si>
    <t>Дезинфицирующие аппараты</t>
  </si>
  <si>
    <t>Стулья для барабанщика</t>
  </si>
  <si>
    <t>Подпятники автомобильные</t>
  </si>
  <si>
    <t>Другие ортодонтические инструменты</t>
  </si>
  <si>
    <t>Порошки соевые</t>
  </si>
  <si>
    <t>Эпиляторы</t>
  </si>
  <si>
    <t>Кулеры для воды</t>
  </si>
  <si>
    <t>Электронные подарочные сертификаты Wildberries</t>
  </si>
  <si>
    <t>Лампы для микроэлектроники</t>
  </si>
  <si>
    <t>Серпы</t>
  </si>
  <si>
    <t>Кашпо</t>
  </si>
  <si>
    <t>Блоки питания для тату машинки</t>
  </si>
  <si>
    <t>Кусачки маникюрные</t>
  </si>
  <si>
    <t>Указатели уровня масла</t>
  </si>
  <si>
    <t>Кассовые аппараты</t>
  </si>
  <si>
    <t>Подарочные пакеты</t>
  </si>
  <si>
    <t>Полуботинки</t>
  </si>
  <si>
    <t>Накидки для кормления грудью</t>
  </si>
  <si>
    <t>Подкладки для бретелей</t>
  </si>
  <si>
    <t>Декор для выпечки</t>
  </si>
  <si>
    <t>Попкорницы</t>
  </si>
  <si>
    <t>Дутики</t>
  </si>
  <si>
    <t>Блоки питания для ноутбуков</t>
  </si>
  <si>
    <t>Катушки зажигания для мототехники</t>
  </si>
  <si>
    <t>Слинг-переноски для животных</t>
  </si>
  <si>
    <t>Газовые баллоны медицинские</t>
  </si>
  <si>
    <t>Курницы</t>
  </si>
  <si>
    <t>Насадки для кухонных комбайнов</t>
  </si>
  <si>
    <t>Боулы</t>
  </si>
  <si>
    <t>Вакуумные поилки</t>
  </si>
  <si>
    <t>Соединители для коллекторов</t>
  </si>
  <si>
    <t>Насосы высокого давления</t>
  </si>
  <si>
    <t>Ножовки</t>
  </si>
  <si>
    <t>Наполнители для лотков и клеток</t>
  </si>
  <si>
    <t>Сортеры</t>
  </si>
  <si>
    <t>Крышки для люков декоративные</t>
  </si>
  <si>
    <t>Палантины</t>
  </si>
  <si>
    <t>Средства для разбавления лака</t>
  </si>
  <si>
    <t>Ложки поварские</t>
  </si>
  <si>
    <t>Часы наручные</t>
  </si>
  <si>
    <t>Самолеты и вертолеты</t>
  </si>
  <si>
    <t>Насадки для шуруповерта</t>
  </si>
  <si>
    <t>Усилители сцепления</t>
  </si>
  <si>
    <t>Дальномеры спортивные</t>
  </si>
  <si>
    <t>Маски спортивные</t>
  </si>
  <si>
    <t>Газовые баллоны</t>
  </si>
  <si>
    <t>Ботинки лыжные</t>
  </si>
  <si>
    <t>Ограждения для животных</t>
  </si>
  <si>
    <t>Полотенца кухонные</t>
  </si>
  <si>
    <t>Аксессуары для квадрокоптеров</t>
  </si>
  <si>
    <t>Кастеты</t>
  </si>
  <si>
    <t>Зажимы рыболовные</t>
  </si>
  <si>
    <t>Резисторы</t>
  </si>
  <si>
    <t>Малечницы</t>
  </si>
  <si>
    <t>Канаты такелажные</t>
  </si>
  <si>
    <t>Сковороды электрические</t>
  </si>
  <si>
    <t>Картон</t>
  </si>
  <si>
    <t>Машинки</t>
  </si>
  <si>
    <t>Очки кухонные</t>
  </si>
  <si>
    <t>Чехлы-аккумуляторы</t>
  </si>
  <si>
    <t>Электромотоциклы</t>
  </si>
  <si>
    <t>Фильтры для камер</t>
  </si>
  <si>
    <t>Системы воздушного охлаждения двигателя</t>
  </si>
  <si>
    <t>Линейки скиаскопические</t>
  </si>
  <si>
    <t>Рессоры автомобильные</t>
  </si>
  <si>
    <t>Шланги для моек высокого давления</t>
  </si>
  <si>
    <t>Держатели для балдахинов</t>
  </si>
  <si>
    <t>Стержни для ручек</t>
  </si>
  <si>
    <t>Ролики конвейерные</t>
  </si>
  <si>
    <t>Фольга пищевая</t>
  </si>
  <si>
    <t>Заглушки для розеток</t>
  </si>
  <si>
    <t>Пододеяльники для малышей</t>
  </si>
  <si>
    <t>Таблички детские</t>
  </si>
  <si>
    <t>Цепи привода</t>
  </si>
  <si>
    <t>Чехлы-кармашки для телефонов</t>
  </si>
  <si>
    <t>Монтировки</t>
  </si>
  <si>
    <t>Проекторы отверстий</t>
  </si>
  <si>
    <t>Конструкторы LEGO</t>
  </si>
  <si>
    <t>Транзисторы</t>
  </si>
  <si>
    <t>Чехлы для колясок</t>
  </si>
  <si>
    <t>Корзины для мячей</t>
  </si>
  <si>
    <t>Чехлы флип-кейс для телефонов</t>
  </si>
  <si>
    <t>Web-камеры</t>
  </si>
  <si>
    <t>Дюбели</t>
  </si>
  <si>
    <t>Кастрюли</t>
  </si>
  <si>
    <t>Фланцы вентиляционные</t>
  </si>
  <si>
    <t>Треугольники музыкальные</t>
  </si>
  <si>
    <t>Навесное оборудование для садовой техники</t>
  </si>
  <si>
    <t>Скакалки</t>
  </si>
  <si>
    <t>Ножки для конвекторов</t>
  </si>
  <si>
    <t>Подушки декоративные</t>
  </si>
  <si>
    <t>Брусья</t>
  </si>
  <si>
    <t>Лебедки электрические переносные</t>
  </si>
  <si>
    <t>Кровати медицинские</t>
  </si>
  <si>
    <t>Вкладыши в бочку</t>
  </si>
  <si>
    <t>Шпагат хозяйственно-бытовой</t>
  </si>
  <si>
    <t>Муфты для рук</t>
  </si>
  <si>
    <t>Пульсометры</t>
  </si>
  <si>
    <t>Доборные элементы для кровли</t>
  </si>
  <si>
    <t>Сигнализаторы клева</t>
  </si>
  <si>
    <t>Кофты спортивные</t>
  </si>
  <si>
    <t>Емкости для воды садовые</t>
  </si>
  <si>
    <t>Защита велосипеда</t>
  </si>
  <si>
    <t>Велодекор</t>
  </si>
  <si>
    <t>Фотопленки</t>
  </si>
  <si>
    <t>Тоники</t>
  </si>
  <si>
    <t>Соки</t>
  </si>
  <si>
    <t>Мотошлемы</t>
  </si>
  <si>
    <t>Гели для моделирования ногтей</t>
  </si>
  <si>
    <t>Аксессуары для тандыров</t>
  </si>
  <si>
    <t>Тату-рукава</t>
  </si>
  <si>
    <t>Горох</t>
  </si>
  <si>
    <t>Вилки ригидные</t>
  </si>
  <si>
    <t>Карманы на кровать</t>
  </si>
  <si>
    <t>Гелевые стельки</t>
  </si>
  <si>
    <t>Наборы для путешествий</t>
  </si>
  <si>
    <t>БАДы</t>
  </si>
  <si>
    <t>Прокладки стержня</t>
  </si>
  <si>
    <t>Митенки</t>
  </si>
  <si>
    <t>Аптечки ветеринарные</t>
  </si>
  <si>
    <t>Анемостаты</t>
  </si>
  <si>
    <t>Жидкости для генераторов дыма</t>
  </si>
  <si>
    <t>Звукоизоляция</t>
  </si>
  <si>
    <t>Отбойники автомобильные</t>
  </si>
  <si>
    <t>Топливозаправочные системы</t>
  </si>
  <si>
    <t>Пластыри для животных</t>
  </si>
  <si>
    <t>Защита корпуса</t>
  </si>
  <si>
    <t>Накладки на колесные арки</t>
  </si>
  <si>
    <t>Щипцы для укладки</t>
  </si>
  <si>
    <t>Фотоальбомы</t>
  </si>
  <si>
    <t>Переходники для микроэлектроники</t>
  </si>
  <si>
    <t>Клипсы и расширители для пояса</t>
  </si>
  <si>
    <t>Топоры</t>
  </si>
  <si>
    <t>Фонари игрушечные</t>
  </si>
  <si>
    <t>Захваты для листового материала</t>
  </si>
  <si>
    <t>Магниты бытовые</t>
  </si>
  <si>
    <t>Винты-конфирматы</t>
  </si>
  <si>
    <t>Вилки десертные</t>
  </si>
  <si>
    <t>Невидимки</t>
  </si>
  <si>
    <t>Фильтры масляные для мототехники</t>
  </si>
  <si>
    <t>Аксессуары для аэрогрилей</t>
  </si>
  <si>
    <t>Диски для штанг и гантелей</t>
  </si>
  <si>
    <t>Гироциклы</t>
  </si>
  <si>
    <t>Яйцерезки</t>
  </si>
  <si>
    <t>Сборные модели</t>
  </si>
  <si>
    <t>AV-ресиверы</t>
  </si>
  <si>
    <t>Кварцевые генераторы</t>
  </si>
  <si>
    <t>Таблетки для рассады</t>
  </si>
  <si>
    <t>Чехлы для фотоаппаратов</t>
  </si>
  <si>
    <t>Очистители фасадов</t>
  </si>
  <si>
    <t>Кронштейны для колонок</t>
  </si>
  <si>
    <t>Майонезы</t>
  </si>
  <si>
    <t>Скейтборды</t>
  </si>
  <si>
    <t>Доски для лепки</t>
  </si>
  <si>
    <t>Щетки уличные</t>
  </si>
  <si>
    <t>Имитация бруса</t>
  </si>
  <si>
    <t>Кресла садовые</t>
  </si>
  <si>
    <t>Аксессуары для бильярда</t>
  </si>
  <si>
    <t>Йод</t>
  </si>
  <si>
    <t>Сахарная вата</t>
  </si>
  <si>
    <t>Шкафы</t>
  </si>
  <si>
    <t>Варежки</t>
  </si>
  <si>
    <t>Препараты от аллергии для животных</t>
  </si>
  <si>
    <t>Кресла</t>
  </si>
  <si>
    <t>Бизиборды</t>
  </si>
  <si>
    <t>Цилиндры замка</t>
  </si>
  <si>
    <t>Имбирь маринованный</t>
  </si>
  <si>
    <t>Топы</t>
  </si>
  <si>
    <t>Аквариумы</t>
  </si>
  <si>
    <t>Стерилизаторы для ножей</t>
  </si>
  <si>
    <t>Веревки для бондажа</t>
  </si>
  <si>
    <t>Масла для обуви</t>
  </si>
  <si>
    <t>Держатели для игровых консолей</t>
  </si>
  <si>
    <t>Шнурки для очков</t>
  </si>
  <si>
    <t>Ключницы настенные</t>
  </si>
  <si>
    <t>Колуны</t>
  </si>
  <si>
    <t>Клинки для ларингоскопа</t>
  </si>
  <si>
    <t>Светофильтры сварочные</t>
  </si>
  <si>
    <t>Подметальные машины</t>
  </si>
  <si>
    <t>Обеденные группы плетеные</t>
  </si>
  <si>
    <t>Купаты</t>
  </si>
  <si>
    <t>Молочники</t>
  </si>
  <si>
    <t>Мыльницы</t>
  </si>
  <si>
    <t>Декор для одежды</t>
  </si>
  <si>
    <t>Столбики парковочные</t>
  </si>
  <si>
    <t>Ключи разводные</t>
  </si>
  <si>
    <t>Главные пары</t>
  </si>
  <si>
    <t>Гидрофильные плитки</t>
  </si>
  <si>
    <t>Защита ног лошади</t>
  </si>
  <si>
    <t>Запчасти для игровых палаток</t>
  </si>
  <si>
    <t>Масленки</t>
  </si>
  <si>
    <t>Расширители колесных арок</t>
  </si>
  <si>
    <t>Смеси для массажа</t>
  </si>
  <si>
    <t>Тормозные пневматические камеры</t>
  </si>
  <si>
    <t>Колбасы</t>
  </si>
  <si>
    <t>Индикаторы уровня жидкости</t>
  </si>
  <si>
    <t>Бутылки для воды</t>
  </si>
  <si>
    <t>Балаклавы</t>
  </si>
  <si>
    <t>Гипсокартон и листовые материалы</t>
  </si>
  <si>
    <t>Кимоно спортивное</t>
  </si>
  <si>
    <t>Куртки для животных</t>
  </si>
  <si>
    <t>Шланги садовые</t>
  </si>
  <si>
    <t>Велохимия</t>
  </si>
  <si>
    <t>Бронеодежда</t>
  </si>
  <si>
    <t>Пистолеты для пирсинга</t>
  </si>
  <si>
    <t>Парники</t>
  </si>
  <si>
    <t>Стульчики для кормления</t>
  </si>
  <si>
    <t>Виниловые проигрыватели</t>
  </si>
  <si>
    <t>Чехлы для пультов</t>
  </si>
  <si>
    <t>Пилы туристические</t>
  </si>
  <si>
    <t>Обогрев сидений</t>
  </si>
  <si>
    <t>Аксессуары для дайвинга</t>
  </si>
  <si>
    <t>Переносные души-биде</t>
  </si>
  <si>
    <t>Сборы для ванн</t>
  </si>
  <si>
    <t>Манты</t>
  </si>
  <si>
    <t>Блестки декоративные</t>
  </si>
  <si>
    <t>Панели для кухонных фартуков</t>
  </si>
  <si>
    <t>Тесты медицинские</t>
  </si>
  <si>
    <t>Колпачки для ногтей</t>
  </si>
  <si>
    <t>Крепления для парника</t>
  </si>
  <si>
    <t>Рюкзаки-переноски</t>
  </si>
  <si>
    <t>Фотоловушки</t>
  </si>
  <si>
    <t>Доски стиральные</t>
  </si>
  <si>
    <t>Крупа манная</t>
  </si>
  <si>
    <t>Атласы учебные</t>
  </si>
  <si>
    <t>Емкости строительные</t>
  </si>
  <si>
    <t>Расчески лазерные</t>
  </si>
  <si>
    <t>Накладки на пороги</t>
  </si>
  <si>
    <t>Пленка багажная</t>
  </si>
  <si>
    <t>Защитные экраны для телевизоров</t>
  </si>
  <si>
    <t>Пакеты упаковочные</t>
  </si>
  <si>
    <t>Маски БиПАП</t>
  </si>
  <si>
    <t>Средства для жироуловителей</t>
  </si>
  <si>
    <t>Соединительные элементы</t>
  </si>
  <si>
    <t>Гайки секретные</t>
  </si>
  <si>
    <t>Шары для бильярда</t>
  </si>
  <si>
    <t>Портупеи</t>
  </si>
  <si>
    <t>Манежи</t>
  </si>
  <si>
    <t>Гидромайки</t>
  </si>
  <si>
    <t>Качели детские</t>
  </si>
  <si>
    <t>Баскетбольные щиты</t>
  </si>
  <si>
    <t>Лопаты снеговые</t>
  </si>
  <si>
    <t>Пояса для единоборств</t>
  </si>
  <si>
    <t>Планшеты канцелярские</t>
  </si>
  <si>
    <t>Воск для лап</t>
  </si>
  <si>
    <t>Аксессуары для тяжелой атлетики</t>
  </si>
  <si>
    <t>Индикаторы и дисплеи</t>
  </si>
  <si>
    <t>Контроллеры программируемые</t>
  </si>
  <si>
    <t>Соль</t>
  </si>
  <si>
    <t>Комплекты белья</t>
  </si>
  <si>
    <t>Кувалды</t>
  </si>
  <si>
    <t>Комбидрессы послеоперационные</t>
  </si>
  <si>
    <t>Программы питания</t>
  </si>
  <si>
    <t>Умные колонки</t>
  </si>
  <si>
    <t>USB-инжекторы</t>
  </si>
  <si>
    <t>Счетчики банкнот</t>
  </si>
  <si>
    <t>Гигиенические освежители для унитаза</t>
  </si>
  <si>
    <t>Музыкальные проигрыватели</t>
  </si>
  <si>
    <t>Охлаждение процессора</t>
  </si>
  <si>
    <t>Детские накидки на стул</t>
  </si>
  <si>
    <t>Приточные установки</t>
  </si>
  <si>
    <t>Расширители гинекологические</t>
  </si>
  <si>
    <t>Калоприёмники</t>
  </si>
  <si>
    <t>Бумага пищевая</t>
  </si>
  <si>
    <t>Чехлы на автомобиль</t>
  </si>
  <si>
    <t>Матрицы для ноутбуков</t>
  </si>
  <si>
    <t>Клеммы для аккумуляторов</t>
  </si>
  <si>
    <t>Термоколготки</t>
  </si>
  <si>
    <t>Долма</t>
  </si>
  <si>
    <t>Комплектующие двигателя</t>
  </si>
  <si>
    <t>Катушки рыболовные</t>
  </si>
  <si>
    <t>Запчасти для водонагревателей</t>
  </si>
  <si>
    <t>Резцы</t>
  </si>
  <si>
    <t>Лампы для светополимеризации</t>
  </si>
  <si>
    <t>Разметки для игр</t>
  </si>
  <si>
    <t>Икра имитированная черная</t>
  </si>
  <si>
    <t>Втулки автомобильные</t>
  </si>
  <si>
    <t>Кофемолки механические</t>
  </si>
  <si>
    <t>Кистемойки</t>
  </si>
  <si>
    <t>Чехлы для песочниц</t>
  </si>
  <si>
    <t>Средства для мытья посуды</t>
  </si>
  <si>
    <t>Трусы эротик</t>
  </si>
  <si>
    <t>Бандажи послеоперационные</t>
  </si>
  <si>
    <t>Аппаратура пускорегулирующая</t>
  </si>
  <si>
    <t>Журналы учета</t>
  </si>
  <si>
    <t>Валы карданные</t>
  </si>
  <si>
    <t>Термофутболки</t>
  </si>
  <si>
    <t>Одеяла</t>
  </si>
  <si>
    <t>Наборы для укладки волос</t>
  </si>
  <si>
    <t>Трекеры времени</t>
  </si>
  <si>
    <t>Контроллеры для насосов</t>
  </si>
  <si>
    <t>Молоко растительное</t>
  </si>
  <si>
    <t>Патроны для игрушечного оружия</t>
  </si>
  <si>
    <t>Помпы автомобильные</t>
  </si>
  <si>
    <t>Хлопья ячменные</t>
  </si>
  <si>
    <t>Вторичная оптика</t>
  </si>
  <si>
    <t>Вибраторы глубинные</t>
  </si>
  <si>
    <t>Кисточки для копыт</t>
  </si>
  <si>
    <t>Весы</t>
  </si>
  <si>
    <t>Уксусы</t>
  </si>
  <si>
    <t>Колонки для воды</t>
  </si>
  <si>
    <t>Гамаки для ног</t>
  </si>
  <si>
    <t>Комплектующие топливоподкачивающих насосов</t>
  </si>
  <si>
    <t>Ворота спортивные</t>
  </si>
  <si>
    <t>Подносы</t>
  </si>
  <si>
    <t>Футболки для малышей</t>
  </si>
  <si>
    <t>Ареометры</t>
  </si>
  <si>
    <t>Дождевики для колясок</t>
  </si>
  <si>
    <t>Запчасти для самоката</t>
  </si>
  <si>
    <t>Прыгунки</t>
  </si>
  <si>
    <t>Полки для магазина</t>
  </si>
  <si>
    <t>Халва</t>
  </si>
  <si>
    <t>Пуловеры</t>
  </si>
  <si>
    <t>Усилители тормоза</t>
  </si>
  <si>
    <t>Лезвия для педикюра</t>
  </si>
  <si>
    <t>Щипцы для наращивания волос</t>
  </si>
  <si>
    <t>Колготки эротик</t>
  </si>
  <si>
    <t>Тефтели</t>
  </si>
  <si>
    <t>Шпик</t>
  </si>
  <si>
    <t>Этажерки</t>
  </si>
  <si>
    <t>Мыло хозяйственное</t>
  </si>
  <si>
    <t>Цепи строительные</t>
  </si>
  <si>
    <t>Рычаги подвески</t>
  </si>
  <si>
    <t>Фотометры</t>
  </si>
  <si>
    <t>Краски водно-дисперсионные</t>
  </si>
  <si>
    <t>Магнитные доски</t>
  </si>
  <si>
    <t>Растения для террариумов</t>
  </si>
  <si>
    <t>Дверцы для животных</t>
  </si>
  <si>
    <t>Штаны для животных</t>
  </si>
  <si>
    <t>Виномеры</t>
  </si>
  <si>
    <t>Кольца синхронизатора</t>
  </si>
  <si>
    <t>Сети маскировочные</t>
  </si>
  <si>
    <t>Стойки спортивные</t>
  </si>
  <si>
    <t>Майки спортивные</t>
  </si>
  <si>
    <t>Сыры жареные</t>
  </si>
  <si>
    <t>Фильтры АКПП</t>
  </si>
  <si>
    <t>Ушечистки для животных</t>
  </si>
  <si>
    <t>Столы бильярдные</t>
  </si>
  <si>
    <t>Ионизаторы воды</t>
  </si>
  <si>
    <t>Видеоглазки</t>
  </si>
  <si>
    <t>Мел и глина пищевые</t>
  </si>
  <si>
    <t>Иглы для пирсинга</t>
  </si>
  <si>
    <t>Разделители для ящиков</t>
  </si>
  <si>
    <t>Кирпичи</t>
  </si>
  <si>
    <t>Валы продольные</t>
  </si>
  <si>
    <t>Двигатели вентилятора</t>
  </si>
  <si>
    <t>Катки для газона</t>
  </si>
  <si>
    <t>Термометры для террариумов</t>
  </si>
  <si>
    <t>Походный душ</t>
  </si>
  <si>
    <t>Бидоны</t>
  </si>
  <si>
    <t>Умные выключатели и реле</t>
  </si>
  <si>
    <t>Губки для удаления затирки</t>
  </si>
  <si>
    <t>Подвязки для растений</t>
  </si>
  <si>
    <t>Ремуверы для удаления татуажа</t>
  </si>
  <si>
    <t>Удобрения для аквариумных растений</t>
  </si>
  <si>
    <t>Сканеры</t>
  </si>
  <si>
    <t>Миски</t>
  </si>
  <si>
    <t>Крышки головок цилиндра</t>
  </si>
  <si>
    <t>Карнавальные головные уборы</t>
  </si>
  <si>
    <t>Баранки</t>
  </si>
  <si>
    <t>Подставки канцелярские</t>
  </si>
  <si>
    <t>Фотофоны</t>
  </si>
  <si>
    <t>Песочники</t>
  </si>
  <si>
    <t>Панели оператора</t>
  </si>
  <si>
    <t>Вытяжки кухонные</t>
  </si>
  <si>
    <t>Каши для собак</t>
  </si>
  <si>
    <t>Манки охотничьи</t>
  </si>
  <si>
    <t>Бижутерия</t>
  </si>
  <si>
    <t>Шнурки для кулонов</t>
  </si>
  <si>
    <t>Цилиндры автомобильные</t>
  </si>
  <si>
    <t>Фотообои</t>
  </si>
  <si>
    <t>Антиэмболические чулки</t>
  </si>
  <si>
    <t>Подарочные карты</t>
  </si>
  <si>
    <t>Кормушки рыболовные</t>
  </si>
  <si>
    <t>Скрадки маскировочные</t>
  </si>
  <si>
    <t>Коврики для тренажеров</t>
  </si>
  <si>
    <t>Гамаки для йоги</t>
  </si>
  <si>
    <t>Расширители хвата</t>
  </si>
  <si>
    <t>Рисоварки электрические</t>
  </si>
  <si>
    <t>Бамперы для квадроциклов</t>
  </si>
  <si>
    <t>Худи спортивные</t>
  </si>
  <si>
    <t>Грунты художественные</t>
  </si>
  <si>
    <t>Стеклоподъемники</t>
  </si>
  <si>
    <t>Специнструменты для главной передачи</t>
  </si>
  <si>
    <t>Майки спортивные для малышей</t>
  </si>
  <si>
    <t>Масла и технические жидкости</t>
  </si>
  <si>
    <t>Масла вилочные</t>
  </si>
  <si>
    <t>Ювелирные броши</t>
  </si>
  <si>
    <t>Фильтры обратного осмоса</t>
  </si>
  <si>
    <t>Пирометры</t>
  </si>
  <si>
    <t>Зажимы-крокодил</t>
  </si>
  <si>
    <t>Аппараты для запаивания пакетов</t>
  </si>
  <si>
    <t>Клеенки детские</t>
  </si>
  <si>
    <t>Наборы в роддом</t>
  </si>
  <si>
    <t>Термоджемперы для малышей</t>
  </si>
  <si>
    <t>Жироуловители</t>
  </si>
  <si>
    <t>УФ-стерилизаторы для аквариума</t>
  </si>
  <si>
    <t>Карабины</t>
  </si>
  <si>
    <t>Анораки для малышей</t>
  </si>
  <si>
    <t>Замки багажные</t>
  </si>
  <si>
    <t>Заслонки дополнительной подачи воздуха</t>
  </si>
  <si>
    <t>Свистки для дрессировки</t>
  </si>
  <si>
    <t>Совки для туалета</t>
  </si>
  <si>
    <t>Бутоньерки</t>
  </si>
  <si>
    <t>Средства от блох и клещей</t>
  </si>
  <si>
    <t>Домашние кинотеатры</t>
  </si>
  <si>
    <t>Полки сетчатые</t>
  </si>
  <si>
    <t>Клепальные прессы</t>
  </si>
  <si>
    <t>Карнавальные аксессуары</t>
  </si>
  <si>
    <t>Маслины</t>
  </si>
  <si>
    <t>Стержни клеевые</t>
  </si>
  <si>
    <t>Катализаторы автомобильные</t>
  </si>
  <si>
    <t>Кроссовки</t>
  </si>
  <si>
    <t>Нарукавники рабочие</t>
  </si>
  <si>
    <t>Кровля наплавляемая</t>
  </si>
  <si>
    <t>Ватные палочки для животных</t>
  </si>
  <si>
    <t>Сетки для кальяна</t>
  </si>
  <si>
    <t>Резонаторы</t>
  </si>
  <si>
    <t>Облучатели-рециркуляторы</t>
  </si>
  <si>
    <t>Элементы питания</t>
  </si>
  <si>
    <t>Переключатели</t>
  </si>
  <si>
    <t>Мармиты</t>
  </si>
  <si>
    <t>Вставки в противотуманные фары</t>
  </si>
  <si>
    <t>Сетки спортивные</t>
  </si>
  <si>
    <t>Морепродукты сушеные</t>
  </si>
  <si>
    <t>Радиоуправляемые игрушки</t>
  </si>
  <si>
    <t>Питание для кормящих и беременных</t>
  </si>
  <si>
    <t>Фартуки художественные</t>
  </si>
  <si>
    <t>Парты детские</t>
  </si>
  <si>
    <t>Лобовые стекла</t>
  </si>
  <si>
    <t>Костюмы</t>
  </si>
  <si>
    <t>Видеокарты</t>
  </si>
  <si>
    <t>Фруктовые пастилки</t>
  </si>
  <si>
    <t>Шторы интерьерные</t>
  </si>
  <si>
    <t>Аппараты для маникюра и педикюра</t>
  </si>
  <si>
    <t>Шестерни автомобильные</t>
  </si>
  <si>
    <t>Сендвичницы</t>
  </si>
  <si>
    <t>Юбки</t>
  </si>
  <si>
    <t>Зажигалки</t>
  </si>
  <si>
    <t>Бруски шлифовальные</t>
  </si>
  <si>
    <t>Чехлы для удочек</t>
  </si>
  <si>
    <t>Бондарные изделия</t>
  </si>
  <si>
    <t>Монтажи рыболовные</t>
  </si>
  <si>
    <t>Грили газовые</t>
  </si>
  <si>
    <t>Киноа</t>
  </si>
  <si>
    <t>Очки перископы</t>
  </si>
  <si>
    <t>Леска рыболовная</t>
  </si>
  <si>
    <t>Ягоды сублимированные</t>
  </si>
  <si>
    <t>Автоэлектроника</t>
  </si>
  <si>
    <t>Магнитолы автомобильные</t>
  </si>
  <si>
    <t>Машины для приготовления смеси</t>
  </si>
  <si>
    <t>Барабанные палочки</t>
  </si>
  <si>
    <t>Губки хозяйственные</t>
  </si>
  <si>
    <t>Буи для подводного плавания</t>
  </si>
  <si>
    <t>Шлифовальные машины</t>
  </si>
  <si>
    <t>Обучающие диски</t>
  </si>
  <si>
    <t>Вертикализаторы</t>
  </si>
  <si>
    <t>Кресла-трансформеры</t>
  </si>
  <si>
    <t>Халаты спортивные</t>
  </si>
  <si>
    <t>Пояса эротик</t>
  </si>
  <si>
    <t>Адаптеры для щеток стеклоочистителя</t>
  </si>
  <si>
    <t>Лабиринты</t>
  </si>
  <si>
    <t>Сарафаны</t>
  </si>
  <si>
    <t>Шорты</t>
  </si>
  <si>
    <t>Воски для ногтей</t>
  </si>
  <si>
    <t>Фанера строительная</t>
  </si>
  <si>
    <t>Возбуждающие препараты</t>
  </si>
  <si>
    <t>Зажимы для платков</t>
  </si>
  <si>
    <t>Поролон</t>
  </si>
  <si>
    <t>Косы</t>
  </si>
  <si>
    <t>Крепления для забора</t>
  </si>
  <si>
    <t>Пилы строительные</t>
  </si>
  <si>
    <t>Свитшоты</t>
  </si>
  <si>
    <t>Игровые консоли PlayStation</t>
  </si>
  <si>
    <t>Знаки аварийной остановки</t>
  </si>
  <si>
    <t>Модульные гостиные</t>
  </si>
  <si>
    <t>Перья каллиграфические</t>
  </si>
  <si>
    <t>Настольные игры для взрослых</t>
  </si>
  <si>
    <t>Внешние аккумуляторы</t>
  </si>
  <si>
    <t>Щетки для уборки</t>
  </si>
  <si>
    <t>Термопоты</t>
  </si>
  <si>
    <t>Стерилизаторы зубных щеток</t>
  </si>
  <si>
    <t>Тросы КПП</t>
  </si>
  <si>
    <t>Привязи страховочные</t>
  </si>
  <si>
    <t>Джинсы</t>
  </si>
  <si>
    <t>Шиповки</t>
  </si>
  <si>
    <t>Шагомеры</t>
  </si>
  <si>
    <t>Носки</t>
  </si>
  <si>
    <t>Мебель для сна</t>
  </si>
  <si>
    <t>Кровати двухъярусные</t>
  </si>
  <si>
    <t>Помады</t>
  </si>
  <si>
    <t>Щетки для одежды</t>
  </si>
  <si>
    <t>Блоки питания</t>
  </si>
  <si>
    <t>Жидкости для снятия нарощенных волос</t>
  </si>
  <si>
    <t>Отсадники для рыб</t>
  </si>
  <si>
    <t>Валы приводные</t>
  </si>
  <si>
    <t>Шапочки для плавания</t>
  </si>
  <si>
    <t>Тренчкоты</t>
  </si>
  <si>
    <t>Лески для триммеров</t>
  </si>
  <si>
    <t>Аксессуары для лестниц</t>
  </si>
  <si>
    <t>Планки успокоителя</t>
  </si>
  <si>
    <t>Распылители для аквариума</t>
  </si>
  <si>
    <t>Плащи</t>
  </si>
  <si>
    <t>Наматрасники детские</t>
  </si>
  <si>
    <t>Рукава спортивные</t>
  </si>
  <si>
    <t>Энергетические напитки</t>
  </si>
  <si>
    <t>Конденсаторы автомобильные</t>
  </si>
  <si>
    <t>Кроссы оптические</t>
  </si>
  <si>
    <t>Дубленки</t>
  </si>
  <si>
    <t>Укулеле</t>
  </si>
  <si>
    <t>Грядки и комплектующие</t>
  </si>
  <si>
    <t>Цепи ГРМ</t>
  </si>
  <si>
    <t>Тали электрические</t>
  </si>
  <si>
    <t>Умная жидкость</t>
  </si>
  <si>
    <t>Зажимы медицинские</t>
  </si>
  <si>
    <t>Приставные столики для швейных машин</t>
  </si>
  <si>
    <t>Наконечники рулевой тяги</t>
  </si>
  <si>
    <t>Костыли</t>
  </si>
  <si>
    <t>Шкафы расстоечные</t>
  </si>
  <si>
    <t>Колпачки для тушения свеч</t>
  </si>
  <si>
    <t>Электроточилки</t>
  </si>
  <si>
    <t>Датчики вращения педалей</t>
  </si>
  <si>
    <t>Шейкеры барные</t>
  </si>
  <si>
    <t>Наклейки для техники</t>
  </si>
  <si>
    <t>Электроды</t>
  </si>
  <si>
    <t>Сноуборды</t>
  </si>
  <si>
    <t>Компрессионные мешки</t>
  </si>
  <si>
    <t>Картон асбестовый</t>
  </si>
  <si>
    <t>Вкладыши в спальные мешки</t>
  </si>
  <si>
    <t>Насадки для бензопил</t>
  </si>
  <si>
    <t>Сашими</t>
  </si>
  <si>
    <t>Маш</t>
  </si>
  <si>
    <t>Баллоны для сифонов</t>
  </si>
  <si>
    <t>Браслеты</t>
  </si>
  <si>
    <t>Мешки хозяйственные</t>
  </si>
  <si>
    <t>Перчатки косметические</t>
  </si>
  <si>
    <t>Фильтры для заваривания напитков</t>
  </si>
  <si>
    <t>Гантели</t>
  </si>
  <si>
    <t>Сигналы звуковые пневмо-электрические</t>
  </si>
  <si>
    <t>Мешки для мусора</t>
  </si>
  <si>
    <t>Конверты для сервировки</t>
  </si>
  <si>
    <t>Безмены</t>
  </si>
  <si>
    <t>Держатели для вентканалов</t>
  </si>
  <si>
    <t>Кейсы для камер</t>
  </si>
  <si>
    <t>Домики для животных</t>
  </si>
  <si>
    <t>Пряники</t>
  </si>
  <si>
    <t>Вкладыши после мастэктомии</t>
  </si>
  <si>
    <t>Оливки</t>
  </si>
  <si>
    <t>Пояса</t>
  </si>
  <si>
    <t>Комплекты мягкой мебели</t>
  </si>
  <si>
    <t>Бурсопротекторы</t>
  </si>
  <si>
    <t>Ласты</t>
  </si>
  <si>
    <t>Насосы для надувной мебели</t>
  </si>
  <si>
    <t>Чехлы для велосипедов</t>
  </si>
  <si>
    <t>Жидкости для уборки</t>
  </si>
  <si>
    <t>Преднагреватели плат</t>
  </si>
  <si>
    <t>Шилья для рукоделия</t>
  </si>
  <si>
    <t>Устройства для намотки пряжи</t>
  </si>
  <si>
    <t>Электронные планшеты для рисования</t>
  </si>
  <si>
    <t>Боковые фонари указателя поворота</t>
  </si>
  <si>
    <t>Наборы для солярия</t>
  </si>
  <si>
    <t>Ведра для золы</t>
  </si>
  <si>
    <t>Палетки для наполнения</t>
  </si>
  <si>
    <t>Компрессионные перчатки</t>
  </si>
  <si>
    <t>Плавки</t>
  </si>
  <si>
    <t>Рамки-вкладыши</t>
  </si>
  <si>
    <t>Кронштейны запасного колеса для прицепа</t>
  </si>
  <si>
    <t>Картины</t>
  </si>
  <si>
    <t>Оправа</t>
  </si>
  <si>
    <t>Кожухи двигателя</t>
  </si>
  <si>
    <t>Чехлы для матрасов</t>
  </si>
  <si>
    <t>Елки живые</t>
  </si>
  <si>
    <t>Тележки парикмахерские</t>
  </si>
  <si>
    <t>Сухое молоко для животных</t>
  </si>
  <si>
    <t>Болторезы</t>
  </si>
  <si>
    <t>Рыба сушеная</t>
  </si>
  <si>
    <t>Вода питьевая</t>
  </si>
  <si>
    <t>Закладки</t>
  </si>
  <si>
    <t>Порошки для посудомоечных машин</t>
  </si>
  <si>
    <t>Детские горшки</t>
  </si>
  <si>
    <t>Чехлы для косметики</t>
  </si>
  <si>
    <t>Молокоотсосы электрические</t>
  </si>
  <si>
    <t>Анкеры</t>
  </si>
  <si>
    <t>Столы письменные</t>
  </si>
  <si>
    <t>Велоперчатки</t>
  </si>
  <si>
    <t>Подтяжки</t>
  </si>
  <si>
    <t>Бальзамы</t>
  </si>
  <si>
    <t>Инсталляции для унитаза</t>
  </si>
  <si>
    <t>Аксессуары для банных печей</t>
  </si>
  <si>
    <t>Бордшорты</t>
  </si>
  <si>
    <t>Часы настольные</t>
  </si>
  <si>
    <t>Миксеры</t>
  </si>
  <si>
    <t>Коптильни</t>
  </si>
  <si>
    <t>Пены для бритья</t>
  </si>
  <si>
    <t>Веревки бельевые</t>
  </si>
  <si>
    <t>Футы</t>
  </si>
  <si>
    <t>Ленты для рукоделия</t>
  </si>
  <si>
    <t>Маринады</t>
  </si>
  <si>
    <t>Футболки</t>
  </si>
  <si>
    <t>Пароварки для плиты</t>
  </si>
  <si>
    <t>Пинетки</t>
  </si>
  <si>
    <t>Системы привода сцепления</t>
  </si>
  <si>
    <t>Маски оттеночные</t>
  </si>
  <si>
    <t>Умывальники садовые</t>
  </si>
  <si>
    <t>Зонды логопедические</t>
  </si>
  <si>
    <t>Стельки</t>
  </si>
  <si>
    <t>Чехлы для кия</t>
  </si>
  <si>
    <t>Косметические цветные линзы</t>
  </si>
  <si>
    <t>Корсеты для животных</t>
  </si>
  <si>
    <t>Сумки медицинские</t>
  </si>
  <si>
    <t>Муфты для колясок</t>
  </si>
  <si>
    <t>Шоколад фигурный</t>
  </si>
  <si>
    <t>Прополис</t>
  </si>
  <si>
    <t>Зеркала медицинские</t>
  </si>
  <si>
    <t>Линзы для очков</t>
  </si>
  <si>
    <t>Тавры</t>
  </si>
  <si>
    <t>Пекарский камень</t>
  </si>
  <si>
    <t>Насадки для пылесосов</t>
  </si>
  <si>
    <t>Запчасти для утюгов</t>
  </si>
  <si>
    <t>Барьеры спортивные</t>
  </si>
  <si>
    <t>Крепления для лыж</t>
  </si>
  <si>
    <t>Пейджеры вызова персонала</t>
  </si>
  <si>
    <t>Масла для садовой техники</t>
  </si>
  <si>
    <t>Пеленки для взрослых</t>
  </si>
  <si>
    <t>Болты секретные</t>
  </si>
  <si>
    <t>Экраны защиты информации</t>
  </si>
  <si>
    <t>Ящики навесные для прицепов</t>
  </si>
  <si>
    <t>Подставки для ножей</t>
  </si>
  <si>
    <t>Плуги</t>
  </si>
  <si>
    <t>Морилки</t>
  </si>
  <si>
    <t>Подножки велосипедные</t>
  </si>
  <si>
    <t>Таблички для ванны и туалета</t>
  </si>
  <si>
    <t>Компрессионные брюки</t>
  </si>
  <si>
    <t>Клипсы для бюстгальтера</t>
  </si>
  <si>
    <t>Шарниры автомобильные</t>
  </si>
  <si>
    <t>Соки детские</t>
  </si>
  <si>
    <t>Шланги автомобильные</t>
  </si>
  <si>
    <t>Массажеры электрические</t>
  </si>
  <si>
    <t>Штанги</t>
  </si>
  <si>
    <t>Гольфы</t>
  </si>
  <si>
    <t>Индуктивные компоненты</t>
  </si>
  <si>
    <t>Варежки для малышей</t>
  </si>
  <si>
    <t>Мосты для кия</t>
  </si>
  <si>
    <t>Багажные бирки</t>
  </si>
  <si>
    <t>Краны запорные автомобильные</t>
  </si>
  <si>
    <t>Сервисные услуги</t>
  </si>
  <si>
    <t>Комплекты нательные для малышей</t>
  </si>
  <si>
    <t>Колонки автомобильные</t>
  </si>
  <si>
    <t>Книги</t>
  </si>
  <si>
    <t>Биттер</t>
  </si>
  <si>
    <t>Костюмы рабочие</t>
  </si>
  <si>
    <t>Ключи шестигранные</t>
  </si>
  <si>
    <t>Бомбильи</t>
  </si>
  <si>
    <t>Мультистайлеры</t>
  </si>
  <si>
    <t>Органайзеры для вышивки</t>
  </si>
  <si>
    <t>Измерители спортивные</t>
  </si>
  <si>
    <t>Щупы магнитные</t>
  </si>
  <si>
    <t>Зарядные станции для электромобилей</t>
  </si>
  <si>
    <t>Мелки для волос</t>
  </si>
  <si>
    <t>Пемзы</t>
  </si>
  <si>
    <t>Таблички и наклейки информационные</t>
  </si>
  <si>
    <t>Ювелирные шнурки</t>
  </si>
  <si>
    <t>Фильтрующие насосы для бассейнов</t>
  </si>
  <si>
    <t>Жиросжигатели</t>
  </si>
  <si>
    <t>Генераторы водородной воды</t>
  </si>
  <si>
    <t>Фены для животных</t>
  </si>
  <si>
    <t>Скворечники</t>
  </si>
  <si>
    <t>Шингарты</t>
  </si>
  <si>
    <t>Бутылочки для животных</t>
  </si>
  <si>
    <t>Шарики для сухих бассейнов</t>
  </si>
  <si>
    <t>Центральные консоли</t>
  </si>
  <si>
    <t>Гипс строительный</t>
  </si>
  <si>
    <t>Столбы для забора</t>
  </si>
  <si>
    <t>Книжки-игрушки для малышей</t>
  </si>
  <si>
    <t>Булавы</t>
  </si>
  <si>
    <t>Направляющие клапана</t>
  </si>
  <si>
    <t>Фотосетки для декора</t>
  </si>
  <si>
    <t>Страхование</t>
  </si>
  <si>
    <t>Страхование здоровья</t>
  </si>
  <si>
    <t>Бальзамы для животных</t>
  </si>
  <si>
    <t>Рожь</t>
  </si>
  <si>
    <t>Кормушки садовые</t>
  </si>
  <si>
    <t>Рекуператоры</t>
  </si>
  <si>
    <t>Куканы рыболовные</t>
  </si>
  <si>
    <t>Перцовые баллончики</t>
  </si>
  <si>
    <t>Матрасы для садовых качелей</t>
  </si>
  <si>
    <t>Крендельки</t>
  </si>
  <si>
    <t>Замороженные супы</t>
  </si>
  <si>
    <t>Запчасти для краскопультов</t>
  </si>
  <si>
    <t>Мешочки подарочные</t>
  </si>
  <si>
    <t>Джерси</t>
  </si>
  <si>
    <t>Крепления для велокомпьютеров</t>
  </si>
  <si>
    <t>Прыгуны</t>
  </si>
  <si>
    <t>Кресла плетеные</t>
  </si>
  <si>
    <t>Покрытия для унитаза</t>
  </si>
  <si>
    <t>Ножки для ванн</t>
  </si>
  <si>
    <t>Молокоотсосы механические</t>
  </si>
  <si>
    <t>Сухие напитки</t>
  </si>
  <si>
    <t>Основы для вышивания</t>
  </si>
  <si>
    <t>Термометры для воды</t>
  </si>
  <si>
    <t>Гидрогель для растений</t>
  </si>
  <si>
    <t>Электровелосипеды</t>
  </si>
  <si>
    <t>Основы под лаки</t>
  </si>
  <si>
    <t>Подушечки для смачивания пальцев</t>
  </si>
  <si>
    <t>Субстраты</t>
  </si>
  <si>
    <t>Трико атлетическое</t>
  </si>
  <si>
    <t>Чаши для мультиварок</t>
  </si>
  <si>
    <t>Матрасы противопролежневые</t>
  </si>
  <si>
    <t>Мешочки для хранения</t>
  </si>
  <si>
    <t>Визоры</t>
  </si>
  <si>
    <t>Сумки для фотоаппаратов</t>
  </si>
  <si>
    <t>Пробки лыжные</t>
  </si>
  <si>
    <t>Точилки</t>
  </si>
  <si>
    <t>Конфеты 18+</t>
  </si>
  <si>
    <t>Лампы автомобильные</t>
  </si>
  <si>
    <t>Чехлы для автомобильных колес</t>
  </si>
  <si>
    <t>Подставки для варки на пару</t>
  </si>
  <si>
    <t>Обложки для книг</t>
  </si>
  <si>
    <t>Чаши для костра</t>
  </si>
  <si>
    <t>Переноски для животных</t>
  </si>
  <si>
    <t>Шроты</t>
  </si>
  <si>
    <t>Сухарики</t>
  </si>
  <si>
    <t>Детские гели для десен</t>
  </si>
  <si>
    <t>Бланки</t>
  </si>
  <si>
    <t>Праймеры битумные</t>
  </si>
  <si>
    <t>Педали автомобильные</t>
  </si>
  <si>
    <t>Листовые пластики</t>
  </si>
  <si>
    <t>Кредитницы</t>
  </si>
  <si>
    <t>Маски для сварщиков</t>
  </si>
  <si>
    <t>Спринцовки для животных</t>
  </si>
  <si>
    <t>Амбушюры</t>
  </si>
  <si>
    <t>Лежаки подкатные</t>
  </si>
  <si>
    <t>Миксеры для строительных смесей</t>
  </si>
  <si>
    <t>Аэрографы</t>
  </si>
  <si>
    <t>Хлопья пшеничные</t>
  </si>
  <si>
    <t>Аппараты магнитотерапии</t>
  </si>
  <si>
    <t>Противогазы</t>
  </si>
  <si>
    <t>Приспособления для интимной косметики</t>
  </si>
  <si>
    <t>Хлебцы протеиновые</t>
  </si>
  <si>
    <t>Установки развала и схождения колёс</t>
  </si>
  <si>
    <t>Напитки для животных</t>
  </si>
  <si>
    <t>Шприцы колбасные</t>
  </si>
  <si>
    <t>Гедза</t>
  </si>
  <si>
    <t>Стеллажи туристические</t>
  </si>
  <si>
    <t>Майки для животных</t>
  </si>
  <si>
    <t>Полки для ванной</t>
  </si>
  <si>
    <t>Молдинги</t>
  </si>
  <si>
    <t>Миксеры механические</t>
  </si>
  <si>
    <t>Муссы</t>
  </si>
  <si>
    <t>Термосы</t>
  </si>
  <si>
    <t>Диваны плетеные</t>
  </si>
  <si>
    <t>Шлемы спортивные</t>
  </si>
  <si>
    <t>Тумбы для прихожей</t>
  </si>
  <si>
    <t>Смеси реставрационные</t>
  </si>
  <si>
    <t>Балки продольные</t>
  </si>
  <si>
    <t>Магниты сувенирные</t>
  </si>
  <si>
    <t>Тумбы прикроватные</t>
  </si>
  <si>
    <t>Лейки детские</t>
  </si>
  <si>
    <t>Инструменты для заточки цепей</t>
  </si>
  <si>
    <t>Насадки для блендеров</t>
  </si>
  <si>
    <t>Теплоизоляция для труб</t>
  </si>
  <si>
    <t>Трусы одноразовые</t>
  </si>
  <si>
    <t>Сахарницы</t>
  </si>
  <si>
    <t>Пропалыватели</t>
  </si>
  <si>
    <t>Небесные фонарики</t>
  </si>
  <si>
    <t>Регуляторы напряжения</t>
  </si>
  <si>
    <t>Доски для пересаживания</t>
  </si>
  <si>
    <t>Компрессы спортивные</t>
  </si>
  <si>
    <t>Держатели для туалетной бумаги</t>
  </si>
  <si>
    <t>Колбаски</t>
  </si>
  <si>
    <t>Аксессуары в коляску</t>
  </si>
  <si>
    <t>Трафареты для макияжа</t>
  </si>
  <si>
    <t>Лапша WOK</t>
  </si>
  <si>
    <t>Кофе в капсулах</t>
  </si>
  <si>
    <t>Самоклеящиеся напольные покрытия</t>
  </si>
  <si>
    <t>Подушки балансировочные</t>
  </si>
  <si>
    <t>Увлажнители для террариума</t>
  </si>
  <si>
    <t>Сидушки туристические</t>
  </si>
  <si>
    <t>Модули кухонные</t>
  </si>
  <si>
    <t>Бокалы</t>
  </si>
  <si>
    <t>Венчальные наборы</t>
  </si>
  <si>
    <t>Снегоуборщики</t>
  </si>
  <si>
    <t>Разветвители прикуривателя</t>
  </si>
  <si>
    <t>Стойки автомобильных крыш</t>
  </si>
  <si>
    <t>Сахарозаменители</t>
  </si>
  <si>
    <t>Очки лазерные</t>
  </si>
  <si>
    <t>Консервы из морепродуктов</t>
  </si>
  <si>
    <t>Ювелирные четки</t>
  </si>
  <si>
    <t>Лимонницы</t>
  </si>
  <si>
    <t>Цикорий</t>
  </si>
  <si>
    <t>Лезвия для канцелярских ножей</t>
  </si>
  <si>
    <t>Газонные травы и сидераты</t>
  </si>
  <si>
    <t>Ягоды сушеные</t>
  </si>
  <si>
    <t>Прокладки масляного поддона</t>
  </si>
  <si>
    <t>Аккумуляторы для квадрокоптеров</t>
  </si>
  <si>
    <t>Пластыри косметические</t>
  </si>
  <si>
    <t>Сетки для бритв</t>
  </si>
  <si>
    <t>Топливопроводы</t>
  </si>
  <si>
    <t>Карандаши механические</t>
  </si>
  <si>
    <t>Шторки автомобильные</t>
  </si>
  <si>
    <t>Изделия от мобильного излучения</t>
  </si>
  <si>
    <t>Витрины</t>
  </si>
  <si>
    <t>Фломастеры</t>
  </si>
  <si>
    <t>Подрамники автомобильные</t>
  </si>
  <si>
    <t>Наборы букв и цифр</t>
  </si>
  <si>
    <t>Платья для малышей</t>
  </si>
  <si>
    <t>Тенты для мотоциклов</t>
  </si>
  <si>
    <t>Водолазки спортивные</t>
  </si>
  <si>
    <t>Муфты на руль</t>
  </si>
  <si>
    <t>Фены технические</t>
  </si>
  <si>
    <t>Снуды для малышей</t>
  </si>
  <si>
    <t>Колодки автомобильные</t>
  </si>
  <si>
    <t>Втулки для лыжероллеров</t>
  </si>
  <si>
    <t>Прокладки крышки распределительного механизма</t>
  </si>
  <si>
    <t>Туалетная вода</t>
  </si>
  <si>
    <t>Выпускные газопроводы</t>
  </si>
  <si>
    <t>Шашлычницы</t>
  </si>
  <si>
    <t>Игровые палатки</t>
  </si>
  <si>
    <t>Стояночные огни</t>
  </si>
  <si>
    <t>Вольеры</t>
  </si>
  <si>
    <t>Термотрусы</t>
  </si>
  <si>
    <t>Рассада и саженцы</t>
  </si>
  <si>
    <t>FM-трансмиттеры</t>
  </si>
  <si>
    <t>Спальные мешки для малышей</t>
  </si>
  <si>
    <t>Ручки для скандинавских палок</t>
  </si>
  <si>
    <t>Держатели для бутылочек</t>
  </si>
  <si>
    <t>Термопакеты</t>
  </si>
  <si>
    <t>Тендерайзеры</t>
  </si>
  <si>
    <t>Банки для йогуртниц</t>
  </si>
  <si>
    <t>Предохранители автомобильные</t>
  </si>
  <si>
    <t>Саше ароматические</t>
  </si>
  <si>
    <t>Квас</t>
  </si>
  <si>
    <t>Щипцы кухонные</t>
  </si>
  <si>
    <t>Крышки для камер</t>
  </si>
  <si>
    <t>Съемники подшипников</t>
  </si>
  <si>
    <t>Уход за зубными протезами</t>
  </si>
  <si>
    <t>Чехлы для телефонов</t>
  </si>
  <si>
    <t>Ходовые части в сборе</t>
  </si>
  <si>
    <t>Пуфы</t>
  </si>
  <si>
    <t>Рассухариватели клапанов</t>
  </si>
  <si>
    <t>Наборы для декорирования десертов</t>
  </si>
  <si>
    <t>Тестеры тормозной жидкости</t>
  </si>
  <si>
    <t>Вазоны</t>
  </si>
  <si>
    <t>Наполнители для рукоделия</t>
  </si>
  <si>
    <t>Бачки автомобильные</t>
  </si>
  <si>
    <t>Ножницы кухонные</t>
  </si>
  <si>
    <t>Эластики для брекетов</t>
  </si>
  <si>
    <t>Сифоны для воды</t>
  </si>
  <si>
    <t>Тросики системы тяг</t>
  </si>
  <si>
    <t>Товары бытового назначения</t>
  </si>
  <si>
    <t>Таймеры электронные</t>
  </si>
  <si>
    <t>Гидроизоляции</t>
  </si>
  <si>
    <t>Накаблучники</t>
  </si>
  <si>
    <t>Решетки на окна</t>
  </si>
  <si>
    <t>Клапаны обратные</t>
  </si>
  <si>
    <t>Гардеробные номерки</t>
  </si>
  <si>
    <t>Умные розетки</t>
  </si>
  <si>
    <t>Крючки вязальные</t>
  </si>
  <si>
    <t>Краски для мебели</t>
  </si>
  <si>
    <t>Детские садовые инструменты</t>
  </si>
  <si>
    <t>Чехлы для обуви</t>
  </si>
  <si>
    <t>Подставки для мобильных устройств</t>
  </si>
  <si>
    <t>Чай детский</t>
  </si>
  <si>
    <t>Машинки для лапши электрические</t>
  </si>
  <si>
    <t>Блески</t>
  </si>
  <si>
    <t>Комплектующие для компрессоров</t>
  </si>
  <si>
    <t>Поводки</t>
  </si>
  <si>
    <t>Держатели заднего переключателя</t>
  </si>
  <si>
    <t>Штанги толкателя</t>
  </si>
  <si>
    <t>Брикеты угольные</t>
  </si>
  <si>
    <t>Винты</t>
  </si>
  <si>
    <t>Смеси для напитков</t>
  </si>
  <si>
    <t>Детекторы валют</t>
  </si>
  <si>
    <t>Стерилизаторы для смартфонов</t>
  </si>
  <si>
    <t>Полки в холодильник</t>
  </si>
  <si>
    <t>Гитары</t>
  </si>
  <si>
    <t>Ленты чековые</t>
  </si>
  <si>
    <t>Подушки для кувырков</t>
  </si>
  <si>
    <t>Дезодоранты для животных</t>
  </si>
  <si>
    <t>Подушки для путешествий</t>
  </si>
  <si>
    <t>Велошорты</t>
  </si>
  <si>
    <t>Контейнеры для пустышек</t>
  </si>
  <si>
    <t>Пояса для похудения</t>
  </si>
  <si>
    <t>Скрепки</t>
  </si>
  <si>
    <t>Контейнеры для линз</t>
  </si>
  <si>
    <t>Форсунки омывателя</t>
  </si>
  <si>
    <t>Бронзеры</t>
  </si>
  <si>
    <t>Закрепители для гель-лака</t>
  </si>
  <si>
    <t>Пончо</t>
  </si>
  <si>
    <t>Пакеты пищевые</t>
  </si>
  <si>
    <t>Торфы</t>
  </si>
  <si>
    <t>Стойки для музыкальных инструментов</t>
  </si>
  <si>
    <t>Компрессионные колготки</t>
  </si>
  <si>
    <t>Шапки-ушанки для малышей</t>
  </si>
  <si>
    <t>Носовые платки</t>
  </si>
  <si>
    <t>Кофты</t>
  </si>
  <si>
    <t>Скреперы снегоуборочные</t>
  </si>
  <si>
    <t>Бумага для оргтехники</t>
  </si>
  <si>
    <t>Шорты эротик</t>
  </si>
  <si>
    <t>Отбеливатели зубов</t>
  </si>
  <si>
    <t>Крем-мед</t>
  </si>
  <si>
    <t>Держатели для медалей</t>
  </si>
  <si>
    <t>Комбоусилители</t>
  </si>
  <si>
    <t>Смазки для велосипеда</t>
  </si>
  <si>
    <t>Ограничители лая</t>
  </si>
  <si>
    <t>Наборы для песочницы</t>
  </si>
  <si>
    <t>Электроквадроциклы</t>
  </si>
  <si>
    <t>Пяткоудерживатели</t>
  </si>
  <si>
    <t>Вакуумные банки</t>
  </si>
  <si>
    <t>Хлысты</t>
  </si>
  <si>
    <t>Велостанки</t>
  </si>
  <si>
    <t>Люля-кебаб</t>
  </si>
  <si>
    <t>Стетоскопы</t>
  </si>
  <si>
    <t>Шкворни поворотного кулака</t>
  </si>
  <si>
    <t>Бирки для новорожденных</t>
  </si>
  <si>
    <t>Грифы</t>
  </si>
  <si>
    <t>Кофеварки гейзерные</t>
  </si>
  <si>
    <t>Маркировочные ленты</t>
  </si>
  <si>
    <t>Кофры для снегоходов</t>
  </si>
  <si>
    <t>Аксессуары для парикмахеров</t>
  </si>
  <si>
    <t>Пакеты для педикюрных ванн</t>
  </si>
  <si>
    <t>Мормышки</t>
  </si>
  <si>
    <t>Уплотнители автомобильные</t>
  </si>
  <si>
    <t>Мольберты</t>
  </si>
  <si>
    <t>Лестницы спортивные</t>
  </si>
  <si>
    <t>Текила</t>
  </si>
  <si>
    <t>Супы быстрого приготовления</t>
  </si>
  <si>
    <t>Амортизаторы под седло</t>
  </si>
  <si>
    <t>Губки для маркерных досок</t>
  </si>
  <si>
    <t>Точилки для бритвенных лезвий</t>
  </si>
  <si>
    <t>Гели</t>
  </si>
  <si>
    <t>Анальные груши</t>
  </si>
  <si>
    <t>Игрушечное оружие</t>
  </si>
  <si>
    <t>Гладилки штукатурные</t>
  </si>
  <si>
    <t>Очистители кузова</t>
  </si>
  <si>
    <t>Клаве</t>
  </si>
  <si>
    <t>Щетки кухонные</t>
  </si>
  <si>
    <t>Колышки для палаток</t>
  </si>
  <si>
    <t>Блоки розжига ксенона</t>
  </si>
  <si>
    <t>Шестерни привода масляных насосов</t>
  </si>
  <si>
    <t>Нектары</t>
  </si>
  <si>
    <t>Подставки кухонные</t>
  </si>
  <si>
    <t>Пояса спасательные</t>
  </si>
  <si>
    <t>Зубочистки</t>
  </si>
  <si>
    <t>Хумус</t>
  </si>
  <si>
    <t>Кресла-мешки</t>
  </si>
  <si>
    <t>Импеллеры для аквариумного фильтра</t>
  </si>
  <si>
    <t>Навигаторы</t>
  </si>
  <si>
    <t>Пасты ягодные</t>
  </si>
  <si>
    <t>Прокладки турбонагнетателя</t>
  </si>
  <si>
    <t>Совочки</t>
  </si>
  <si>
    <t>Весы детские</t>
  </si>
  <si>
    <t>Протяжки для кабеля</t>
  </si>
  <si>
    <t>Линейки строительные</t>
  </si>
  <si>
    <t>Клей для наращивания волос</t>
  </si>
  <si>
    <t>Герметики автомобильные</t>
  </si>
  <si>
    <t>Корсеты эротик</t>
  </si>
  <si>
    <t>Гаражи сборные</t>
  </si>
  <si>
    <t>Компрессионные шорты</t>
  </si>
  <si>
    <t>Очки для ювелирных работ</t>
  </si>
  <si>
    <t>Лабораторные источники питания</t>
  </si>
  <si>
    <t>Плитка фасадная</t>
  </si>
  <si>
    <t>Нити для прошивки документов</t>
  </si>
  <si>
    <t>Кускус</t>
  </si>
  <si>
    <t>Велокуртки</t>
  </si>
  <si>
    <t>Распределители зажигания</t>
  </si>
  <si>
    <t>Ключи зажигания</t>
  </si>
  <si>
    <t>Ванны для груминга</t>
  </si>
  <si>
    <t>Трикотажные изделия</t>
  </si>
  <si>
    <t>Телевизоры</t>
  </si>
  <si>
    <t>Закрепители для ресниц</t>
  </si>
  <si>
    <t>Паяльники для страз</t>
  </si>
  <si>
    <t>Веревки альпинистские</t>
  </si>
  <si>
    <t>Сундучки для рукоделия</t>
  </si>
  <si>
    <t>Роботы-стеклоочистители</t>
  </si>
  <si>
    <t>Мишени</t>
  </si>
  <si>
    <t>Диски с играми</t>
  </si>
  <si>
    <t>Приборы ночного видения</t>
  </si>
  <si>
    <t>Термометры для животных</t>
  </si>
  <si>
    <t>Костюмы для малышей</t>
  </si>
  <si>
    <t>Пишмание</t>
  </si>
  <si>
    <t>Чехлы для радиостанций</t>
  </si>
  <si>
    <t>Брошюровщики</t>
  </si>
  <si>
    <t>Чехлы-бамперы для телефонов</t>
  </si>
  <si>
    <t>Таймеры для аквариума</t>
  </si>
  <si>
    <t>Петли тренировочные</t>
  </si>
  <si>
    <t>Блюда</t>
  </si>
  <si>
    <t>Генераторы снега</t>
  </si>
  <si>
    <t>Щитки маслоразбрызгивающие</t>
  </si>
  <si>
    <t>Тренажеры гребные</t>
  </si>
  <si>
    <t>Кассеты для бритв</t>
  </si>
  <si>
    <t>Полотна для беговых дорожек</t>
  </si>
  <si>
    <t>Наборы для выжигания</t>
  </si>
  <si>
    <t>Сушилки для одежды электрические</t>
  </si>
  <si>
    <t>Полотенца одноразовые</t>
  </si>
  <si>
    <t>Пэды спортивные</t>
  </si>
  <si>
    <t>Автомобильные ароматизаторы</t>
  </si>
  <si>
    <t>Подушки эротик</t>
  </si>
  <si>
    <t>Труборезы ручные</t>
  </si>
  <si>
    <t>Соя</t>
  </si>
  <si>
    <t>Прилавки торговые</t>
  </si>
  <si>
    <t>Украшения для обуви</t>
  </si>
  <si>
    <t>Кляймеры</t>
  </si>
  <si>
    <t>Фиксаторы спортивного инвентаря</t>
  </si>
  <si>
    <t>Бутылки</t>
  </si>
  <si>
    <t>Панели стеновые</t>
  </si>
  <si>
    <t>Смеси диетические детские</t>
  </si>
  <si>
    <t>Воздуходувки</t>
  </si>
  <si>
    <t>Чехлы для брелоков автомобильной сигнализации</t>
  </si>
  <si>
    <t>Трекеры активности</t>
  </si>
  <si>
    <t>Прессы для бургеров</t>
  </si>
  <si>
    <t>Чаши для кальянов</t>
  </si>
  <si>
    <t>Радар-детекторы</t>
  </si>
  <si>
    <t>Диспенсеры для покрытий на унитаз</t>
  </si>
  <si>
    <t>Очки против мигрени</t>
  </si>
  <si>
    <t>Комплекты переоборудования сцепления</t>
  </si>
  <si>
    <t>Дуршлаги</t>
  </si>
  <si>
    <t>Торшеры напольные</t>
  </si>
  <si>
    <t>Ванночки для лежачих больных</t>
  </si>
  <si>
    <t>Вешалки для спортивной формы</t>
  </si>
  <si>
    <t>Садху-доски</t>
  </si>
  <si>
    <t>Форсунки топливные</t>
  </si>
  <si>
    <t>Пиротехника</t>
  </si>
  <si>
    <t>Жидкие латки</t>
  </si>
  <si>
    <t>Качели садовые</t>
  </si>
  <si>
    <t>Сани-волокуши</t>
  </si>
  <si>
    <t>Секундомеры</t>
  </si>
  <si>
    <t>Шорты послеоперационные</t>
  </si>
  <si>
    <t>Бургеры</t>
  </si>
  <si>
    <t>Удилища</t>
  </si>
  <si>
    <t>Аксессуары для пазлов</t>
  </si>
  <si>
    <t>Валики спортивные</t>
  </si>
  <si>
    <t>Обогреватели</t>
  </si>
  <si>
    <t>Рога на руль</t>
  </si>
  <si>
    <t>Гидролинии велосипедные</t>
  </si>
  <si>
    <t>Хлопья картофельные</t>
  </si>
  <si>
    <t>Бумага художественная</t>
  </si>
  <si>
    <t>Открывалки</t>
  </si>
  <si>
    <t>Полок для бани</t>
  </si>
  <si>
    <t>Формочки кулинарные</t>
  </si>
  <si>
    <t>Панели приборов</t>
  </si>
  <si>
    <t>Прищепки</t>
  </si>
  <si>
    <t>Переноски для продуктов</t>
  </si>
  <si>
    <t>Ползунки</t>
  </si>
  <si>
    <t>Громкоговорители</t>
  </si>
  <si>
    <t>Колеса для велосипедов</t>
  </si>
  <si>
    <t>Спреи назальные</t>
  </si>
  <si>
    <t>Еда искусственная</t>
  </si>
  <si>
    <t>Яйцеварки</t>
  </si>
  <si>
    <t>Струны для ракеток</t>
  </si>
  <si>
    <t>Микрометры</t>
  </si>
  <si>
    <t>Аксессуары для геймпадов</t>
  </si>
  <si>
    <t>Гамаки для животных</t>
  </si>
  <si>
    <t>Дровницы</t>
  </si>
  <si>
    <t>Подводка для воды</t>
  </si>
  <si>
    <t>Накатки для лыж</t>
  </si>
  <si>
    <t>Шубы искусственные</t>
  </si>
  <si>
    <t>Мешки для пылесосов</t>
  </si>
  <si>
    <t>Корректоры осанки</t>
  </si>
  <si>
    <t>Колокольчики</t>
  </si>
  <si>
    <t>Инструменты медицинские для животных</t>
  </si>
  <si>
    <t>Асфальт холодный</t>
  </si>
  <si>
    <t>Лыжи водные</t>
  </si>
  <si>
    <t>Рушники</t>
  </si>
  <si>
    <t>Веера</t>
  </si>
  <si>
    <t>Регуляторы рулевой колонки</t>
  </si>
  <si>
    <t>Манжеты для пульсометров</t>
  </si>
  <si>
    <t>Наборы для пикника</t>
  </si>
  <si>
    <t>Автомобили с пробегом</t>
  </si>
  <si>
    <t>Порты для зарядки</t>
  </si>
  <si>
    <t>Светильники переносные</t>
  </si>
  <si>
    <t>Чехлы на коньки</t>
  </si>
  <si>
    <t>Средства для снятия макияжа</t>
  </si>
  <si>
    <t>Густое мыло</t>
  </si>
  <si>
    <t>Коляски для кукол</t>
  </si>
  <si>
    <t>Пленки для парников и теплиц</t>
  </si>
  <si>
    <t>Гольфы эротик</t>
  </si>
  <si>
    <t>Аэраторы для вин</t>
  </si>
  <si>
    <t>Кофеварки</t>
  </si>
  <si>
    <t>Столы плетеные</t>
  </si>
  <si>
    <t>Магниты для велокомпьютеров</t>
  </si>
  <si>
    <t>Нейроскакалки</t>
  </si>
  <si>
    <t>Вязальные машины</t>
  </si>
  <si>
    <t>Оттеночные бальзамы</t>
  </si>
  <si>
    <t>Маячки проблесковые</t>
  </si>
  <si>
    <t>Недоуздки</t>
  </si>
  <si>
    <t>Пилки для ногтей</t>
  </si>
  <si>
    <t>Степки</t>
  </si>
  <si>
    <t>Шейкеры спортивные</t>
  </si>
  <si>
    <t>Овощерезки ручные</t>
  </si>
  <si>
    <t>Воски для волос</t>
  </si>
  <si>
    <t>Конверторы для автомагнитол</t>
  </si>
  <si>
    <t>Сумки рыболовные</t>
  </si>
  <si>
    <t>Заменители грудного молока</t>
  </si>
  <si>
    <t>Жидкости для электронных сигарет</t>
  </si>
  <si>
    <t>Фонари автомобильные</t>
  </si>
  <si>
    <t>Фоны для аквариума</t>
  </si>
  <si>
    <t>Шифтеры велосипедные</t>
  </si>
  <si>
    <t>Трубопроводы тормозной системы</t>
  </si>
  <si>
    <t>Шляпы</t>
  </si>
  <si>
    <t>Портфели</t>
  </si>
  <si>
    <t>Шкафы-купе</t>
  </si>
  <si>
    <t>Адаптеры для тормозной системы</t>
  </si>
  <si>
    <t>Настольные игры эротик</t>
  </si>
  <si>
    <t>Крепления и каркасы для садовых качелей</t>
  </si>
  <si>
    <t>Салатники</t>
  </si>
  <si>
    <t>Компасы</t>
  </si>
  <si>
    <t>Механизмы для часов</t>
  </si>
  <si>
    <t>Заборчики садовые</t>
  </si>
  <si>
    <t>Рубашки велосипедные</t>
  </si>
  <si>
    <t>Дубленки для малышей</t>
  </si>
  <si>
    <t>Соединители вентканалов</t>
  </si>
  <si>
    <t>Магнитолы</t>
  </si>
  <si>
    <t>Резчики швов</t>
  </si>
  <si>
    <t>Сноускейты</t>
  </si>
  <si>
    <t>Видеоувеличители</t>
  </si>
  <si>
    <t>Катушки зажигания</t>
  </si>
  <si>
    <t>Лапки для швейных машин</t>
  </si>
  <si>
    <t>Углы деревянные</t>
  </si>
  <si>
    <t>Халаты домашние для малышей</t>
  </si>
  <si>
    <t>Снежные шары</t>
  </si>
  <si>
    <t>Хлопья чечевичные</t>
  </si>
  <si>
    <t>Палки тренерские</t>
  </si>
  <si>
    <t>Подушки для растяжки</t>
  </si>
  <si>
    <t>Трубы</t>
  </si>
  <si>
    <t>Сувенирные ложки</t>
  </si>
  <si>
    <t>Полкодержатели</t>
  </si>
  <si>
    <t>Флягодержатели</t>
  </si>
  <si>
    <t>Ножи для фигурной резки</t>
  </si>
  <si>
    <t>Маски одноразовые</t>
  </si>
  <si>
    <t>Урны для праха</t>
  </si>
  <si>
    <t>Тенты универсальные</t>
  </si>
  <si>
    <t>Банданы</t>
  </si>
  <si>
    <t>Сидр</t>
  </si>
  <si>
    <t>Подставки для утюгов</t>
  </si>
  <si>
    <t>Комплектующие для душевых кабин</t>
  </si>
  <si>
    <t>Банковские резинки</t>
  </si>
  <si>
    <t>Аппликаторы Кузнецова</t>
  </si>
  <si>
    <t>Стекловолокно для наращивания ногтей</t>
  </si>
  <si>
    <t>Крестильные платья для малышей</t>
  </si>
  <si>
    <t>Аэраторы и скарификаторы газонные</t>
  </si>
  <si>
    <t>Подогреватели дизельного топлива</t>
  </si>
  <si>
    <t>Чулки эротик</t>
  </si>
  <si>
    <t>Чумбуры</t>
  </si>
  <si>
    <t>Зефир</t>
  </si>
  <si>
    <t>Тепловые пушки</t>
  </si>
  <si>
    <t>Шланги для кальянов</t>
  </si>
  <si>
    <t>Герметики</t>
  </si>
  <si>
    <t>Блоки с вытяжной лентой</t>
  </si>
  <si>
    <t>Дозиметры</t>
  </si>
  <si>
    <t>Брудеры</t>
  </si>
  <si>
    <t>Тесты воды и напитков</t>
  </si>
  <si>
    <t>Рукава послеоперационные</t>
  </si>
  <si>
    <t>Виброгасители автомобильные</t>
  </si>
  <si>
    <t>Секс качели</t>
  </si>
  <si>
    <t>Краны шаровые</t>
  </si>
  <si>
    <t>Пуанты</t>
  </si>
  <si>
    <t>Паштетницы</t>
  </si>
  <si>
    <t>Ситечки для заваривания</t>
  </si>
  <si>
    <t>Корпуса для гироскутеров</t>
  </si>
  <si>
    <t>Запчасти для катушек</t>
  </si>
  <si>
    <t>Поддоны для душа</t>
  </si>
  <si>
    <t>Косметика для мебели</t>
  </si>
  <si>
    <t>Отпугиватели и ловушки садовые</t>
  </si>
  <si>
    <t>Аквадиски</t>
  </si>
  <si>
    <t>Вкладыши нижней головки шатуна</t>
  </si>
  <si>
    <t>Ножницы для рукоделия</t>
  </si>
  <si>
    <t>Очистители фар</t>
  </si>
  <si>
    <t>Футляры для тампонов и прокладок</t>
  </si>
  <si>
    <t>Комплекты цепи привода распредвала</t>
  </si>
  <si>
    <t>Рычаги для мототехники</t>
  </si>
  <si>
    <t>Сумки хозяйственные</t>
  </si>
  <si>
    <t>Ароматизаторы пищевые</t>
  </si>
  <si>
    <t>Станки для педикюра</t>
  </si>
  <si>
    <t>Саморезы по дереву</t>
  </si>
  <si>
    <t>Ремни ГРМ</t>
  </si>
  <si>
    <t>Профили маячковые</t>
  </si>
  <si>
    <t>Конусы спортивные</t>
  </si>
  <si>
    <t>Подставки для сигар</t>
  </si>
  <si>
    <t>Диапроекторы</t>
  </si>
  <si>
    <t>Муравьиные фермы</t>
  </si>
  <si>
    <t>Амортизаторы задние</t>
  </si>
  <si>
    <t>Офтальмоскопы ручные</t>
  </si>
  <si>
    <t>Насосы автомобильные</t>
  </si>
  <si>
    <t>Кресла игровые</t>
  </si>
  <si>
    <t>Бутылочки для кормления</t>
  </si>
  <si>
    <t>Бандажи для животных</t>
  </si>
  <si>
    <t>Носители для электронных подписей</t>
  </si>
  <si>
    <t>3D очки</t>
  </si>
  <si>
    <t>Маски медицинские</t>
  </si>
  <si>
    <t>Халаты домашние</t>
  </si>
  <si>
    <t>Каны рыболовные</t>
  </si>
  <si>
    <t>Мотопомпы</t>
  </si>
  <si>
    <t>Схемы проводки кабеля автомобильные</t>
  </si>
  <si>
    <t>Распашонки</t>
  </si>
  <si>
    <t>Гвозди для инструмента</t>
  </si>
  <si>
    <t>Амортизаторы кузовные</t>
  </si>
  <si>
    <t>Топперы декоративные</t>
  </si>
  <si>
    <t>Валы коленчатые</t>
  </si>
  <si>
    <t>Коронки</t>
  </si>
  <si>
    <t>Концентраты чайного гриба</t>
  </si>
  <si>
    <t>Средства для химической завивки</t>
  </si>
  <si>
    <t>Турки электрические</t>
  </si>
  <si>
    <t>Спреи для обуви</t>
  </si>
  <si>
    <t>Спирографы</t>
  </si>
  <si>
    <t>Спуджеры</t>
  </si>
  <si>
    <t>Шины для животных</t>
  </si>
  <si>
    <t>Коммутаторы</t>
  </si>
  <si>
    <t>Гильзы цилиндра</t>
  </si>
  <si>
    <t>Подставки для специй</t>
  </si>
  <si>
    <t>Инструменты для кручения болтов</t>
  </si>
  <si>
    <t>GPS-трекеры</t>
  </si>
  <si>
    <t>Штопоры</t>
  </si>
  <si>
    <t>Брелоки</t>
  </si>
  <si>
    <t>Снег декоративный</t>
  </si>
  <si>
    <t>Укрывные материалы</t>
  </si>
  <si>
    <t>Столы туристические</t>
  </si>
  <si>
    <t>Мясо растительное</t>
  </si>
  <si>
    <t>Диффузоры для кальяна</t>
  </si>
  <si>
    <t>Выколотки</t>
  </si>
  <si>
    <t>Насадки для стрижки животных</t>
  </si>
  <si>
    <t>Декоративные полотна</t>
  </si>
  <si>
    <t>Переходники для плиты</t>
  </si>
  <si>
    <t>Спальники туристические</t>
  </si>
  <si>
    <t>Обувь ортопедическая</t>
  </si>
  <si>
    <t>Диспенсеры для монтажных лент</t>
  </si>
  <si>
    <t>Готовальня</t>
  </si>
  <si>
    <t>Сухое горючее</t>
  </si>
  <si>
    <t>Панели для мультипекаря</t>
  </si>
  <si>
    <t>Штрипки для брюк</t>
  </si>
  <si>
    <t>Подсветки для рулеток</t>
  </si>
  <si>
    <t>Шорты для малышей</t>
  </si>
  <si>
    <t>Аппликаторы</t>
  </si>
  <si>
    <t>Костюмы купальные</t>
  </si>
  <si>
    <t>Диски тормозные для мототехники</t>
  </si>
  <si>
    <t>Джембе</t>
  </si>
  <si>
    <t>Попкорн</t>
  </si>
  <si>
    <t>Цепи натяжители</t>
  </si>
  <si>
    <t>Свитеры для животных</t>
  </si>
  <si>
    <t>Лыжи беговые</t>
  </si>
  <si>
    <t>Оси для щеток</t>
  </si>
  <si>
    <t>Гримы</t>
  </si>
  <si>
    <t>Блоки управления</t>
  </si>
  <si>
    <t>Ластики для обуви</t>
  </si>
  <si>
    <t>Болты для шлемов</t>
  </si>
  <si>
    <t>Мука</t>
  </si>
  <si>
    <t>Усилители мобильного сигнала</t>
  </si>
  <si>
    <t>Гироскутеры</t>
  </si>
  <si>
    <t>Китайские палочки для волос</t>
  </si>
  <si>
    <t>Наколенники садовые</t>
  </si>
  <si>
    <t>Полки для клеток</t>
  </si>
  <si>
    <t>Пульты для дрессировки</t>
  </si>
  <si>
    <t>Щупы измерительные</t>
  </si>
  <si>
    <t>Хлопья пшенные</t>
  </si>
  <si>
    <t>Аксессуары для конкурсов</t>
  </si>
  <si>
    <t>Подшлемники спортивные</t>
  </si>
  <si>
    <t>Сумки для шайб</t>
  </si>
  <si>
    <t>Репитеры видеосигнала</t>
  </si>
  <si>
    <t>Пепельницы автомобильные</t>
  </si>
  <si>
    <t>Клапаны для аквариумных компрессоров</t>
  </si>
  <si>
    <t>Кожа для рукоделия</t>
  </si>
  <si>
    <t>Резаки для пенопласта</t>
  </si>
  <si>
    <t>Цифровые ручки</t>
  </si>
  <si>
    <t>Трапеции стеклоочистителя</t>
  </si>
  <si>
    <t>Замороженные вторые блюда</t>
  </si>
  <si>
    <t>Губки меламиновые</t>
  </si>
  <si>
    <t>Датчики скорости велосипедные</t>
  </si>
  <si>
    <t>Беспламенные нагреватели пищи</t>
  </si>
  <si>
    <t>Прокладки автомобильные</t>
  </si>
  <si>
    <t>Эспандеры</t>
  </si>
  <si>
    <t>Промывки масляной системы</t>
  </si>
  <si>
    <t>Контрольные блоки свечей накаливания</t>
  </si>
  <si>
    <t>Каподастры</t>
  </si>
  <si>
    <t>Карнавальные парики</t>
  </si>
  <si>
    <t>Зевники</t>
  </si>
  <si>
    <t>Световозвращатели спортивные</t>
  </si>
  <si>
    <t>Праймеры для ресниц</t>
  </si>
  <si>
    <t>Коллекторы автомобильные</t>
  </si>
  <si>
    <t>Трости</t>
  </si>
  <si>
    <t>Разрыхлители</t>
  </si>
  <si>
    <t>Дождевики для животных</t>
  </si>
  <si>
    <t>Опорные стойки для прицепов</t>
  </si>
  <si>
    <t>Ручки для лыжных палок</t>
  </si>
  <si>
    <t>Бюстгальтеры</t>
  </si>
  <si>
    <t>Чехлы с держателем для телефонов</t>
  </si>
  <si>
    <t>Ролики для пресса</t>
  </si>
  <si>
    <t>Дренажи</t>
  </si>
  <si>
    <t>Чечевица</t>
  </si>
  <si>
    <t>Фильтры для микроскопов</t>
  </si>
  <si>
    <t>Ловцы снов</t>
  </si>
  <si>
    <t>Капучинаторы</t>
  </si>
  <si>
    <t>Кейпы</t>
  </si>
  <si>
    <t>Сушки для овощей</t>
  </si>
  <si>
    <t>Напитки сокосодержащие детские</t>
  </si>
  <si>
    <t>Подушки апперкотные</t>
  </si>
  <si>
    <t>Духи</t>
  </si>
  <si>
    <t>Редукторы давления</t>
  </si>
  <si>
    <t>Стримеры видеосигнала</t>
  </si>
  <si>
    <t>Мячи спортивные</t>
  </si>
  <si>
    <t>Фильтры для слива</t>
  </si>
  <si>
    <t>Тележки для гидроциклов</t>
  </si>
  <si>
    <t>Конвекторы</t>
  </si>
  <si>
    <t>Сошки рулевого управления</t>
  </si>
  <si>
    <t>Держатели и штанги для душа</t>
  </si>
  <si>
    <t>Растворы солевые</t>
  </si>
  <si>
    <t>Корпусы под газовые счетчики</t>
  </si>
  <si>
    <t>Столовое серебро</t>
  </si>
  <si>
    <t>Прокладки от пота</t>
  </si>
  <si>
    <t>Видеоняни</t>
  </si>
  <si>
    <t>Хлопья рисовые</t>
  </si>
  <si>
    <t>Концентраты для напитков</t>
  </si>
  <si>
    <t>Машинки для стрижки волос</t>
  </si>
  <si>
    <t>Статуэтки</t>
  </si>
  <si>
    <t>Кисти художественные</t>
  </si>
  <si>
    <t>Аксессуары для электрогрилей</t>
  </si>
  <si>
    <t>Смартфоны и гаджеты</t>
  </si>
  <si>
    <t>Восстановленные смартфоны</t>
  </si>
  <si>
    <t>Балки надрамника</t>
  </si>
  <si>
    <t>Цоколи мебельные</t>
  </si>
  <si>
    <t>Защита для гироскутеров</t>
  </si>
  <si>
    <t>Клумбы садовые</t>
  </si>
  <si>
    <t>Кабины автомобильные</t>
  </si>
  <si>
    <t>Коврики под компьютерное кресло</t>
  </si>
  <si>
    <t>Колеса Вартенберга</t>
  </si>
  <si>
    <t>Лосьоны для кожи салона</t>
  </si>
  <si>
    <t>Средства для очистки воды</t>
  </si>
  <si>
    <t>Фильтры рулевого управления</t>
  </si>
  <si>
    <t>Игрушечные инструменты</t>
  </si>
  <si>
    <t>Энергосберегатели</t>
  </si>
  <si>
    <t>Микшеры</t>
  </si>
  <si>
    <t>Столы-книжки</t>
  </si>
  <si>
    <t>Спинки для санок</t>
  </si>
  <si>
    <t>Растения для аквариума</t>
  </si>
  <si>
    <t>Венки ритуальные</t>
  </si>
  <si>
    <t>Сабвуферы автомобильные</t>
  </si>
  <si>
    <t>Одежда для кукол</t>
  </si>
  <si>
    <t>Джемы</t>
  </si>
  <si>
    <t>Датчики дорожного просвета</t>
  </si>
  <si>
    <t>Эмали для автомобиля</t>
  </si>
  <si>
    <t>Коробки раздаточные</t>
  </si>
  <si>
    <t>Салфетки для полировки</t>
  </si>
  <si>
    <t>Ковровые дорожки</t>
  </si>
  <si>
    <t>Насадки на дрель</t>
  </si>
  <si>
    <t>Повязки на рану</t>
  </si>
  <si>
    <t>Заменители сухого молока</t>
  </si>
  <si>
    <t>Брюки медицинские</t>
  </si>
  <si>
    <t>Пломбы-наклейки</t>
  </si>
  <si>
    <t>Раковины</t>
  </si>
  <si>
    <t>Майки послеоперационные</t>
  </si>
  <si>
    <t>Песок для песочниц</t>
  </si>
  <si>
    <t>Чебуреки</t>
  </si>
  <si>
    <t>Капри</t>
  </si>
  <si>
    <t>Суши</t>
  </si>
  <si>
    <t>Калиперы тормозные</t>
  </si>
  <si>
    <t>Перловка</t>
  </si>
  <si>
    <t>Кресла-кровати</t>
  </si>
  <si>
    <t>Хвостики для шлема</t>
  </si>
  <si>
    <t>Обеденные группы</t>
  </si>
  <si>
    <t>Полотна для сабельных пил</t>
  </si>
  <si>
    <t>Устройства коррекции сна</t>
  </si>
  <si>
    <t>Захваты рыболовные</t>
  </si>
  <si>
    <t>Сейфы</t>
  </si>
  <si>
    <t>Хлебные палочки</t>
  </si>
  <si>
    <t>Пыльца цветочная</t>
  </si>
  <si>
    <t>Люминофор для творчества</t>
  </si>
  <si>
    <t>Узвар</t>
  </si>
  <si>
    <t>Зеркала наблюдения за детьми</t>
  </si>
  <si>
    <t>Флагштоки</t>
  </si>
  <si>
    <t>Баки для систем фильтрации воды</t>
  </si>
  <si>
    <t>Картриджи для отпаривателей</t>
  </si>
  <si>
    <t>Трубки трахеостомические</t>
  </si>
  <si>
    <t>Ледобуры</t>
  </si>
  <si>
    <t>Подушки для кормления</t>
  </si>
  <si>
    <t>Шатуны велосипедные</t>
  </si>
  <si>
    <t>Погодные станции</t>
  </si>
  <si>
    <t>Фумигаторы</t>
  </si>
  <si>
    <t>Термометры медицинские</t>
  </si>
  <si>
    <t>Стартеры электрические</t>
  </si>
  <si>
    <t>Проекты домов</t>
  </si>
  <si>
    <t>Лаки строительные</t>
  </si>
  <si>
    <t>Наволочки для малышей</t>
  </si>
  <si>
    <t>Розетки для фаркопов</t>
  </si>
  <si>
    <t>Лапша быстрого приготовления</t>
  </si>
  <si>
    <t>Свитшоты для малышей</t>
  </si>
  <si>
    <t>Настольные игры для детей</t>
  </si>
  <si>
    <t>Пасты для животных</t>
  </si>
  <si>
    <t>Ленты малярные</t>
  </si>
  <si>
    <t>Накидки для малышей</t>
  </si>
  <si>
    <t>Краги конные</t>
  </si>
  <si>
    <t>Парки для малышей</t>
  </si>
  <si>
    <t>Тяги соединительные</t>
  </si>
  <si>
    <t>Стопорные механизмы</t>
  </si>
  <si>
    <t>Лестницы реабилитационные</t>
  </si>
  <si>
    <t>Переключатели видеосигнала</t>
  </si>
  <si>
    <t>Тюль</t>
  </si>
  <si>
    <t>Юбки спортивные</t>
  </si>
  <si>
    <t>Защита паха</t>
  </si>
  <si>
    <t>Карнизы для ванной</t>
  </si>
  <si>
    <t>Маски для лошадей</t>
  </si>
  <si>
    <t>Провода масляного радиатора</t>
  </si>
  <si>
    <t>Кубки подарочные</t>
  </si>
  <si>
    <t>Фотоаппараты детские</t>
  </si>
  <si>
    <t>Защита груди женская</t>
  </si>
  <si>
    <t>Автоматика для ворот</t>
  </si>
  <si>
    <t>Плунжеры кондитерские</t>
  </si>
  <si>
    <t>Карнавальные костюмы для малышей</t>
  </si>
  <si>
    <t>Массажеры механические</t>
  </si>
  <si>
    <t>Трубки для питьевой системы</t>
  </si>
  <si>
    <t>Помпы для аквариума</t>
  </si>
  <si>
    <t>Запчасти для газовой колонки</t>
  </si>
  <si>
    <t>Дуги безопасности</t>
  </si>
  <si>
    <t>Розетки силовые</t>
  </si>
  <si>
    <t>Фрески для росписи</t>
  </si>
  <si>
    <t>Пиво безалкогольное</t>
  </si>
  <si>
    <t>Боди для малышей</t>
  </si>
  <si>
    <t>Мел бильярдный</t>
  </si>
  <si>
    <t>Элементы катушек зажигания</t>
  </si>
  <si>
    <t>Сумки строительные</t>
  </si>
  <si>
    <t>Бинты эластичные медицинские</t>
  </si>
  <si>
    <t>Защита бампера</t>
  </si>
  <si>
    <t>Пасты художественные</t>
  </si>
  <si>
    <t>Регуляторы нагнетаемого воздуха</t>
  </si>
  <si>
    <t>Сода пищевая</t>
  </si>
  <si>
    <t>Хлопья кукурузные</t>
  </si>
  <si>
    <t>Жиры пищевые</t>
  </si>
  <si>
    <t>Нашлемники</t>
  </si>
  <si>
    <t>Крепления для автомобильных колес</t>
  </si>
  <si>
    <t>Реставрационные материалы</t>
  </si>
  <si>
    <t>Носки косметические</t>
  </si>
  <si>
    <t>Обода велосипедные</t>
  </si>
  <si>
    <t>Костюмы спортивные</t>
  </si>
  <si>
    <t>Фотобарабаны</t>
  </si>
  <si>
    <t>Оружие сувенирное</t>
  </si>
  <si>
    <t>Сигвеи</t>
  </si>
  <si>
    <t>Фильтры сажевые</t>
  </si>
  <si>
    <t>Кальсоны для малышей</t>
  </si>
  <si>
    <t>Пончики</t>
  </si>
  <si>
    <t>Прессы для бутылок</t>
  </si>
  <si>
    <t>Подкладки для сумок</t>
  </si>
  <si>
    <t>Корды для лошади</t>
  </si>
  <si>
    <t>Коконы для новорожденных</t>
  </si>
  <si>
    <t>Салфетки для оптики</t>
  </si>
  <si>
    <t>Кремы для обуви</t>
  </si>
  <si>
    <t>Сумки для респираторов</t>
  </si>
  <si>
    <t>Кабели греющие</t>
  </si>
  <si>
    <t>Приводы дверей</t>
  </si>
  <si>
    <t>Массажеры косметические</t>
  </si>
  <si>
    <t>Васаберы</t>
  </si>
  <si>
    <t>Порталы для каминов</t>
  </si>
  <si>
    <t>Комплектующие сигнальных ламп</t>
  </si>
  <si>
    <t>Системы жидкостного охлаждения и компоненты</t>
  </si>
  <si>
    <t>Крепления радиатора</t>
  </si>
  <si>
    <t>Бумага миллиметровая</t>
  </si>
  <si>
    <t>Подогреватели детского питания</t>
  </si>
  <si>
    <t>Полустельки</t>
  </si>
  <si>
    <t>Ирригаторы</t>
  </si>
  <si>
    <t>Дальномеры</t>
  </si>
  <si>
    <t>Центральные замки</t>
  </si>
  <si>
    <t>Бачки стеклоочистителя</t>
  </si>
  <si>
    <t>Напильники и надфили</t>
  </si>
  <si>
    <t>Котлы отопления</t>
  </si>
  <si>
    <t>Правовые акты</t>
  </si>
  <si>
    <t>Крышки зубчатого ремня</t>
  </si>
  <si>
    <t>Краски для обуви</t>
  </si>
  <si>
    <t>Медицинские карты</t>
  </si>
  <si>
    <t>Комплектующие для радиаторов</t>
  </si>
  <si>
    <t>Трубы автомобильные</t>
  </si>
  <si>
    <t>Герметики спортивные</t>
  </si>
  <si>
    <t>Пульты дистанционной съемки</t>
  </si>
  <si>
    <t>Ключи свечные</t>
  </si>
  <si>
    <t>Ножницы парикмахерские</t>
  </si>
  <si>
    <t>Слингобусы</t>
  </si>
  <si>
    <t>Аккумуляторы для ТС</t>
  </si>
  <si>
    <t>Подшипники автомобильные</t>
  </si>
  <si>
    <t>Подсветки для пюпитров</t>
  </si>
  <si>
    <t>Щетки стеклоочистителя</t>
  </si>
  <si>
    <t>Бумеранги</t>
  </si>
  <si>
    <t>Суппорты тормозные</t>
  </si>
  <si>
    <t>Фляги велосипедные</t>
  </si>
  <si>
    <t>Ведра для теннисных мячей</t>
  </si>
  <si>
    <t>Хлопья нутовые</t>
  </si>
  <si>
    <t>Формы для плитки</t>
  </si>
  <si>
    <t>Дозаторы для ванной</t>
  </si>
  <si>
    <t>Колючие проволоки</t>
  </si>
  <si>
    <t>Анальные крюки</t>
  </si>
  <si>
    <t>Арматура строительная</t>
  </si>
  <si>
    <t>Теплоувлажнители</t>
  </si>
  <si>
    <t>Получешки</t>
  </si>
  <si>
    <t>Медиаконвертеры</t>
  </si>
  <si>
    <t>Фаллоимитаторы</t>
  </si>
  <si>
    <t>Ложки десертные</t>
  </si>
  <si>
    <t>Уголки металлические</t>
  </si>
  <si>
    <t>Ограничители для книг</t>
  </si>
  <si>
    <t>Парогенераторы</t>
  </si>
  <si>
    <t>Кабельные чулки</t>
  </si>
  <si>
    <t>Комборучки велосипедные</t>
  </si>
  <si>
    <t>Кахоны</t>
  </si>
  <si>
    <t>Хранители паролей</t>
  </si>
  <si>
    <t>Стеллажи детские</t>
  </si>
  <si>
    <t>Перчатки сноубордические</t>
  </si>
  <si>
    <t>Корсеты ортопедические</t>
  </si>
  <si>
    <t>Клатчи</t>
  </si>
  <si>
    <t>Кремы для животных</t>
  </si>
  <si>
    <t>Скамьи спортивные</t>
  </si>
  <si>
    <t>Пуловеры для малышей</t>
  </si>
  <si>
    <t>Светодиодные ленты</t>
  </si>
  <si>
    <t>Спирали для прически</t>
  </si>
  <si>
    <t>Вибраторы</t>
  </si>
  <si>
    <t>Ленты клипсаторные</t>
  </si>
  <si>
    <t>Стикеры от мобильного излучения</t>
  </si>
  <si>
    <t>Воротки</t>
  </si>
  <si>
    <t>Термозащита автомобильная</t>
  </si>
  <si>
    <t>Рашгарды</t>
  </si>
  <si>
    <t>Выключатели электронные</t>
  </si>
  <si>
    <t>Соусы</t>
  </si>
  <si>
    <t>Прессы для чеснока</t>
  </si>
  <si>
    <t>Кресла санитарные</t>
  </si>
  <si>
    <t>Термобумага для фотоаппаратов</t>
  </si>
  <si>
    <t>Мастика битумная</t>
  </si>
  <si>
    <t>Термосумки</t>
  </si>
  <si>
    <t>Лампы переносные автомобильные</t>
  </si>
  <si>
    <t>Сноуборды детские</t>
  </si>
  <si>
    <t>Мундштуки для сигарет</t>
  </si>
  <si>
    <t>Транспондеры</t>
  </si>
  <si>
    <t>Усилители Hi-Fi</t>
  </si>
  <si>
    <t>Гелевые вставки</t>
  </si>
  <si>
    <t>Скрепки для сим-карт</t>
  </si>
  <si>
    <t>Коверлоки</t>
  </si>
  <si>
    <t>Туши</t>
  </si>
  <si>
    <t>Воронки для выпечки</t>
  </si>
  <si>
    <t>Бумага маскировочная</t>
  </si>
  <si>
    <t>Опоры амортизаторов</t>
  </si>
  <si>
    <t>Ароматизаторы эротик</t>
  </si>
  <si>
    <t>Держатели для ванной</t>
  </si>
  <si>
    <t>Куртки для самбо</t>
  </si>
  <si>
    <t>Обручи для барабанов</t>
  </si>
  <si>
    <t>Булавки</t>
  </si>
  <si>
    <t>Котелки</t>
  </si>
  <si>
    <t>Словари</t>
  </si>
  <si>
    <t>Шнуровки</t>
  </si>
  <si>
    <t>Боксы для плавательных масок</t>
  </si>
  <si>
    <t>Дисплеи для планшетов</t>
  </si>
  <si>
    <t>Сетки для мячей</t>
  </si>
  <si>
    <t>Комплекты эротик</t>
  </si>
  <si>
    <t>Самовары электрические</t>
  </si>
  <si>
    <t>Другие аксессуары для телевизоров</t>
  </si>
  <si>
    <t>Бублики для волос</t>
  </si>
  <si>
    <t>Подвески пневматические усиленные</t>
  </si>
  <si>
    <t>Жидкое стекло</t>
  </si>
  <si>
    <t>Рукава для дрессировки</t>
  </si>
  <si>
    <t>Диваны</t>
  </si>
  <si>
    <t>Межпальцевые перегородки</t>
  </si>
  <si>
    <t>Ювелирные серьги</t>
  </si>
  <si>
    <t>Соль для маникюра и педикюра</t>
  </si>
  <si>
    <t>Канекалон</t>
  </si>
  <si>
    <t>Брелоки-локаторы</t>
  </si>
  <si>
    <t>Кремы лечебные для животных</t>
  </si>
  <si>
    <t>Рюмки</t>
  </si>
  <si>
    <t>Хоны для расточки</t>
  </si>
  <si>
    <t>Пэстис эротик</t>
  </si>
  <si>
    <t>Шляпы для малышей</t>
  </si>
  <si>
    <t>Блоки для йоги</t>
  </si>
  <si>
    <t>Консервы овощные</t>
  </si>
  <si>
    <t>Водонагреватели для бассейнов</t>
  </si>
  <si>
    <t>Комплекты шумоизоляции для авто</t>
  </si>
  <si>
    <t>Помазки для бритья</t>
  </si>
  <si>
    <t>Скобы для степлера</t>
  </si>
  <si>
    <t>Манжеты сантехнические</t>
  </si>
  <si>
    <t>Колодки для ободных тормозов</t>
  </si>
  <si>
    <t>Зеркала для спальни</t>
  </si>
  <si>
    <t>Конверты для пеленания</t>
  </si>
  <si>
    <t>Видеорегистраторы автомобильные</t>
  </si>
  <si>
    <t>Пепельницы</t>
  </si>
  <si>
    <t>Генераторы в сборе</t>
  </si>
  <si>
    <t>Накладки защитные автомобильные</t>
  </si>
  <si>
    <t>Электрические ножи</t>
  </si>
  <si>
    <t>Багажники</t>
  </si>
  <si>
    <t>Инверторы автомобильные</t>
  </si>
  <si>
    <t>Скороварки для плиты</t>
  </si>
  <si>
    <t>Кресла детские</t>
  </si>
  <si>
    <t>Чипсы протеиновые</t>
  </si>
  <si>
    <t>Шоколад эротик</t>
  </si>
  <si>
    <t>Декодеры видеосигнала</t>
  </si>
  <si>
    <t>Капри спортивные</t>
  </si>
  <si>
    <t>Терки</t>
  </si>
  <si>
    <t>Плавки для малышей</t>
  </si>
  <si>
    <t>Корзины для белья</t>
  </si>
  <si>
    <t>Подарочные сумки</t>
  </si>
  <si>
    <t>Тональные кремы</t>
  </si>
  <si>
    <t>Сухпайки</t>
  </si>
  <si>
    <t>Наполнители для подарков</t>
  </si>
  <si>
    <t>Пилинг</t>
  </si>
  <si>
    <t>Ремни приводные</t>
  </si>
  <si>
    <t>Мульча</t>
  </si>
  <si>
    <t>Дождевики для обуви</t>
  </si>
  <si>
    <t>Массажеры простаты</t>
  </si>
  <si>
    <t>Варенье</t>
  </si>
  <si>
    <t>Масленки для красок</t>
  </si>
  <si>
    <t>Интеркулеры</t>
  </si>
  <si>
    <t>Крепления велосипедного кресла</t>
  </si>
  <si>
    <t>Носки для подарков</t>
  </si>
  <si>
    <t>Тепловентиляторы</t>
  </si>
  <si>
    <t>Средства для роста бровей и ресниц</t>
  </si>
  <si>
    <t>Ланцеты</t>
  </si>
  <si>
    <t>Захват для железобетонных колец</t>
  </si>
  <si>
    <t>Держатели для садовых инструментов</t>
  </si>
  <si>
    <t>Воск для обуви</t>
  </si>
  <si>
    <t>Ершики для унитаза</t>
  </si>
  <si>
    <t>Наборы садовых инструментов</t>
  </si>
  <si>
    <t>Прокладки головок цилиндра</t>
  </si>
  <si>
    <t>Кейсы для дисков</t>
  </si>
  <si>
    <t>Крахмал</t>
  </si>
  <si>
    <t>Оболочки для колбас искусственные</t>
  </si>
  <si>
    <t>Меха для розжига</t>
  </si>
  <si>
    <t>Термоджемперы</t>
  </si>
  <si>
    <t>Отруби</t>
  </si>
  <si>
    <t>Охладители воды для аквариума</t>
  </si>
  <si>
    <t>Перчатки медицинские</t>
  </si>
  <si>
    <t>Сигнальные приборы</t>
  </si>
  <si>
    <t>Стяжные ремни</t>
  </si>
  <si>
    <t>Косметические аппараты</t>
  </si>
  <si>
    <t>Крабы</t>
  </si>
  <si>
    <t>Шиммер для ванн</t>
  </si>
  <si>
    <t>Комплектующие к гидравлическим дисковым тормозам</t>
  </si>
  <si>
    <t>Косметические карандаши</t>
  </si>
  <si>
    <t>Фингерборды</t>
  </si>
  <si>
    <t>Перегородки офисные</t>
  </si>
  <si>
    <t>Наборы для разведения огня</t>
  </si>
  <si>
    <t>Сыры сухие</t>
  </si>
  <si>
    <t>Полотенца пляжные</t>
  </si>
  <si>
    <t>Кровати-манежи</t>
  </si>
  <si>
    <t>Уходовые средства эротик</t>
  </si>
  <si>
    <t>Кронштейны для аудиотехники</t>
  </si>
  <si>
    <t>Комплектующие к стеновым панелям</t>
  </si>
  <si>
    <t>Недвижимость</t>
  </si>
  <si>
    <t>Цепи велосипедные</t>
  </si>
  <si>
    <t>Открытки</t>
  </si>
  <si>
    <t>Прерыватели указателей поворота</t>
  </si>
  <si>
    <t>Писсуары</t>
  </si>
  <si>
    <t>Аудиодомофоны</t>
  </si>
  <si>
    <t>Камеры видеонаблюдения</t>
  </si>
  <si>
    <t>Веломобили</t>
  </si>
  <si>
    <t>Балки поперечные</t>
  </si>
  <si>
    <t>Буферы автомобильные</t>
  </si>
  <si>
    <t>Доски тактические</t>
  </si>
  <si>
    <t>Шейки оси автомобильные</t>
  </si>
  <si>
    <t>Худи</t>
  </si>
  <si>
    <t>Джинсы для малышей</t>
  </si>
  <si>
    <t>Стабилизаторы автомобильные</t>
  </si>
  <si>
    <t>Радионяни</t>
  </si>
  <si>
    <t>Головки соединительные</t>
  </si>
  <si>
    <t>Шармы-подвески</t>
  </si>
  <si>
    <t>Елочные украшения</t>
  </si>
  <si>
    <t>Жилеты спасательные</t>
  </si>
  <si>
    <t>Калитки</t>
  </si>
  <si>
    <t>Кресла педикюрные</t>
  </si>
  <si>
    <t>Пленки тонировочные</t>
  </si>
  <si>
    <t>Кардиофлешки для животных</t>
  </si>
  <si>
    <t>Подрамники</t>
  </si>
  <si>
    <t>Фонарики диагностические</t>
  </si>
  <si>
    <t>Паркет</t>
  </si>
  <si>
    <t>Соединительные элементы масляного радиатора</t>
  </si>
  <si>
    <t>Трензели</t>
  </si>
  <si>
    <t>Ханги</t>
  </si>
  <si>
    <t>Юла</t>
  </si>
  <si>
    <t>Блоки управления вентилятора</t>
  </si>
  <si>
    <t>Ногавки для лошадей</t>
  </si>
  <si>
    <t>Держатели для мела</t>
  </si>
  <si>
    <t>Коробки передач</t>
  </si>
  <si>
    <t>Попоны</t>
  </si>
  <si>
    <t>Поилки для животных</t>
  </si>
  <si>
    <t>Нагреватели индукционные</t>
  </si>
  <si>
    <t>Ножки мебельные</t>
  </si>
  <si>
    <t>Оснастки для печатей</t>
  </si>
  <si>
    <t>Поводья</t>
  </si>
  <si>
    <t>Системы видеонаблюдения</t>
  </si>
  <si>
    <t>Чайники для плиты</t>
  </si>
  <si>
    <t>Кровати детские</t>
  </si>
  <si>
    <t>Столики винные</t>
  </si>
  <si>
    <t>Аварийное оборудование</t>
  </si>
  <si>
    <t>Кабели электрические</t>
  </si>
  <si>
    <t>Прокладки маслоохладителя</t>
  </si>
  <si>
    <t>Столики для кормления животных</t>
  </si>
  <si>
    <t>Воронки автомобильные</t>
  </si>
  <si>
    <t>Ручки для переноски бутылей</t>
  </si>
  <si>
    <t>Диски для УШМ</t>
  </si>
  <si>
    <t>Пиалы</t>
  </si>
  <si>
    <t>Отбеливающие средства для зубов</t>
  </si>
  <si>
    <t>Вафли протеиновые</t>
  </si>
  <si>
    <t>Зажимы для бумаги</t>
  </si>
  <si>
    <t>Жалюзи</t>
  </si>
  <si>
    <t>Приборы бытового назначения</t>
  </si>
  <si>
    <t>Формы для садовых дорожек</t>
  </si>
  <si>
    <t>Очки для водителей</t>
  </si>
  <si>
    <t>Квасцовые камни</t>
  </si>
  <si>
    <t>Шайбы</t>
  </si>
  <si>
    <t>Средства для ламинирования ресниц и бровей</t>
  </si>
  <si>
    <t>Топы спортивные</t>
  </si>
  <si>
    <t>Очистители топливной системы</t>
  </si>
  <si>
    <t>Готовые десерты</t>
  </si>
  <si>
    <t>Снаряды для единоборств</t>
  </si>
  <si>
    <t>Телекоммуникационные шкафы и комплектующие</t>
  </si>
  <si>
    <t>Стулья офисные</t>
  </si>
  <si>
    <t>Столешницы для кухни</t>
  </si>
  <si>
    <t>Яйца подкладные</t>
  </si>
  <si>
    <t>Очистители карбюратора</t>
  </si>
  <si>
    <t>Табуреты</t>
  </si>
  <si>
    <t>Капли ушные</t>
  </si>
  <si>
    <t>Торсионы автомобильные</t>
  </si>
  <si>
    <t>Доводчики дверные</t>
  </si>
  <si>
    <t>Защитные стекла</t>
  </si>
  <si>
    <t>Борцовки</t>
  </si>
  <si>
    <t>Кликеры для дрессировки</t>
  </si>
  <si>
    <t>Плододержатели</t>
  </si>
  <si>
    <t>Цепочки для очков</t>
  </si>
  <si>
    <t>Подставки для рук компьютерные</t>
  </si>
  <si>
    <t>Клипсы для стирки и хранения</t>
  </si>
  <si>
    <t>Кабасы</t>
  </si>
  <si>
    <t>Электронные сигареты</t>
  </si>
  <si>
    <t>Кукольные домики</t>
  </si>
  <si>
    <t>Очистители цементных загрязнений</t>
  </si>
  <si>
    <t>Экраны для радиаторов</t>
  </si>
  <si>
    <t>Присоски для снятия дисплея</t>
  </si>
  <si>
    <t>Тележки для ранцев</t>
  </si>
  <si>
    <t>Патчи для наращивания ресниц</t>
  </si>
  <si>
    <t>Соляные брикеты</t>
  </si>
  <si>
    <t>Картриджи игровые</t>
  </si>
  <si>
    <t>Блокаторы вирусов</t>
  </si>
  <si>
    <t>Заглушки для ванны и раковины</t>
  </si>
  <si>
    <t>Простыни натяжные для малышей</t>
  </si>
  <si>
    <t>Фильтры для респираторов</t>
  </si>
  <si>
    <t>Мармелад</t>
  </si>
  <si>
    <t>Устройства для подъема с кровати</t>
  </si>
  <si>
    <t>Кремы для уборки</t>
  </si>
  <si>
    <t>Подвязки эротик</t>
  </si>
  <si>
    <t>Защитные кольца для смартфонов</t>
  </si>
  <si>
    <t>Валы балансирные</t>
  </si>
  <si>
    <t>Ремни для автокресел</t>
  </si>
  <si>
    <t>Заколки-автомат</t>
  </si>
  <si>
    <t>Нейтрализаторы испарений клея</t>
  </si>
  <si>
    <t>Кельмы</t>
  </si>
  <si>
    <t>Флоссеры</t>
  </si>
  <si>
    <t>Розжиги электрические</t>
  </si>
  <si>
    <t>Шлемы сноубордические</t>
  </si>
  <si>
    <t>Багажники автомобильные</t>
  </si>
  <si>
    <t>Зажимы для шнурков</t>
  </si>
  <si>
    <t>Утеплители напыляемые</t>
  </si>
  <si>
    <t>Захваты для банок</t>
  </si>
  <si>
    <t>Аксессуары для тренажеров</t>
  </si>
  <si>
    <t>Средства для очистки сажи</t>
  </si>
  <si>
    <t>Бальзамы после бритья</t>
  </si>
  <si>
    <t>Очки спортивные</t>
  </si>
  <si>
    <t>Платки</t>
  </si>
  <si>
    <t>Масла для аромаламп</t>
  </si>
  <si>
    <t>Прокладки впускного коллектора</t>
  </si>
  <si>
    <t>Весы ювелирные</t>
  </si>
  <si>
    <t>Полотенца для животных</t>
  </si>
  <si>
    <t>Полировальные машины</t>
  </si>
  <si>
    <t>Козырьки для авто</t>
  </si>
  <si>
    <t>Семена пищевые</t>
  </si>
  <si>
    <t>Валы рулевого управления</t>
  </si>
  <si>
    <t>Сетки строительные</t>
  </si>
  <si>
    <t>Валы распределительные</t>
  </si>
  <si>
    <t>Штукатурка</t>
  </si>
  <si>
    <t>Стойки гардеробные</t>
  </si>
  <si>
    <t>Тестеры давления масла</t>
  </si>
  <si>
    <t>Фиксаторы пружины</t>
  </si>
  <si>
    <t>Велопарковки</t>
  </si>
  <si>
    <t>Подвески для скейтбордов</t>
  </si>
  <si>
    <t>Пасты фруктовые</t>
  </si>
  <si>
    <t>Каски защитные</t>
  </si>
  <si>
    <t>Патчи</t>
  </si>
  <si>
    <t>Клапаны для лодок</t>
  </si>
  <si>
    <t>Комплектующие для жалюзи</t>
  </si>
  <si>
    <t>Тросики газа</t>
  </si>
  <si>
    <t>Основы под макияж</t>
  </si>
  <si>
    <t>Флажки судейские</t>
  </si>
  <si>
    <t>Маски гидрогелевые</t>
  </si>
  <si>
    <t>Кладочный раствор</t>
  </si>
  <si>
    <t>Измельчители механические</t>
  </si>
  <si>
    <t>Дозаторы косметические</t>
  </si>
  <si>
    <t>Рамы велосипедные</t>
  </si>
  <si>
    <t>Тяги рулевые</t>
  </si>
  <si>
    <t>Бокорезы</t>
  </si>
  <si>
    <t>Аксессуары для газовых ламп</t>
  </si>
  <si>
    <t>Термоводолазки для малышей</t>
  </si>
  <si>
    <t>Крестильные комплекты</t>
  </si>
  <si>
    <t>Воздуховоды вентиляционные</t>
  </si>
  <si>
    <t>Дафлкоты</t>
  </si>
  <si>
    <t>Готовые супы</t>
  </si>
  <si>
    <t>Окна</t>
  </si>
  <si>
    <t>Сиденья для ванной</t>
  </si>
  <si>
    <t>Вентиляционно-осушительные коробки</t>
  </si>
  <si>
    <t>Машинки закаточные</t>
  </si>
  <si>
    <t>Туалеты уличные сборные</t>
  </si>
  <si>
    <t>Гели для бритья</t>
  </si>
  <si>
    <t>Глина для лепки</t>
  </si>
  <si>
    <t>Надувная мебель</t>
  </si>
  <si>
    <t>Мескаль</t>
  </si>
  <si>
    <t>Порошки лечебные для животных</t>
  </si>
  <si>
    <t>Камеры для оксигенации животных</t>
  </si>
  <si>
    <t>Отбеливатели</t>
  </si>
  <si>
    <t>Хворост</t>
  </si>
  <si>
    <t>Пневматические зачистные машины</t>
  </si>
  <si>
    <t>Ремни безопасности для животных</t>
  </si>
  <si>
    <t>Медиаторы</t>
  </si>
  <si>
    <t>Писсуары сантехнические</t>
  </si>
  <si>
    <t>Шторки стеклянные для ванной</t>
  </si>
  <si>
    <t>Монеты сувенирные</t>
  </si>
  <si>
    <t>Высотомеры</t>
  </si>
  <si>
    <t>Фильтры для фритюрниц</t>
  </si>
  <si>
    <t>Заготовки для поделок</t>
  </si>
  <si>
    <t>Кружки</t>
  </si>
  <si>
    <t>Пахлава</t>
  </si>
  <si>
    <t>Леденцы эротик</t>
  </si>
  <si>
    <t>Очки сварочные</t>
  </si>
  <si>
    <t>Лосьоны</t>
  </si>
  <si>
    <t>Пакеты почтовые</t>
  </si>
  <si>
    <t>Прокладки вала</t>
  </si>
  <si>
    <t>Корзины для игрушек</t>
  </si>
  <si>
    <t>Подогреватели предпусковые</t>
  </si>
  <si>
    <t>Бочонки для напитков</t>
  </si>
  <si>
    <t>Темляки для скандинавских палок</t>
  </si>
  <si>
    <t>Спойлеры</t>
  </si>
  <si>
    <t>Табуреты плетеные</t>
  </si>
  <si>
    <t>Рулевые механизмы</t>
  </si>
  <si>
    <t>Каши детские</t>
  </si>
  <si>
    <t>Молочные коктейли</t>
  </si>
  <si>
    <t>Ящики для рассады</t>
  </si>
  <si>
    <t>Масленки для смазки</t>
  </si>
  <si>
    <t>Слепки эротик</t>
  </si>
  <si>
    <t>Тренажеры дыхательные</t>
  </si>
  <si>
    <t>Резисторы автомобильные</t>
  </si>
  <si>
    <t>Наборы балансиров</t>
  </si>
  <si>
    <t>Жилеты рабочие</t>
  </si>
  <si>
    <t>Парашюты</t>
  </si>
  <si>
    <t>Салфетки для груди</t>
  </si>
  <si>
    <t>Коврики для раскройных ножей</t>
  </si>
  <si>
    <t>Модули контроля температуры</t>
  </si>
  <si>
    <t>Шапочки косметические</t>
  </si>
  <si>
    <t>Патроны токарные</t>
  </si>
  <si>
    <t>Прорезыватели</t>
  </si>
  <si>
    <t>Аксессуары для мотобуров</t>
  </si>
  <si>
    <t>Картины модульные</t>
  </si>
  <si>
    <t>Бюстгальтеры эротик</t>
  </si>
  <si>
    <t>Тормозные шланги</t>
  </si>
  <si>
    <t>Комплекты тормозов</t>
  </si>
  <si>
    <t>Сверла</t>
  </si>
  <si>
    <t>Повязки капитанские</t>
  </si>
  <si>
    <t>Крюки крепежные</t>
  </si>
  <si>
    <t>Таксометры</t>
  </si>
  <si>
    <t>Кабины примерочные</t>
  </si>
  <si>
    <t>Системы велосипедные</t>
  </si>
  <si>
    <t>Наливные полы</t>
  </si>
  <si>
    <t>Палочки для маникюра</t>
  </si>
  <si>
    <t>Калауды</t>
  </si>
  <si>
    <t>Фрикционные диски</t>
  </si>
  <si>
    <t>Основания для кроватей</t>
  </si>
  <si>
    <t>Турбонагнетатели</t>
  </si>
  <si>
    <t>Датчики давления масла</t>
  </si>
  <si>
    <t>Системы смазки распредвала</t>
  </si>
  <si>
    <t>Наконечники для палок</t>
  </si>
  <si>
    <t>Тройники и распределители садовые</t>
  </si>
  <si>
    <t>Фонари освещения номерного знака</t>
  </si>
  <si>
    <t>Костюмы медицинские</t>
  </si>
  <si>
    <t>Стамески</t>
  </si>
  <si>
    <t>Кондиционеры для животных</t>
  </si>
  <si>
    <t>Прописи</t>
  </si>
  <si>
    <t>Устройства для изготовления помпонов</t>
  </si>
  <si>
    <t>Велосипедки для малышей</t>
  </si>
  <si>
    <t>Электрические зубные щетки</t>
  </si>
  <si>
    <t>Банданы для малышей</t>
  </si>
  <si>
    <t>Комплектующие для ЧПУ</t>
  </si>
  <si>
    <t>Кардиганы</t>
  </si>
  <si>
    <t>Береты для малышей</t>
  </si>
  <si>
    <t>Уголь активированный</t>
  </si>
  <si>
    <t>Электроролики</t>
  </si>
  <si>
    <t>Домики для детей</t>
  </si>
  <si>
    <t>Сумки для сбора урожая</t>
  </si>
  <si>
    <t>Насосы для распыления фломастеров</t>
  </si>
  <si>
    <t>Фотоэпиляторы</t>
  </si>
  <si>
    <t>Клапаны для слива воды</t>
  </si>
  <si>
    <t>Круги противопролежневые</t>
  </si>
  <si>
    <t>Повязки магнитные</t>
  </si>
  <si>
    <t>Ткани уличные</t>
  </si>
  <si>
    <t>Наколенники детские</t>
  </si>
  <si>
    <t>Джиг-головки рыболовные</t>
  </si>
  <si>
    <t>Рефлектор медицинский</t>
  </si>
  <si>
    <t>Насадки для УШМ</t>
  </si>
  <si>
    <t>Шины для пил</t>
  </si>
  <si>
    <t>Секс кресла</t>
  </si>
  <si>
    <t>Статоры генератора</t>
  </si>
  <si>
    <t>Формочки игрушечные</t>
  </si>
  <si>
    <t>Корм сухой</t>
  </si>
  <si>
    <t>Полироли фар</t>
  </si>
  <si>
    <t>Термометры для аквариума</t>
  </si>
  <si>
    <t>Ключи автомобильные</t>
  </si>
  <si>
    <t>Метафорические ассоциативные карты</t>
  </si>
  <si>
    <t>Швеллеры</t>
  </si>
  <si>
    <t>Ортезы</t>
  </si>
  <si>
    <t>Валы спидометра</t>
  </si>
  <si>
    <t>Воздуховоды автомобильные</t>
  </si>
  <si>
    <t>Очистители дисков и шин</t>
  </si>
  <si>
    <t>Удлинители торцевых головок</t>
  </si>
  <si>
    <t>Овощечистки</t>
  </si>
  <si>
    <t>Лотки для приборов</t>
  </si>
  <si>
    <t>Пуловеры спортивные</t>
  </si>
  <si>
    <t>Сушилки для лапши</t>
  </si>
  <si>
    <t>Шары для пейнтбола</t>
  </si>
  <si>
    <t>Диспенсеры для туалетной бумаги</t>
  </si>
  <si>
    <t>Монокуляры</t>
  </si>
  <si>
    <t>Кофейные наборы</t>
  </si>
  <si>
    <t>Хлопья гороховые</t>
  </si>
  <si>
    <t>Полупальто</t>
  </si>
  <si>
    <t>Сетки заборные</t>
  </si>
  <si>
    <t>Воблеры</t>
  </si>
  <si>
    <t>Краски для ткани</t>
  </si>
  <si>
    <t>Одеяла для йоги</t>
  </si>
  <si>
    <t>Обувницы</t>
  </si>
  <si>
    <t>Противоскользящие элементы</t>
  </si>
  <si>
    <t>Подставки для яиц</t>
  </si>
  <si>
    <t>Антисептик для бань</t>
  </si>
  <si>
    <t>Убтаны</t>
  </si>
  <si>
    <t>Консервы мясорастительные</t>
  </si>
  <si>
    <t>Органайзеры для животных</t>
  </si>
  <si>
    <t>Морсы</t>
  </si>
  <si>
    <t>Эндокринологические препараты</t>
  </si>
  <si>
    <t>Вилки для самокатов</t>
  </si>
  <si>
    <t>Ринговки для собак</t>
  </si>
  <si>
    <t>Лампы для террариумов</t>
  </si>
  <si>
    <t>Контактные линзы</t>
  </si>
  <si>
    <t>Армбенды</t>
  </si>
  <si>
    <t>Спреи для одежды</t>
  </si>
  <si>
    <t>Декорации настенные для кухни</t>
  </si>
  <si>
    <t>Зеркала дорожные</t>
  </si>
  <si>
    <t>Подъемные панели крыши</t>
  </si>
  <si>
    <t>Головки цилиндра</t>
  </si>
  <si>
    <t>Органайзеры подвесные</t>
  </si>
  <si>
    <t>Секс мячи</t>
  </si>
  <si>
    <t>Смеси М-300</t>
  </si>
  <si>
    <t>Соль для ванн</t>
  </si>
  <si>
    <t>Подставки для маркерных досок</t>
  </si>
  <si>
    <t>Наконечники для клюшек</t>
  </si>
  <si>
    <t>Средства для уборки за животными</t>
  </si>
  <si>
    <t>Дым машины</t>
  </si>
  <si>
    <t>Бейсболки для малышей</t>
  </si>
  <si>
    <t>Сучкорезы</t>
  </si>
  <si>
    <t>Саморезы для ГВЛ</t>
  </si>
  <si>
    <t>Другие автоаксессуары</t>
  </si>
  <si>
    <t>Шапки для сна</t>
  </si>
  <si>
    <t>Катушки для триммеров</t>
  </si>
  <si>
    <t>Боковые колеса для детских велосипедов</t>
  </si>
  <si>
    <t>Джемперы</t>
  </si>
  <si>
    <t>Кепи</t>
  </si>
  <si>
    <t>Портативная паровая баня</t>
  </si>
  <si>
    <t>Абонементы в фитнес</t>
  </si>
  <si>
    <t>Обливные устройства</t>
  </si>
  <si>
    <t>Консервы рыбные</t>
  </si>
  <si>
    <t>Колесные спицы для мототехники</t>
  </si>
  <si>
    <t>Автотреки</t>
  </si>
  <si>
    <t>Тенты для садовых качелей</t>
  </si>
  <si>
    <t>Ножи для удаления кутикулы</t>
  </si>
  <si>
    <t>Центральное электрооборудование</t>
  </si>
  <si>
    <t>Подстилки противоскользящие</t>
  </si>
  <si>
    <t>Электроскейтборды</t>
  </si>
  <si>
    <t>Наборы для вязания</t>
  </si>
  <si>
    <t>Крепления для лыжероллеров</t>
  </si>
  <si>
    <t>Датчики кислорода</t>
  </si>
  <si>
    <t>Коробки для хранения</t>
  </si>
  <si>
    <t>Эмульсии</t>
  </si>
  <si>
    <t>Бытовки сборные</t>
  </si>
  <si>
    <t>Полосы металлические</t>
  </si>
  <si>
    <t>Электронные книги</t>
  </si>
  <si>
    <t>Смывки для клея</t>
  </si>
  <si>
    <t>Средства для компостов</t>
  </si>
  <si>
    <t>Промывочные насосы для систем отопления</t>
  </si>
  <si>
    <t>Пуфы бескаркасные</t>
  </si>
  <si>
    <t>Гибочные станки</t>
  </si>
  <si>
    <t>Чехлы-книжки для телефонов</t>
  </si>
  <si>
    <t>Пряжки</t>
  </si>
  <si>
    <t>Ластики</t>
  </si>
  <si>
    <t>Накладные плечи</t>
  </si>
  <si>
    <t>Копилки</t>
  </si>
  <si>
    <t>Листы металлические</t>
  </si>
  <si>
    <t>Термошапки для волос</t>
  </si>
  <si>
    <t>Глазурь</t>
  </si>
  <si>
    <t>Наколенники</t>
  </si>
  <si>
    <t>Стеклоомывающие жидкости</t>
  </si>
  <si>
    <t>Термошорты</t>
  </si>
  <si>
    <t>Круги для плавания</t>
  </si>
  <si>
    <t>Держатели для фотографий</t>
  </si>
  <si>
    <t>Радиаторы автомобильные</t>
  </si>
  <si>
    <t>Выключатели автоматические</t>
  </si>
  <si>
    <t>Ролики натяжителя</t>
  </si>
  <si>
    <t>Датчики автомобильные</t>
  </si>
  <si>
    <t>Захваты для блоков</t>
  </si>
  <si>
    <t>Светодиодные деревья</t>
  </si>
  <si>
    <t>Грозозащита</t>
  </si>
  <si>
    <t>Утюги</t>
  </si>
  <si>
    <t>Запчасти для духового шкафа</t>
  </si>
  <si>
    <t>Термометры электронные</t>
  </si>
  <si>
    <t>Защитные колпачки для пальцев</t>
  </si>
  <si>
    <t>Наклейки на авто</t>
  </si>
  <si>
    <t>Куртки для малышей</t>
  </si>
  <si>
    <t>Грипсы</t>
  </si>
  <si>
    <t>Пылесосы строительные</t>
  </si>
  <si>
    <t>Ростомеры</t>
  </si>
  <si>
    <t>Пиньяты</t>
  </si>
  <si>
    <t>Манжеты</t>
  </si>
  <si>
    <t>Вилки поварские</t>
  </si>
  <si>
    <t>Электронные изгороди</t>
  </si>
  <si>
    <t>Ленты измерительные</t>
  </si>
  <si>
    <t>Wi-Fi-адаптеры</t>
  </si>
  <si>
    <t>Светоотражатели детские</t>
  </si>
  <si>
    <t>Насосы водяные</t>
  </si>
  <si>
    <t>Восстановители кожи</t>
  </si>
  <si>
    <t>Повязки на голову для малышей</t>
  </si>
  <si>
    <t>Антисептики-пропитки</t>
  </si>
  <si>
    <t>Кронштейны для велосипедов</t>
  </si>
  <si>
    <t>Наклейки на кий</t>
  </si>
  <si>
    <t>Повязки послеоперационные для животных</t>
  </si>
  <si>
    <t>Солемеры</t>
  </si>
  <si>
    <t>Банкетки для пианино</t>
  </si>
  <si>
    <t>Настольные наборы</t>
  </si>
  <si>
    <t>Спасательные жилеты для животных</t>
  </si>
  <si>
    <t>Прокладки урологические</t>
  </si>
  <si>
    <t>Корм влажный</t>
  </si>
  <si>
    <t>Расчески</t>
  </si>
  <si>
    <t>Анальные шарики</t>
  </si>
  <si>
    <t>Держатели для украшений</t>
  </si>
  <si>
    <t>Сетки для волос</t>
  </si>
  <si>
    <t>Тормоза ободные</t>
  </si>
  <si>
    <t>Ленты для пуант</t>
  </si>
  <si>
    <t>Озокерит</t>
  </si>
  <si>
    <t>Бахилы</t>
  </si>
  <si>
    <t>Делители видеосигнала</t>
  </si>
  <si>
    <t>Радиаторы отопления</t>
  </si>
  <si>
    <t>Кошельки аппаратные</t>
  </si>
  <si>
    <t>Комплектующие для лазерных уровней и нивелиров</t>
  </si>
  <si>
    <t>Датчики давления</t>
  </si>
  <si>
    <t>Переходники</t>
  </si>
  <si>
    <t>Страпоны</t>
  </si>
  <si>
    <t>Впускные трубы</t>
  </si>
  <si>
    <t>Ванночки детские</t>
  </si>
  <si>
    <t>Песочницы</t>
  </si>
  <si>
    <t>Пустышки</t>
  </si>
  <si>
    <t>Куриные палочки</t>
  </si>
  <si>
    <t>Системы и гарнитуры душевые</t>
  </si>
  <si>
    <t>Ванночки для ног</t>
  </si>
  <si>
    <t>Коврики диэлектрические</t>
  </si>
  <si>
    <t>Тенты для бассейнов</t>
  </si>
  <si>
    <t>Антиплесень</t>
  </si>
  <si>
    <t>Круги шлифовальные</t>
  </si>
  <si>
    <t>Запчасти для варочных панелей</t>
  </si>
  <si>
    <t>Запчасти для компрессоров</t>
  </si>
  <si>
    <t>Пинцеты для наращивания ресниц</t>
  </si>
  <si>
    <t>Зеркала автомобильные</t>
  </si>
  <si>
    <t>Маркеры для ткани</t>
  </si>
  <si>
    <t>Аппараты для сахарной ваты</t>
  </si>
  <si>
    <t>Бумага наждачная</t>
  </si>
  <si>
    <t>Манекены для парикмахеров</t>
  </si>
  <si>
    <t>Неваляшки</t>
  </si>
  <si>
    <t>Столики для ноутбуков</t>
  </si>
  <si>
    <t>Ламинаторы</t>
  </si>
  <si>
    <t>Сосуды для святой воды</t>
  </si>
  <si>
    <t>Бритвы электрические</t>
  </si>
  <si>
    <t>Ручки детские на руль</t>
  </si>
  <si>
    <t>Ковши детские</t>
  </si>
  <si>
    <t>Зарядные устройства для велосипедных фонарей</t>
  </si>
  <si>
    <t>Фитили для свечей</t>
  </si>
  <si>
    <t>Провода автомобильные</t>
  </si>
  <si>
    <t>Коллекторы для труб</t>
  </si>
  <si>
    <t>Крючки гардеробные</t>
  </si>
  <si>
    <t>Топы послеоперационные</t>
  </si>
  <si>
    <t>Пасты соевые</t>
  </si>
  <si>
    <t>Блинницы электрические</t>
  </si>
  <si>
    <t>Наборы декоративной косметики</t>
  </si>
  <si>
    <t>Фартуки медицинские</t>
  </si>
  <si>
    <t>Аквасоки</t>
  </si>
  <si>
    <t>Булгур</t>
  </si>
  <si>
    <t>Счетчики рядов</t>
  </si>
  <si>
    <t>Присадки в топливо</t>
  </si>
  <si>
    <t>Москитные сетки</t>
  </si>
  <si>
    <t>Листы оцинкованные</t>
  </si>
  <si>
    <t>Органайзеры на коляску</t>
  </si>
  <si>
    <t>Елки искусственные</t>
  </si>
  <si>
    <t>Холодные чаи</t>
  </si>
  <si>
    <t>Инструменты для чистки ушей</t>
  </si>
  <si>
    <t>Емкости для масла и уксуса</t>
  </si>
  <si>
    <t>Коврики детские</t>
  </si>
  <si>
    <t>Ленты крепежные</t>
  </si>
  <si>
    <t>Соусники</t>
  </si>
  <si>
    <t>Краски резиновые</t>
  </si>
  <si>
    <t>Йо-йо</t>
  </si>
  <si>
    <t>Средства для мытья продуктов</t>
  </si>
  <si>
    <t>Выносы велосипедные</t>
  </si>
  <si>
    <t>Щетки для стекол</t>
  </si>
  <si>
    <t>Базы спортивные</t>
  </si>
  <si>
    <t>Формы для бетона</t>
  </si>
  <si>
    <t>Очки для солярия</t>
  </si>
  <si>
    <t>Люксметры</t>
  </si>
  <si>
    <t>Кашаса</t>
  </si>
  <si>
    <t>Гольфы для малышей</t>
  </si>
  <si>
    <t>Перчатки хозяйственные</t>
  </si>
  <si>
    <t>Пластыри для похудения</t>
  </si>
  <si>
    <t>Подставки для головных уборов</t>
  </si>
  <si>
    <t>Аксессуары для велостанков</t>
  </si>
  <si>
    <t>Насадки для реноваторов</t>
  </si>
  <si>
    <t>Оголовья для лошадей</t>
  </si>
  <si>
    <t>Джемы диетические</t>
  </si>
  <si>
    <t>Чехлы для переносок</t>
  </si>
  <si>
    <t>Биты спортивные</t>
  </si>
  <si>
    <t>Вожжи</t>
  </si>
  <si>
    <t>Комплектующие к рулевым колонкам</t>
  </si>
  <si>
    <t>Комплектующие для пневмоинструмента</t>
  </si>
  <si>
    <t>Кушетки</t>
  </si>
  <si>
    <t>Теплоизоляция для теплых полов</t>
  </si>
  <si>
    <t>Термокомплекты спортивные</t>
  </si>
  <si>
    <t>Пояса для животных</t>
  </si>
  <si>
    <t>Наборы для приготовления шоколада</t>
  </si>
  <si>
    <t>Мел портновский</t>
  </si>
  <si>
    <t>Термокомплекты для малышей</t>
  </si>
  <si>
    <t>Бортики для кроватей</t>
  </si>
  <si>
    <t>Шлейки</t>
  </si>
  <si>
    <t>Комплектующие регуляторов давления</t>
  </si>
  <si>
    <t>Нашивки спортивные</t>
  </si>
  <si>
    <t>Полудрагоценные камни и прочие вставки</t>
  </si>
  <si>
    <t>Пакеты для стерилизации инструментов</t>
  </si>
  <si>
    <t>Кондиционеры воздуха</t>
  </si>
  <si>
    <t>Марли медицинские</t>
  </si>
  <si>
    <t>Корректоры угла наклона фар</t>
  </si>
  <si>
    <t>Боксерки</t>
  </si>
  <si>
    <t>Орехоколы</t>
  </si>
  <si>
    <t>Кольца для салфеток</t>
  </si>
  <si>
    <t>Лук и чеснок посадочные</t>
  </si>
  <si>
    <t>Вкладыши для тормозных колодок</t>
  </si>
  <si>
    <t>Коуши</t>
  </si>
  <si>
    <t>Курники</t>
  </si>
  <si>
    <t>Лупы настольные</t>
  </si>
  <si>
    <t>Глушители пневмосистемы</t>
  </si>
  <si>
    <t>Ополаскиватели и освежители для рта</t>
  </si>
  <si>
    <t>Аккумуляторы для ноутбуков</t>
  </si>
  <si>
    <t>Губки малярные</t>
  </si>
  <si>
    <t>Платья эротик</t>
  </si>
  <si>
    <t>Теплообменники</t>
  </si>
  <si>
    <t>Пневмобаллоны для авто</t>
  </si>
  <si>
    <t>Ложки для прикорма</t>
  </si>
  <si>
    <t>Средства для удаления кутикулы</t>
  </si>
  <si>
    <t>Сырорезки</t>
  </si>
  <si>
    <t>Аксессуары для штор</t>
  </si>
  <si>
    <t>Мотоодежда</t>
  </si>
  <si>
    <t>Уход за мотоэкипировкой</t>
  </si>
  <si>
    <t>Клеевые паутинки</t>
  </si>
  <si>
    <t>Фильтры магистральные</t>
  </si>
  <si>
    <t>Кэроб</t>
  </si>
  <si>
    <t>Зажимы для денег</t>
  </si>
  <si>
    <t>Кабелерезы</t>
  </si>
  <si>
    <t>Мочесборники для животных</t>
  </si>
  <si>
    <t>Пленки для ламинирования</t>
  </si>
  <si>
    <t>Индикаторные полоски</t>
  </si>
  <si>
    <t>Бизнес-наборы</t>
  </si>
  <si>
    <t>Клавиатуры</t>
  </si>
  <si>
    <t>Раскладушки</t>
  </si>
  <si>
    <t>Кексы</t>
  </si>
  <si>
    <t>Угольники столярные</t>
  </si>
  <si>
    <t>Фиксаторы для одеяла</t>
  </si>
  <si>
    <t>Соковыжималки механические</t>
  </si>
  <si>
    <t>Системы охранной сигнализации</t>
  </si>
  <si>
    <t>Сетки для копчения</t>
  </si>
  <si>
    <t>Иглы Губера</t>
  </si>
  <si>
    <t>Термоконтейнеры</t>
  </si>
  <si>
    <t>Средства и приборы для очистки спонжей и кистей</t>
  </si>
  <si>
    <t>Теплосчетчики</t>
  </si>
  <si>
    <t>Доски спасательные</t>
  </si>
  <si>
    <t>Водонагреватели</t>
  </si>
  <si>
    <t>Колеса мебельные</t>
  </si>
  <si>
    <t>Вилки садовые</t>
  </si>
  <si>
    <t>Ювелирные замки</t>
  </si>
  <si>
    <t>Аппараты для физиотерапии</t>
  </si>
  <si>
    <t>Магниты для маникюра</t>
  </si>
  <si>
    <t>Палитры для лаков</t>
  </si>
  <si>
    <t>Электрические одеяла</t>
  </si>
  <si>
    <t>Чалма</t>
  </si>
  <si>
    <t>Противовирусные препараты</t>
  </si>
  <si>
    <t>Будильники электронные</t>
  </si>
  <si>
    <t>Профили для поликарбоната</t>
  </si>
  <si>
    <t>Доски террасные</t>
  </si>
  <si>
    <t>Молотки</t>
  </si>
  <si>
    <t>Масла художественные</t>
  </si>
  <si>
    <t>Замки дверные</t>
  </si>
  <si>
    <t>Подтяжки бельевые</t>
  </si>
  <si>
    <t>Глазки дверные</t>
  </si>
  <si>
    <t>Блоки автоматики для насосов</t>
  </si>
  <si>
    <t>Лекало</t>
  </si>
  <si>
    <t>Рольставни</t>
  </si>
  <si>
    <t>Краски по металлу</t>
  </si>
  <si>
    <t>Рогатки спортивные</t>
  </si>
  <si>
    <t>Центрифуги для салата</t>
  </si>
  <si>
    <t>Смывки для лыж</t>
  </si>
  <si>
    <t>Кольца-держатели для телефона</t>
  </si>
  <si>
    <t>Коврики под миску</t>
  </si>
  <si>
    <t>Средства для чистки оптики</t>
  </si>
  <si>
    <t>Тенты для скутеров</t>
  </si>
  <si>
    <t>Пороги для пола</t>
  </si>
  <si>
    <t>Тренажеры эллиптические</t>
  </si>
  <si>
    <t>Иконы</t>
  </si>
  <si>
    <t>Сумки спортивные</t>
  </si>
  <si>
    <t>Инструменты для маникюра и педикюра</t>
  </si>
  <si>
    <t>Мобили</t>
  </si>
  <si>
    <t>Прицелы охотничьи</t>
  </si>
  <si>
    <t>Кран-буксы</t>
  </si>
  <si>
    <t>Диски для скольжения</t>
  </si>
  <si>
    <t>Аквариумные наборы</t>
  </si>
  <si>
    <t>Карандаши для оптики</t>
  </si>
  <si>
    <t>Одеколон</t>
  </si>
  <si>
    <t>Маски послеоперационные</t>
  </si>
  <si>
    <t>Шипы для педалей</t>
  </si>
  <si>
    <t>Анализаторы состава тела</t>
  </si>
  <si>
    <t>Защита проводов</t>
  </si>
  <si>
    <t>Подушки внутренние декоративные</t>
  </si>
  <si>
    <t>Ершики для кальянов</t>
  </si>
  <si>
    <t>Пипетки</t>
  </si>
  <si>
    <t>Полукомбинезоны спортивные</t>
  </si>
  <si>
    <t>Полустельки ортопедические</t>
  </si>
  <si>
    <t>Провода электрические</t>
  </si>
  <si>
    <t>Фильтры салонные</t>
  </si>
  <si>
    <t>Чехлы для багажников</t>
  </si>
  <si>
    <t>Портупеи эротик</t>
  </si>
  <si>
    <t>Шаберы слесарные</t>
  </si>
  <si>
    <t>Сыроварни</t>
  </si>
  <si>
    <t>Барные стойки</t>
  </si>
  <si>
    <t>Вафельные стаканчики</t>
  </si>
  <si>
    <t>Пропитки для одежды</t>
  </si>
  <si>
    <t>Ворота</t>
  </si>
  <si>
    <t>Гайковерты</t>
  </si>
  <si>
    <t>Формы для мороженого</t>
  </si>
  <si>
    <t>Вибротехника</t>
  </si>
  <si>
    <t>Амортизаторы автомобильные</t>
  </si>
  <si>
    <t>Шпатлевки</t>
  </si>
  <si>
    <t>Жилеты спортивные</t>
  </si>
  <si>
    <t>Приборы управления</t>
  </si>
  <si>
    <t>Кейпы для малышей</t>
  </si>
  <si>
    <t>Ножи для газонокосилок</t>
  </si>
  <si>
    <t>Шапки спортивные</t>
  </si>
  <si>
    <t>Маслобойки</t>
  </si>
  <si>
    <t>Фонокорректоры</t>
  </si>
  <si>
    <t>Квадроциклы</t>
  </si>
  <si>
    <t>Пуховики для малышей</t>
  </si>
  <si>
    <t>Бубны</t>
  </si>
  <si>
    <t>Желе</t>
  </si>
  <si>
    <t>Резиновые сапоги</t>
  </si>
  <si>
    <t>Центральные выключатели</t>
  </si>
  <si>
    <t>Датчики температуры включения вентилятора</t>
  </si>
  <si>
    <t>Шаровые опоры</t>
  </si>
  <si>
    <t>Рейки декоративные</t>
  </si>
  <si>
    <t>Лед косметический</t>
  </si>
  <si>
    <t>Стойки стабилизатора</t>
  </si>
  <si>
    <t>Коврики барные</t>
  </si>
  <si>
    <t>Мотоперчатки</t>
  </si>
  <si>
    <t>Кисти малярные</t>
  </si>
  <si>
    <t>Стулья барные</t>
  </si>
  <si>
    <t>Картриджи для генераторов водородной воды</t>
  </si>
  <si>
    <t>Стабилизаторы напряжения</t>
  </si>
  <si>
    <t>Рубашки для малышей</t>
  </si>
  <si>
    <t>Хлебопечи</t>
  </si>
  <si>
    <t>Скребки Гуаша</t>
  </si>
  <si>
    <t>Мундштуки для кальяна</t>
  </si>
  <si>
    <t>Мох стабилизированный</t>
  </si>
  <si>
    <t>Фитинги канализационные</t>
  </si>
  <si>
    <t>Динамометры</t>
  </si>
  <si>
    <t>Кисти-сметки парикмахерские</t>
  </si>
  <si>
    <t>Бумага для папильоток</t>
  </si>
  <si>
    <t>Игровые телефоны</t>
  </si>
  <si>
    <t>ЦК Программное обеспечение</t>
  </si>
  <si>
    <t>Спейсеры</t>
  </si>
  <si>
    <t>Запчасти для игровых консолей</t>
  </si>
  <si>
    <t>Запчасти для вытяжек</t>
  </si>
  <si>
    <t>Ботинки сноубордические</t>
  </si>
  <si>
    <t>Капы стоматологические</t>
  </si>
  <si>
    <t>Парафин косметический</t>
  </si>
  <si>
    <t>Короба почтовые</t>
  </si>
  <si>
    <t>Карандаши строительные</t>
  </si>
  <si>
    <t>Трещотки музыкальные</t>
  </si>
  <si>
    <t>Грузила</t>
  </si>
  <si>
    <t>Аксессуары для бассейна</t>
  </si>
  <si>
    <t>Грильято</t>
  </si>
  <si>
    <t>Краски специальные</t>
  </si>
  <si>
    <t>Классные журналы</t>
  </si>
  <si>
    <t>МФУ</t>
  </si>
  <si>
    <t>Кнопки бижутерные</t>
  </si>
  <si>
    <t>Вафли</t>
  </si>
  <si>
    <t>Скиммеры</t>
  </si>
  <si>
    <t>Конверты для денег</t>
  </si>
  <si>
    <t>Крышки радиатора</t>
  </si>
  <si>
    <t>Стулья детские</t>
  </si>
  <si>
    <t>Гасители пульсаций</t>
  </si>
  <si>
    <t>Наборы кухонных принадлежностей</t>
  </si>
  <si>
    <t>Пижамы</t>
  </si>
  <si>
    <t>Маракасы</t>
  </si>
  <si>
    <t>Ценники</t>
  </si>
  <si>
    <t>Гель-лаки</t>
  </si>
  <si>
    <t>Ювелирные шармы</t>
  </si>
  <si>
    <t>Скамьи для измерения гибкости</t>
  </si>
  <si>
    <t>Системы крепления цоколя</t>
  </si>
  <si>
    <t>Ботфорты</t>
  </si>
  <si>
    <t>Печенье</t>
  </si>
  <si>
    <t>Дубинки телескопические</t>
  </si>
  <si>
    <t>Наглядные пособия</t>
  </si>
  <si>
    <t>Сито</t>
  </si>
  <si>
    <t>Электрошокеры</t>
  </si>
  <si>
    <t>Термостаты двигателя</t>
  </si>
  <si>
    <t>Подкрылки</t>
  </si>
  <si>
    <t>Подарочные боксы</t>
  </si>
  <si>
    <t>Машинки против катышек</t>
  </si>
  <si>
    <t>Тренажеры гитарные</t>
  </si>
  <si>
    <t>Насосы погружные</t>
  </si>
  <si>
    <t>Датчик температуры головки цилиндров</t>
  </si>
  <si>
    <t>Чехлы для лыж</t>
  </si>
  <si>
    <t>Подвески пневматические</t>
  </si>
  <si>
    <t>Наборы аксессуаров для ванн</t>
  </si>
  <si>
    <t>Пекмезы</t>
  </si>
  <si>
    <t>Детекторы металла</t>
  </si>
  <si>
    <t>Мороженицы</t>
  </si>
  <si>
    <t>Энергетические добавки</t>
  </si>
  <si>
    <t>Гребни</t>
  </si>
  <si>
    <t>Гайки</t>
  </si>
  <si>
    <t>Столешницы для стола</t>
  </si>
  <si>
    <t>Грифели</t>
  </si>
  <si>
    <t>Казаны</t>
  </si>
  <si>
    <t>Клей для накладных ресниц</t>
  </si>
  <si>
    <t>Насадки для утюгов</t>
  </si>
  <si>
    <t>Сумки для секс машины</t>
  </si>
  <si>
    <t>Разъемы автомобильные</t>
  </si>
  <si>
    <t>Смазки для садовой техники</t>
  </si>
  <si>
    <t>NFC наклейки</t>
  </si>
  <si>
    <t>Подушки</t>
  </si>
  <si>
    <t>Экстракты пищевые растительные</t>
  </si>
  <si>
    <t>Наборы туристической посуды</t>
  </si>
  <si>
    <t>Шатры и беседки</t>
  </si>
  <si>
    <t>Наборы для груминга и ухода</t>
  </si>
  <si>
    <t>Конвертеры видеосигнала</t>
  </si>
  <si>
    <t>Загустители</t>
  </si>
  <si>
    <t>Кранцы</t>
  </si>
  <si>
    <t>Хлебцы</t>
  </si>
  <si>
    <t>Пленки самоклеящиеся</t>
  </si>
  <si>
    <t>Галстуки эротик</t>
  </si>
  <si>
    <t>Фрезы</t>
  </si>
  <si>
    <t>Медиа на USB-накопителе</t>
  </si>
  <si>
    <t>Поворотники для мототехники</t>
  </si>
  <si>
    <t>Опоры для растений</t>
  </si>
  <si>
    <t>Переключатели давления</t>
  </si>
  <si>
    <t>Мусорные ведра</t>
  </si>
  <si>
    <t>Флюгеры</t>
  </si>
  <si>
    <t>Переходники автомобильные</t>
  </si>
  <si>
    <t>Рис</t>
  </si>
  <si>
    <t>Сейф-пакеты</t>
  </si>
  <si>
    <t>Диваны для кухни</t>
  </si>
  <si>
    <t>Трапы для душа</t>
  </si>
  <si>
    <t>Шапки с гарнитурой</t>
  </si>
  <si>
    <t>Конструкционные материалы</t>
  </si>
  <si>
    <t>Газовые грили туристические</t>
  </si>
  <si>
    <t>Автопилоты для прикормочных корабликов</t>
  </si>
  <si>
    <t>Маски многоразовые</t>
  </si>
  <si>
    <t>Игровые центры для малышей</t>
  </si>
  <si>
    <t>Сушки</t>
  </si>
  <si>
    <t>Печати для пломбирования</t>
  </si>
  <si>
    <t>Загустители для волос</t>
  </si>
  <si>
    <t>Коврики для раскатки теста</t>
  </si>
  <si>
    <t>Краны шаровые для газа</t>
  </si>
  <si>
    <t>Кигуруми</t>
  </si>
  <si>
    <t>Педали для барабанов</t>
  </si>
  <si>
    <t>Наборы бильярдные</t>
  </si>
  <si>
    <t>Дома и бани сборные</t>
  </si>
  <si>
    <t>Стекла автомобильные</t>
  </si>
  <si>
    <t>Полуоси и ШРУС усиленные</t>
  </si>
  <si>
    <t>Ушки для лошадей</t>
  </si>
  <si>
    <t>Наперстки</t>
  </si>
  <si>
    <t>Капоры</t>
  </si>
  <si>
    <t>Днища кузова</t>
  </si>
  <si>
    <t>Пинцеты кулинарные</t>
  </si>
  <si>
    <t>Головки торцевые</t>
  </si>
  <si>
    <t>Решетки газонные</t>
  </si>
  <si>
    <t>Бра</t>
  </si>
  <si>
    <t>Прицепы</t>
  </si>
  <si>
    <t>Ручки для сумок</t>
  </si>
  <si>
    <t>Шилья для кальяна</t>
  </si>
  <si>
    <t>Приспособления для прочистки труб</t>
  </si>
  <si>
    <t>Карнавальные маски</t>
  </si>
  <si>
    <t>Дезинфицирующие средства</t>
  </si>
  <si>
    <t>Пустышки для медикаментов</t>
  </si>
  <si>
    <t>Урологические препараты</t>
  </si>
  <si>
    <t>Ботильоны</t>
  </si>
  <si>
    <t>Турники</t>
  </si>
  <si>
    <t>Наматрасники для малышей</t>
  </si>
  <si>
    <t>Подсвечники</t>
  </si>
  <si>
    <t>Дамару</t>
  </si>
  <si>
    <t>Гейнеры</t>
  </si>
  <si>
    <t>Шинопроводы</t>
  </si>
  <si>
    <t>Приборы для настройки спутниковых антенн</t>
  </si>
  <si>
    <t>Бумага подарочная</t>
  </si>
  <si>
    <t>Рукава для запекания</t>
  </si>
  <si>
    <t>Сэндвич панели</t>
  </si>
  <si>
    <t>Счетчики посетителей</t>
  </si>
  <si>
    <t>Балалайки</t>
  </si>
  <si>
    <t>Другие строительные крепления</t>
  </si>
  <si>
    <t>Переключатели велосипедные</t>
  </si>
  <si>
    <t>Пачки балетные</t>
  </si>
  <si>
    <t>Накидки эротик</t>
  </si>
  <si>
    <t>Комплекты спутникового ТВ</t>
  </si>
  <si>
    <t>Уголь художественный</t>
  </si>
  <si>
    <t>Очистители плесени</t>
  </si>
  <si>
    <t>Инструмент для вязки арматуры</t>
  </si>
  <si>
    <t>Какао</t>
  </si>
  <si>
    <t>Маты спортивные</t>
  </si>
  <si>
    <t>Неглиже эротик</t>
  </si>
  <si>
    <t>DD-кремы</t>
  </si>
  <si>
    <t>Намагничиватели</t>
  </si>
  <si>
    <t>Тапочки для бани</t>
  </si>
  <si>
    <t>Системы регулирования скорости</t>
  </si>
  <si>
    <t>Пульсоксиметры</t>
  </si>
  <si>
    <t>Шубки для валиков</t>
  </si>
  <si>
    <t>Связки для лыж</t>
  </si>
  <si>
    <t>Паяльники</t>
  </si>
  <si>
    <t>Наконечники роллерные</t>
  </si>
  <si>
    <t>Тиски</t>
  </si>
  <si>
    <t>Блоки управления двигателем снегохода</t>
  </si>
  <si>
    <t>Телескопы</t>
  </si>
  <si>
    <t>Кремы</t>
  </si>
  <si>
    <t>Лаки для ногтей</t>
  </si>
  <si>
    <t>Трекпады</t>
  </si>
  <si>
    <t>Стеклодомкраты</t>
  </si>
  <si>
    <t>Краски декоративные</t>
  </si>
  <si>
    <t>Фиксаторы для ковриков</t>
  </si>
  <si>
    <t>Фитнес-корсеты</t>
  </si>
  <si>
    <t>Держатели для шубок</t>
  </si>
  <si>
    <t>Емкости неполимерные</t>
  </si>
  <si>
    <t>Вина игристые</t>
  </si>
  <si>
    <t>Лепные камни</t>
  </si>
  <si>
    <t>Очистители универсальные</t>
  </si>
  <si>
    <t>Тросы строительные</t>
  </si>
  <si>
    <t>Лаки для волос</t>
  </si>
  <si>
    <t>Сотейники</t>
  </si>
  <si>
    <t>Аккумуляторы для ИБП</t>
  </si>
  <si>
    <t>Косметички</t>
  </si>
  <si>
    <t>Деки для самокатов</t>
  </si>
  <si>
    <t>Насосы циркуляционные</t>
  </si>
  <si>
    <t>Дерматоскопы</t>
  </si>
  <si>
    <t>Оверлоки</t>
  </si>
  <si>
    <t>Кромки для шитья</t>
  </si>
  <si>
    <t>Урбеч</t>
  </si>
  <si>
    <t>Кинетический песок</t>
  </si>
  <si>
    <t>Тапенеры и расходники</t>
  </si>
  <si>
    <t>Багажные отсеки</t>
  </si>
  <si>
    <t>Колодки для квадроциклов</t>
  </si>
  <si>
    <t>Мультитулы</t>
  </si>
  <si>
    <t>Мыльные основы</t>
  </si>
  <si>
    <t>Ружья для подводной охоты</t>
  </si>
  <si>
    <t>Кальяны</t>
  </si>
  <si>
    <t>Крышки</t>
  </si>
  <si>
    <t>Комбидресс</t>
  </si>
  <si>
    <t>Валики для приседаний</t>
  </si>
  <si>
    <t>Насадки рыболовные</t>
  </si>
  <si>
    <t>Степлеры канцелярские</t>
  </si>
  <si>
    <t>Подставки для электроники</t>
  </si>
  <si>
    <t>Сушки для обуви</t>
  </si>
  <si>
    <t>Стартеры ручные</t>
  </si>
  <si>
    <t>Песок строительный</t>
  </si>
  <si>
    <t>Стрэпы эротик</t>
  </si>
  <si>
    <t>Закладные детали</t>
  </si>
  <si>
    <t>Подседельные штыри</t>
  </si>
  <si>
    <t>Внешние жесткие диски</t>
  </si>
  <si>
    <t>Запчасти для плит</t>
  </si>
  <si>
    <t>Кожухи автомобильные</t>
  </si>
  <si>
    <t>Системы подвески кабины</t>
  </si>
  <si>
    <t>Пылесосы маникюрные</t>
  </si>
  <si>
    <t>Ключи для вин</t>
  </si>
  <si>
    <t>Чехлы для рукоделия</t>
  </si>
  <si>
    <t>Сувенирные вилки</t>
  </si>
  <si>
    <t>Системы хранения</t>
  </si>
  <si>
    <t>Листы для коллекционирования</t>
  </si>
  <si>
    <t>Ветрозащитные экраны</t>
  </si>
  <si>
    <t>Древесно-плитные материалы</t>
  </si>
  <si>
    <t>Леггинсы эротик</t>
  </si>
  <si>
    <t>Удлинители видеосигнала</t>
  </si>
  <si>
    <t>Книги-комиксы</t>
  </si>
  <si>
    <t>Кусачки педикюрные</t>
  </si>
  <si>
    <t>Станки для рукоделия</t>
  </si>
  <si>
    <t>Уход за разделочными досками</t>
  </si>
  <si>
    <t>Вешалки-плечики</t>
  </si>
  <si>
    <t>Ножи садовые</t>
  </si>
  <si>
    <t>Ламинат</t>
  </si>
  <si>
    <t>Медиаплееры</t>
  </si>
  <si>
    <t>Другие измерители</t>
  </si>
  <si>
    <t>Ходунки для малышей</t>
  </si>
  <si>
    <t>Губки для автомобиля</t>
  </si>
  <si>
    <t>Средства для очистки аквариумной воды</t>
  </si>
  <si>
    <t>Виниловые пластинки</t>
  </si>
  <si>
    <t>Фискальные накопители</t>
  </si>
  <si>
    <t>Тормозные жидкости</t>
  </si>
  <si>
    <t>Держатели для съемки смартфоном</t>
  </si>
  <si>
    <t>Контакторы</t>
  </si>
  <si>
    <t>Педали</t>
  </si>
  <si>
    <t>Бумага для рукоделия</t>
  </si>
  <si>
    <t>Упоры противооткатные</t>
  </si>
  <si>
    <t>Тормозные барабаны</t>
  </si>
  <si>
    <t>Овощечистки электрические</t>
  </si>
  <si>
    <t>Уход за инструментами</t>
  </si>
  <si>
    <t>Утяжелители</t>
  </si>
  <si>
    <t>Губки флористические</t>
  </si>
  <si>
    <t>Сушилки походные</t>
  </si>
  <si>
    <t>Чокеры</t>
  </si>
  <si>
    <t>Комплектующие к полотенцесушителям</t>
  </si>
  <si>
    <t>Дрели</t>
  </si>
  <si>
    <t>Ободки</t>
  </si>
  <si>
    <t>Сахар</t>
  </si>
  <si>
    <t>Стразы</t>
  </si>
  <si>
    <t>Карнавальные перчатки</t>
  </si>
  <si>
    <t>Нейтрализаторы ржавчины</t>
  </si>
  <si>
    <t>Контейнеры садовые</t>
  </si>
  <si>
    <t>Пятновыводители</t>
  </si>
  <si>
    <t>Куртки</t>
  </si>
  <si>
    <t>Жилеты светоотражающие</t>
  </si>
  <si>
    <t>Карнизы</t>
  </si>
  <si>
    <t>Индикаторы почвы</t>
  </si>
  <si>
    <t>Пирамидки</t>
  </si>
  <si>
    <t>Фляги топливные</t>
  </si>
  <si>
    <t>Резинки для животных</t>
  </si>
  <si>
    <t>Дровоколы</t>
  </si>
  <si>
    <t>Средства ухода за стомой</t>
  </si>
  <si>
    <t>Корректоры артериального давления</t>
  </si>
  <si>
    <t>Пастила</t>
  </si>
  <si>
    <t>Реле автомобильные</t>
  </si>
  <si>
    <t>Луковичные растения</t>
  </si>
  <si>
    <t>Воротники</t>
  </si>
  <si>
    <t>Тостеры</t>
  </si>
  <si>
    <t>Электро дрифт-карты</t>
  </si>
  <si>
    <t>Экспресс-тесты для животных</t>
  </si>
  <si>
    <t>Воротники для животных</t>
  </si>
  <si>
    <t>Термолонгсливы</t>
  </si>
  <si>
    <t>Электроды медицинские</t>
  </si>
  <si>
    <t>Ширмы</t>
  </si>
  <si>
    <t>Лезвия для коньков</t>
  </si>
  <si>
    <t>Поильники</t>
  </si>
  <si>
    <t>Тестеры искры зажигания</t>
  </si>
  <si>
    <t>Ювелирные изделия прочие</t>
  </si>
  <si>
    <t>Защита для купания малыша</t>
  </si>
  <si>
    <t>Блоки управления для конвекторов</t>
  </si>
  <si>
    <t>Грязь косметическая</t>
  </si>
  <si>
    <t>Средства для очистки секс-игрушек</t>
  </si>
  <si>
    <t>Аккумуляторы для электроинструмента</t>
  </si>
  <si>
    <t>Дрожжи</t>
  </si>
  <si>
    <t>Солнечные электростанции и комплектующие</t>
  </si>
  <si>
    <t>Микроволновые печи</t>
  </si>
  <si>
    <t>Столы-трансформеры</t>
  </si>
  <si>
    <t>Очистители для салона</t>
  </si>
  <si>
    <t>Полироли кузова</t>
  </si>
  <si>
    <t>Средства для снятия ресниц</t>
  </si>
  <si>
    <t>Пьедесталы</t>
  </si>
  <si>
    <t>Предтренировочные комплексы</t>
  </si>
  <si>
    <t>Торсионные демпферы</t>
  </si>
  <si>
    <t>Электрические мельницы</t>
  </si>
  <si>
    <t>Детские насадки на палец</t>
  </si>
  <si>
    <t>Палки для скандинавской ходьбы и треккинга</t>
  </si>
  <si>
    <t>Верстаки</t>
  </si>
  <si>
    <t>Чехлы для чемоданов</t>
  </si>
  <si>
    <t>Трубы для водопровода</t>
  </si>
  <si>
    <t>Сайдинг панели</t>
  </si>
  <si>
    <t>Фигурные дыроколы</t>
  </si>
  <si>
    <t>Термокружки</t>
  </si>
  <si>
    <t>Трости для скрипки</t>
  </si>
  <si>
    <t>Ошейники эротик</t>
  </si>
  <si>
    <t>Тележки передвижные</t>
  </si>
  <si>
    <t>Обмотки для обруча</t>
  </si>
  <si>
    <t>Комплектующие для респираторов</t>
  </si>
  <si>
    <t>Трансформаторы</t>
  </si>
  <si>
    <t>Термободи для малышей</t>
  </si>
  <si>
    <t>Матрасы детские</t>
  </si>
  <si>
    <t>Блоки управления стеклоподъемниками</t>
  </si>
  <si>
    <t>Видеорегистраторы персональные</t>
  </si>
  <si>
    <t>Простыни электрические</t>
  </si>
  <si>
    <t>Зубные щетки</t>
  </si>
  <si>
    <t>Крестильные брюки для малышей</t>
  </si>
  <si>
    <t>Зеркала велосипедные</t>
  </si>
  <si>
    <t>Поддоны для гриля</t>
  </si>
  <si>
    <t>Троки для лошади</t>
  </si>
  <si>
    <t>Акриловая смола для творчества</t>
  </si>
  <si>
    <t>Соединители бретелей</t>
  </si>
  <si>
    <t>Бандажи эротик</t>
  </si>
  <si>
    <t>Игрушечные продукты</t>
  </si>
  <si>
    <t>Активаторы для слаймов</t>
  </si>
  <si>
    <t>Накидки магнитные для авто</t>
  </si>
  <si>
    <t>Пасты для шугаринга</t>
  </si>
  <si>
    <t>Капли для животных</t>
  </si>
  <si>
    <t>Бомбочки для ванны</t>
  </si>
  <si>
    <t>Петли мебельные</t>
  </si>
  <si>
    <t>Скребки для стеклокерамики</t>
  </si>
  <si>
    <t>Электросчетчики</t>
  </si>
  <si>
    <t>Краски штемпельные</t>
  </si>
  <si>
    <t>Санки</t>
  </si>
  <si>
    <t>Темляки для лыжных палок</t>
  </si>
  <si>
    <t>Фильтры воздушные для мототехники</t>
  </si>
  <si>
    <t>Синтезаторы</t>
  </si>
  <si>
    <t>Этюдники</t>
  </si>
  <si>
    <t>Шкафы поворотные</t>
  </si>
  <si>
    <t>Двигатели стеклоочистителя</t>
  </si>
  <si>
    <t>Насосы спортивные</t>
  </si>
  <si>
    <t>Шары для стиральной машины</t>
  </si>
  <si>
    <t>Чехлы для гладильных досок</t>
  </si>
  <si>
    <t>Ремни для чемоданов</t>
  </si>
  <si>
    <t>Желатин</t>
  </si>
  <si>
    <t>Защитные кейсы</t>
  </si>
  <si>
    <t>Колеса и шины для садовых тачек</t>
  </si>
  <si>
    <t>Ножи для швейных машин</t>
  </si>
  <si>
    <t>Люки ревизионные</t>
  </si>
  <si>
    <t>Купальники гимнастические</t>
  </si>
  <si>
    <t>Рюкзаки для фотоаппаратов</t>
  </si>
  <si>
    <t>Велокресла</t>
  </si>
  <si>
    <t>Грибы сушеные</t>
  </si>
  <si>
    <t>Орехи</t>
  </si>
  <si>
    <t>Ретрансляторы</t>
  </si>
  <si>
    <t>Шезлонги садовые</t>
  </si>
  <si>
    <t>Кальвадос</t>
  </si>
  <si>
    <t>Пугала садовые</t>
  </si>
  <si>
    <t>Тапиока</t>
  </si>
  <si>
    <t>Паронитовые прокладки</t>
  </si>
  <si>
    <t>Комплектующие для лодочных прицепов</t>
  </si>
  <si>
    <t>Саморезы для сэндвич панелей</t>
  </si>
  <si>
    <t>Видеокамеры цифровые</t>
  </si>
  <si>
    <t>Столы журнальные плетеные</t>
  </si>
  <si>
    <t>Бачки расширительные</t>
  </si>
  <si>
    <t>Полотенца крестильные</t>
  </si>
  <si>
    <t>Ножницы для стрижки животных</t>
  </si>
  <si>
    <t>Пластилин</t>
  </si>
  <si>
    <t>Подложки для напольных покрытий</t>
  </si>
  <si>
    <t>Ключи TORX</t>
  </si>
  <si>
    <t>Ленты сигнальные</t>
  </si>
  <si>
    <t>Горелки спиртовые туристические</t>
  </si>
  <si>
    <t>Панели коммутационные</t>
  </si>
  <si>
    <t>Приборы экологического контроля</t>
  </si>
  <si>
    <t>Ювелирные запонки</t>
  </si>
  <si>
    <t>Крепления для труб</t>
  </si>
  <si>
    <t>Лампы для птиц и животных</t>
  </si>
  <si>
    <t>Электропилы цепные</t>
  </si>
  <si>
    <t>Ножи кухонные</t>
  </si>
  <si>
    <t>Промоящики</t>
  </si>
  <si>
    <t>Диафильмы</t>
  </si>
  <si>
    <t>Сувениры религиозные</t>
  </si>
  <si>
    <t>Сменные блоки к диффузорам для животных</t>
  </si>
  <si>
    <t>Внешние SSD-накопители</t>
  </si>
  <si>
    <t>Уретральные зонды</t>
  </si>
  <si>
    <t>Мотокофры</t>
  </si>
  <si>
    <t>Фильтры для тепловентиляторов</t>
  </si>
  <si>
    <t>Пружинные зажимные устройства</t>
  </si>
  <si>
    <t>Накладки для дверных ручек</t>
  </si>
  <si>
    <t>Ресиверы</t>
  </si>
  <si>
    <t>Тампоны гигиенические</t>
  </si>
  <si>
    <t>Обратные клапаны для насосов</t>
  </si>
  <si>
    <t>Страхование финансовых рисков</t>
  </si>
  <si>
    <t>Плиты пазогребневые</t>
  </si>
  <si>
    <t>Вагонки деревянные</t>
  </si>
  <si>
    <t>Супы детские</t>
  </si>
  <si>
    <t>Самовары</t>
  </si>
  <si>
    <t>Иглы для рукоделия</t>
  </si>
  <si>
    <t>Шифер</t>
  </si>
  <si>
    <t>Ремни для выпрямления ног</t>
  </si>
  <si>
    <t>Сменные блоки для тетрадей</t>
  </si>
  <si>
    <t>Шапки-шлемы для малышей</t>
  </si>
  <si>
    <t>Мелки для шерсти</t>
  </si>
  <si>
    <t>Сетки пищевые</t>
  </si>
  <si>
    <t>Кардиганы для малышей</t>
  </si>
  <si>
    <t>Стеклообои</t>
  </si>
  <si>
    <t>Карамель жидкая</t>
  </si>
  <si>
    <t>Кардиодатчики</t>
  </si>
  <si>
    <t>Лыжные палки</t>
  </si>
  <si>
    <t>Электрощетки</t>
  </si>
  <si>
    <t>Вагинальные шарики</t>
  </si>
  <si>
    <t>Сетки штукатурные</t>
  </si>
  <si>
    <t>Ткани мебельные</t>
  </si>
  <si>
    <t>Рапидографы</t>
  </si>
  <si>
    <t>Шпильки для гитары</t>
  </si>
  <si>
    <t>Мотоблоки</t>
  </si>
  <si>
    <t>Складные каркасные ванны</t>
  </si>
  <si>
    <t>Наматрасники</t>
  </si>
  <si>
    <t>Четки</t>
  </si>
  <si>
    <t>Таблетки для ирригаторов</t>
  </si>
  <si>
    <t>Плетки эротик</t>
  </si>
  <si>
    <t>Кофе растворимый</t>
  </si>
  <si>
    <t>Медленноварки</t>
  </si>
  <si>
    <t>Стояночные тормоза</t>
  </si>
  <si>
    <t>Наклейки для пианино</t>
  </si>
  <si>
    <t>Кофе молотый</t>
  </si>
  <si>
    <t>Столики автомобильные</t>
  </si>
  <si>
    <t>Автоклавы для консервирования</t>
  </si>
  <si>
    <t>Баллончики для пневматики</t>
  </si>
  <si>
    <t>Гардеробные системы</t>
  </si>
  <si>
    <t>Мостики для скрипки</t>
  </si>
  <si>
    <t>Шорты-ледянки</t>
  </si>
  <si>
    <t>Подставки под удочки</t>
  </si>
  <si>
    <t>Усилители телевизионные</t>
  </si>
  <si>
    <t>Арбалеты для отдыха</t>
  </si>
  <si>
    <t>Мюли</t>
  </si>
  <si>
    <t>Оперативная память</t>
  </si>
  <si>
    <t>Сердечно-сосудистые препараты</t>
  </si>
  <si>
    <t>Комплектующие для шнеков</t>
  </si>
  <si>
    <t>Яйца сувенирные</t>
  </si>
  <si>
    <t>Фотобоксы</t>
  </si>
  <si>
    <t>Фаллопротезы</t>
  </si>
  <si>
    <t>Ролевые костюмы эротик</t>
  </si>
  <si>
    <t>Зонты пляжные</t>
  </si>
  <si>
    <t>Лески для спиц</t>
  </si>
  <si>
    <t>Другие аксессуары для техники</t>
  </si>
  <si>
    <t>Стусла</t>
  </si>
  <si>
    <t>Цветная бумага</t>
  </si>
  <si>
    <t>Мюсли</t>
  </si>
  <si>
    <t>Крепления для гамаков</t>
  </si>
  <si>
    <t>Картриджи для фильтров</t>
  </si>
  <si>
    <t>Масло пищевое детское</t>
  </si>
  <si>
    <t>Блоки системы дополнительного воздуха</t>
  </si>
  <si>
    <t>Шарниры карданные</t>
  </si>
  <si>
    <t>Утяжелители эротик</t>
  </si>
  <si>
    <t>Прокладки клапанной крышки</t>
  </si>
  <si>
    <t>Красители для рукоделия</t>
  </si>
  <si>
    <t>Лыжи горные</t>
  </si>
  <si>
    <t>Грунтовки</t>
  </si>
  <si>
    <t>Ниппели для бескамерной установки</t>
  </si>
  <si>
    <t>Инкубаторы</t>
  </si>
  <si>
    <t>Красители пищевые</t>
  </si>
  <si>
    <t>Комплектующие распределителей зажигания</t>
  </si>
  <si>
    <t>Садовые дорожки и плитки</t>
  </si>
  <si>
    <t>Датчики температуры отработанных газов</t>
  </si>
  <si>
    <t>Декор для сумок и рюкзаков</t>
  </si>
  <si>
    <t>Тренажеры реабилитационные</t>
  </si>
  <si>
    <t>Рыбочистки</t>
  </si>
  <si>
    <t>Комплектующие к автомобильным рулям</t>
  </si>
  <si>
    <t>Аксессуары для хранения дров</t>
  </si>
  <si>
    <t>Ботинки горнолыжные</t>
  </si>
  <si>
    <t>Профили оконные</t>
  </si>
  <si>
    <t>Хипсит</t>
  </si>
  <si>
    <t>Горны музыкальные</t>
  </si>
  <si>
    <t>Канаты тренировочные</t>
  </si>
  <si>
    <t>Галоши</t>
  </si>
  <si>
    <t>Теплообменники салонные</t>
  </si>
  <si>
    <t>Прокладки сантехнические</t>
  </si>
  <si>
    <t>Бамперы для снегоходов</t>
  </si>
  <si>
    <t>Колонки рулевого управления</t>
  </si>
  <si>
    <t>Станки обрабатывающие</t>
  </si>
  <si>
    <t>Банкетки</t>
  </si>
  <si>
    <t>Комбинезоны спортивные</t>
  </si>
  <si>
    <t>Держатели для пустышек</t>
  </si>
  <si>
    <t>Фитнес-браслеты</t>
  </si>
  <si>
    <t>Дорожные туалеты</t>
  </si>
  <si>
    <t>Вентили для радиаторов</t>
  </si>
  <si>
    <t>Электроника</t>
  </si>
  <si>
    <t>Коврики для бани</t>
  </si>
  <si>
    <t>Охлаждение корпуса и компонентов</t>
  </si>
  <si>
    <t>Лодки и катеры</t>
  </si>
  <si>
    <t>Аксессуары для мясорубок</t>
  </si>
  <si>
    <t>Аттрактанты рыболовные</t>
  </si>
  <si>
    <t>Калибраторы для фруктов и овощей</t>
  </si>
  <si>
    <t>Футболки спортивные</t>
  </si>
  <si>
    <t>Крем-десерты</t>
  </si>
  <si>
    <t>Пилоны</t>
  </si>
  <si>
    <t>Фланцы мебельные</t>
  </si>
  <si>
    <t>Разделители страниц</t>
  </si>
  <si>
    <t>Щетки для сукна</t>
  </si>
  <si>
    <t>Наклейки спортивные</t>
  </si>
  <si>
    <t>Машинки для стрижки животных</t>
  </si>
  <si>
    <t>Карамелизаторы</t>
  </si>
  <si>
    <t>Лямки спортивные</t>
  </si>
  <si>
    <t>Смачиватели для пальцев</t>
  </si>
  <si>
    <t>Карнавальные ободки</t>
  </si>
  <si>
    <t>Средства для бассейнов</t>
  </si>
  <si>
    <t>Книги коллекционные</t>
  </si>
  <si>
    <t>Держатели для масок</t>
  </si>
  <si>
    <t>Коврики массажные</t>
  </si>
  <si>
    <t>Мозаики</t>
  </si>
  <si>
    <t>Нагрудники защитные</t>
  </si>
  <si>
    <t>Пилы ручные</t>
  </si>
  <si>
    <t>Держатели кухонные</t>
  </si>
  <si>
    <t>Клетки для животных</t>
  </si>
  <si>
    <t>Выключатели автомобильные</t>
  </si>
  <si>
    <t>Органайзеры на сиденья</t>
  </si>
  <si>
    <t>Лаки художественные</t>
  </si>
  <si>
    <t>Графины</t>
  </si>
  <si>
    <t>Глюкометры</t>
  </si>
  <si>
    <t>Макароны детские</t>
  </si>
  <si>
    <t>Шапочки одноразовые</t>
  </si>
  <si>
    <t>Запчасти для батутов</t>
  </si>
  <si>
    <t>Сумки для ноутбуков</t>
  </si>
  <si>
    <t>Роторные флисовые валики</t>
  </si>
  <si>
    <t>Жидкие подводки</t>
  </si>
  <si>
    <t>Прокладки осевого шенкеля</t>
  </si>
  <si>
    <t>Опрессовщики</t>
  </si>
  <si>
    <t>Ремешки для высотомеров</t>
  </si>
  <si>
    <t>Аппараты для фототерапии</t>
  </si>
  <si>
    <t>Приманки мягкие</t>
  </si>
  <si>
    <t>Мотоочки</t>
  </si>
  <si>
    <t>Ножницы рыболовные</t>
  </si>
  <si>
    <t>Всасывающие шноркели</t>
  </si>
  <si>
    <t>Вилки для распечатывания сот</t>
  </si>
  <si>
    <t>Колеса для йоги</t>
  </si>
  <si>
    <t>Печи туристические</t>
  </si>
  <si>
    <t>Тумбы для запрыгиваний</t>
  </si>
  <si>
    <t>Грунты для аквариумов и террариумов</t>
  </si>
  <si>
    <t>Подарочные коробки</t>
  </si>
  <si>
    <t>Колодки для мотоциклов</t>
  </si>
  <si>
    <t>Кронштейны для сноубордов</t>
  </si>
  <si>
    <t>Столы для предметной съемки</t>
  </si>
  <si>
    <t>Ложки столовые</t>
  </si>
  <si>
    <t>Ионизаторы серебряные</t>
  </si>
  <si>
    <t>Грунтовки для автомобиля</t>
  </si>
  <si>
    <t>Коврики пляжные</t>
  </si>
  <si>
    <t>Держатели для кашпо</t>
  </si>
  <si>
    <t>Юбки эротик</t>
  </si>
  <si>
    <t>Инструменты для обработки кия и наклеек</t>
  </si>
  <si>
    <t>Матрасы в коляску</t>
  </si>
  <si>
    <t>Выставочные палатки для животных</t>
  </si>
  <si>
    <t>Морозильные лари</t>
  </si>
  <si>
    <t>Слинг-шарфы</t>
  </si>
  <si>
    <t>Половники</t>
  </si>
  <si>
    <t>Багеты</t>
  </si>
  <si>
    <t>Смеси круп и бобовых</t>
  </si>
  <si>
    <t>Джазовки</t>
  </si>
  <si>
    <t>Матрасы в кроватку для новорожденных</t>
  </si>
  <si>
    <t>Хомуты автомобильные</t>
  </si>
  <si>
    <t>Кольцевые лампы</t>
  </si>
  <si>
    <t>Нарукавники</t>
  </si>
  <si>
    <t>Комплектующие для автомобильных рам</t>
  </si>
  <si>
    <t>Смазки автомобильные</t>
  </si>
  <si>
    <t>Раттлины</t>
  </si>
  <si>
    <t>Огнетушители автомобильные</t>
  </si>
  <si>
    <t>Карнавальная обувь</t>
  </si>
  <si>
    <t>Гартеры эротик</t>
  </si>
  <si>
    <t>Головные уборы эротик</t>
  </si>
  <si>
    <t>Книги для записи рецептов</t>
  </si>
  <si>
    <t>Распылители для химчистки</t>
  </si>
  <si>
    <t>Кастаньеты</t>
  </si>
  <si>
    <t>Саундбары</t>
  </si>
  <si>
    <t>Сменные файлы для пилок</t>
  </si>
  <si>
    <t>Запчасти для садовой мебели и качелей</t>
  </si>
  <si>
    <t>Съемники рыболовных крючков</t>
  </si>
  <si>
    <t>Масла для инструментов</t>
  </si>
  <si>
    <t>Аппликаторы Ляпко</t>
  </si>
  <si>
    <t>Юбки для малышей</t>
  </si>
  <si>
    <t>Сальники автомобильные</t>
  </si>
  <si>
    <t>Кокотницы</t>
  </si>
  <si>
    <t>Датчики контроля массы и объема воздуха</t>
  </si>
  <si>
    <t>Поисковые магниты</t>
  </si>
  <si>
    <t>Смарт-часы</t>
  </si>
  <si>
    <t>Пороги силовые</t>
  </si>
  <si>
    <t>Усилители искры в системе зажигания</t>
  </si>
  <si>
    <t>Трафареты для окрашивания животных</t>
  </si>
  <si>
    <t>Прочие изделия для курения</t>
  </si>
  <si>
    <t>Элементы облицовки</t>
  </si>
  <si>
    <t>Напитки молочные</t>
  </si>
  <si>
    <t>Генераторы для мототехники</t>
  </si>
  <si>
    <t>Арматура сливная</t>
  </si>
  <si>
    <t>Халаты рабочие</t>
  </si>
  <si>
    <t>Поглотители запаха и влаги</t>
  </si>
  <si>
    <t>Мази лечебные для животных</t>
  </si>
  <si>
    <t>Наборы для рыбалки</t>
  </si>
  <si>
    <t>Регуляторы увеличения силы пружины</t>
  </si>
  <si>
    <t>DVD-плееры</t>
  </si>
  <si>
    <t>Чучела охотничьи</t>
  </si>
  <si>
    <t>Капоты двигателя</t>
  </si>
  <si>
    <t>Жилеты медицинские</t>
  </si>
  <si>
    <t>Бусины</t>
  </si>
  <si>
    <t>Кронштейны для планшетов</t>
  </si>
  <si>
    <t>Средства для обработки воздушных шаров</t>
  </si>
  <si>
    <t>Оси для самокатов</t>
  </si>
  <si>
    <t>Полотенца спортивные</t>
  </si>
  <si>
    <t>Бахилы горнолыжные</t>
  </si>
  <si>
    <t>Флейты</t>
  </si>
  <si>
    <t>Валики для ресниц</t>
  </si>
  <si>
    <t>Сухофрукты в глазури</t>
  </si>
  <si>
    <t>Горшки для цветов</t>
  </si>
  <si>
    <t>Зубные щетки для животных</t>
  </si>
  <si>
    <t>Холодильные витрины</t>
  </si>
  <si>
    <t>Игрушечные парковки</t>
  </si>
  <si>
    <t>Нитевдеватели</t>
  </si>
  <si>
    <t>Наборы для виндсерфинга</t>
  </si>
  <si>
    <t>Стоп-сигналы</t>
  </si>
  <si>
    <t>Пассаметры</t>
  </si>
  <si>
    <t>Плитка мозаичная</t>
  </si>
  <si>
    <t>Спреи для животных</t>
  </si>
  <si>
    <t>Полукомбинезоны рабочие</t>
  </si>
  <si>
    <t>Тепловентиляторы автомобильные</t>
  </si>
  <si>
    <t>Корпусы рулевого механизма</t>
  </si>
  <si>
    <t>Фонари велосипедные</t>
  </si>
  <si>
    <t>Прокладки выпускного коллектора</t>
  </si>
  <si>
    <t>Упоры поясничные</t>
  </si>
  <si>
    <t>Фильтры воздушные</t>
  </si>
  <si>
    <t>Пакеты гигиенические</t>
  </si>
  <si>
    <t>Хирургические тренажеры</t>
  </si>
  <si>
    <t>Диверторы</t>
  </si>
  <si>
    <t>Разбрызгиватели и дождеватели</t>
  </si>
  <si>
    <t>Ремни для фотоаппаратов</t>
  </si>
  <si>
    <t>Пинцеты для коллекционирования</t>
  </si>
  <si>
    <t>Наполнители для аквариумных фильтров</t>
  </si>
  <si>
    <t>Стартеры для розжига</t>
  </si>
  <si>
    <t>Реле давления насосов</t>
  </si>
  <si>
    <t>Коннекторы шинопроводов</t>
  </si>
  <si>
    <t>Фреш-пакеты</t>
  </si>
  <si>
    <t>Тяги стеклоочистителя</t>
  </si>
  <si>
    <t>Автохимия</t>
  </si>
  <si>
    <t>Роботы-пылесосы</t>
  </si>
  <si>
    <t>Пудры для животных</t>
  </si>
  <si>
    <t>Дубинки рыболовные</t>
  </si>
  <si>
    <t>Ершики для питьевых систем</t>
  </si>
  <si>
    <t>Перекись водорода для бассейна</t>
  </si>
  <si>
    <t>Медицинболы</t>
  </si>
  <si>
    <t>Решетки для гриля</t>
  </si>
  <si>
    <t>Насадки на член</t>
  </si>
  <si>
    <t>Коврики для гаража</t>
  </si>
  <si>
    <t>Бирки для ключей</t>
  </si>
  <si>
    <t>Треугольники бильярдные</t>
  </si>
  <si>
    <t>Наручники эротик</t>
  </si>
  <si>
    <t>Линейные массивы</t>
  </si>
  <si>
    <t>Украшения для посуды</t>
  </si>
  <si>
    <t>Крупа гороховая</t>
  </si>
  <si>
    <t>Линолеум</t>
  </si>
  <si>
    <t>Наборы для ухода за обувью</t>
  </si>
  <si>
    <t>Подогреватели и сушки посуды</t>
  </si>
  <si>
    <t>Сухие завтраки</t>
  </si>
  <si>
    <t>Подставки для мисок</t>
  </si>
  <si>
    <t>Радиосинхронизаторы</t>
  </si>
  <si>
    <t>Лестницы для бассейнов</t>
  </si>
  <si>
    <t>Керамзит строительный</t>
  </si>
  <si>
    <t>Вкладыши подшипника коленвала</t>
  </si>
  <si>
    <t>Багажные боксы</t>
  </si>
  <si>
    <t>Наборы кемпинговой мебели</t>
  </si>
  <si>
    <t>Салфетки косметические</t>
  </si>
  <si>
    <t>Аппликаторы грязевые</t>
  </si>
  <si>
    <t>Очистители автостекол</t>
  </si>
  <si>
    <t>Защита радиатора</t>
  </si>
  <si>
    <t>Ремни для музыкальных инструментов</t>
  </si>
  <si>
    <t>Брелоки на ошейники</t>
  </si>
  <si>
    <t>Кейсы для косметики</t>
  </si>
  <si>
    <t>Табуреты садовые</t>
  </si>
  <si>
    <t>Толстовки для животных</t>
  </si>
  <si>
    <t>Фильтры частичные</t>
  </si>
  <si>
    <t>Простыни для малышей</t>
  </si>
  <si>
    <t>Мотобуры</t>
  </si>
  <si>
    <t>Вышки-туры</t>
  </si>
  <si>
    <t>Проушины буксирные</t>
  </si>
  <si>
    <t>Комплектующие для генераторов</t>
  </si>
  <si>
    <t>Муфты сцепления</t>
  </si>
  <si>
    <t>Коврики для туалета</t>
  </si>
  <si>
    <t>Раздвижные системы</t>
  </si>
  <si>
    <t>Зацепы для скалодрома</t>
  </si>
  <si>
    <t>Картины в рамах</t>
  </si>
  <si>
    <t>Шали</t>
  </si>
  <si>
    <t>Двутавры</t>
  </si>
  <si>
    <t>Пакеты для вакууматора</t>
  </si>
  <si>
    <t>Чехлы для барбекю и грилей</t>
  </si>
  <si>
    <t>Наборы крепежа</t>
  </si>
  <si>
    <t>Держатели для клубка пряжи</t>
  </si>
  <si>
    <t>Джемперы спортивные</t>
  </si>
  <si>
    <t>Жилеты страховочные</t>
  </si>
  <si>
    <t>Столы пеленальные</t>
  </si>
  <si>
    <t>Электромобили</t>
  </si>
  <si>
    <t>Ползунки для животных</t>
  </si>
  <si>
    <t>Внешние звуковые карты</t>
  </si>
  <si>
    <t>Предохранители электрические</t>
  </si>
  <si>
    <t>Лодки надувные</t>
  </si>
  <si>
    <t>Спреи для вратарских перчаток</t>
  </si>
  <si>
    <t>Кофемолки электрические</t>
  </si>
  <si>
    <t>Звукосниматели</t>
  </si>
  <si>
    <t>Растушевки</t>
  </si>
  <si>
    <t>Фильтры для аквариума</t>
  </si>
  <si>
    <t>Капоры для малышей</t>
  </si>
  <si>
    <t>Жилеты оздоровительные</t>
  </si>
  <si>
    <t>Крышки двигателя мототехники</t>
  </si>
  <si>
    <t>Кляпы эротик</t>
  </si>
  <si>
    <t>Зажимы для альпинизма</t>
  </si>
  <si>
    <t>Пульты управления сигнализацией</t>
  </si>
  <si>
    <t>Оборудование зуботехническое</t>
  </si>
  <si>
    <t>Термолонгсливы для малышей</t>
  </si>
  <si>
    <t>Имплантируемые порт-системы</t>
  </si>
  <si>
    <t>Аэрогрили</t>
  </si>
  <si>
    <t>Зажимы для шлангов</t>
  </si>
  <si>
    <t>Мака перуанская</t>
  </si>
  <si>
    <t>Точилки косметические</t>
  </si>
  <si>
    <t>Вилы</t>
  </si>
  <si>
    <t>Петли бортовые</t>
  </si>
  <si>
    <t>Скобы автомобильные</t>
  </si>
  <si>
    <t>Шланги для душа</t>
  </si>
  <si>
    <t>Браслеты для часов</t>
  </si>
  <si>
    <t>Компрессоры</t>
  </si>
  <si>
    <t>Шапки для животных</t>
  </si>
  <si>
    <t>Душевые кабины для инвалидов</t>
  </si>
  <si>
    <t>Присыпки</t>
  </si>
  <si>
    <t>Держатели канцелярские</t>
  </si>
  <si>
    <t>Электрооборудование двигателя</t>
  </si>
  <si>
    <t>Пояса для чулок</t>
  </si>
  <si>
    <t>Датчики износа тормозных колодок</t>
  </si>
  <si>
    <t>Умные светильники</t>
  </si>
  <si>
    <t>Накладки для лошадей</t>
  </si>
  <si>
    <t>Насосные станции</t>
  </si>
  <si>
    <t>Кирки</t>
  </si>
  <si>
    <t>Гели для бровей</t>
  </si>
  <si>
    <t>Электромагнитный клапан для воды</t>
  </si>
  <si>
    <t>Корнеудалители</t>
  </si>
  <si>
    <t>Насосы для вакуумных пакетов</t>
  </si>
  <si>
    <t>Дефлекторы</t>
  </si>
  <si>
    <t>Пули для пневматики</t>
  </si>
  <si>
    <t>Вафельницы</t>
  </si>
  <si>
    <t>Комбинезоны одноразовые</t>
  </si>
  <si>
    <t>Спортивные крепежи для телефонов</t>
  </si>
  <si>
    <t>Френч-прессы</t>
  </si>
  <si>
    <t>Телескопические указки</t>
  </si>
  <si>
    <t>Присоски для аквариумов</t>
  </si>
  <si>
    <t>Зарядные кабели автомобильные</t>
  </si>
  <si>
    <t>Фитинги</t>
  </si>
  <si>
    <t>Вилки столовые</t>
  </si>
  <si>
    <t>Комплекты одноразовых материалов</t>
  </si>
  <si>
    <t>Струбцины</t>
  </si>
  <si>
    <t>Комплекты реечного потолка</t>
  </si>
  <si>
    <t>Омлетницы</t>
  </si>
  <si>
    <t>Гидрошапки</t>
  </si>
  <si>
    <t>Вибропули</t>
  </si>
  <si>
    <t>Маршмеллоу</t>
  </si>
  <si>
    <t>Наборы посуды для приготовления</t>
  </si>
  <si>
    <t>Инструменты для депиляции</t>
  </si>
  <si>
    <t>Тенты для квадроциклов</t>
  </si>
  <si>
    <t>Коврики для глажения</t>
  </si>
  <si>
    <t>Заслонки отопителя</t>
  </si>
  <si>
    <t>Подшлемники под каску</t>
  </si>
  <si>
    <t>Дарсонваль</t>
  </si>
  <si>
    <t>Щетки косметические</t>
  </si>
  <si>
    <t>Банджо и домры</t>
  </si>
  <si>
    <t>Хлопья из полбы</t>
  </si>
  <si>
    <t>Блендеры</t>
  </si>
  <si>
    <t>Опоры крепежные</t>
  </si>
  <si>
    <t>Провода прикуривания</t>
  </si>
  <si>
    <t>Глиттеры</t>
  </si>
  <si>
    <t>Воронки для кофе</t>
  </si>
  <si>
    <t>Пианино цифровое</t>
  </si>
  <si>
    <t>Комплекты корпусной мебели</t>
  </si>
  <si>
    <t>Рамки для ульев</t>
  </si>
  <si>
    <t>ШРУСы</t>
  </si>
  <si>
    <t>Свитеры для малышей</t>
  </si>
  <si>
    <t>Чехлы для ружей</t>
  </si>
  <si>
    <t>Ресницы для наращивания</t>
  </si>
  <si>
    <t>Блокноты электронные</t>
  </si>
  <si>
    <t>Аксессуары для подводной охоты</t>
  </si>
  <si>
    <t>Скальпели медицинские</t>
  </si>
  <si>
    <t>Шины электротехнические</t>
  </si>
  <si>
    <t>Впитывающие вкладыши для подгузников</t>
  </si>
  <si>
    <t>Фонари спортивные</t>
  </si>
  <si>
    <t>Ударные установки</t>
  </si>
  <si>
    <t>Заводные кольца</t>
  </si>
  <si>
    <t>Комплекты мебели для ванной</t>
  </si>
  <si>
    <t>Анальные бусы</t>
  </si>
  <si>
    <t>Кетчупы</t>
  </si>
  <si>
    <t>Плитка керамическая</t>
  </si>
  <si>
    <t>Плитка зеркальная</t>
  </si>
  <si>
    <t>Скотч для наращивания волос</t>
  </si>
  <si>
    <t>Поезда и паровозы</t>
  </si>
  <si>
    <t>Колеры для краски</t>
  </si>
  <si>
    <t>Добавки для строительных смесей</t>
  </si>
  <si>
    <t>Валы промежуточные</t>
  </si>
  <si>
    <t>Камеры для коптеров</t>
  </si>
  <si>
    <t>Ножницы канцелярские</t>
  </si>
  <si>
    <t>Эрекционные кольца</t>
  </si>
  <si>
    <t>Шорты спортивные</t>
  </si>
  <si>
    <t>Колышки и скобы садовые</t>
  </si>
  <si>
    <t>Голубцы</t>
  </si>
  <si>
    <t>Штукатурно-клеевые смеси</t>
  </si>
  <si>
    <t>Вода для утюгов</t>
  </si>
  <si>
    <t>Органайзеры для хранения</t>
  </si>
  <si>
    <t>Часы настенные</t>
  </si>
  <si>
    <t>Сушилки для рук</t>
  </si>
  <si>
    <t>Печи для казана</t>
  </si>
  <si>
    <t>Джемперы для малышей</t>
  </si>
  <si>
    <t>Конверты бумажные</t>
  </si>
  <si>
    <t>Пакеты для медицинских отходов</t>
  </si>
  <si>
    <t>Автономные отопители</t>
  </si>
  <si>
    <t>Комплектующие для светильников</t>
  </si>
  <si>
    <t>Другие кухонные приспособления</t>
  </si>
  <si>
    <t>Пальто для малышей</t>
  </si>
  <si>
    <t>Подставки для наушников</t>
  </si>
  <si>
    <t>Мухобойки электрические</t>
  </si>
  <si>
    <t>Вантузы</t>
  </si>
  <si>
    <t>Радио</t>
  </si>
  <si>
    <t>Духи для животных</t>
  </si>
  <si>
    <t>Рефлекторы</t>
  </si>
  <si>
    <t>Букинистические комплекты</t>
  </si>
  <si>
    <t>Адаптеры для автокормушек</t>
  </si>
  <si>
    <t>Подставки для техники</t>
  </si>
  <si>
    <t>Заглушки для гаджетов</t>
  </si>
  <si>
    <t>Горки детские</t>
  </si>
  <si>
    <t>Очки для плавания</t>
  </si>
  <si>
    <t>Питьевые системы</t>
  </si>
  <si>
    <t>Гурты для лошадей</t>
  </si>
  <si>
    <t>Манжеты для шитья</t>
  </si>
  <si>
    <t>Мембраны кровельные</t>
  </si>
  <si>
    <t>Гидропомпы эротик</t>
  </si>
  <si>
    <t>Бандажи косметические</t>
  </si>
  <si>
    <t>Пружины для шейкера</t>
  </si>
  <si>
    <t>Брюки спортивные</t>
  </si>
  <si>
    <t>Рамки автомобильные</t>
  </si>
  <si>
    <t>Подлокотники для мебели</t>
  </si>
  <si>
    <t>Компрессионные гетры</t>
  </si>
  <si>
    <t>Прессы для картофеля</t>
  </si>
  <si>
    <t>Нагрудники для ресторанов</t>
  </si>
  <si>
    <t>Кресла-качалки</t>
  </si>
  <si>
    <t>Наборы для приготовления масок</t>
  </si>
  <si>
    <t>Ионизаторы воздуха</t>
  </si>
  <si>
    <t>Извещатели пожарные</t>
  </si>
  <si>
    <t>Велотренажеры</t>
  </si>
  <si>
    <t>Аксессуары для массажеров</t>
  </si>
  <si>
    <t>Сауны и увлажнители для лица</t>
  </si>
  <si>
    <t>Пэды тренировочные</t>
  </si>
  <si>
    <t>Игрушки-подвески</t>
  </si>
  <si>
    <t>Зажимы для сосков</t>
  </si>
  <si>
    <t>Прессы для мяса</t>
  </si>
  <si>
    <t>Полотенца-пончо</t>
  </si>
  <si>
    <t>Спреи для уборки</t>
  </si>
  <si>
    <t>Косухи для малышей</t>
  </si>
  <si>
    <t>Угли для кальянов</t>
  </si>
  <si>
    <t>Средства от накипи</t>
  </si>
  <si>
    <t>Руны</t>
  </si>
  <si>
    <t>Краны для емкостей</t>
  </si>
  <si>
    <t>Качели подвесные</t>
  </si>
  <si>
    <t>Вилки силовые</t>
  </si>
  <si>
    <t>Чехлы для наушников</t>
  </si>
  <si>
    <t>Миксеры для косметики</t>
  </si>
  <si>
    <t>Анальные пробки</t>
  </si>
  <si>
    <t>3D-принтеры</t>
  </si>
  <si>
    <t>Жилеты для животных</t>
  </si>
  <si>
    <t>Запчасти для зажигалок</t>
  </si>
  <si>
    <t>Виртуальные очки</t>
  </si>
  <si>
    <t>Пинцеты</t>
  </si>
  <si>
    <t>Маски для сна</t>
  </si>
  <si>
    <t>Обои</t>
  </si>
  <si>
    <t>Сачки для аквариума</t>
  </si>
  <si>
    <t>Насосы для надувных бассейнов</t>
  </si>
  <si>
    <t>Радио-часы</t>
  </si>
  <si>
    <t>Изголовья кроватей</t>
  </si>
  <si>
    <t>Ультразвуковые мойки для медицинских инструментов</t>
  </si>
  <si>
    <t>Болеро для малышей</t>
  </si>
  <si>
    <t>Свечи БДСМ</t>
  </si>
  <si>
    <t>Масла для животных</t>
  </si>
  <si>
    <t>Инструменты запрессовочно-выпрессовочные</t>
  </si>
  <si>
    <t>Блины</t>
  </si>
  <si>
    <t>Ветчинницы</t>
  </si>
  <si>
    <t>Ковры</t>
  </si>
  <si>
    <t>Скамейки кемпинговые</t>
  </si>
  <si>
    <t>Бренди</t>
  </si>
  <si>
    <t>Костюмы маскировочные</t>
  </si>
  <si>
    <t>Наушники противошумные детские</t>
  </si>
  <si>
    <t>Автоодеяла</t>
  </si>
  <si>
    <t>Жидкости для мыльных пузырей</t>
  </si>
  <si>
    <t>Свечи эротик</t>
  </si>
  <si>
    <t>Стопомеры</t>
  </si>
  <si>
    <t>Аксессуары для паровых станций</t>
  </si>
  <si>
    <t>Blu-Ray проигрыватели</t>
  </si>
  <si>
    <t>Подписки игровых сервисов</t>
  </si>
  <si>
    <t>Радиаторы охлаждения</t>
  </si>
  <si>
    <t>Рубашки медицинские</t>
  </si>
  <si>
    <t>Камины</t>
  </si>
  <si>
    <t>Шипы-накладки на обувь</t>
  </si>
  <si>
    <t>Освещение для бани</t>
  </si>
  <si>
    <t>Пучковязы</t>
  </si>
  <si>
    <t>Спреи лечебные для животных</t>
  </si>
  <si>
    <t>Тюнеры для гитары</t>
  </si>
  <si>
    <t>Трусы для малышей</t>
  </si>
  <si>
    <t>Ножи раскройные</t>
  </si>
  <si>
    <t>Пены монтажные</t>
  </si>
  <si>
    <t>Корпусы дроссельной заслонки</t>
  </si>
  <si>
    <t>Гамаки</t>
  </si>
  <si>
    <t>Носки для грепплинга</t>
  </si>
  <si>
    <t>Очистители щелевые</t>
  </si>
  <si>
    <t>Щипцы для рукоделия</t>
  </si>
  <si>
    <t>Стрипы</t>
  </si>
  <si>
    <t>Маркеры строительные</t>
  </si>
  <si>
    <t>Гели для животных</t>
  </si>
  <si>
    <t>Перчатки рабочие</t>
  </si>
  <si>
    <t>Модульная плитка</t>
  </si>
  <si>
    <t>Лампы для сушки ногтей</t>
  </si>
  <si>
    <t>Мебель для кукол</t>
  </si>
  <si>
    <t>Кадило для кальяна</t>
  </si>
  <si>
    <t>Кормушки для животных</t>
  </si>
  <si>
    <t>Багорики</t>
  </si>
  <si>
    <t>Нагреватели для аквариума</t>
  </si>
  <si>
    <t>Модули доступа ТВ</t>
  </si>
  <si>
    <t>Прокладки масляных фильтров</t>
  </si>
  <si>
    <t>Шкурки для самокатов</t>
  </si>
  <si>
    <t>Стиральные машины</t>
  </si>
  <si>
    <t>Хинкали</t>
  </si>
  <si>
    <t>Насадки на кран</t>
  </si>
  <si>
    <t>Халаты для животных</t>
  </si>
  <si>
    <t>Загоны для животных</t>
  </si>
  <si>
    <t>Вешалки автомобильные</t>
  </si>
  <si>
    <t>Футболки-поло для малышей</t>
  </si>
  <si>
    <t>Фильтры для краски</t>
  </si>
  <si>
    <t>Шпагаты банковские</t>
  </si>
  <si>
    <t>Журналы</t>
  </si>
  <si>
    <t>Ракели</t>
  </si>
  <si>
    <t>Полупальто для малышей</t>
  </si>
  <si>
    <t>Лопатки для плавания</t>
  </si>
  <si>
    <t>Наполнители для террариумов</t>
  </si>
  <si>
    <t>Инструменты для тейпирования гипсокартона</t>
  </si>
  <si>
    <t>Табуреты детские</t>
  </si>
  <si>
    <t>Плейсматы</t>
  </si>
  <si>
    <t>Часы карманные</t>
  </si>
  <si>
    <t>Запчасти для кондиционеров</t>
  </si>
  <si>
    <t>Хозблоки и сараи</t>
  </si>
  <si>
    <t>Чехлы для одежды</t>
  </si>
  <si>
    <t>Аксессуары для рукоделия</t>
  </si>
  <si>
    <t>Биде</t>
  </si>
  <si>
    <t>Аккумуляторы для велосипедных фонарей</t>
  </si>
  <si>
    <t>Спреи от курения</t>
  </si>
  <si>
    <t>Средства для ухода и заживления татуировок</t>
  </si>
  <si>
    <t>Дартс</t>
  </si>
  <si>
    <t>Крупа ячневая</t>
  </si>
  <si>
    <t>Чехлы для смарт-часов</t>
  </si>
  <si>
    <t>Шубы для животных</t>
  </si>
  <si>
    <t>Ботинки для лыжероллеров</t>
  </si>
  <si>
    <t>Смеси для десертов</t>
  </si>
  <si>
    <t>Датчики для умного дома и систем безопасности</t>
  </si>
  <si>
    <t>Контейнеры для детского питания</t>
  </si>
  <si>
    <t>Лотки хлебные</t>
  </si>
  <si>
    <t>Вакуумные помпы эротик</t>
  </si>
  <si>
    <t>Кератолитики</t>
  </si>
  <si>
    <t>Озонаторы</t>
  </si>
  <si>
    <t>Угольные грили</t>
  </si>
  <si>
    <t>Аккумуляторы для садовой техники</t>
  </si>
  <si>
    <t>Диски алмазные</t>
  </si>
  <si>
    <t>Крабовые палочки</t>
  </si>
  <si>
    <t>Швейная фурнитура</t>
  </si>
  <si>
    <t>Видеочипы</t>
  </si>
  <si>
    <t>Нити кулинарные</t>
  </si>
  <si>
    <t>Манекены</t>
  </si>
  <si>
    <t>Рахат-лукум</t>
  </si>
  <si>
    <t>Булавки для воротника</t>
  </si>
  <si>
    <t>Другие запчасти для снегоходов</t>
  </si>
  <si>
    <t>Вкладыши для сапог</t>
  </si>
  <si>
    <t>Лупы</t>
  </si>
  <si>
    <t>Газонокосилки</t>
  </si>
  <si>
    <t>Слойки</t>
  </si>
  <si>
    <t>Чехлы для обручей</t>
  </si>
  <si>
    <t>Творог</t>
  </si>
  <si>
    <t>Пунш</t>
  </si>
  <si>
    <t>Тормозные диски</t>
  </si>
  <si>
    <t>Таблички ритуальные</t>
  </si>
  <si>
    <t>Гарпуны</t>
  </si>
  <si>
    <t>Электрические грелки</t>
  </si>
  <si>
    <t>Деки для скейтбордов</t>
  </si>
  <si>
    <t>Губки для обуви</t>
  </si>
  <si>
    <t>Комплекты садовой мебели</t>
  </si>
  <si>
    <t>Вакуумные трубопроводы автомобильные</t>
  </si>
  <si>
    <t>Туфли спортивные</t>
  </si>
  <si>
    <t>Бумажные салфетки</t>
  </si>
  <si>
    <t>Трубки нагнетаемого воздуха</t>
  </si>
  <si>
    <t>Коврики для намаза</t>
  </si>
  <si>
    <t>Компрессионные боди</t>
  </si>
  <si>
    <t>Расходники для паяльников</t>
  </si>
  <si>
    <t>Люстры</t>
  </si>
  <si>
    <t>Шапки-ушанки</t>
  </si>
  <si>
    <t>Ленты для эмбоссеров</t>
  </si>
  <si>
    <t>Марципан</t>
  </si>
  <si>
    <t>Тинты для губ</t>
  </si>
  <si>
    <t>Наборы для опытов</t>
  </si>
  <si>
    <t>Паровые швабры</t>
  </si>
  <si>
    <t>Шарниры коленчатые</t>
  </si>
  <si>
    <t>Комплектующие автомобильных фар</t>
  </si>
  <si>
    <t>Игровые коврики</t>
  </si>
  <si>
    <t>Вспышки для камер</t>
  </si>
  <si>
    <t>Подушки безопасности</t>
  </si>
  <si>
    <t>Впрыскивающие элементы</t>
  </si>
  <si>
    <t>Клей для временных татуировок</t>
  </si>
  <si>
    <t>Наборы для кэнди бара</t>
  </si>
  <si>
    <t>Инструменты для заточки</t>
  </si>
  <si>
    <t>Основы под гель-лаки</t>
  </si>
  <si>
    <t>Шланги топливные для мототехники</t>
  </si>
  <si>
    <t>Пенополистирол</t>
  </si>
  <si>
    <t>Сниматели для обуви</t>
  </si>
  <si>
    <t>Аптечки первой помощи</t>
  </si>
  <si>
    <t>Замки навесные</t>
  </si>
  <si>
    <t>Поршневые пальцы</t>
  </si>
  <si>
    <t>Пакеты для стерилизатора</t>
  </si>
  <si>
    <t>Переключатели автомобильные</t>
  </si>
  <si>
    <t>Наборы для чаепития</t>
  </si>
  <si>
    <t>Подгузники для животных</t>
  </si>
  <si>
    <t>Магниты мебельные</t>
  </si>
  <si>
    <t>Ланч-боксы</t>
  </si>
  <si>
    <t>Усилители интернет-сигнала</t>
  </si>
  <si>
    <t>Сифонные поилки</t>
  </si>
  <si>
    <t>Осветлители для волос</t>
  </si>
  <si>
    <t>Подставки для парикмахерских инструментов</t>
  </si>
  <si>
    <t>Рулетки</t>
  </si>
  <si>
    <t>Коврики спортивные</t>
  </si>
  <si>
    <t>Индикаторы зубного налета</t>
  </si>
  <si>
    <t>Стулья садовые</t>
  </si>
  <si>
    <t>Хлебная соломка</t>
  </si>
  <si>
    <t>Силиконовая защита для пяток</t>
  </si>
  <si>
    <t>Самса</t>
  </si>
  <si>
    <t>Брюки для малышей</t>
  </si>
  <si>
    <t>Ростки пшеницы</t>
  </si>
  <si>
    <t>Машинки для плетения шнуров</t>
  </si>
  <si>
    <t>Гарнитуры кухонные</t>
  </si>
  <si>
    <t>Шлепалки эротик</t>
  </si>
  <si>
    <t>Специализированное питание</t>
  </si>
  <si>
    <t>Тортилья</t>
  </si>
  <si>
    <t>Кронштейны для видеотехники</t>
  </si>
  <si>
    <t>Жидкости для снятия этикеток</t>
  </si>
  <si>
    <t>Рулеты</t>
  </si>
  <si>
    <t>Столики туалетные</t>
  </si>
  <si>
    <t>Колпаки поварские</t>
  </si>
  <si>
    <t>Карты RFID</t>
  </si>
  <si>
    <t>Бамперы автомобильные</t>
  </si>
  <si>
    <t>Навесы над крыльцом</t>
  </si>
  <si>
    <t>Аккумуляторы для мотоциклов</t>
  </si>
  <si>
    <t>Экраны под ванну</t>
  </si>
  <si>
    <t>Таганок</t>
  </si>
  <si>
    <t>Вагинальные тренажеры</t>
  </si>
  <si>
    <t>Вальтрапы</t>
  </si>
  <si>
    <t>Мясо сушеное</t>
  </si>
  <si>
    <t>Комплектующие для карнизов</t>
  </si>
  <si>
    <t>Заколки клик-клак</t>
  </si>
  <si>
    <t>Хна для волос</t>
  </si>
  <si>
    <t>Шторы уличные</t>
  </si>
  <si>
    <t>Смеси для супов</t>
  </si>
  <si>
    <t>Зелень и салаты</t>
  </si>
  <si>
    <t>Пеньюары парикмахерские</t>
  </si>
  <si>
    <t>Цемент</t>
  </si>
  <si>
    <t>Подпруги</t>
  </si>
  <si>
    <t>Стриппинг</t>
  </si>
  <si>
    <t>Календари</t>
  </si>
  <si>
    <t>Заклепки</t>
  </si>
  <si>
    <t>Противоопухолевые препараты</t>
  </si>
  <si>
    <t>Цепочки</t>
  </si>
  <si>
    <t>Забродники</t>
  </si>
  <si>
    <t>Хрен столовый</t>
  </si>
  <si>
    <t>Гели пищевые</t>
  </si>
  <si>
    <t>Штемпельные подушки</t>
  </si>
  <si>
    <t>Датчики угла поворота</t>
  </si>
  <si>
    <t>Средства для ухода за баней и сауной</t>
  </si>
  <si>
    <t>Ремни для фиксации</t>
  </si>
  <si>
    <t>Сухофрукты</t>
  </si>
  <si>
    <t>Фильтры для поилки</t>
  </si>
  <si>
    <t>Диски для записи</t>
  </si>
  <si>
    <t>Коктейли алкогольные</t>
  </si>
  <si>
    <t>Системы подогрева двигателя</t>
  </si>
  <si>
    <t>Мониторы видеодомофона</t>
  </si>
  <si>
    <t>Мыло косметическое</t>
  </si>
  <si>
    <t>Ножки куриные</t>
  </si>
  <si>
    <t>Бриджи спортивные</t>
  </si>
  <si>
    <t>Пояса для аквааэробики</t>
  </si>
  <si>
    <t>Конусы дорожные</t>
  </si>
  <si>
    <t>Насосы воздушные</t>
  </si>
  <si>
    <t>Системы персонального мониторинга</t>
  </si>
  <si>
    <t>Проводка для мототехники</t>
  </si>
  <si>
    <t>Наборы для поделок</t>
  </si>
  <si>
    <t>Готовые блюда</t>
  </si>
  <si>
    <t>Таблетницы</t>
  </si>
  <si>
    <t>Мотоботы</t>
  </si>
  <si>
    <t>Аксессуары для виртуальных очков</t>
  </si>
  <si>
    <t>Унитазы</t>
  </si>
  <si>
    <t>Газеты</t>
  </si>
  <si>
    <t>Накладки для декора</t>
  </si>
  <si>
    <t>Игольницы</t>
  </si>
  <si>
    <t>Наклейки на ступни ног</t>
  </si>
  <si>
    <t>Лапы</t>
  </si>
  <si>
    <t>Пюре быстрого приготовления</t>
  </si>
  <si>
    <t>Мосты кабельные</t>
  </si>
  <si>
    <t>Рычаги тормозной системы</t>
  </si>
  <si>
    <t>Аксессуары для фотосессий</t>
  </si>
  <si>
    <t>Иглы инъекционные</t>
  </si>
  <si>
    <t>Термометры для душа</t>
  </si>
  <si>
    <t>Mesh системы</t>
  </si>
  <si>
    <t>Стикини</t>
  </si>
  <si>
    <t>Велоштаны</t>
  </si>
  <si>
    <t>Лазерные излучатели</t>
  </si>
  <si>
    <t>Аксессуары для лодок</t>
  </si>
  <si>
    <t>Разветвители</t>
  </si>
  <si>
    <t>Кипятильники</t>
  </si>
  <si>
    <t>Кофточки для малышей</t>
  </si>
  <si>
    <t>Колобашки для плавания</t>
  </si>
  <si>
    <t>Батончики детские</t>
  </si>
  <si>
    <t>Дверные звонки для собак</t>
  </si>
  <si>
    <t>Украшения для автомобиля</t>
  </si>
  <si>
    <t>Упаковочная пленка</t>
  </si>
  <si>
    <t>Пасты шоколадные</t>
  </si>
  <si>
    <t>Мешки строительные</t>
  </si>
  <si>
    <t>Посыпки кондитерские</t>
  </si>
  <si>
    <t>Подворотнички одноразовые</t>
  </si>
  <si>
    <t>Тренажеры для глаз</t>
  </si>
  <si>
    <t>Компоты</t>
  </si>
  <si>
    <t>Заплатки</t>
  </si>
  <si>
    <t>Рамы багетные</t>
  </si>
  <si>
    <t>Коврики для лестницы</t>
  </si>
  <si>
    <t>Напитки растительные</t>
  </si>
  <si>
    <t>Корпусы сцепления</t>
  </si>
  <si>
    <t>Бумага для выпечки</t>
  </si>
  <si>
    <t>Зубные нити</t>
  </si>
  <si>
    <t>Ленты перфорированные</t>
  </si>
  <si>
    <t>Записные книжки</t>
  </si>
  <si>
    <t>Солод</t>
  </si>
  <si>
    <t>Аккумуляторы для камер</t>
  </si>
  <si>
    <t>Вина безалкогольные</t>
  </si>
  <si>
    <t>Грунтоочистители</t>
  </si>
  <si>
    <t>Флаги</t>
  </si>
  <si>
    <t>Сканеры штрих-кода</t>
  </si>
  <si>
    <t>Уголки кухонные</t>
  </si>
  <si>
    <t>Счетчики воды</t>
  </si>
  <si>
    <t>Скотч для наращивания ресниц</t>
  </si>
  <si>
    <t>Отбеливатели древесины</t>
  </si>
  <si>
    <t>Зажимы</t>
  </si>
  <si>
    <t>Антисептики кожные</t>
  </si>
  <si>
    <t>Лампочки</t>
  </si>
  <si>
    <t>Полки</t>
  </si>
  <si>
    <t>Отвертки</t>
  </si>
  <si>
    <t>Платья для животных</t>
  </si>
  <si>
    <t>Дорожки кухонные</t>
  </si>
  <si>
    <t>Ремни для швейных машин</t>
  </si>
  <si>
    <t>Ручки автомобильные</t>
  </si>
  <si>
    <t>Вешалки встраиваемые</t>
  </si>
  <si>
    <t>Стенки для гостиной</t>
  </si>
  <si>
    <t>Зарядные устройства</t>
  </si>
  <si>
    <t>Топы эротик</t>
  </si>
  <si>
    <t>Радиаторы тяговой аккумуляторной батареи</t>
  </si>
  <si>
    <t>Петли Береша</t>
  </si>
  <si>
    <t>Ежедневники</t>
  </si>
  <si>
    <t>Циркули</t>
  </si>
  <si>
    <t>Шпатели медицинские</t>
  </si>
  <si>
    <t>Санки-коляски</t>
  </si>
  <si>
    <t>Костюмы реабилитационные</t>
  </si>
  <si>
    <t>Подставки для париков</t>
  </si>
  <si>
    <t>Фланцы автомобильные</t>
  </si>
  <si>
    <t>Баки для подачи воды</t>
  </si>
  <si>
    <t>Смазки для электроинструмента</t>
  </si>
  <si>
    <t>Венки декоративные</t>
  </si>
  <si>
    <t>Ролики автомобильные</t>
  </si>
  <si>
    <t>Безалкогольное шампанское</t>
  </si>
  <si>
    <t>Плитки для подвесного потолка</t>
  </si>
  <si>
    <t>Кондиционеры для белья</t>
  </si>
  <si>
    <t>Оплетки на руль</t>
  </si>
  <si>
    <t>Лейки для душа</t>
  </si>
  <si>
    <t>Полки детские</t>
  </si>
  <si>
    <t>Шорты рабочие</t>
  </si>
  <si>
    <t>Блокноты творческие</t>
  </si>
  <si>
    <t>Подставки под системные блоки</t>
  </si>
  <si>
    <t>Запчасти для пылесосов</t>
  </si>
  <si>
    <t>Столы игровые</t>
  </si>
  <si>
    <t>Стеклохолсты малярные</t>
  </si>
  <si>
    <t>Дифференциалы автомобильные</t>
  </si>
  <si>
    <t>Шприц-пистолеты Калашникова</t>
  </si>
  <si>
    <t>Пистолеты для монтажной пены и герметика</t>
  </si>
  <si>
    <t>Сувениры эротик</t>
  </si>
  <si>
    <t>Маркировщики петель</t>
  </si>
  <si>
    <t>Леса строительные</t>
  </si>
  <si>
    <t>Электроприводы для крышек багажников</t>
  </si>
  <si>
    <t>Шнеки</t>
  </si>
  <si>
    <t>Суппорты тормозные для мототехники</t>
  </si>
  <si>
    <t>Указки эротик</t>
  </si>
  <si>
    <t>Радиоизмерительные приборы</t>
  </si>
  <si>
    <t>Металлочерепица</t>
  </si>
  <si>
    <t>Средства для септиков</t>
  </si>
  <si>
    <t>Пожарный инвентарь</t>
  </si>
  <si>
    <t>Термошайбы</t>
  </si>
  <si>
    <t>Компостеры садовые</t>
  </si>
  <si>
    <t>Стеллажи офисные</t>
  </si>
  <si>
    <t>Термощупы</t>
  </si>
  <si>
    <t>Пудры</t>
  </si>
  <si>
    <t>Фары дополнительного света</t>
  </si>
  <si>
    <t>Кровати кемпинговые</t>
  </si>
  <si>
    <t>Фитболы</t>
  </si>
  <si>
    <t>Зажимы для пакетов</t>
  </si>
  <si>
    <t>Триммерные насадки садовые</t>
  </si>
  <si>
    <t>Щетки для гриля</t>
  </si>
  <si>
    <t>Велоинструменты</t>
  </si>
  <si>
    <t>Сумки-тележки</t>
  </si>
  <si>
    <t>Защита сидений</t>
  </si>
  <si>
    <t>Компрессионные чулки</t>
  </si>
  <si>
    <t>Тонеры для картриджей</t>
  </si>
  <si>
    <t>Инструменты для зачистки проводов</t>
  </si>
  <si>
    <t>Поддоны для клетки</t>
  </si>
  <si>
    <t>Генераторы</t>
  </si>
  <si>
    <t>Двери для шкафа</t>
  </si>
  <si>
    <t>Размораживатели замков и стекол</t>
  </si>
  <si>
    <t>Гладильные прессы</t>
  </si>
  <si>
    <t>Тележки гидравлические</t>
  </si>
  <si>
    <t>Калиперы механические</t>
  </si>
  <si>
    <t>Датчики уровня топлива</t>
  </si>
  <si>
    <t>Диски пильные</t>
  </si>
  <si>
    <t>Лотки для животных</t>
  </si>
  <si>
    <t>Ведра сервировочные</t>
  </si>
  <si>
    <t>Чай</t>
  </si>
  <si>
    <t>Валы коробки передач</t>
  </si>
  <si>
    <t>Ключи активации</t>
  </si>
  <si>
    <t>Стиральные порошки</t>
  </si>
  <si>
    <t>Камни декоративные</t>
  </si>
  <si>
    <t>Конфитюр</t>
  </si>
  <si>
    <t>Крыши автомобильные</t>
  </si>
  <si>
    <t>Пилы торцовочные</t>
  </si>
  <si>
    <t>Снегоходы</t>
  </si>
  <si>
    <t>Механизмы для диванов</t>
  </si>
  <si>
    <t>Смеси М-150</t>
  </si>
  <si>
    <t>Селитра</t>
  </si>
  <si>
    <t>Полотенцесушители</t>
  </si>
  <si>
    <t>Очищающие полоски</t>
  </si>
  <si>
    <t>Сетки садовые</t>
  </si>
  <si>
    <t>Кресла оператора</t>
  </si>
  <si>
    <t>Автоиконы</t>
  </si>
  <si>
    <t>Чешки</t>
  </si>
  <si>
    <t>Палочки для гимнастических лент</t>
  </si>
  <si>
    <t>Мангалы</t>
  </si>
  <si>
    <t>Сцепления в сборе</t>
  </si>
  <si>
    <t>Врезки вентиляционные</t>
  </si>
  <si>
    <t>Двери входные</t>
  </si>
  <si>
    <t>Обереги</t>
  </si>
  <si>
    <t>Духовые шкафы</t>
  </si>
  <si>
    <t>Обезжириватели для ресниц и бровей</t>
  </si>
  <si>
    <t>Подставки под стаканы</t>
  </si>
  <si>
    <t>Столбы для ограждений</t>
  </si>
  <si>
    <t>Выжигатели сорняков</t>
  </si>
  <si>
    <t>Емкости из полимеров</t>
  </si>
  <si>
    <t>Накидки на автосидения для животных</t>
  </si>
  <si>
    <t>Шкафы детские</t>
  </si>
  <si>
    <t>Разделочные доски</t>
  </si>
  <si>
    <t>Компенсаторы плавучести</t>
  </si>
  <si>
    <t>Кольца для микрофонов</t>
  </si>
  <si>
    <t>Распарыватели</t>
  </si>
  <si>
    <t>Запчасти для морозильных камер</t>
  </si>
  <si>
    <t>Вода детская</t>
  </si>
  <si>
    <t>Бортовые компьютеры</t>
  </si>
  <si>
    <t>Световые планшеты для рисования</t>
  </si>
  <si>
    <t>Ювелирный пирсинг</t>
  </si>
  <si>
    <t>Мини-холодильники для косметики</t>
  </si>
  <si>
    <t>Компрессометры</t>
  </si>
  <si>
    <t>Подставки для музыканта</t>
  </si>
  <si>
    <t>Маски для шерсти</t>
  </si>
  <si>
    <t>Колесоотбойники</t>
  </si>
  <si>
    <t>Шампуни для обуви</t>
  </si>
  <si>
    <t>Фартуки детские</t>
  </si>
  <si>
    <t>Бусы</t>
  </si>
  <si>
    <t>Вентиляторы</t>
  </si>
  <si>
    <t>Бумага для заметок</t>
  </si>
  <si>
    <t>Музыкальные диски</t>
  </si>
  <si>
    <t>Комбинезоны рабочие</t>
  </si>
  <si>
    <t>Смартфоны</t>
  </si>
  <si>
    <t>Инвестиционные драгоценные металлы</t>
  </si>
  <si>
    <t>Золотые слитки</t>
  </si>
  <si>
    <t>Фильтры автомобильные</t>
  </si>
  <si>
    <t>Клеенки медицинские</t>
  </si>
  <si>
    <t>Магниты канцелярские</t>
  </si>
  <si>
    <t>Сливки сухие</t>
  </si>
  <si>
    <t>Средства для ухода за крупным рогатым скотом</t>
  </si>
  <si>
    <t>Саморезы по металлу</t>
  </si>
  <si>
    <t>Велокамеры</t>
  </si>
  <si>
    <t>Пояса разогревочные</t>
  </si>
  <si>
    <t>Шнурки для телефонов</t>
  </si>
  <si>
    <t>Водосточные системы</t>
  </si>
  <si>
    <t>Пакеты для детского питания</t>
  </si>
  <si>
    <t>Флаконы косметические</t>
  </si>
  <si>
    <t>Газоанализаторы</t>
  </si>
  <si>
    <t>Сырники</t>
  </si>
  <si>
    <t>Сепараторы молочные</t>
  </si>
  <si>
    <t>Подкатные тележки для снегохода</t>
  </si>
  <si>
    <t>Осушители воздуха</t>
  </si>
  <si>
    <t>Выкройки для рукоделия</t>
  </si>
  <si>
    <t>Споты и трек-системы</t>
  </si>
  <si>
    <t>Тройники вентиляционные</t>
  </si>
  <si>
    <t>Соединители для аквариумных шлангов</t>
  </si>
  <si>
    <t>Тренчики для шпор</t>
  </si>
  <si>
    <t>Кордон блю</t>
  </si>
  <si>
    <t>Отливы для окон</t>
  </si>
  <si>
    <t>Ремни для сумок</t>
  </si>
  <si>
    <t>Альпинистские кошки</t>
  </si>
  <si>
    <t>Перчатки для дайвинга</t>
  </si>
  <si>
    <t>Мини-холодильники</t>
  </si>
  <si>
    <t>Веники садовые</t>
  </si>
  <si>
    <t>Гидрофильные масла</t>
  </si>
  <si>
    <t>Термободи</t>
  </si>
  <si>
    <t>Поршни переключения</t>
  </si>
  <si>
    <t>Замки для колясок</t>
  </si>
  <si>
    <t>Датчики дождя</t>
  </si>
  <si>
    <t>Видеодомофоны</t>
  </si>
  <si>
    <t>Крепления для камер</t>
  </si>
  <si>
    <t>Будильники энурезные</t>
  </si>
  <si>
    <t>Запчасти для снегокатов</t>
  </si>
  <si>
    <t>Тики</t>
  </si>
  <si>
    <t>Мастики спортивные</t>
  </si>
  <si>
    <t>Мицеллярная вода для животных</t>
  </si>
  <si>
    <t>Мобильные телефоны</t>
  </si>
  <si>
    <t>Масла компрессорные</t>
  </si>
  <si>
    <t>Портновские гладильные болванки</t>
  </si>
  <si>
    <t>Тетради</t>
  </si>
  <si>
    <t>Дыхательные контуры</t>
  </si>
  <si>
    <t>Помады эротик</t>
  </si>
  <si>
    <t>Регуляторы холостого хода</t>
  </si>
  <si>
    <t>Интерьерные зеркала</t>
  </si>
  <si>
    <t>Подушки ортопедические</t>
  </si>
  <si>
    <t>Комплектующие карбюратора</t>
  </si>
  <si>
    <t>Лифы для купальника</t>
  </si>
  <si>
    <t>Оксиметры</t>
  </si>
  <si>
    <t>Костюмы-сауна</t>
  </si>
  <si>
    <t>Мешки для обуви</t>
  </si>
  <si>
    <t>Тросики рычагов</t>
  </si>
  <si>
    <t>Powerline адаптеры</t>
  </si>
  <si>
    <t>Тормозные ручки</t>
  </si>
  <si>
    <t>Термометры комнатные</t>
  </si>
  <si>
    <t>Наковальни</t>
  </si>
  <si>
    <t>Май-слинги</t>
  </si>
  <si>
    <t>Удобрения животного происхождения</t>
  </si>
  <si>
    <t>Искусственные дорожные неровности</t>
  </si>
  <si>
    <t>Велосипеды двухколесные</t>
  </si>
  <si>
    <t>Лестницы</t>
  </si>
  <si>
    <t>Брелоки для самозащиты</t>
  </si>
  <si>
    <t>Круассаны</t>
  </si>
  <si>
    <t>Варочные панели</t>
  </si>
  <si>
    <t>Пистолеты для фламбирования</t>
  </si>
  <si>
    <t>Ванночки для животных</t>
  </si>
  <si>
    <t>Сухари панировочные</t>
  </si>
  <si>
    <t>Ограничители оконные</t>
  </si>
  <si>
    <t>Лотки для бумаг</t>
  </si>
  <si>
    <t>Бинты быстрые</t>
  </si>
  <si>
    <t>Мотогарнитуры</t>
  </si>
  <si>
    <t>Тестеры заряда АКБ</t>
  </si>
  <si>
    <t>Бруски строительные</t>
  </si>
  <si>
    <t>Сундучки свадебные</t>
  </si>
  <si>
    <t>Плавательные жилеты</t>
  </si>
  <si>
    <t>Муляжи для маникюра</t>
  </si>
  <si>
    <t>Мешки садовые</t>
  </si>
  <si>
    <t>Масла специальные</t>
  </si>
  <si>
    <t>Стимуляторы роста растений</t>
  </si>
  <si>
    <t>Ловушки для ос</t>
  </si>
  <si>
    <t>Олифы</t>
  </si>
  <si>
    <t>Ламбрекены</t>
  </si>
  <si>
    <t>Террариумы</t>
  </si>
  <si>
    <t>Органайзеры для сменных блоков</t>
  </si>
  <si>
    <t>Очистители воска</t>
  </si>
  <si>
    <t>Треноги костровые</t>
  </si>
  <si>
    <t>Прикормки для рыб</t>
  </si>
  <si>
    <t>Микробраши</t>
  </si>
  <si>
    <t>Жидкости для обуви</t>
  </si>
  <si>
    <t>Клапаны оконные</t>
  </si>
  <si>
    <t>Мелассоуловители для кальяна</t>
  </si>
  <si>
    <t>Фартуки парикмахерские</t>
  </si>
  <si>
    <t>Молды для рукоделия</t>
  </si>
  <si>
    <t>Кабель-каналы</t>
  </si>
  <si>
    <t>3D-ручки</t>
  </si>
  <si>
    <t>Макароны</t>
  </si>
  <si>
    <t>Подставки для кальянов</t>
  </si>
  <si>
    <t>Станки для хореографии</t>
  </si>
  <si>
    <t>Прессы для корма</t>
  </si>
  <si>
    <t>Чехлы для ручек холодильников</t>
  </si>
  <si>
    <t>AKF системы</t>
  </si>
  <si>
    <t>Сеты</t>
  </si>
  <si>
    <t>Фата</t>
  </si>
  <si>
    <t>Соединители цепей</t>
  </si>
  <si>
    <t>Ниблеры</t>
  </si>
  <si>
    <t>Сиденья для унитаза</t>
  </si>
  <si>
    <t>Панамы</t>
  </si>
  <si>
    <t>Дымоходы</t>
  </si>
  <si>
    <t>Тумбы детские</t>
  </si>
  <si>
    <t>Доставка карты</t>
  </si>
  <si>
    <t>Выпуски для раковин</t>
  </si>
  <si>
    <t>Держатели для лизунца</t>
  </si>
  <si>
    <t>Бермуды</t>
  </si>
  <si>
    <t>Роутеры</t>
  </si>
  <si>
    <t>Паровые булочки</t>
  </si>
  <si>
    <t>Чернила для принтера</t>
  </si>
  <si>
    <t>Вентиляторы для систем вентиляции</t>
  </si>
  <si>
    <t>Лобзики</t>
  </si>
  <si>
    <t>Системы умный дом</t>
  </si>
  <si>
    <t>Выжимные подшипники</t>
  </si>
  <si>
    <t>Колпачки для шин</t>
  </si>
  <si>
    <t>Оздоровительная косметика</t>
  </si>
  <si>
    <t>Органайзеры в багажник</t>
  </si>
  <si>
    <t>Электроизмерительные приборы</t>
  </si>
  <si>
    <t>Стулья</t>
  </si>
  <si>
    <t>Губки для посуды</t>
  </si>
  <si>
    <t>Маски косметические</t>
  </si>
  <si>
    <t>Газ для страйкбольного оружия</t>
  </si>
  <si>
    <t>Бинты для животных</t>
  </si>
  <si>
    <t>Очки для компьютера</t>
  </si>
  <si>
    <t>Чехлы для путешествий</t>
  </si>
  <si>
    <t>Инсектицидные лампы</t>
  </si>
  <si>
    <t>Пудинги</t>
  </si>
  <si>
    <t>Внутренние SSD-накопители</t>
  </si>
  <si>
    <t>Краски для рисования</t>
  </si>
  <si>
    <t>Соковыжималки электрические</t>
  </si>
  <si>
    <t>Салфетницы кухонные</t>
  </si>
  <si>
    <t>Коньяк</t>
  </si>
  <si>
    <t>Рым-соединения</t>
  </si>
  <si>
    <t>Тачки садовые</t>
  </si>
  <si>
    <t>Заглушки ремня безопасности</t>
  </si>
  <si>
    <t>Листья бамбука</t>
  </si>
  <si>
    <t>Мочевина</t>
  </si>
  <si>
    <t>Заживление ран и порезов у животных</t>
  </si>
  <si>
    <t>Парфюм для дома</t>
  </si>
  <si>
    <t>Скалки</t>
  </si>
  <si>
    <t>Беговел</t>
  </si>
  <si>
    <t>Плоскогубцы рыболовные</t>
  </si>
  <si>
    <t>Педали для клавишных</t>
  </si>
  <si>
    <t>Варежки спортивные</t>
  </si>
  <si>
    <t>Фиксаторы аквариумного фона</t>
  </si>
  <si>
    <t>Подставки для зубочисток</t>
  </si>
  <si>
    <t>Клюшки</t>
  </si>
  <si>
    <t>Игрушечные гаражи</t>
  </si>
  <si>
    <t>Чокеры эротик</t>
  </si>
  <si>
    <t>Пэстис</t>
  </si>
  <si>
    <t>Чехлы для игровых консолей</t>
  </si>
  <si>
    <t>Замки для электрошкафов</t>
  </si>
  <si>
    <t>Радиаторы масляные</t>
  </si>
  <si>
    <t>Покрышки велосипедные</t>
  </si>
  <si>
    <t>Садовые тракторы и райдеры</t>
  </si>
  <si>
    <t>Пиджаки для малышей</t>
  </si>
  <si>
    <t>Пребиотики и пробиотики для животных</t>
  </si>
  <si>
    <t>Контейнеры для корма</t>
  </si>
  <si>
    <t>Запчасти для скейтбордов</t>
  </si>
  <si>
    <t>Противоударные шапки-шлемы</t>
  </si>
  <si>
    <t>Салфетки</t>
  </si>
  <si>
    <t>Кукурузные палочки</t>
  </si>
  <si>
    <t>Мойки высокого давления</t>
  </si>
  <si>
    <t>Линейки для прыжков в длину</t>
  </si>
  <si>
    <t>Крючки для сумок</t>
  </si>
  <si>
    <t>Стоматологические наборы</t>
  </si>
  <si>
    <t>Ведерки детские</t>
  </si>
  <si>
    <t>Фиксаторы автомобильные</t>
  </si>
  <si>
    <t>Матрасы-топперы</t>
  </si>
  <si>
    <t>Ароматизаторы для бани</t>
  </si>
  <si>
    <t>Защита для клип-кордов</t>
  </si>
  <si>
    <t>Сырницы</t>
  </si>
  <si>
    <t>Черепица гибкая</t>
  </si>
  <si>
    <t>Лосьоны для животных</t>
  </si>
  <si>
    <t>Фольга для кальянов</t>
  </si>
  <si>
    <t>Зеркала косметические</t>
  </si>
  <si>
    <t>Полироли для салона</t>
  </si>
  <si>
    <t>Сыворотки</t>
  </si>
  <si>
    <t>Подставки под гладильные прессы</t>
  </si>
  <si>
    <t>Резонаторы автомобильные</t>
  </si>
  <si>
    <t>Фартуки кухонные</t>
  </si>
  <si>
    <t>Щипцы для посадки растений</t>
  </si>
  <si>
    <t>Фоторамки магнитные</t>
  </si>
  <si>
    <t>Коврики автомобильные</t>
  </si>
  <si>
    <t>Оперения для дротиков</t>
  </si>
  <si>
    <t>Осветители студийные</t>
  </si>
  <si>
    <t>Кронштейны настенные</t>
  </si>
  <si>
    <t>Клейкие ленты</t>
  </si>
  <si>
    <t>Ремешки для умных часов</t>
  </si>
  <si>
    <t>Профнастилы</t>
  </si>
  <si>
    <t>Щипцы для кальянов</t>
  </si>
  <si>
    <t>Прокладки компрессора</t>
  </si>
  <si>
    <t>Маски для противогазов</t>
  </si>
  <si>
    <t>Беруши</t>
  </si>
  <si>
    <t>Тальк для животных</t>
  </si>
  <si>
    <t>Аксессуары для окрашивания волос</t>
  </si>
  <si>
    <t>Лакомства для животных</t>
  </si>
  <si>
    <t>Проекторы лазерные</t>
  </si>
  <si>
    <t>Люки канализационные</t>
  </si>
  <si>
    <t>Альбомы для творчества</t>
  </si>
  <si>
    <t>Воски для дерева</t>
  </si>
  <si>
    <t>Аксессуары для духовок</t>
  </si>
  <si>
    <t>Повязки послеоперационные</t>
  </si>
  <si>
    <t>Киевницы</t>
  </si>
  <si>
    <t>Чехлы для галстуков</t>
  </si>
  <si>
    <t>Часы песочные</t>
  </si>
  <si>
    <t>Наборы сомелье</t>
  </si>
  <si>
    <t>Блюда-этажерки</t>
  </si>
  <si>
    <t>Жерлицы</t>
  </si>
  <si>
    <t>Генераторы мыльных пузырей</t>
  </si>
  <si>
    <t>Запчасти для электроинструментов</t>
  </si>
  <si>
    <t>Краски масляные</t>
  </si>
  <si>
    <t>Наборы для вышивания</t>
  </si>
  <si>
    <t>Блюдца</t>
  </si>
  <si>
    <t>Поводки рыболовные</t>
  </si>
  <si>
    <t>Комоды детские</t>
  </si>
  <si>
    <t>Влажные салфетки</t>
  </si>
  <si>
    <t>Лампы для бытовой техники</t>
  </si>
  <si>
    <t>Прицелы для лука</t>
  </si>
  <si>
    <t>Орехи в меду</t>
  </si>
  <si>
    <t>Ножи столовые</t>
  </si>
  <si>
    <t>Костюмы для животных</t>
  </si>
  <si>
    <t>Насадки автомобильные</t>
  </si>
  <si>
    <t>Термомайки для малышей</t>
  </si>
  <si>
    <t>Двигатели проблескового маячка</t>
  </si>
  <si>
    <t>Ленты для конверта новорожденного</t>
  </si>
  <si>
    <t>Ключи магнитные</t>
  </si>
  <si>
    <t>Бинты спортивные</t>
  </si>
  <si>
    <t>Трубки для плавания</t>
  </si>
  <si>
    <t>Устройства запирания автомобильные</t>
  </si>
  <si>
    <t>Тенты</t>
  </si>
  <si>
    <t>Очистители для унитаза</t>
  </si>
  <si>
    <t>Дневные ходовые огни</t>
  </si>
  <si>
    <t>Поликарбонат</t>
  </si>
  <si>
    <t>Ювелирные подвески</t>
  </si>
  <si>
    <t>Подставки для ноутбуков</t>
  </si>
  <si>
    <t>Матрасы для плавания</t>
  </si>
  <si>
    <t>Тревожные кнопки</t>
  </si>
  <si>
    <t>Очистители воздуха</t>
  </si>
  <si>
    <t>Держатели для хранения удилищ</t>
  </si>
  <si>
    <t>Профили для гипсокартона</t>
  </si>
  <si>
    <t>Системы CO2</t>
  </si>
  <si>
    <t>Налокотники</t>
  </si>
  <si>
    <t>Клепки</t>
  </si>
  <si>
    <t>Сумки для гироскутеров</t>
  </si>
  <si>
    <t>Средства для ухода за инструментом</t>
  </si>
  <si>
    <t>Огнетушители</t>
  </si>
  <si>
    <t>Уход за техникой</t>
  </si>
  <si>
    <t>Изделия одноразового применения</t>
  </si>
  <si>
    <t>Фиксаторы рейзера</t>
  </si>
  <si>
    <t>Подвязки</t>
  </si>
  <si>
    <t>Ремкомплекты для москитных сеток</t>
  </si>
  <si>
    <t>Талрепы</t>
  </si>
  <si>
    <t>Степ-платформы</t>
  </si>
  <si>
    <t>Корзинки</t>
  </si>
  <si>
    <t>Кронштейны для наружной рекламы</t>
  </si>
  <si>
    <t>Тумбы офисные</t>
  </si>
  <si>
    <t>Пароварки электрические</t>
  </si>
  <si>
    <t>Упоры для отжиманий</t>
  </si>
  <si>
    <t>Лестницы для животных</t>
  </si>
  <si>
    <t>Вспомогательные передачи</t>
  </si>
  <si>
    <t>Краски для волос</t>
  </si>
  <si>
    <t>Наклейки интерактивные</t>
  </si>
  <si>
    <t>Стаканы для рисования</t>
  </si>
  <si>
    <t>Аксессуары для фоторамок</t>
  </si>
  <si>
    <t>Доски пеленальные</t>
  </si>
  <si>
    <t>Болты</t>
  </si>
  <si>
    <t>Щипцы медицинские</t>
  </si>
  <si>
    <t>Системы нагрева</t>
  </si>
  <si>
    <t>Ящики для инструментов</t>
  </si>
  <si>
    <t>Запчасти для сушильных машин</t>
  </si>
  <si>
    <t>Столы детские</t>
  </si>
  <si>
    <t>Твердые шампуни</t>
  </si>
  <si>
    <t>Противогрибковые препараты</t>
  </si>
  <si>
    <t>Аксессуары для молокоотсосов</t>
  </si>
  <si>
    <t>Съемники крючков</t>
  </si>
  <si>
    <t>Батончики шоколадные</t>
  </si>
  <si>
    <t>Металлоискатели</t>
  </si>
  <si>
    <t>Щиты электрические</t>
  </si>
  <si>
    <t>Стаканы для зубных щеток</t>
  </si>
  <si>
    <t>Головные уборы рабочие</t>
  </si>
  <si>
    <t>Скобы крепежные</t>
  </si>
  <si>
    <t>Товары для стоп</t>
  </si>
  <si>
    <t>Светоотражатели для авто</t>
  </si>
  <si>
    <t>Мерные стаканы</t>
  </si>
  <si>
    <t>Нахвостники для лошадей</t>
  </si>
  <si>
    <t>Стулья плетеные</t>
  </si>
  <si>
    <t>Коврики придверные</t>
  </si>
  <si>
    <t>Тренчкоты для малышей</t>
  </si>
  <si>
    <t>Машинки для лапши</t>
  </si>
  <si>
    <t>Пробники парфюмерные</t>
  </si>
  <si>
    <t>Утятницы</t>
  </si>
  <si>
    <t>Маски альгинатные</t>
  </si>
  <si>
    <t>Волосы для наращивания</t>
  </si>
  <si>
    <t>Плоскогубцы</t>
  </si>
  <si>
    <t>Фурнитура для чемоданов</t>
  </si>
  <si>
    <t>Измельчители садовые</t>
  </si>
  <si>
    <t>Наборы аксессуаров для бани</t>
  </si>
  <si>
    <t>Подставки под горячее</t>
  </si>
  <si>
    <t>Жилеты для малышей</t>
  </si>
  <si>
    <t>Рабочие передачи</t>
  </si>
  <si>
    <t>Наконечники стоматологические</t>
  </si>
  <si>
    <t>Сливки</t>
  </si>
  <si>
    <t>Козинаки</t>
  </si>
  <si>
    <t>Вертушки детские</t>
  </si>
  <si>
    <t>Смывка краски для волос</t>
  </si>
  <si>
    <t>Кофейники</t>
  </si>
  <si>
    <t>Тепловизоры</t>
  </si>
  <si>
    <t>Ковры подкладочные</t>
  </si>
  <si>
    <t>Блоки цилиндра</t>
  </si>
  <si>
    <t>Рейки DIN</t>
  </si>
  <si>
    <t>Диспенсеры кухонные</t>
  </si>
  <si>
    <t>Уплотнители для дверей</t>
  </si>
  <si>
    <t>Свистки</t>
  </si>
  <si>
    <t>Анораки</t>
  </si>
  <si>
    <t>Чехлы для флешек</t>
  </si>
  <si>
    <t>Маски СИПАП</t>
  </si>
  <si>
    <t>Смеси ремонтные</t>
  </si>
  <si>
    <t>Подшипники для лыжероллеров</t>
  </si>
  <si>
    <t>Стеллажи торговые</t>
  </si>
  <si>
    <t>Саке</t>
  </si>
  <si>
    <t>Опоры двигателя</t>
  </si>
  <si>
    <t>Электробигуди</t>
  </si>
  <si>
    <t>Шпиндели автомобильные</t>
  </si>
  <si>
    <t>Карты видеозахвата</t>
  </si>
  <si>
    <t>Запчасти для переносок</t>
  </si>
  <si>
    <t>Линзы в фары</t>
  </si>
  <si>
    <t>Подушки автомобильные</t>
  </si>
  <si>
    <t>Пульты для кондиционеров</t>
  </si>
  <si>
    <t>Козырьки спортивные</t>
  </si>
  <si>
    <t>Комплектующие для 3D</t>
  </si>
  <si>
    <t>Кусторезы</t>
  </si>
  <si>
    <t>Эссенции</t>
  </si>
  <si>
    <t>Метрономы</t>
  </si>
  <si>
    <t>Предсказания сувенирные</t>
  </si>
  <si>
    <t>Грибки для штопки</t>
  </si>
  <si>
    <t>Подкладки для объема волос</t>
  </si>
  <si>
    <t>Зажимы на гриф</t>
  </si>
  <si>
    <t>Кисели детские</t>
  </si>
  <si>
    <t>Манишки</t>
  </si>
  <si>
    <t>Компрессы детские</t>
  </si>
  <si>
    <t>Стеклянные клоши</t>
  </si>
  <si>
    <t>Защита от насекомых</t>
  </si>
  <si>
    <t>Когтеточки</t>
  </si>
  <si>
    <t>Таблетки для индикации зубного налета</t>
  </si>
  <si>
    <t>Фотоаппараты моментальной печати</t>
  </si>
  <si>
    <t>Ракетки</t>
  </si>
  <si>
    <t>Шпажки</t>
  </si>
  <si>
    <t>Помады для волос</t>
  </si>
  <si>
    <t>Гидролаты</t>
  </si>
  <si>
    <t>Коврики для лотков</t>
  </si>
  <si>
    <t>Орехи в глазури</t>
  </si>
  <si>
    <t>Коврики-подстилки для животных</t>
  </si>
  <si>
    <t>Корзины баскетбольные</t>
  </si>
  <si>
    <t>Мебель игровая</t>
  </si>
  <si>
    <t>Тренажеры</t>
  </si>
  <si>
    <t>Сушилки для бутылочек</t>
  </si>
  <si>
    <t>Браслеты безопасности</t>
  </si>
  <si>
    <t>Гели для стирки</t>
  </si>
  <si>
    <t>Шкафы распашные</t>
  </si>
  <si>
    <t>Молотки отбойные</t>
  </si>
  <si>
    <t>Шампуни</t>
  </si>
  <si>
    <t>Косметические активы</t>
  </si>
  <si>
    <t>Парики</t>
  </si>
  <si>
    <t>Умные весы</t>
  </si>
  <si>
    <t>Подкладки для обуви</t>
  </si>
  <si>
    <t>Граверы</t>
  </si>
  <si>
    <t>Биты для шуруповерта</t>
  </si>
  <si>
    <t>Смеси лечебные для животных</t>
  </si>
  <si>
    <t>Формодержатели для сумок</t>
  </si>
  <si>
    <t>Анализаторы медицинские</t>
  </si>
  <si>
    <t>Бочки дубовые</t>
  </si>
  <si>
    <t>Альбомы для коллекционирования</t>
  </si>
  <si>
    <t>Защитные ленты обода ракетки</t>
  </si>
  <si>
    <t>Держатели для очков</t>
  </si>
  <si>
    <t>Бумажные шары</t>
  </si>
  <si>
    <t>Крекеры</t>
  </si>
  <si>
    <t>Стулья складные</t>
  </si>
  <si>
    <t>Значки</t>
  </si>
  <si>
    <t>Звонки настольные</t>
  </si>
  <si>
    <t>Зонды ректальные</t>
  </si>
  <si>
    <t>Шприцы медицинские</t>
  </si>
  <si>
    <t>Наполнители мебельные</t>
  </si>
  <si>
    <t>Доски для рисования</t>
  </si>
  <si>
    <t>Колтунорезки</t>
  </si>
  <si>
    <t>Компакт-кассеты</t>
  </si>
  <si>
    <t>Лапомойки</t>
  </si>
  <si>
    <t>Грилзы</t>
  </si>
  <si>
    <t>Препараты для дыхательной системы</t>
  </si>
  <si>
    <t>Расширители для бюстгальтера</t>
  </si>
  <si>
    <t>Нагнетатели для тонометров</t>
  </si>
  <si>
    <t>Контейнеры для ванной комнаты</t>
  </si>
  <si>
    <t>Фетальные допплеры</t>
  </si>
  <si>
    <t>Гематологические препараты</t>
  </si>
  <si>
    <t>Прессы для сока</t>
  </si>
  <si>
    <t>Геймпады</t>
  </si>
  <si>
    <t>Гирлянды интерьерные</t>
  </si>
  <si>
    <t>Подошва для обуви</t>
  </si>
  <si>
    <t>Промышленное оборудование и комплектующие</t>
  </si>
  <si>
    <t>RGBW усилители</t>
  </si>
  <si>
    <t>Тестораскатки</t>
  </si>
  <si>
    <t>Ром</t>
  </si>
  <si>
    <t>Мерные ложки</t>
  </si>
  <si>
    <t>Масла трансмиссионные</t>
  </si>
  <si>
    <t>Шнуры для рукоделия</t>
  </si>
  <si>
    <t>Буферы тележки снегохода</t>
  </si>
  <si>
    <t>Комплекты в коляску</t>
  </si>
  <si>
    <t>Доски гладильные встроенные</t>
  </si>
  <si>
    <t>Чехлы для швейных машин</t>
  </si>
  <si>
    <t>Куртки горнолыжные</t>
  </si>
  <si>
    <t>Ледянки</t>
  </si>
  <si>
    <t>Гобелены</t>
  </si>
  <si>
    <t>Секции с зеркалом</t>
  </si>
  <si>
    <t>Задние противотуманные фонари</t>
  </si>
  <si>
    <t>Седла для лошади</t>
  </si>
  <si>
    <t>Резаки газовые</t>
  </si>
  <si>
    <t>Пледы для малышей</t>
  </si>
  <si>
    <t>Сумки для обследования животных</t>
  </si>
  <si>
    <t>Кухонные комбайны</t>
  </si>
  <si>
    <t>Колокольчики придверные</t>
  </si>
  <si>
    <t>Колодки обувные</t>
  </si>
  <si>
    <t>Укрывной материал для растений</t>
  </si>
  <si>
    <t>Букинистические книги</t>
  </si>
  <si>
    <t>Подложки для гладильных досок</t>
  </si>
  <si>
    <t>Касалетки</t>
  </si>
  <si>
    <t>Заколки-бананы</t>
  </si>
  <si>
    <t>Линзы для экшн-камер</t>
  </si>
  <si>
    <t>Помпы микроинфузионные</t>
  </si>
  <si>
    <t>Имитаторы груди</t>
  </si>
  <si>
    <t>Пирсинг</t>
  </si>
  <si>
    <t>Стаканы</t>
  </si>
  <si>
    <t>Картеры двигателя</t>
  </si>
  <si>
    <t>Наборы для карвинга</t>
  </si>
  <si>
    <t>Пастель</t>
  </si>
  <si>
    <t>Щеточки для ногтей</t>
  </si>
  <si>
    <t>Снежколепы</t>
  </si>
  <si>
    <t>Луноходы</t>
  </si>
  <si>
    <t>Чехлы на сиденья</t>
  </si>
  <si>
    <t>Герметизирующие кровельные ленты</t>
  </si>
  <si>
    <t>Фотошторы</t>
  </si>
  <si>
    <t>Бомберы</t>
  </si>
  <si>
    <t>Защитные сидушки детские</t>
  </si>
  <si>
    <t>Боди эротик</t>
  </si>
  <si>
    <t>Линзы офтальмологические</t>
  </si>
  <si>
    <t>Кии бильярдные</t>
  </si>
  <si>
    <t>Светильники смотровые</t>
  </si>
  <si>
    <t>Ростки ячменя</t>
  </si>
  <si>
    <t>Насадки для накачки шин</t>
  </si>
  <si>
    <t>Запчасти для холодильников</t>
  </si>
  <si>
    <t>Тележки садовые</t>
  </si>
  <si>
    <t>Декорации для аквариумов и террариумов</t>
  </si>
  <si>
    <t>Межзубные ершики</t>
  </si>
  <si>
    <t>Блеск-тату для животных</t>
  </si>
  <si>
    <t>Комплекты для купания новорожденных</t>
  </si>
  <si>
    <t>Блузки для малышей</t>
  </si>
  <si>
    <t>Комплектующие для ворот и калиток</t>
  </si>
  <si>
    <t>Фасоль</t>
  </si>
  <si>
    <t>Ломтерезки</t>
  </si>
  <si>
    <t>Квадраты металлические</t>
  </si>
  <si>
    <t>Фигурки и вывески садовые</t>
  </si>
  <si>
    <t>Меренги</t>
  </si>
  <si>
    <t>Фоторамки</t>
  </si>
  <si>
    <t>Антифризы</t>
  </si>
  <si>
    <t>Прихватки</t>
  </si>
  <si>
    <t>Термоноски</t>
  </si>
  <si>
    <t>Пистолеты аэрозольные</t>
  </si>
  <si>
    <t>Сундуки</t>
  </si>
  <si>
    <t>Инструменты для ювелирных работ</t>
  </si>
  <si>
    <t>Культиваторы</t>
  </si>
  <si>
    <t>Лопаты туристические</t>
  </si>
  <si>
    <t>Декоративные аксессуары для мебели</t>
  </si>
  <si>
    <t>Велоспрингеры</t>
  </si>
  <si>
    <t>Лосьоны для обуви</t>
  </si>
  <si>
    <t>Приводы стеклоочистителя</t>
  </si>
  <si>
    <t>Контейнеры из полимеров</t>
  </si>
  <si>
    <t>Комоды плетеные</t>
  </si>
  <si>
    <t>Аппликаторы для инъекций</t>
  </si>
  <si>
    <t>Щитки номерных знаков</t>
  </si>
  <si>
    <t>Кронштейны для проекторов</t>
  </si>
  <si>
    <t>Картриджи для фильтров в колбе</t>
  </si>
  <si>
    <t>Дезодоранты эротик</t>
  </si>
  <si>
    <t>Ручки дверные</t>
  </si>
  <si>
    <t>Маркеры для кабелей</t>
  </si>
  <si>
    <t>Катетеры медицинские</t>
  </si>
  <si>
    <t>Салфетки для одежды</t>
  </si>
  <si>
    <t>Демопанели</t>
  </si>
  <si>
    <t>Подставки для подогрева</t>
  </si>
  <si>
    <t>Накладки-протекторы для мебели</t>
  </si>
  <si>
    <t>Рыхлители механические</t>
  </si>
  <si>
    <t>Губные гармошки</t>
  </si>
  <si>
    <t>Декантеры</t>
  </si>
  <si>
    <t>Антибактериальные терапевтические приборы</t>
  </si>
  <si>
    <t>Тормозные ленты</t>
  </si>
  <si>
    <t>Боксы для часов</t>
  </si>
  <si>
    <t>Картриджи для насоса</t>
  </si>
  <si>
    <t>Джезерье</t>
  </si>
  <si>
    <t>Мешки кондитерские</t>
  </si>
  <si>
    <t>Вкладыши пуш-ап</t>
  </si>
  <si>
    <t>Преобразователи крутящего момента</t>
  </si>
  <si>
    <t>Уровни строительные</t>
  </si>
  <si>
    <t>Трубы для электропроводки</t>
  </si>
  <si>
    <t>Стремянки</t>
  </si>
  <si>
    <t>Наборы для праздника</t>
  </si>
  <si>
    <t>Балки моста</t>
  </si>
  <si>
    <t>Шпильки крепежные</t>
  </si>
  <si>
    <t>Тарелки декоративные</t>
  </si>
  <si>
    <t>Ростки ржи</t>
  </si>
  <si>
    <t>Ванны ультразвуковые</t>
  </si>
  <si>
    <t>Наконечники кабельные</t>
  </si>
  <si>
    <t>Держатели для аквариума</t>
  </si>
  <si>
    <t>Тумбы под ТВ</t>
  </si>
  <si>
    <t>Испарители автомобильные</t>
  </si>
  <si>
    <t>Ходунки для животных</t>
  </si>
  <si>
    <t>Ремни</t>
  </si>
  <si>
    <t>Печи и парогенераторы для бани</t>
  </si>
  <si>
    <t>Кабели автомобильные</t>
  </si>
  <si>
    <t>Поп-фильтры</t>
  </si>
  <si>
    <t>Халаты медицинские</t>
  </si>
  <si>
    <t>Шарфы-пледы</t>
  </si>
  <si>
    <t>Насосы для ГСМ</t>
  </si>
  <si>
    <t>Шлиф-ленты</t>
  </si>
  <si>
    <t>Когтерезки</t>
  </si>
  <si>
    <t>Педали эффектов</t>
  </si>
  <si>
    <t>Шипы ремонтные</t>
  </si>
  <si>
    <t>Совки для продуктов</t>
  </si>
  <si>
    <t>Гвоздодеры</t>
  </si>
  <si>
    <t>Подставки для саджа</t>
  </si>
  <si>
    <t>Сумки</t>
  </si>
  <si>
    <t>Грелки для посуды</t>
  </si>
  <si>
    <t>Видеорегистраторы цифровые</t>
  </si>
  <si>
    <t>Парктроники</t>
  </si>
  <si>
    <t>Подшивы</t>
  </si>
  <si>
    <t>Блоки для троса</t>
  </si>
  <si>
    <t>Картридеры</t>
  </si>
  <si>
    <t>Мыло для животных</t>
  </si>
  <si>
    <t>Линзы для луп</t>
  </si>
  <si>
    <t>Фильтры для лотков</t>
  </si>
  <si>
    <t>Фотозонты</t>
  </si>
  <si>
    <t>Иглы для швейных машин</t>
  </si>
  <si>
    <t>Шиньоны</t>
  </si>
  <si>
    <t>Стекла ветровые для мототехники</t>
  </si>
  <si>
    <t>Бандажи ортопедические</t>
  </si>
  <si>
    <t>Трубочки для молока</t>
  </si>
  <si>
    <t>Аптечки для сельскохозяйственных животных</t>
  </si>
  <si>
    <t>Конвертеры спутниковые</t>
  </si>
  <si>
    <t>Поручни для ванной комнаты</t>
  </si>
  <si>
    <t>Бесключевые системы</t>
  </si>
  <si>
    <t>Киянки</t>
  </si>
  <si>
    <t>Мулине</t>
  </si>
  <si>
    <t>Гранаты тренировочные</t>
  </si>
  <si>
    <t>Приборы для завивки ресниц</t>
  </si>
  <si>
    <t>Гимнастические кольца</t>
  </si>
  <si>
    <t>Клапаны автомобильные</t>
  </si>
  <si>
    <t>Стеклорезы</t>
  </si>
  <si>
    <t>Скребницы</t>
  </si>
  <si>
    <t>Пистолеты-маркираторы</t>
  </si>
  <si>
    <t>Бинты для обертывания</t>
  </si>
  <si>
    <t>Воки</t>
  </si>
  <si>
    <t>Пирожные</t>
  </si>
  <si>
    <t>Звонки велосипедные</t>
  </si>
  <si>
    <t>Ветеринарные защитные перчатки</t>
  </si>
  <si>
    <t>Колбы для кальянов</t>
  </si>
  <si>
    <t>Пипетки кулинарные</t>
  </si>
  <si>
    <t>Возбуждающие напитки</t>
  </si>
  <si>
    <t>Дорожные знаки</t>
  </si>
  <si>
    <t>Наволочки декоративные</t>
  </si>
  <si>
    <t>Палитры</t>
  </si>
  <si>
    <t>Ювелирные комплекты</t>
  </si>
  <si>
    <t>Юбки для животных</t>
  </si>
  <si>
    <t>Ложки для мороженого</t>
  </si>
  <si>
    <t>Плинтусы потолочные</t>
  </si>
  <si>
    <t>Тазы хозяйственные</t>
  </si>
  <si>
    <t>Воздушные шарики</t>
  </si>
  <si>
    <t>Очки защитные медицинские</t>
  </si>
  <si>
    <t>Крышки коренного подшипника</t>
  </si>
  <si>
    <t>Антистеплеры</t>
  </si>
  <si>
    <t>Электродвигатели</t>
  </si>
  <si>
    <t>Комплектующие усиленной подвески</t>
  </si>
  <si>
    <t>Бордюры для обоев</t>
  </si>
  <si>
    <t>Ювелирные ручки</t>
  </si>
  <si>
    <t>Воски ароматические</t>
  </si>
  <si>
    <t>Картриджи для бритв</t>
  </si>
  <si>
    <t>Жакеты для малышей</t>
  </si>
  <si>
    <t>Аксессуары для настольных игр</t>
  </si>
  <si>
    <t>Ступени</t>
  </si>
  <si>
    <t>Корректоры осанки электронные</t>
  </si>
  <si>
    <t>Кисточки кулинарные</t>
  </si>
  <si>
    <t>Патрубки системы охлаждения</t>
  </si>
  <si>
    <t>Мед</t>
  </si>
  <si>
    <t>Шарфы</t>
  </si>
  <si>
    <t>Гири</t>
  </si>
  <si>
    <t>Багажные сетки</t>
  </si>
  <si>
    <t>Антидождь</t>
  </si>
  <si>
    <t>Колеса опорные для прицепов</t>
  </si>
  <si>
    <t>Корпусы топливных фильтров</t>
  </si>
  <si>
    <t>Брызговики</t>
  </si>
  <si>
    <t>Соль таблетированная</t>
  </si>
  <si>
    <t>Лонгсливы спортивные</t>
  </si>
  <si>
    <t>Ремкомплекты для стекол</t>
  </si>
  <si>
    <t>Блоки питания для компьютеров</t>
  </si>
  <si>
    <t>Контурные карты</t>
  </si>
  <si>
    <t>Комплектующие для плитки фасадной</t>
  </si>
  <si>
    <t>Защитные барьеры детские</t>
  </si>
  <si>
    <t>Аккордеоны</t>
  </si>
  <si>
    <t>Аэрографы косметические</t>
  </si>
  <si>
    <t>Тросовые приводы</t>
  </si>
  <si>
    <t>Чайники автомобильные</t>
  </si>
  <si>
    <t>Рубашки для животных</t>
  </si>
  <si>
    <t>Ботинки</t>
  </si>
  <si>
    <t>Пасты ореховые</t>
  </si>
  <si>
    <t>Страховочные шарики для прицепов</t>
  </si>
  <si>
    <t>Сандалии</t>
  </si>
  <si>
    <t>Банты</t>
  </si>
  <si>
    <t>Носки для животных</t>
  </si>
  <si>
    <t>Флорариумы</t>
  </si>
  <si>
    <t>Семена</t>
  </si>
  <si>
    <t>Тумбы для ванной</t>
  </si>
  <si>
    <t>Сиропы</t>
  </si>
  <si>
    <t>Бассейны надувные</t>
  </si>
  <si>
    <t>Крупа кукурузная</t>
  </si>
  <si>
    <t>Клей для ногтей</t>
  </si>
  <si>
    <t>Жевательные резинки</t>
  </si>
  <si>
    <t>Клипперы маникюрные</t>
  </si>
  <si>
    <t>Комплектующие к аркам</t>
  </si>
  <si>
    <t>Гигиенические помады</t>
  </si>
  <si>
    <t>Столы обеденные</t>
  </si>
  <si>
    <t>Аксессуары для детской мебели</t>
  </si>
  <si>
    <t>Двигатели в сборе</t>
  </si>
  <si>
    <t>Станки-счетчики для отжиманий</t>
  </si>
  <si>
    <t>Пакеты для уборки за животными</t>
  </si>
  <si>
    <t>Шнапс</t>
  </si>
  <si>
    <t>Чернители шин</t>
  </si>
  <si>
    <t>Зажимы для скатерти</t>
  </si>
  <si>
    <t>Гречка</t>
  </si>
  <si>
    <t>Стерилизаторы детские</t>
  </si>
  <si>
    <t>Дверные звонки</t>
  </si>
  <si>
    <t>Игровые наборы</t>
  </si>
  <si>
    <t>Велокомпьютеры</t>
  </si>
  <si>
    <t>Смузи</t>
  </si>
  <si>
    <t>Терморегуляторы</t>
  </si>
  <si>
    <t>Терки и пилки для педикюра</t>
  </si>
  <si>
    <t>Посуда сувенирная</t>
  </si>
  <si>
    <t>Корректирующая жидкость</t>
  </si>
  <si>
    <t>Мелодики</t>
  </si>
  <si>
    <t>Крепежи с ленточным хомутом</t>
  </si>
  <si>
    <t>СИПАП-аппараты</t>
  </si>
  <si>
    <t>Антенны для радиостанций</t>
  </si>
  <si>
    <t>Джеггинсы</t>
  </si>
  <si>
    <t>Скальные туфли</t>
  </si>
  <si>
    <t>Аксессуары для хлебопечек</t>
  </si>
  <si>
    <t>Аксессуары для мотоэкипировки</t>
  </si>
  <si>
    <t>Наклейки интерьерные</t>
  </si>
  <si>
    <t>Квартиры</t>
  </si>
  <si>
    <t>Насосы для секс кукол</t>
  </si>
  <si>
    <t>Освежители воздуха</t>
  </si>
  <si>
    <t>Средства для удаления обоев</t>
  </si>
  <si>
    <t>Антигистаминные препараты</t>
  </si>
  <si>
    <t>Сахарная пудра</t>
  </si>
  <si>
    <t>Ремкомплекты автомобильные</t>
  </si>
  <si>
    <t>Очистители тормозов</t>
  </si>
  <si>
    <t>Аксессуары для коньков</t>
  </si>
  <si>
    <t>Подставки для книг</t>
  </si>
  <si>
    <t>Заменители сухих сливок</t>
  </si>
  <si>
    <t>Удлинители</t>
  </si>
  <si>
    <t>Пастилки для горла</t>
  </si>
  <si>
    <t>Чехлы для акпп</t>
  </si>
  <si>
    <t>Меховушки</t>
  </si>
  <si>
    <t>Чурчхела</t>
  </si>
  <si>
    <t>Датчики уровня воды</t>
  </si>
  <si>
    <t>Комплекты заземления для дома</t>
  </si>
  <si>
    <t>Насадки для электрических зубных щеток</t>
  </si>
  <si>
    <t>Соусы детские</t>
  </si>
  <si>
    <t>Чехлы для камер</t>
  </si>
  <si>
    <t>Системы Джокер</t>
  </si>
  <si>
    <t>Растяжители для обуви</t>
  </si>
  <si>
    <t>Глазурь для керамики</t>
  </si>
  <si>
    <t>Органайзеры на мойку</t>
  </si>
  <si>
    <t>Перчатки одноразовые</t>
  </si>
  <si>
    <t>Ручки тактические</t>
  </si>
  <si>
    <t>Зразы</t>
  </si>
  <si>
    <t>Чехлы для садовых инструментов и техники</t>
  </si>
  <si>
    <t>Кисели</t>
  </si>
  <si>
    <t>Щетки для обуви</t>
  </si>
  <si>
    <t>Компрессоры для аквариума</t>
  </si>
  <si>
    <t>Пинцеты медицинские</t>
  </si>
  <si>
    <t>Металлофоны</t>
  </si>
  <si>
    <t>Откосы</t>
  </si>
  <si>
    <t>Усилители Wi-Fi сигнала</t>
  </si>
  <si>
    <t>Очистители двигателя</t>
  </si>
  <si>
    <t>Спирулина</t>
  </si>
  <si>
    <t>Плиты с духовкой</t>
  </si>
  <si>
    <t>Тамбурины</t>
  </si>
  <si>
    <t>Браслеты контрольные</t>
  </si>
  <si>
    <t>Наушники противошумные</t>
  </si>
  <si>
    <t>Кубики</t>
  </si>
  <si>
    <t>Защелки для дверных ручек</t>
  </si>
  <si>
    <t>Стеклопакеты</t>
  </si>
  <si>
    <t>Буры</t>
  </si>
  <si>
    <t>Пробковые полы</t>
  </si>
  <si>
    <t>Калькуляторы</t>
  </si>
  <si>
    <t>Ходунки медицинские</t>
  </si>
  <si>
    <t>Магнитные держатели</t>
  </si>
  <si>
    <t>Пенки</t>
  </si>
  <si>
    <t>Майки бельевые для малышей</t>
  </si>
  <si>
    <t>Жилеты фиксирующие</t>
  </si>
  <si>
    <t>Растворители</t>
  </si>
  <si>
    <t>Бамперы силовые</t>
  </si>
  <si>
    <t>Отпариватели</t>
  </si>
  <si>
    <t>Салфетки для обуви</t>
  </si>
  <si>
    <t>Фиксаторы макияжа</t>
  </si>
  <si>
    <t>Щетки для мытья бутылочек</t>
  </si>
  <si>
    <t>Компоты детские</t>
  </si>
  <si>
    <t>Штангетки</t>
  </si>
  <si>
    <t>Блокировки дифференциалов</t>
  </si>
  <si>
    <t>Пассатижи</t>
  </si>
  <si>
    <t>Сауны инфракрасные</t>
  </si>
  <si>
    <t>Пшено</t>
  </si>
  <si>
    <t>Фильтры дуплексные</t>
  </si>
  <si>
    <t>Файлы-вкладыши</t>
  </si>
  <si>
    <t>Замороженное тесто</t>
  </si>
  <si>
    <t>Тягово-сцепные устройства</t>
  </si>
  <si>
    <t>Шпатели кондитерские</t>
  </si>
  <si>
    <t>Таймеры кухонные</t>
  </si>
  <si>
    <t>Увеличители члена</t>
  </si>
  <si>
    <t>Супницы</t>
  </si>
  <si>
    <t>Отсасыватели хирургические</t>
  </si>
  <si>
    <t>Овощи свежие</t>
  </si>
  <si>
    <t>Светильники для аквариума</t>
  </si>
  <si>
    <t>Другое торговое оборудование</t>
  </si>
  <si>
    <t>Салфетки медицинские</t>
  </si>
  <si>
    <t>Маски тканевые косметические</t>
  </si>
  <si>
    <t>Совки для корма</t>
  </si>
  <si>
    <t>Уплотнители для окон</t>
  </si>
  <si>
    <t>Комплектующие для сайдинга</t>
  </si>
  <si>
    <t>Гармони</t>
  </si>
  <si>
    <t>Вешалки напольные</t>
  </si>
  <si>
    <t>Датчики расхода воздуха</t>
  </si>
  <si>
    <t>Комплекты украшений</t>
  </si>
  <si>
    <t>Аксессуары для увлажнителей и очистителей</t>
  </si>
  <si>
    <t>Резинки</t>
  </si>
  <si>
    <t>Хабы колесные</t>
  </si>
  <si>
    <t>Аккумуляторы для смарт-часов</t>
  </si>
  <si>
    <t>Колонки компьютерные</t>
  </si>
  <si>
    <t>Ведерки для льда</t>
  </si>
  <si>
    <t>Тортовницы</t>
  </si>
  <si>
    <t>Звукоизоляционный материал для авто</t>
  </si>
  <si>
    <t>Дыроколы</t>
  </si>
  <si>
    <t>Мопеды</t>
  </si>
  <si>
    <t>Полоски для депиляции</t>
  </si>
  <si>
    <t>Пиво</t>
  </si>
  <si>
    <t>Оборудование для тату</t>
  </si>
  <si>
    <t>Чистящие средства для кальяна</t>
  </si>
  <si>
    <t>Гель-краски для ногтей</t>
  </si>
  <si>
    <t>Гигрометры</t>
  </si>
  <si>
    <t>Кальсоны спортивные</t>
  </si>
  <si>
    <t>Презервативы</t>
  </si>
  <si>
    <t>Комплектующие дифференциалов</t>
  </si>
  <si>
    <t>Тахометры</t>
  </si>
  <si>
    <t>Очистители монтажной пены</t>
  </si>
  <si>
    <t>Корпуса термостата</t>
  </si>
  <si>
    <t>Фильтры грубой очистки</t>
  </si>
  <si>
    <t>Пломбы</t>
  </si>
  <si>
    <t>Гостевые книги</t>
  </si>
  <si>
    <t>Гермомешки</t>
  </si>
  <si>
    <t>Гели для посудомоечных машин</t>
  </si>
  <si>
    <t>Скребки строительные</t>
  </si>
  <si>
    <t>Велосипедки</t>
  </si>
  <si>
    <t>Коктейли злаковые</t>
  </si>
  <si>
    <t>Термокомбинезоны</t>
  </si>
  <si>
    <t>Муляжи камер видеонаблюдения</t>
  </si>
  <si>
    <t>Зеленки</t>
  </si>
  <si>
    <t>Боди-лифт</t>
  </si>
  <si>
    <t>Ручки для шпателя</t>
  </si>
  <si>
    <t>Накладки на стики</t>
  </si>
  <si>
    <t>Арки межкомнатные</t>
  </si>
  <si>
    <t>Крючки настенные</t>
  </si>
  <si>
    <t>Смеси для выпечки</t>
  </si>
  <si>
    <t>Паста</t>
  </si>
  <si>
    <t>Пасты полировальные</t>
  </si>
  <si>
    <t>Аккумуляторы для автомобилей</t>
  </si>
  <si>
    <t>Картины 3D</t>
  </si>
  <si>
    <t>Подушки для малышей</t>
  </si>
  <si>
    <t>Дерматологические препараты</t>
  </si>
  <si>
    <t>Точилки для ножей</t>
  </si>
  <si>
    <t>Чехлы для дубинок</t>
  </si>
  <si>
    <t>Вертлюги такелажные</t>
  </si>
  <si>
    <t>Жиры для обуви</t>
  </si>
  <si>
    <t>Воски для брекетов</t>
  </si>
  <si>
    <t>Зажимы для опалубки</t>
  </si>
  <si>
    <t>Таблетки для посудомоечных машин</t>
  </si>
  <si>
    <t>Тренажеры для шеи</t>
  </si>
  <si>
    <t>Тубусы</t>
  </si>
  <si>
    <t>Модули управления стеклоподъемниками</t>
  </si>
  <si>
    <t>Стоматологические препараты</t>
  </si>
  <si>
    <t>Повязки для волос</t>
  </si>
  <si>
    <t>Суповарки электрические</t>
  </si>
  <si>
    <t>Рулевое управление</t>
  </si>
  <si>
    <t>Паштеты</t>
  </si>
  <si>
    <t>Чехлы для стилусов</t>
  </si>
  <si>
    <t>Мини-парники для рассады</t>
  </si>
  <si>
    <t>Ступицы</t>
  </si>
  <si>
    <t>Чехлы-накладки для телефонов</t>
  </si>
  <si>
    <t>Виски</t>
  </si>
  <si>
    <t>Ягоды свежие</t>
  </si>
  <si>
    <t>Крючки медицинские</t>
  </si>
  <si>
    <t>Газетницы</t>
  </si>
  <si>
    <t>Аминокислоты</t>
  </si>
  <si>
    <t>Антресоли</t>
  </si>
  <si>
    <t>Шприцы плунжерные</t>
  </si>
  <si>
    <t>Плитка ковровая</t>
  </si>
  <si>
    <t>Ящики гардеробные</t>
  </si>
  <si>
    <t>Зубные пасты</t>
  </si>
  <si>
    <t>Сетки для сушки</t>
  </si>
  <si>
    <t>Печенье детское</t>
  </si>
  <si>
    <t>Оборудование для приготовления алкоголя</t>
  </si>
  <si>
    <t>Восстановление резьбы</t>
  </si>
  <si>
    <t>Видеоэндоскопы</t>
  </si>
  <si>
    <t>Туши для рапидографов</t>
  </si>
  <si>
    <t>Комоды</t>
  </si>
  <si>
    <t>Напитки сокосодержащие</t>
  </si>
  <si>
    <t>Краны запорные садовые</t>
  </si>
  <si>
    <t>Печи</t>
  </si>
  <si>
    <t>Закваски</t>
  </si>
  <si>
    <t>Влажная туалетная бумага</t>
  </si>
  <si>
    <t>Карандаши для ткани</t>
  </si>
  <si>
    <t>Карты географические</t>
  </si>
  <si>
    <t>Насадки на глушитель</t>
  </si>
  <si>
    <t>Удлинители для боди</t>
  </si>
  <si>
    <t>Колеса для робот-пылесосов</t>
  </si>
  <si>
    <t>Бассейны каркасные</t>
  </si>
  <si>
    <t>Форсунки масляные</t>
  </si>
  <si>
    <t>Сушилки для белья</t>
  </si>
  <si>
    <t>Черпаки-шумовки рыбацкие</t>
  </si>
  <si>
    <t>Компьютеры</t>
  </si>
  <si>
    <t>Адресные таблички</t>
  </si>
  <si>
    <t>Лубриканты</t>
  </si>
  <si>
    <t>Сапожки для разогрева</t>
  </si>
  <si>
    <t>Спиртометры</t>
  </si>
  <si>
    <t>Держатели зубной нити</t>
  </si>
  <si>
    <t>Фильтры назальные</t>
  </si>
  <si>
    <t>Оковы эротик</t>
  </si>
  <si>
    <t>Фрукты свежие</t>
  </si>
  <si>
    <t>Запчасти для оборудования общепита</t>
  </si>
  <si>
    <t>Ножи для пиццы</t>
  </si>
  <si>
    <t>Куртки спортивные</t>
  </si>
  <si>
    <t>Трубы металлические</t>
  </si>
  <si>
    <t>Чехлы для теплиц</t>
  </si>
  <si>
    <t>Детские компьютеры</t>
  </si>
  <si>
    <t>Наборы инструментов</t>
  </si>
  <si>
    <t>Лимонная кислота</t>
  </si>
  <si>
    <t>Столики кальянные</t>
  </si>
  <si>
    <t>Планшеты</t>
  </si>
  <si>
    <t>Ондулин</t>
  </si>
  <si>
    <t>Изоляторы декоративные</t>
  </si>
  <si>
    <t>Дорожки балансировочные</t>
  </si>
  <si>
    <t>Конденсаторы</t>
  </si>
  <si>
    <t>Топоры метательные</t>
  </si>
  <si>
    <t>Скамейки садовые</t>
  </si>
  <si>
    <t>Наборы для крепких напитков</t>
  </si>
  <si>
    <t>Направляющие мебельные</t>
  </si>
  <si>
    <t>Ремкомплекты для ванны</t>
  </si>
  <si>
    <t>Уголь древесный</t>
  </si>
  <si>
    <t>Икорницы</t>
  </si>
  <si>
    <t>Ленты выпускника</t>
  </si>
  <si>
    <t>Хлебницы</t>
  </si>
  <si>
    <t>Порошки для уборки</t>
  </si>
  <si>
    <t>Драгоценные камни</t>
  </si>
  <si>
    <t>Полукомбинезоны для малышей</t>
  </si>
  <si>
    <t>Игрушечные музыкальные инструменты</t>
  </si>
  <si>
    <t>Скрипки</t>
  </si>
  <si>
    <t>Термолонгсливы спортивные</t>
  </si>
  <si>
    <t>Насосы маслянные</t>
  </si>
  <si>
    <t>Пессарии</t>
  </si>
  <si>
    <t>Степлеры строительные</t>
  </si>
  <si>
    <t>Программное обеспечение</t>
  </si>
  <si>
    <t>Венчики</t>
  </si>
  <si>
    <t>Восстановленные</t>
  </si>
  <si>
    <t>Шприцы для кормления птиц</t>
  </si>
  <si>
    <t>Аксессуары для обогревателей</t>
  </si>
  <si>
    <t>Уход за украшениями</t>
  </si>
  <si>
    <t>Замороженные хлебобулочные изделия</t>
  </si>
  <si>
    <t>Стекла строительные</t>
  </si>
  <si>
    <t>ЦК Игры</t>
  </si>
  <si>
    <t>Прокладки гигиенические</t>
  </si>
  <si>
    <t>Жаровни</t>
  </si>
  <si>
    <t>Цилиндры для мототехники</t>
  </si>
  <si>
    <t>Манометры</t>
  </si>
  <si>
    <t>Смазки для откручивания</t>
  </si>
  <si>
    <t>Экраны для проекторов</t>
  </si>
  <si>
    <t>Игровая техника</t>
  </si>
  <si>
    <t>Пояса для бега</t>
  </si>
  <si>
    <t>Фляжки</t>
  </si>
  <si>
    <t>Помпы для воды</t>
  </si>
  <si>
    <t>Фильтры-кувшины для воды</t>
  </si>
  <si>
    <t>Держатели щитков</t>
  </si>
  <si>
    <t>Лотки для метизов</t>
  </si>
  <si>
    <t>Заклепочники</t>
  </si>
  <si>
    <t>Электрогитары</t>
  </si>
  <si>
    <t>Шоколадные яйца</t>
  </si>
  <si>
    <t>Комплектующие для лебедок</t>
  </si>
  <si>
    <t>Рули велосипедные</t>
  </si>
  <si>
    <t>Расчески для животных</t>
  </si>
  <si>
    <t>Приправы и специи</t>
  </si>
  <si>
    <t>Подставки под мониторы</t>
  </si>
  <si>
    <t>Телевизоры автомобильные</t>
  </si>
  <si>
    <t>Ванночки парафиновые</t>
  </si>
  <si>
    <t>Мойки для кухни</t>
  </si>
  <si>
    <t>Бодибары</t>
  </si>
  <si>
    <t>Подставки для зонтов</t>
  </si>
  <si>
    <t>Мотоциклы</t>
  </si>
  <si>
    <t>Шпильки</t>
  </si>
  <si>
    <t>Картины по номерам</t>
  </si>
  <si>
    <t>Туши для рисования</t>
  </si>
  <si>
    <t>Патрубки автомобильные</t>
  </si>
  <si>
    <t>Геоборды</t>
  </si>
  <si>
    <t>Наборы для гольфа</t>
  </si>
  <si>
    <t>Воскоплавы</t>
  </si>
  <si>
    <t>Лезвия для пистолетных ножей</t>
  </si>
  <si>
    <t>Технический тальк</t>
  </si>
  <si>
    <t>Рукавицы одноразовые</t>
  </si>
  <si>
    <t>Комфортеры</t>
  </si>
  <si>
    <t>Сальники водяного насоса</t>
  </si>
  <si>
    <t>Плоттеры</t>
  </si>
  <si>
    <t>Противни</t>
  </si>
  <si>
    <t>Зеркала для прихожей</t>
  </si>
  <si>
    <t>CC-кремы</t>
  </si>
  <si>
    <t>Сумки для ланчбоксов</t>
  </si>
  <si>
    <t>Коляски детские</t>
  </si>
  <si>
    <t>Кассеты велосипедные</t>
  </si>
  <si>
    <t>Кендамы</t>
  </si>
  <si>
    <t>Соединительные элементы свечных кабелей</t>
  </si>
  <si>
    <t>Диваны детские</t>
  </si>
  <si>
    <t>Когти накладные</t>
  </si>
  <si>
    <t>Колпаки на колеса</t>
  </si>
  <si>
    <t>Подставки медицинские</t>
  </si>
  <si>
    <t>Грануляторы для комбикорма</t>
  </si>
  <si>
    <t>Замороженные паровые булочки</t>
  </si>
  <si>
    <t>Шкафы-кровати</t>
  </si>
  <si>
    <t>Уголки детские</t>
  </si>
  <si>
    <t>Ящики выдвижные</t>
  </si>
  <si>
    <t>Ломы</t>
  </si>
  <si>
    <t>Кронштейны для полок</t>
  </si>
  <si>
    <t>Срубы</t>
  </si>
  <si>
    <t>Кнопки выхода</t>
  </si>
  <si>
    <t>Горелки строительные</t>
  </si>
  <si>
    <t>Стопки</t>
  </si>
  <si>
    <t>Газораспределительные заслонки</t>
  </si>
  <si>
    <t>Чехлы для детских автокресел</t>
  </si>
  <si>
    <t>Канистры экспедиционные</t>
  </si>
  <si>
    <t>Модули отопительные</t>
  </si>
  <si>
    <t>Другие хозяйственные принадлежности</t>
  </si>
  <si>
    <t>Гидрошорты</t>
  </si>
  <si>
    <t>Садки рыболовные</t>
  </si>
  <si>
    <t>Ювелирные иконы</t>
  </si>
  <si>
    <t>Автокружки</t>
  </si>
  <si>
    <t>Украшения для бутылок</t>
  </si>
  <si>
    <t>Пена для ванны</t>
  </si>
  <si>
    <t>Сдвигаемые панели крыши</t>
  </si>
  <si>
    <t>Весы торговые</t>
  </si>
  <si>
    <t>Механизмы подъема столешниц</t>
  </si>
  <si>
    <t>Магнитные сборщики</t>
  </si>
  <si>
    <t>Праймеры для ногтей</t>
  </si>
  <si>
    <t>Замки зажигания</t>
  </si>
  <si>
    <t>Маринаторы</t>
  </si>
  <si>
    <t>DJ контроллеры</t>
  </si>
  <si>
    <t>Ленты и нити уплотнительные</t>
  </si>
  <si>
    <t>Антипробуксовочные приспособления</t>
  </si>
  <si>
    <t>Ремни для триммеров</t>
  </si>
  <si>
    <t>Системы обогрева грунта</t>
  </si>
  <si>
    <t>Комплектующие для витрин</t>
  </si>
  <si>
    <t>Ремкомплекты для надувной мебели</t>
  </si>
  <si>
    <t>Сепараторы для яиц</t>
  </si>
  <si>
    <t>Термокомбинезоны спортивные</t>
  </si>
  <si>
    <t>Радиаторы топливные</t>
  </si>
  <si>
    <t>Седла велосипедные</t>
  </si>
  <si>
    <t>Подвесы для подъемников</t>
  </si>
  <si>
    <t>Запчасти для мобильных устройств</t>
  </si>
  <si>
    <t>Ложки чайные</t>
  </si>
  <si>
    <t>Пояса от колик</t>
  </si>
  <si>
    <t>Моноблоки</t>
  </si>
  <si>
    <t>Автобаферы</t>
  </si>
  <si>
    <t>Кресла руководителя</t>
  </si>
  <si>
    <t>Смеси для вторых блюд</t>
  </si>
  <si>
    <t>Комбинезоны для малышей</t>
  </si>
  <si>
    <t>Устройства AirFloss</t>
  </si>
  <si>
    <t>Чехлы для кресел-мешков</t>
  </si>
  <si>
    <t>Игрушечные мишени</t>
  </si>
  <si>
    <t>Компрессионные рукава</t>
  </si>
  <si>
    <t>Карты Оракул</t>
  </si>
  <si>
    <t>Лаки для автомобиля</t>
  </si>
  <si>
    <t>Косметика для ванн</t>
  </si>
  <si>
    <t>Картмашинки</t>
  </si>
  <si>
    <t>Аксессуары для обустройства бани</t>
  </si>
  <si>
    <t>Венки для волос</t>
  </si>
  <si>
    <t>Координационные лестницы</t>
  </si>
  <si>
    <t>Кронштейны для уличных светильников</t>
  </si>
  <si>
    <t>Крепления для лодок ПВХ</t>
  </si>
  <si>
    <t>Картриджи для принтеров</t>
  </si>
  <si>
    <t>Коврики настольные</t>
  </si>
  <si>
    <t>Техническое освещение</t>
  </si>
  <si>
    <t>Стеклоочистители электрические</t>
  </si>
  <si>
    <t>Таблетки для животных</t>
  </si>
  <si>
    <t>Фоторамки цифровые</t>
  </si>
  <si>
    <t>Другой спортивный инвентарь</t>
  </si>
  <si>
    <t>Счетный материал</t>
  </si>
  <si>
    <t>Аксессуары для коктейлей</t>
  </si>
  <si>
    <t>Стабилизаторы</t>
  </si>
  <si>
    <t>Фильтры для противогазов</t>
  </si>
  <si>
    <t>Эмбоссеры ручные</t>
  </si>
  <si>
    <t>Автомобили новые</t>
  </si>
  <si>
    <t>Часы электронные</t>
  </si>
  <si>
    <t>Болеутоляющие препараты</t>
  </si>
  <si>
    <t>Сиденья для плавания</t>
  </si>
  <si>
    <t>Покрывала для малышей</t>
  </si>
  <si>
    <t>Ростеры для обжарки кофе</t>
  </si>
  <si>
    <t>Расширители колеи</t>
  </si>
  <si>
    <t>Петли дверные</t>
  </si>
  <si>
    <t>Блок-хаус</t>
  </si>
  <si>
    <t>Датчики дроссельной заслонки</t>
  </si>
  <si>
    <t>Боксы для рыболовных принадлежностей</t>
  </si>
  <si>
    <t>Системы страховочные</t>
  </si>
  <si>
    <t>Коробки картонные</t>
  </si>
  <si>
    <t>Ключи гаечные</t>
  </si>
  <si>
    <t>Пленки изоляционные</t>
  </si>
  <si>
    <t>Кронштейны для СВЧ-печей</t>
  </si>
  <si>
    <t>Насадки на трости</t>
  </si>
  <si>
    <t>Шины для сельхозтехники</t>
  </si>
  <si>
    <t>Заглушки мебельные</t>
  </si>
  <si>
    <t>Аксессуары для пилатес</t>
  </si>
  <si>
    <t>Сухарики детские</t>
  </si>
  <si>
    <t>Охладители для бутылок</t>
  </si>
  <si>
    <t>Внутриматочные спирали</t>
  </si>
  <si>
    <t>Слинг-накидки</t>
  </si>
  <si>
    <t>Педально-рычажные детали</t>
  </si>
  <si>
    <t>Конфеты</t>
  </si>
  <si>
    <t>Бочки садовые</t>
  </si>
  <si>
    <t>Усилители мощности</t>
  </si>
  <si>
    <t>Косухи</t>
  </si>
  <si>
    <t>Шапки-шлемы</t>
  </si>
  <si>
    <t>Наколенники строительные</t>
  </si>
  <si>
    <t>Резаки для бумаги</t>
  </si>
  <si>
    <t>Боты для дайвинга</t>
  </si>
  <si>
    <t>Виброгасители</t>
  </si>
  <si>
    <t>Кормушки-поилки для рептилий</t>
  </si>
  <si>
    <t>Преобразователи давления</t>
  </si>
  <si>
    <t>Радиодетали</t>
  </si>
  <si>
    <t>Дождевики</t>
  </si>
  <si>
    <t>Тормозные диски автомобильные</t>
  </si>
  <si>
    <t>Аудиокниги CD</t>
  </si>
  <si>
    <t>Микроскопы</t>
  </si>
  <si>
    <t>Вилки возвратные</t>
  </si>
  <si>
    <t>Препараты для сердечно-сосудистой системы животных</t>
  </si>
  <si>
    <t>Носки для малышей</t>
  </si>
  <si>
    <t>Другие жидкости для рукоделия</t>
  </si>
  <si>
    <t>Габаритные огни</t>
  </si>
  <si>
    <t>Водоросли морские</t>
  </si>
  <si>
    <t>Рукомойники</t>
  </si>
  <si>
    <t>Стиральные машины активаторного типа</t>
  </si>
  <si>
    <t>Антифог</t>
  </si>
  <si>
    <t>Указатели автомобильные</t>
  </si>
  <si>
    <t>Ответные планки</t>
  </si>
  <si>
    <t>Утеплители радиатора</t>
  </si>
  <si>
    <t>Петли-вешалки</t>
  </si>
  <si>
    <t>Подставки для цветов</t>
  </si>
  <si>
    <t>Тенты для снегоходов</t>
  </si>
  <si>
    <t>Хлопья для животных</t>
  </si>
  <si>
    <t>Блоки полировочные</t>
  </si>
  <si>
    <t>Кларнеты</t>
  </si>
  <si>
    <t>Ограждения душевые</t>
  </si>
  <si>
    <t>Подсветки для унитаза</t>
  </si>
  <si>
    <t>Аксессуары для автокресел</t>
  </si>
  <si>
    <t>Тачскрины для планшетов</t>
  </si>
  <si>
    <t>Смесители</t>
  </si>
  <si>
    <t>Браслеты эротик</t>
  </si>
  <si>
    <t>CD проигрыватели</t>
  </si>
  <si>
    <t>Конверты для малышей</t>
  </si>
  <si>
    <t>Кронштейны для лебедок</t>
  </si>
  <si>
    <t>Комплекты электрики для фаркопов</t>
  </si>
  <si>
    <t>Щетки автомобильные</t>
  </si>
  <si>
    <t>Чехлы для спортивных утюгов</t>
  </si>
  <si>
    <t>Автохолодильники</t>
  </si>
  <si>
    <t>Щебень</t>
  </si>
  <si>
    <t>Центроискатели</t>
  </si>
  <si>
    <t>Теплоизоляция</t>
  </si>
  <si>
    <t>Чехлы для трекеров</t>
  </si>
  <si>
    <t>Ручки для ванной комнаты</t>
  </si>
  <si>
    <t>Роликовые кроссовки</t>
  </si>
  <si>
    <t>Специнструменты для мототехники</t>
  </si>
  <si>
    <t>Кольца для палок</t>
  </si>
  <si>
    <t>Футляры для спичек</t>
  </si>
  <si>
    <t>Держатели проводов</t>
  </si>
  <si>
    <t>Скотч для поддержания белья</t>
  </si>
  <si>
    <t>Лепнина</t>
  </si>
  <si>
    <t>Вакуумные пакеты</t>
  </si>
  <si>
    <t>Зеркала для магазина</t>
  </si>
  <si>
    <t>Сирены неавтономные</t>
  </si>
  <si>
    <t>Шампанское</t>
  </si>
  <si>
    <t>Пленки для панорамных масок</t>
  </si>
  <si>
    <t>Цепочки на тело</t>
  </si>
  <si>
    <t>Перегородки защитные автомобильные</t>
  </si>
  <si>
    <t>Печати</t>
  </si>
  <si>
    <t>Сумки для мотоциклов</t>
  </si>
  <si>
    <t>Процессоры</t>
  </si>
  <si>
    <t>Пластины крепежные</t>
  </si>
  <si>
    <t>Мышеловки</t>
  </si>
  <si>
    <t>Комплектующие для гипсокартона</t>
  </si>
  <si>
    <t>Пледы для животных</t>
  </si>
  <si>
    <t>Бандажи до- и послеродовые</t>
  </si>
  <si>
    <t>Спиннеры для фигурного катания</t>
  </si>
  <si>
    <t>Кессоны и оголовки для скважин</t>
  </si>
  <si>
    <t>Маски ИВЛ</t>
  </si>
  <si>
    <t>Наушники</t>
  </si>
  <si>
    <t>Патроны для ламп автомобильные</t>
  </si>
  <si>
    <t>Плунжерные клапаны</t>
  </si>
  <si>
    <t>Краски для животных</t>
  </si>
  <si>
    <t>Чехлы для мини-кинотеатров</t>
  </si>
  <si>
    <t>Подсветка автомобильная</t>
  </si>
  <si>
    <t>Снегокаты</t>
  </si>
  <si>
    <t>Попоны послеоперационные</t>
  </si>
  <si>
    <t>Наборы для выращивания растений</t>
  </si>
  <si>
    <t>Иглы для шприц-ручек</t>
  </si>
  <si>
    <t>Тарелки</t>
  </si>
  <si>
    <t>Емкости для масел и горючего</t>
  </si>
  <si>
    <t>Рыба охлажденная</t>
  </si>
  <si>
    <t>Термосумки для бутылочек</t>
  </si>
  <si>
    <t>Фартуки рабочие</t>
  </si>
  <si>
    <t>Рамы автомобильные</t>
  </si>
  <si>
    <t>Смазки спортивные</t>
  </si>
  <si>
    <t>Контейнеры неполимерные</t>
  </si>
  <si>
    <t>Трубки духовые</t>
  </si>
  <si>
    <t>Топы одноразовые</t>
  </si>
  <si>
    <t>Датчики фаз</t>
  </si>
  <si>
    <t>Камеры заднего вида</t>
  </si>
  <si>
    <t>Листы для изготовления ортезов</t>
  </si>
  <si>
    <t>Пижамы для малышей</t>
  </si>
  <si>
    <t>Гитарные процессоры</t>
  </si>
  <si>
    <t>Накидки для санок</t>
  </si>
  <si>
    <t>Средства для пароконвектоматов</t>
  </si>
  <si>
    <t>Перчатки ММА</t>
  </si>
  <si>
    <t>Автобоксы для животных</t>
  </si>
  <si>
    <t>Акваноски</t>
  </si>
  <si>
    <t>Гидроаккумуляторы автомобильные</t>
  </si>
  <si>
    <t>Чехлы для ножниц</t>
  </si>
  <si>
    <t>Чехлы для электронных сигарет</t>
  </si>
  <si>
    <t>Краски для бровей и ресниц</t>
  </si>
  <si>
    <t>Ванночки сидячие</t>
  </si>
  <si>
    <t>Тумбы</t>
  </si>
  <si>
    <t>Ножницы маникюрные</t>
  </si>
  <si>
    <t>Платья медицинские</t>
  </si>
  <si>
    <t>Чехлы для зажигалок</t>
  </si>
  <si>
    <t>Кровати</t>
  </si>
  <si>
    <t>Запчасти для электротранспорта</t>
  </si>
  <si>
    <t>Чехлы для шампуров</t>
  </si>
  <si>
    <t>Кейкапы</t>
  </si>
  <si>
    <t>Велосумки</t>
  </si>
  <si>
    <t>Капсулы для посудомоечных машин</t>
  </si>
  <si>
    <t>Замки почтовые</t>
  </si>
  <si>
    <t>Колеса для лыжероллеров</t>
  </si>
  <si>
    <t>Лестницы строительные</t>
  </si>
  <si>
    <t>Комплекты транспортировочные для генераторов</t>
  </si>
  <si>
    <t>Ретриверы рыболовные</t>
  </si>
  <si>
    <t>Кнопки смыва</t>
  </si>
  <si>
    <t>Комплектующие и уходовые средства для очков</t>
  </si>
  <si>
    <t>Держатели в авто</t>
  </si>
  <si>
    <t>Салфетки для мытья посуды</t>
  </si>
  <si>
    <t>Обмотки руля</t>
  </si>
  <si>
    <t>Замковые устройства для автоприцепов</t>
  </si>
  <si>
    <t>Элементы подвески</t>
  </si>
  <si>
    <t>Блузки-боди</t>
  </si>
  <si>
    <t>Электробайки</t>
  </si>
  <si>
    <t>Чехлы для водной техники</t>
  </si>
  <si>
    <t>Магнезия</t>
  </si>
  <si>
    <t>Гладильные системы</t>
  </si>
  <si>
    <t>Регуляторы вентиляционные</t>
  </si>
  <si>
    <t>Автомобильные аптечки</t>
  </si>
  <si>
    <t>Калька</t>
  </si>
  <si>
    <t>Рукавицы для бани</t>
  </si>
  <si>
    <t>Аварийное освещение</t>
  </si>
  <si>
    <t>Воск для бровей</t>
  </si>
  <si>
    <t>Краски аэрозольные для автомобиля</t>
  </si>
  <si>
    <t>Каретки велосипедные</t>
  </si>
  <si>
    <t>Чехлы для музыкального оборудования</t>
  </si>
  <si>
    <t>Гусли</t>
  </si>
  <si>
    <t>Палочки для мороженого</t>
  </si>
  <si>
    <t>Домкраты</t>
  </si>
  <si>
    <t>Спецобувь</t>
  </si>
  <si>
    <t>Аксессуары для животных</t>
  </si>
  <si>
    <t>Стойки для электроинструмента</t>
  </si>
  <si>
    <t>Винты сливного отверстия</t>
  </si>
  <si>
    <t>Мотозащита</t>
  </si>
  <si>
    <t>Карбид кальция</t>
  </si>
  <si>
    <t>Браслеты для плавания</t>
  </si>
  <si>
    <t>Сменные пакеты для туалета</t>
  </si>
  <si>
    <t>Насадки для вибраторов</t>
  </si>
  <si>
    <t>Переходы вентиляционные</t>
  </si>
  <si>
    <t>Прожекторы</t>
  </si>
  <si>
    <t>Антиоксиданты</t>
  </si>
  <si>
    <t>Шейкеры музыкальные</t>
  </si>
  <si>
    <t>Напитки кофейные</t>
  </si>
  <si>
    <t>Переключатели для мототехники</t>
  </si>
  <si>
    <t>Чехлы для сумок и рюкзаков</t>
  </si>
  <si>
    <t>Парео</t>
  </si>
  <si>
    <t>Сертификаты расширенной гарантии</t>
  </si>
  <si>
    <t>Дуги игровые</t>
  </si>
  <si>
    <t>Ароматизаторы воздуха электрические</t>
  </si>
  <si>
    <t>Системы приучения кошек к унитазу</t>
  </si>
  <si>
    <t>Намордники для животных</t>
  </si>
  <si>
    <t>Сетки для писсуаров</t>
  </si>
  <si>
    <t>Доски для плавания</t>
  </si>
  <si>
    <t>Аккумуляторы для автомобильного ключа</t>
  </si>
  <si>
    <t>Приманки</t>
  </si>
  <si>
    <t>Инструменты для вычёсывания животных</t>
  </si>
  <si>
    <t>Гроубоксы</t>
  </si>
  <si>
    <t>Барабаны</t>
  </si>
  <si>
    <t>Диспенсеры для бумажных полотенец</t>
  </si>
  <si>
    <t>Боди послеоперационные</t>
  </si>
  <si>
    <t>Проставки для квадроциклов</t>
  </si>
  <si>
    <t>Ручки для сковородок</t>
  </si>
  <si>
    <t>Намотки для ракеток</t>
  </si>
  <si>
    <t>Колокольчики музыкальные</t>
  </si>
  <si>
    <t>Цветы стабилизированные</t>
  </si>
  <si>
    <t>Велоудочки</t>
  </si>
  <si>
    <t>Протеин</t>
  </si>
  <si>
    <t>Лопатки кухонные</t>
  </si>
  <si>
    <t>Постельное белье для малышей</t>
  </si>
  <si>
    <t>Ножи для мясорубок</t>
  </si>
  <si>
    <t>Матрешки</t>
  </si>
  <si>
    <t>Бритвы безопасные</t>
  </si>
  <si>
    <t>Деньги сувенирные</t>
  </si>
  <si>
    <t>Растворы для контактных линз</t>
  </si>
  <si>
    <t>Гарнитуры</t>
  </si>
  <si>
    <t>Болты головки блока цилиндра</t>
  </si>
  <si>
    <t>Шины автомобильные б/у</t>
  </si>
  <si>
    <t>Раскраски</t>
  </si>
  <si>
    <t>Веревки садовые</t>
  </si>
  <si>
    <t>Аксессуары для косметических аппаратов</t>
  </si>
  <si>
    <t>Фартуки садовые</t>
  </si>
  <si>
    <t>Наборы для ремонта кабеля</t>
  </si>
  <si>
    <t>Конфетницы</t>
  </si>
  <si>
    <t>Фотобумага</t>
  </si>
  <si>
    <t>Шланги тормозные для мототехники</t>
  </si>
  <si>
    <t>Видеодиски</t>
  </si>
  <si>
    <t>Подседельные хомуты</t>
  </si>
  <si>
    <t>Препараты для пищеварительной системы</t>
  </si>
  <si>
    <t>Матрасы для санок</t>
  </si>
  <si>
    <t>Комплектующие для шиномонтажа</t>
  </si>
  <si>
    <t>Инструменты для бровей</t>
  </si>
  <si>
    <t>Спортивные игровые наборы</t>
  </si>
  <si>
    <t>Тренировочные ремни</t>
  </si>
  <si>
    <t>Регулировочные шайбы</t>
  </si>
  <si>
    <t>Таблички для авто</t>
  </si>
  <si>
    <t>Пеньюары эротик</t>
  </si>
  <si>
    <t>Витамины и добавки для животных</t>
  </si>
  <si>
    <t>Спонжи</t>
  </si>
  <si>
    <t>Кушетки косметологические</t>
  </si>
  <si>
    <t>Тележки уборочные</t>
  </si>
  <si>
    <t>Стойки баскетбольные</t>
  </si>
  <si>
    <t>Ролики для одежды</t>
  </si>
  <si>
    <t>Майки бельевые</t>
  </si>
  <si>
    <t>Столы маникюрные</t>
  </si>
  <si>
    <t>Зарядные устройства для электроинструмента</t>
  </si>
  <si>
    <t>Штативы для капельниц</t>
  </si>
  <si>
    <t>Ножи пистолетные</t>
  </si>
  <si>
    <t>Ульи</t>
  </si>
  <si>
    <t>Ватные палочки</t>
  </si>
  <si>
    <t>Клей строительный</t>
  </si>
  <si>
    <t>Сковороды</t>
  </si>
  <si>
    <t>Овощи сушеные</t>
  </si>
  <si>
    <t>Вариаторы для мототехники</t>
  </si>
  <si>
    <t>Зажимы для ресниц</t>
  </si>
  <si>
    <t>Линзы для камер</t>
  </si>
  <si>
    <t>Крепления для вейкборда</t>
  </si>
  <si>
    <t>Мелки</t>
  </si>
  <si>
    <t>Манжеты для ног</t>
  </si>
  <si>
    <t>Декорации настенные</t>
  </si>
  <si>
    <t>Запчасти для СВЧ</t>
  </si>
  <si>
    <t>Камеры для шин мотоциклов</t>
  </si>
  <si>
    <t>Цепи для пил</t>
  </si>
  <si>
    <t>Разбавители художественные</t>
  </si>
  <si>
    <t>Растворы для разведения хны</t>
  </si>
  <si>
    <t>Механизмы закрывания двери</t>
  </si>
  <si>
    <t>Формы для облицовочного камня</t>
  </si>
  <si>
    <t>Подгузники детские</t>
  </si>
  <si>
    <t>Хоббихорсы</t>
  </si>
  <si>
    <t>Фуражки</t>
  </si>
  <si>
    <t>Кирпичи гибкие</t>
  </si>
  <si>
    <t>Замки оконные</t>
  </si>
  <si>
    <t>Чехлы на сиденья для мототехники</t>
  </si>
  <si>
    <t>Амортизаторы для мототехники</t>
  </si>
  <si>
    <t>Балансиры автомобильные</t>
  </si>
  <si>
    <t>Очки увеличительные</t>
  </si>
  <si>
    <t>Пододеяльники</t>
  </si>
  <si>
    <t>Благовония</t>
  </si>
  <si>
    <t>Датчики ABS</t>
  </si>
  <si>
    <t>Дротики для дартс</t>
  </si>
  <si>
    <t>Ножницы по металлу</t>
  </si>
  <si>
    <t>Шнурки для манков</t>
  </si>
  <si>
    <t>Провода высоковольтные</t>
  </si>
  <si>
    <t>Термобаки</t>
  </si>
  <si>
    <t>Запарки</t>
  </si>
  <si>
    <t>Восковые полоски</t>
  </si>
  <si>
    <t>Пленка пищевая</t>
  </si>
  <si>
    <t>Рукоятки для тренажеров</t>
  </si>
  <si>
    <t>Менажницы</t>
  </si>
  <si>
    <t>Колеса</t>
  </si>
  <si>
    <t>Тапочки массажные</t>
  </si>
  <si>
    <t>Фитили для аромаламп</t>
  </si>
  <si>
    <t>Глушители для мототехники</t>
  </si>
  <si>
    <t>Ватные диски</t>
  </si>
  <si>
    <t>Саморезы кровельные</t>
  </si>
  <si>
    <t>Зеркала для мототехники</t>
  </si>
  <si>
    <t>Повязки косметические</t>
  </si>
  <si>
    <t>Камертоны медицинские</t>
  </si>
  <si>
    <t>Думбеки</t>
  </si>
  <si>
    <t>Жидкое мыло</t>
  </si>
  <si>
    <t>Кубики для охлаждения</t>
  </si>
  <si>
    <t>Коврики для мыши</t>
  </si>
  <si>
    <t>Стулья туристические</t>
  </si>
  <si>
    <t>Свечи уличные</t>
  </si>
  <si>
    <t>Термоводолазки</t>
  </si>
  <si>
    <t>Сваи</t>
  </si>
  <si>
    <t>Сноубутсы</t>
  </si>
  <si>
    <t>Футляры стоматологические</t>
  </si>
  <si>
    <t>Зубные порошки</t>
  </si>
  <si>
    <t>Инфузионные системы</t>
  </si>
  <si>
    <t>Сухие бассейны</t>
  </si>
  <si>
    <t>Корпуса для ПК</t>
  </si>
  <si>
    <t>Устройства антихрап</t>
  </si>
  <si>
    <t>Карандаши</t>
  </si>
  <si>
    <t>Защита для мототехники</t>
  </si>
  <si>
    <t>Усилители автомобильные</t>
  </si>
  <si>
    <t>Пластыри</t>
  </si>
  <si>
    <t>Ковши</t>
  </si>
  <si>
    <t>Бальзамы алкогольные</t>
  </si>
  <si>
    <t>Лопаты садовые</t>
  </si>
  <si>
    <t>Комбинезоны нательные для малышей</t>
  </si>
  <si>
    <t>Инвалидные коляски электрические</t>
  </si>
  <si>
    <t>Датчики температуры охлаждающей жидкости</t>
  </si>
  <si>
    <t>Припои</t>
  </si>
  <si>
    <t>Гермоаптечки</t>
  </si>
  <si>
    <t>Манжеты для тонометров</t>
  </si>
  <si>
    <t>Чайники заварочные</t>
  </si>
  <si>
    <t>Наборы марок для коллекционирования</t>
  </si>
  <si>
    <t>Якоря для лебедок</t>
  </si>
  <si>
    <t>Трусы для животных</t>
  </si>
  <si>
    <t>Кувшины</t>
  </si>
  <si>
    <t>Электрокардиографы портативные</t>
  </si>
  <si>
    <t>Брусчатка светодиодная</t>
  </si>
  <si>
    <t>Коврики для выпечки</t>
  </si>
  <si>
    <t>Бас-гитары</t>
  </si>
  <si>
    <t>Темляки</t>
  </si>
  <si>
    <t>Декоративные детали кузова и бампера</t>
  </si>
  <si>
    <t>Навигация для робот-пылесосов</t>
  </si>
  <si>
    <t>Бумага для самокруток</t>
  </si>
  <si>
    <t>Дистиллированная вода</t>
  </si>
  <si>
    <t>Источники питания</t>
  </si>
  <si>
    <t>Сетевые хранилища</t>
  </si>
  <si>
    <t>Шнуры плетеные</t>
  </si>
  <si>
    <t>Ремкомплекты для насосов</t>
  </si>
  <si>
    <t>Ремкомплекты для туристических палаток</t>
  </si>
  <si>
    <t>Граппа</t>
  </si>
  <si>
    <t>Дартс детский</t>
  </si>
  <si>
    <t>Ножи монтерские</t>
  </si>
  <si>
    <t>Известь</t>
  </si>
  <si>
    <t>Полы для палаток</t>
  </si>
  <si>
    <t>Швабры</t>
  </si>
  <si>
    <t>Шампуни сухие</t>
  </si>
  <si>
    <t>Теплые полы</t>
  </si>
  <si>
    <t>Трансферные материалы для тату</t>
  </si>
  <si>
    <t>Термомайки</t>
  </si>
  <si>
    <t>Молоко сухое</t>
  </si>
  <si>
    <t>Шумомеры</t>
  </si>
  <si>
    <t>Карабины строительные</t>
  </si>
  <si>
    <t>Краскопульты</t>
  </si>
  <si>
    <t>Станции штукатурные</t>
  </si>
  <si>
    <t>Плитка клинкерная</t>
  </si>
  <si>
    <t>Пилы сабельные</t>
  </si>
  <si>
    <t>Фигурки</t>
  </si>
  <si>
    <t>Гели для обуви</t>
  </si>
  <si>
    <t>Снегоступы</t>
  </si>
  <si>
    <t>Автомобильные уплотнительные кольца</t>
  </si>
  <si>
    <t>Коленвалы для мототехники</t>
  </si>
  <si>
    <t>Счетчики газа</t>
  </si>
  <si>
    <t>Подогреватели охлаждающей жидкости</t>
  </si>
  <si>
    <t>Самокаты</t>
  </si>
  <si>
    <t>Иностранные книги</t>
  </si>
  <si>
    <t>Дроны-опрыскиватели для сельского хозяйства</t>
  </si>
  <si>
    <t>Наборы аксессуаров для волос</t>
  </si>
  <si>
    <t>Серпянка</t>
  </si>
  <si>
    <t>Стельки ортопедические</t>
  </si>
  <si>
    <t>Аппараты для надевания бахил</t>
  </si>
  <si>
    <t>Клей для слаймов</t>
  </si>
  <si>
    <t>Перчатки боксерские</t>
  </si>
  <si>
    <t>Салфетки для уборки</t>
  </si>
  <si>
    <t>Мотопластик</t>
  </si>
  <si>
    <t>Регуляторы давления автомобильные</t>
  </si>
  <si>
    <t>Формы для наращивания ногтей</t>
  </si>
  <si>
    <t>Магниты медицинские</t>
  </si>
  <si>
    <t>Посуда для микроволновой печи</t>
  </si>
  <si>
    <t>Аккумуляторы для радиостанций</t>
  </si>
  <si>
    <t>Бинокли</t>
  </si>
  <si>
    <t>Измельчители электрические</t>
  </si>
  <si>
    <t>Презентеры</t>
  </si>
  <si>
    <t>Толщиномеры</t>
  </si>
  <si>
    <t>Подставки для луп</t>
  </si>
  <si>
    <t>Ювелирные часы</t>
  </si>
  <si>
    <t>Магнитный винил</t>
  </si>
  <si>
    <t>Лампы сигнальные</t>
  </si>
  <si>
    <t>Профили монтажные</t>
  </si>
  <si>
    <t>Мантоварки</t>
  </si>
  <si>
    <t>Пылесосы автомобильные</t>
  </si>
  <si>
    <t>Пяльцы</t>
  </si>
  <si>
    <t>Оксиданты</t>
  </si>
  <si>
    <t>Слэмболы</t>
  </si>
  <si>
    <t>Реле для мототехники</t>
  </si>
  <si>
    <t>Заглушки для металлических труб</t>
  </si>
  <si>
    <t>Пюре детские</t>
  </si>
  <si>
    <t>Наборы для шитья</t>
  </si>
  <si>
    <t>Вакуумно-волновые стимуляторы</t>
  </si>
  <si>
    <t>Бейджи</t>
  </si>
  <si>
    <t>Твистеры</t>
  </si>
  <si>
    <t>Верёвочные перекладины</t>
  </si>
  <si>
    <t>ИВЛ-аппараты</t>
  </si>
  <si>
    <t>Шайбы крепежные</t>
  </si>
  <si>
    <t>Материнские платы</t>
  </si>
  <si>
    <t>Веложилеты</t>
  </si>
  <si>
    <t>Вентиляторы студийные</t>
  </si>
  <si>
    <t>Очки защитные</t>
  </si>
  <si>
    <t>Подножки для мототехники</t>
  </si>
  <si>
    <t>Аромалампы</t>
  </si>
  <si>
    <t>Книги родословные</t>
  </si>
  <si>
    <t>Платежные браслеты</t>
  </si>
  <si>
    <t>Узоры декоративные</t>
  </si>
  <si>
    <t>Песок для творчества</t>
  </si>
  <si>
    <t>Полупальцы</t>
  </si>
  <si>
    <t>Игрушки для животных</t>
  </si>
  <si>
    <t>Брызговики для лыжероллеров</t>
  </si>
  <si>
    <t>Рули для мототехники</t>
  </si>
  <si>
    <t>Кисти для дизайна ногтей</t>
  </si>
  <si>
    <t>Кембрики рыболовные</t>
  </si>
  <si>
    <t>Регуляторы прогрева</t>
  </si>
  <si>
    <t>Слэбы</t>
  </si>
  <si>
    <t>Пленка для обертывания</t>
  </si>
  <si>
    <t>Туалеты-ведра</t>
  </si>
  <si>
    <t>Свечи зажигания для мототехники</t>
  </si>
  <si>
    <t>Спецтехника</t>
  </si>
  <si>
    <t>Окна под заказ</t>
  </si>
  <si>
    <t>Ремкомплекты для мототехники</t>
  </si>
  <si>
    <t>Дубинки резиновые</t>
  </si>
  <si>
    <t>Термометры детские</t>
  </si>
  <si>
    <t>Коптеры</t>
  </si>
  <si>
    <t>Плиткорезы</t>
  </si>
  <si>
    <t>Окна для бани</t>
  </si>
  <si>
    <t>Зажимы для галстука</t>
  </si>
  <si>
    <t>Ножи туристические</t>
  </si>
  <si>
    <t>Фурнитура для игрушек</t>
  </si>
  <si>
    <t>Комплектующие к фонарям освещения</t>
  </si>
  <si>
    <t>Дисплеи для камер</t>
  </si>
  <si>
    <t>Поплавки</t>
  </si>
  <si>
    <t>Кальсоны</t>
  </si>
  <si>
    <t>Парки</t>
  </si>
  <si>
    <t>Фары для мототехники</t>
  </si>
  <si>
    <t>Рыбные деликатесы</t>
  </si>
  <si>
    <t>Подставки для маникюра и педикюра</t>
  </si>
  <si>
    <t>Бабочки</t>
  </si>
  <si>
    <t>Пасты кунжутные</t>
  </si>
  <si>
    <t>Комплекты ГБО</t>
  </si>
  <si>
    <t>Карнавальные костюмы</t>
  </si>
  <si>
    <t>Удобрения для растений</t>
  </si>
  <si>
    <t>Спички</t>
  </si>
  <si>
    <t>Ювелирные браслеты</t>
  </si>
  <si>
    <t>Заправки салатные</t>
  </si>
  <si>
    <t>Гидрокостюмы</t>
  </si>
  <si>
    <t>Двери под заказ</t>
  </si>
  <si>
    <t>Маховики</t>
  </si>
  <si>
    <t>Дымогенераторы для копчения</t>
  </si>
  <si>
    <t>Ручки</t>
  </si>
  <si>
    <t>Коврики под цветочные горшки</t>
  </si>
  <si>
    <t>Фонарики для луп</t>
  </si>
  <si>
    <t>Плиты настольные</t>
  </si>
  <si>
    <t>Подследники</t>
  </si>
  <si>
    <t>Полироли дисков</t>
  </si>
  <si>
    <t>Кнопки канцелярские</t>
  </si>
  <si>
    <t>Носовые зажимы</t>
  </si>
  <si>
    <t>Мыльные пузыри</t>
  </si>
  <si>
    <t>Системы рециркуляции отработавших газов</t>
  </si>
  <si>
    <t>Шумовки</t>
  </si>
  <si>
    <t>Принадлежности для письма по Брайлю</t>
  </si>
  <si>
    <t>Скобы для строительного степлера</t>
  </si>
  <si>
    <t>Лезвия для бритв</t>
  </si>
  <si>
    <t>Бонго</t>
  </si>
  <si>
    <t>Сменные накладки для шлеек</t>
  </si>
  <si>
    <t>Обезжириватели для ногтей</t>
  </si>
  <si>
    <t>NFC-браслеты</t>
  </si>
  <si>
    <t>Кресла подвесные</t>
  </si>
  <si>
    <t>Молоко сгущенное</t>
  </si>
  <si>
    <t>Ухватки для собак</t>
  </si>
  <si>
    <t>Матрасы электрические</t>
  </si>
  <si>
    <t>Будки для собак</t>
  </si>
  <si>
    <t>Поломоечные машины</t>
  </si>
  <si>
    <t>Крючки рыболовные</t>
  </si>
  <si>
    <t>Вершинки фидерные</t>
  </si>
  <si>
    <t>Зеркальца</t>
  </si>
  <si>
    <t>Составные части стойки амортизатора</t>
  </si>
  <si>
    <t>Соковарки для плиты</t>
  </si>
  <si>
    <t>Аксессуары для оружия</t>
  </si>
  <si>
    <t>Полотна для воздушной гимнастики</t>
  </si>
  <si>
    <t>Сеялки и сажалки</t>
  </si>
  <si>
    <t>Настойки</t>
  </si>
  <si>
    <t>Системы выпуска</t>
  </si>
  <si>
    <t>Эмблемы для авто</t>
  </si>
  <si>
    <t>Вакуумные усилители тормозов</t>
  </si>
  <si>
    <t>Брак</t>
  </si>
  <si>
    <t>Су-вид</t>
  </si>
  <si>
    <t>Мотобуксировщики</t>
  </si>
  <si>
    <t>Компрессионные гольфы</t>
  </si>
  <si>
    <t>Средства для укрепления и роста ногтей</t>
  </si>
  <si>
    <t>Брюки рабочие</t>
  </si>
  <si>
    <t>Крепления для массажеров</t>
  </si>
  <si>
    <t>Гидроциклы</t>
  </si>
  <si>
    <t>Ключи баллонные</t>
  </si>
  <si>
    <t>Ветровки</t>
  </si>
  <si>
    <t>Косточки для воротника рубашки</t>
  </si>
  <si>
    <t>Пикфлоуметры</t>
  </si>
  <si>
    <t>Столы компьютерные</t>
  </si>
  <si>
    <t>Топливные баки</t>
  </si>
  <si>
    <t>Графические планшеты</t>
  </si>
  <si>
    <t>Ручки коробки передач</t>
  </si>
  <si>
    <t>Пневмопистолеты</t>
  </si>
  <si>
    <t>Шапочки для душа</t>
  </si>
  <si>
    <t>Велоаптечки</t>
  </si>
  <si>
    <t>Рамки для розеток и выключателей</t>
  </si>
  <si>
    <t>ЛСТК профиль</t>
  </si>
  <si>
    <t>Прессы для зубной пасты</t>
  </si>
  <si>
    <t>Декодеры для управления светом</t>
  </si>
  <si>
    <t>Полотна противопожарные</t>
  </si>
  <si>
    <t>Анемометры</t>
  </si>
  <si>
    <t>pH метры</t>
  </si>
  <si>
    <t>Воланы</t>
  </si>
  <si>
    <t>Ленты для растений</t>
  </si>
  <si>
    <t>Ресиверы для компрессоров</t>
  </si>
  <si>
    <t>Матрасы</t>
  </si>
  <si>
    <t>Свечи религиозные</t>
  </si>
  <si>
    <t>Трубы для канализации</t>
  </si>
  <si>
    <t>Круги полировальные</t>
  </si>
  <si>
    <t>Гормональные препараты для животных</t>
  </si>
  <si>
    <t>Батончики спортивные</t>
  </si>
  <si>
    <t>Тридеры</t>
  </si>
  <si>
    <t>Капсулы для монет</t>
  </si>
  <si>
    <t>Наборы столовых приборов</t>
  </si>
  <si>
    <t>Воски для серфинга</t>
  </si>
  <si>
    <t>Игровые комплексы для кошек</t>
  </si>
  <si>
    <t>Скребки для аквариума</t>
  </si>
  <si>
    <t>Доски балансировочные</t>
  </si>
  <si>
    <t>Приборы для выпечки</t>
  </si>
  <si>
    <t>Паяльные станции</t>
  </si>
  <si>
    <t>Уход за парикмахерскими инструментами</t>
  </si>
  <si>
    <t>Детали бензобака</t>
  </si>
  <si>
    <t>Правила строительные</t>
  </si>
  <si>
    <t>Мониторы</t>
  </si>
  <si>
    <t>Запчасти для электронных сигарет</t>
  </si>
  <si>
    <t>Глушители</t>
  </si>
  <si>
    <t>Водоросли косметические</t>
  </si>
  <si>
    <t>Сумки для лакомств</t>
  </si>
  <si>
    <t>Электростимуляторы</t>
  </si>
  <si>
    <t>Икра рыбы</t>
  </si>
  <si>
    <t>Противогрибковые препараты для животных</t>
  </si>
  <si>
    <t>Фрезы для маникюра и педикюра</t>
  </si>
  <si>
    <t>Ершики кухонные</t>
  </si>
  <si>
    <t>Наборы для чистки камина</t>
  </si>
  <si>
    <t>Карнавальные наборы</t>
  </si>
  <si>
    <t>Снаряды для аджилити</t>
  </si>
  <si>
    <t>Наволочки</t>
  </si>
  <si>
    <t>Матрасы для переносок</t>
  </si>
  <si>
    <t>Двери автомобильные</t>
  </si>
  <si>
    <t>Шнековые пары</t>
  </si>
  <si>
    <t>Моноподы</t>
  </si>
  <si>
    <t>Комплектующие для теплиц</t>
  </si>
  <si>
    <t>Запчасти для детских колясок</t>
  </si>
  <si>
    <t>Напальчники одноразовые</t>
  </si>
  <si>
    <t>Комплектующие к ободным тормозам</t>
  </si>
  <si>
    <t>Автомобильные зарядные устройства</t>
  </si>
  <si>
    <t>Трусы для страпона</t>
  </si>
  <si>
    <t>Подшипники ступицы</t>
  </si>
  <si>
    <t>Раколовки</t>
  </si>
  <si>
    <t>Щетки для робот-пылесосов</t>
  </si>
  <si>
    <t>Расходники для ленточных станков</t>
  </si>
  <si>
    <t>Заглушки для руля</t>
  </si>
  <si>
    <t>Аксессуары и запчасти для моек высокого давления</t>
  </si>
  <si>
    <t>Комплекты для режима циркуляции</t>
  </si>
  <si>
    <t>Рукава</t>
  </si>
  <si>
    <t>Линейки</t>
  </si>
  <si>
    <t>Ленты для принтера</t>
  </si>
  <si>
    <t>Ремни безопасности</t>
  </si>
  <si>
    <t>Выносные дисплеи</t>
  </si>
  <si>
    <t>Подголовники для бани</t>
  </si>
  <si>
    <t>Очки глаукомные</t>
  </si>
  <si>
    <t>Съемники автомобильные</t>
  </si>
  <si>
    <t>Угломеры</t>
  </si>
  <si>
    <t>Минеральные камни для животных</t>
  </si>
  <si>
    <t>Ножницы детские</t>
  </si>
  <si>
    <t>Влажные салфетки для животных</t>
  </si>
  <si>
    <t>Бретели</t>
  </si>
  <si>
    <t>Пропитки для обуви</t>
  </si>
  <si>
    <t>Приспособления для плетения кос</t>
  </si>
  <si>
    <t>Пуско-зарядные устройства</t>
  </si>
  <si>
    <t>Биотуалеты</t>
  </si>
  <si>
    <t>Сигнализаторы</t>
  </si>
  <si>
    <t>Рейлинги</t>
  </si>
  <si>
    <t>Крепления для смартфона на штатив</t>
  </si>
  <si>
    <t>Лечение ЖКТ и печени у животных</t>
  </si>
  <si>
    <t>Велообувь</t>
  </si>
  <si>
    <t>Прокладки картера</t>
  </si>
  <si>
    <t>Защитные наклейки для мебели</t>
  </si>
  <si>
    <t>Футляры для зубных щеток</t>
  </si>
  <si>
    <t>Подставки для бытовой техники</t>
  </si>
  <si>
    <t>Подкладки монтажные</t>
  </si>
  <si>
    <t>Точильные станки</t>
  </si>
  <si>
    <t>Воздуховоды для вытяжек</t>
  </si>
  <si>
    <t>Коврики для ванной</t>
  </si>
  <si>
    <t>Фрисби</t>
  </si>
  <si>
    <t>Обогреватели автомобильные</t>
  </si>
  <si>
    <t>Аккумуляторы для мобильных телефонов</t>
  </si>
  <si>
    <t>Сушки для лака</t>
  </si>
  <si>
    <t>Спицы для вязания</t>
  </si>
  <si>
    <t>Долото</t>
  </si>
  <si>
    <t>Воздушные змеи</t>
  </si>
  <si>
    <t>Заглушающие кольца для барабанов</t>
  </si>
  <si>
    <t>Смазки для мотоциклов</t>
  </si>
  <si>
    <t>Датчики положения коленвала</t>
  </si>
  <si>
    <t>Чехлы для электронных книг</t>
  </si>
  <si>
    <t>Предохранительные трубки</t>
  </si>
  <si>
    <t>Подставки для гольфа</t>
  </si>
  <si>
    <t>Барьеры парковочные</t>
  </si>
  <si>
    <t>Ксилофоны</t>
  </si>
  <si>
    <t>Гетры</t>
  </si>
  <si>
    <t>Игрушки интерактивные</t>
  </si>
  <si>
    <t>Тонометры</t>
  </si>
  <si>
    <t>Ледоступы</t>
  </si>
  <si>
    <t>Трико для танцев</t>
  </si>
  <si>
    <t>Бонги</t>
  </si>
  <si>
    <t>Сетевые фильтры</t>
  </si>
  <si>
    <t>Фильтры проточные</t>
  </si>
  <si>
    <t>Шредеры</t>
  </si>
  <si>
    <t>Упаковки для яиц</t>
  </si>
  <si>
    <t>Рулонные шторы</t>
  </si>
  <si>
    <t>Бинты медицинские</t>
  </si>
  <si>
    <t>Аксессуары для клея</t>
  </si>
  <si>
    <t>Трамплины</t>
  </si>
  <si>
    <t>Слинги с кольцами</t>
  </si>
  <si>
    <t>Кронштейны автомобильные</t>
  </si>
  <si>
    <t>Средства для снятия лака</t>
  </si>
  <si>
    <t>Аксессуары для заправки и замены масла</t>
  </si>
  <si>
    <t>Лечение мочеполовой системы у животных</t>
  </si>
  <si>
    <t>Весла</t>
  </si>
  <si>
    <t>Ведра садовые</t>
  </si>
  <si>
    <t>Формы для сыра</t>
  </si>
  <si>
    <t>Козырьки</t>
  </si>
  <si>
    <t>Иглы для мячей</t>
  </si>
  <si>
    <t>Хлопушки</t>
  </si>
  <si>
    <t>Капсулы многоразовые для кофемашин</t>
  </si>
  <si>
    <t>Масла моторные</t>
  </si>
  <si>
    <t>Бронетехника</t>
  </si>
  <si>
    <t>Бары</t>
  </si>
  <si>
    <t>Тросы для мототехники</t>
  </si>
  <si>
    <t>Спортивные мази</t>
  </si>
  <si>
    <t>Успокоительные препараты для животных</t>
  </si>
  <si>
    <t>Изоленты</t>
  </si>
  <si>
    <t>Решетки автомобильные</t>
  </si>
  <si>
    <t>Пилочки для животных</t>
  </si>
  <si>
    <t>Термометры уличные</t>
  </si>
  <si>
    <t>Карты Таро</t>
  </si>
  <si>
    <t>Перец фаршированный</t>
  </si>
  <si>
    <t>Замки и защелки мебельные</t>
  </si>
  <si>
    <t>Сарафаны для малышей</t>
  </si>
  <si>
    <t>Ножки для барабанов</t>
  </si>
  <si>
    <t>Напитки газированные</t>
  </si>
  <si>
    <t>Тажины</t>
  </si>
  <si>
    <t>Закуски</t>
  </si>
  <si>
    <t>Сервизы столовые</t>
  </si>
  <si>
    <t>Подвесы для качелей</t>
  </si>
  <si>
    <t>Кутабы</t>
  </si>
  <si>
    <t>Жилеты разгрузочные</t>
  </si>
  <si>
    <t>Ленты для печатных машинок</t>
  </si>
  <si>
    <t>Поисковые устройства</t>
  </si>
  <si>
    <t>Дефибрилляторы</t>
  </si>
  <si>
    <t>Коржи</t>
  </si>
  <si>
    <t>Фильтры для душа</t>
  </si>
  <si>
    <t>Капсулы для стирки</t>
  </si>
  <si>
    <t>Реноваторы</t>
  </si>
  <si>
    <t>Софы</t>
  </si>
  <si>
    <t>Гиперэкстензии</t>
  </si>
  <si>
    <t>Велобагажники на авто</t>
  </si>
  <si>
    <t>Лопаты автомобильные</t>
  </si>
  <si>
    <t>Антипаразитарные препараты</t>
  </si>
  <si>
    <t>Органайзеры для косметики</t>
  </si>
  <si>
    <t>Подставки для казана</t>
  </si>
  <si>
    <t>Слайдеры для гитары</t>
  </si>
  <si>
    <t>Доводчики мебельные</t>
  </si>
  <si>
    <t>Горошек соленый</t>
  </si>
  <si>
    <t>Бордюры садовые</t>
  </si>
  <si>
    <t>Карбюраторы в сборе</t>
  </si>
  <si>
    <t>Манжеты эротик</t>
  </si>
  <si>
    <t>Противовоспалительные препараты для животных</t>
  </si>
  <si>
    <t>Абсент</t>
  </si>
  <si>
    <t>Утюги смазочные</t>
  </si>
  <si>
    <t>Эчпочмаки</t>
  </si>
  <si>
    <t>Прокладки термостатов</t>
  </si>
  <si>
    <t>Шкафы для ванной комнаты</t>
  </si>
  <si>
    <t>Трафареты для напитков</t>
  </si>
  <si>
    <t>Молоко</t>
  </si>
  <si>
    <t>Реостаты отопителя</t>
  </si>
  <si>
    <t>Противогололедные реагенты</t>
  </si>
  <si>
    <t>Нагрудники</t>
  </si>
  <si>
    <t>Ниши колесные</t>
  </si>
  <si>
    <t>Доски сервировочные</t>
  </si>
  <si>
    <t>Компрессионные жилеты</t>
  </si>
  <si>
    <t>Мыло эротик</t>
  </si>
  <si>
    <t>Крепления для сноуборда</t>
  </si>
  <si>
    <t>Аксессуары для бижутерии</t>
  </si>
  <si>
    <t>Куртки сноубордические</t>
  </si>
  <si>
    <t>Ленты кромочные</t>
  </si>
  <si>
    <t>Калимбы</t>
  </si>
  <si>
    <t>Крылья для мототехники</t>
  </si>
  <si>
    <t>Гермосумки</t>
  </si>
  <si>
    <t>Грелки</t>
  </si>
  <si>
    <t>Системы помощи водителю</t>
  </si>
  <si>
    <t>Дневники</t>
  </si>
  <si>
    <t>Системы очистки отработавших газов</t>
  </si>
  <si>
    <t>Фильтры для вытяжки</t>
  </si>
  <si>
    <t>Наклейки для гитар</t>
  </si>
  <si>
    <t>Ручки для ящиков</t>
  </si>
  <si>
    <t>Веники для бани</t>
  </si>
  <si>
    <t>Сиденья автомобильные</t>
  </si>
  <si>
    <t>Молочные коктейли детские</t>
  </si>
  <si>
    <t>Шоколад плиточный</t>
  </si>
  <si>
    <t>Пленки защитные для авто</t>
  </si>
  <si>
    <t>Подъемники передвижные</t>
  </si>
  <si>
    <t>Поршни автомобильные</t>
  </si>
  <si>
    <t>Газовые лампы</t>
  </si>
  <si>
    <t>Мухобойки механические</t>
  </si>
  <si>
    <t>Мезороллеры</t>
  </si>
  <si>
    <t>Тримминги</t>
  </si>
  <si>
    <t>Противорвотные препараты для животных</t>
  </si>
  <si>
    <t>Термометры кухонные</t>
  </si>
  <si>
    <t>Карбюраторы для мототехники</t>
  </si>
  <si>
    <t>Попоны для животных</t>
  </si>
  <si>
    <t>Ванночки для маникюра</t>
  </si>
  <si>
    <t>Пилы садовые ручные</t>
  </si>
  <si>
    <t>Картриджи для тату машинки</t>
  </si>
  <si>
    <t>Имиджевые очки</t>
  </si>
  <si>
    <t>Тенты автомобильные</t>
  </si>
  <si>
    <t>Пульты Умный дом</t>
  </si>
  <si>
    <t>Оружие для страйкбола</t>
  </si>
  <si>
    <t>Качалки</t>
  </si>
  <si>
    <t>Наборы для слэклайна</t>
  </si>
  <si>
    <t>Кисти косметические</t>
  </si>
  <si>
    <t>Веранды и террасы</t>
  </si>
  <si>
    <t>Ремни вариатора</t>
  </si>
  <si>
    <t>Римские шторы</t>
  </si>
  <si>
    <t>Вареники</t>
  </si>
  <si>
    <t>Шкафные группы</t>
  </si>
  <si>
    <t>Мультиварки</t>
  </si>
  <si>
    <t>Бактерии для септиков</t>
  </si>
  <si>
    <t>Груши боксерские</t>
  </si>
  <si>
    <t>Посуда эротик</t>
  </si>
  <si>
    <t>Трапеции спортивные</t>
  </si>
  <si>
    <t>Корм для муравьев</t>
  </si>
  <si>
    <t>Шканты мебельные</t>
  </si>
  <si>
    <t>Гели лечебные для животных</t>
  </si>
  <si>
    <t>Штекеры садовые</t>
  </si>
  <si>
    <t>Железобетонные изделия</t>
  </si>
  <si>
    <t>Лотки сменные для лыж</t>
  </si>
  <si>
    <t>Колодцы</t>
  </si>
  <si>
    <t>Ступки</t>
  </si>
  <si>
    <t>Пылевыбивалки</t>
  </si>
  <si>
    <t>Ленты упаковочные</t>
  </si>
  <si>
    <t>Комплекты БДСМ</t>
  </si>
  <si>
    <t>Бачки тормозной жидкости</t>
  </si>
  <si>
    <t>Зубила слесарные</t>
  </si>
  <si>
    <t>Лоферы</t>
  </si>
  <si>
    <t>Крахмал для белья</t>
  </si>
  <si>
    <t>Газлифты для офисных кресел</t>
  </si>
  <si>
    <t>Заготовки ключей</t>
  </si>
  <si>
    <t>Воротники для мойки</t>
  </si>
  <si>
    <t>Приборы контроля питания</t>
  </si>
  <si>
    <t>Фондю</t>
  </si>
  <si>
    <t>Шатуны автомобильные</t>
  </si>
  <si>
    <t>Топпинги</t>
  </si>
  <si>
    <t>Швейные машины</t>
  </si>
  <si>
    <t>Компрессоры автомобильные</t>
  </si>
  <si>
    <t>Фильтры топливные</t>
  </si>
  <si>
    <t>Столбики с вытяжной лентой</t>
  </si>
  <si>
    <t>Учебники</t>
  </si>
  <si>
    <t>Кейсы для портативных колонок</t>
  </si>
  <si>
    <t>Перчатки спортивные</t>
  </si>
  <si>
    <t>Наперники</t>
  </si>
  <si>
    <t>Фритюрницы</t>
  </si>
  <si>
    <t>Антенны телевизионные</t>
  </si>
  <si>
    <t>Гарнир</t>
  </si>
  <si>
    <t>Масло растительное</t>
  </si>
  <si>
    <t>Телефоны стационарные</t>
  </si>
  <si>
    <t>Ноты</t>
  </si>
  <si>
    <t>Факельные устройства облегчения пуска</t>
  </si>
  <si>
    <t>Противоугонные системы</t>
  </si>
  <si>
    <t>Пэды косметические</t>
  </si>
  <si>
    <t>Корзинки для фритюра</t>
  </si>
  <si>
    <t>Совки</t>
  </si>
  <si>
    <t>Молды</t>
  </si>
  <si>
    <t>Насосы для шариков</t>
  </si>
  <si>
    <t>Резаки для мыла</t>
  </si>
  <si>
    <t>Крепления для смесителей</t>
  </si>
  <si>
    <t>Обложки для автодокументов</t>
  </si>
  <si>
    <t>Вентиляторы автомобильные</t>
  </si>
  <si>
    <t>Окладки дверные</t>
  </si>
  <si>
    <t>Чехлы для музыкальных инструментов</t>
  </si>
  <si>
    <t>Пробки для бутылок</t>
  </si>
  <si>
    <t>Заглушки вентиляционные</t>
  </si>
  <si>
    <t>Ящики навесные для грузовиков</t>
  </si>
  <si>
    <t>Консервные ножи</t>
  </si>
  <si>
    <t>Шкатулки</t>
  </si>
  <si>
    <t>Банты для подарков</t>
  </si>
  <si>
    <t>Ножевые блоки</t>
  </si>
  <si>
    <t>Рычаги стеклоочистителя</t>
  </si>
  <si>
    <t>Двери технические</t>
  </si>
  <si>
    <t>Фасады мебельные</t>
  </si>
  <si>
    <t>Гранат</t>
  </si>
  <si>
    <t>Тенты для электромобилей</t>
  </si>
  <si>
    <t>Пиджаки</t>
  </si>
  <si>
    <t>Накомарники</t>
  </si>
  <si>
    <t>Мельницы</t>
  </si>
  <si>
    <t>Складные мусорные корзины</t>
  </si>
  <si>
    <t>Пистолеты и насадки для полива</t>
  </si>
  <si>
    <t>Жилеты</t>
  </si>
  <si>
    <t>Держатели для шланга</t>
  </si>
  <si>
    <t>Боксы для рулеток</t>
  </si>
  <si>
    <t>Бутсы</t>
  </si>
  <si>
    <t>Селективный парфюм</t>
  </si>
  <si>
    <t>Комбинезоны</t>
  </si>
  <si>
    <t>Оболочки для колбас</t>
  </si>
  <si>
    <t>Фольга для тиснения</t>
  </si>
  <si>
    <t>Руки для фистинга</t>
  </si>
  <si>
    <t>Лабораторное оборудование</t>
  </si>
  <si>
    <t>Каркасы для ванн</t>
  </si>
  <si>
    <t>Сусло</t>
  </si>
  <si>
    <t>Диски балансировочные</t>
  </si>
  <si>
    <t>Визитницы</t>
  </si>
  <si>
    <t>Мокасины</t>
  </si>
  <si>
    <t>Проходки для труб</t>
  </si>
  <si>
    <t>Ринзеры</t>
  </si>
  <si>
    <t>Светильники</t>
  </si>
  <si>
    <t>Термокомплекты</t>
  </si>
  <si>
    <t>Тапочки</t>
  </si>
  <si>
    <t>Головоломки</t>
  </si>
  <si>
    <t>Калейдоскопы</t>
  </si>
  <si>
    <t>Чулки</t>
  </si>
  <si>
    <t>Полусапожки</t>
  </si>
  <si>
    <t>Обложки</t>
  </si>
  <si>
    <t>Сабо</t>
  </si>
  <si>
    <t>Аксессуары для кукол</t>
  </si>
  <si>
    <t>Чепчики</t>
  </si>
  <si>
    <t>Пальто</t>
  </si>
  <si>
    <t>Мастихины</t>
  </si>
  <si>
    <t>Урны уличные</t>
  </si>
  <si>
    <t>Коньки</t>
  </si>
  <si>
    <t>Фигурки-игрушки</t>
  </si>
  <si>
    <t>Кеды</t>
  </si>
  <si>
    <t>Ювелирные сувениры</t>
  </si>
  <si>
    <t>Электроскутеры</t>
  </si>
  <si>
    <t>Лонгсливы</t>
  </si>
  <si>
    <t>Источники бесперебойного питания</t>
  </si>
  <si>
    <t>Добавки для суставов и связок</t>
  </si>
  <si>
    <t>Рубанки ручные</t>
  </si>
  <si>
    <t>Пазлы</t>
  </si>
  <si>
    <t>Коврики для кормления</t>
  </si>
  <si>
    <t>Шапки</t>
  </si>
  <si>
    <t>Толстовки</t>
  </si>
  <si>
    <t>Жакеты</t>
  </si>
  <si>
    <t>Триммеры садовые</t>
  </si>
  <si>
    <t>Кольца</t>
  </si>
  <si>
    <t>Подложки для десертов</t>
  </si>
  <si>
    <t>Ботинки гравитационные</t>
  </si>
  <si>
    <t>Мел</t>
  </si>
  <si>
    <t>Шоколадные фонтаны</t>
  </si>
  <si>
    <t>Овес</t>
  </si>
  <si>
    <t>Фильтры для пылесосов</t>
  </si>
  <si>
    <t>Платья</t>
  </si>
  <si>
    <t>Портфолио</t>
  </si>
  <si>
    <t>Велосипеды трехколесные</t>
  </si>
  <si>
    <t>Картофель семенной</t>
  </si>
  <si>
    <t>Пульсаторы</t>
  </si>
  <si>
    <t>Аксессуары для мультиварок</t>
  </si>
  <si>
    <t>Наборы мебели для детей</t>
  </si>
  <si>
    <t>Чак-чак</t>
  </si>
  <si>
    <t>Ледорубы спортивные</t>
  </si>
  <si>
    <t>Педали для швейных машин</t>
  </si>
  <si>
    <t>Наборы для приготовления роллов</t>
  </si>
  <si>
    <t>Наборы для чистки оружия</t>
  </si>
  <si>
    <t>Язычки медовые</t>
  </si>
  <si>
    <t>Сумки для выращивания рассады</t>
  </si>
  <si>
    <t>Галстуки</t>
  </si>
  <si>
    <t>Холодец</t>
  </si>
  <si>
    <t>Пеги велосипедные</t>
  </si>
  <si>
    <t>Противомаститные препараты для животных</t>
  </si>
  <si>
    <t>Съемники стопорных колец</t>
  </si>
  <si>
    <t>Шуруповерты</t>
  </si>
  <si>
    <t>Роботы</t>
  </si>
  <si>
    <t>Реле напряжения</t>
  </si>
  <si>
    <t>Держатели для зеркал</t>
  </si>
  <si>
    <t>Спицы велосипедные</t>
  </si>
  <si>
    <t>Молотки для мяса</t>
  </si>
  <si>
    <t>Насадки для строительных миксеров</t>
  </si>
  <si>
    <t>Свитшоты спортивные</t>
  </si>
  <si>
    <t>Окклюдеры</t>
  </si>
  <si>
    <t>Горелки для сухого горючего</t>
  </si>
  <si>
    <t>Неттопы и Мини ПК</t>
  </si>
  <si>
    <t>Стейки</t>
  </si>
  <si>
    <t>Рюкзаки</t>
  </si>
  <si>
    <t>Болты вариатора</t>
  </si>
  <si>
    <t>Блоки согласования фаркопов</t>
  </si>
  <si>
    <t>Покрытия резиновые</t>
  </si>
  <si>
    <t>Чехлы для сноубордов</t>
  </si>
  <si>
    <t>Леггинсы</t>
  </si>
  <si>
    <t>Фарш</t>
  </si>
  <si>
    <t>Шипы спасательные</t>
  </si>
  <si>
    <t>Специальный инструмент</t>
  </si>
  <si>
    <t>Туники</t>
  </si>
  <si>
    <t>Термотрусы для малышей</t>
  </si>
  <si>
    <t>Шубы натуральные</t>
  </si>
  <si>
    <t>Наборы для рисования</t>
  </si>
  <si>
    <t>Котлеты</t>
  </si>
  <si>
    <t>Герморюкзаки</t>
  </si>
  <si>
    <t>Клипсаторы</t>
  </si>
  <si>
    <t>Насадки для гравера</t>
  </si>
  <si>
    <t>Держатели медицинские</t>
  </si>
  <si>
    <t>Трусы</t>
  </si>
  <si>
    <t>Ватрушки</t>
  </si>
  <si>
    <t>Бриджи</t>
  </si>
  <si>
    <t>Смазки для оружия</t>
  </si>
  <si>
    <t>Ручки для лопат</t>
  </si>
  <si>
    <t>Вейдерсы</t>
  </si>
  <si>
    <t>Менструальные чаши</t>
  </si>
  <si>
    <t>Конструкторы</t>
  </si>
  <si>
    <t>Игрушечная посуда</t>
  </si>
  <si>
    <t>Втулки велосипедные</t>
  </si>
  <si>
    <t>Аспираторы детские</t>
  </si>
  <si>
    <t>Высоторезы</t>
  </si>
  <si>
    <t>Чаймсы</t>
  </si>
  <si>
    <t>Багги</t>
  </si>
  <si>
    <t>Плинтусы для столешниц</t>
  </si>
  <si>
    <t>Мешки для фильтрующих наполнителей</t>
  </si>
  <si>
    <t>Кухонные машины</t>
  </si>
  <si>
    <t>Игровые консоли</t>
  </si>
  <si>
    <t>Столы и стеллажи для рассады</t>
  </si>
  <si>
    <t>Сушильные машины</t>
  </si>
  <si>
    <t>Антицарапки</t>
  </si>
  <si>
    <t>Пеньюары</t>
  </si>
  <si>
    <t>Бритвы опасные</t>
  </si>
  <si>
    <t>Хьюмидоры</t>
  </si>
  <si>
    <t>Колпаки медицинские</t>
  </si>
  <si>
    <t>Чехлы на гипс</t>
  </si>
  <si>
    <t>Аксессуары для автоприцепов</t>
  </si>
  <si>
    <t>Платья спортивные</t>
  </si>
  <si>
    <t>Тачскрины для смартфонов</t>
  </si>
  <si>
    <t>Палатки</t>
  </si>
  <si>
    <t>Емкости для выпечки</t>
  </si>
  <si>
    <t>Подстаканники</t>
  </si>
  <si>
    <t>Печенье спортивное</t>
  </si>
  <si>
    <t>Жесткие диски</t>
  </si>
  <si>
    <t>Ручки оконные</t>
  </si>
  <si>
    <t>Слингомайки</t>
  </si>
  <si>
    <t>Креманки</t>
  </si>
  <si>
    <t>Футляры для зарядного кабеля</t>
  </si>
  <si>
    <t>Велобахилы</t>
  </si>
  <si>
    <t>Колонки портативные</t>
  </si>
  <si>
    <t>Основы для пилок</t>
  </si>
  <si>
    <t>Пуходерки</t>
  </si>
  <si>
    <t>Водка</t>
  </si>
  <si>
    <t>Салфетки для авто</t>
  </si>
  <si>
    <t>Жгуты</t>
  </si>
  <si>
    <t>Сумки-шопперы</t>
  </si>
  <si>
    <t>Капы</t>
  </si>
  <si>
    <t>Полироли для обуви</t>
  </si>
  <si>
    <t>Микросхемы</t>
  </si>
  <si>
    <t>Палитры для смешивания косметики</t>
  </si>
  <si>
    <t>Звезды для мототехники</t>
  </si>
  <si>
    <t>Выключатели механические</t>
  </si>
  <si>
    <t>Системы автополива и запчасти</t>
  </si>
  <si>
    <t>Пушкары</t>
  </si>
  <si>
    <t>Наборы для помазания</t>
  </si>
  <si>
    <t>Эпоксидная смола для творчества</t>
  </si>
  <si>
    <t>Пыльники ШРУСа</t>
  </si>
  <si>
    <t>Прочие инструменты</t>
  </si>
  <si>
    <t>Мочалки</t>
  </si>
  <si>
    <t>Маргарин</t>
  </si>
  <si>
    <t>Газовые баллончики учебные</t>
  </si>
  <si>
    <t>Замороженная пицца</t>
  </si>
  <si>
    <t>Бритвенные наборы</t>
  </si>
  <si>
    <t>Обувь для животных</t>
  </si>
  <si>
    <t>Фильтры для масок ветрозащитных</t>
  </si>
  <si>
    <t>Крестильные комплекты для малышей</t>
  </si>
  <si>
    <t>Нейтрализаторы запаха спортивные</t>
  </si>
  <si>
    <t>Стикеры</t>
  </si>
  <si>
    <t>Интерфейсы для микроэлектроники</t>
  </si>
  <si>
    <t>Подставки для елок</t>
  </si>
  <si>
    <t>Трубки газоотводные для новорожденных</t>
  </si>
  <si>
    <t>Решетки вентиляционные</t>
  </si>
  <si>
    <t>Гигиенические изделия</t>
  </si>
  <si>
    <t>Канцелярские наборы</t>
  </si>
  <si>
    <t>Розетки</t>
  </si>
  <si>
    <t>Флюсы паяльные</t>
  </si>
  <si>
    <t>Диски сцепления для авто</t>
  </si>
  <si>
    <t>Оповещатели звуковые</t>
  </si>
  <si>
    <t>Шампуни для животных</t>
  </si>
  <si>
    <t>Флюиды</t>
  </si>
  <si>
    <t>Подложки для раковины</t>
  </si>
  <si>
    <t>Лотерейные билеты</t>
  </si>
  <si>
    <t>Маски сувенирные</t>
  </si>
  <si>
    <t>Экшн-камеры</t>
  </si>
  <si>
    <t>Свечи для торта</t>
  </si>
  <si>
    <t>Погремушки</t>
  </si>
  <si>
    <t>Радиостанции</t>
  </si>
  <si>
    <t>Наборы хирургические</t>
  </si>
  <si>
    <t>Одноразовая посуда</t>
  </si>
  <si>
    <t>Подставки декоративные</t>
  </si>
  <si>
    <t>Дезодоранты для обуви</t>
  </si>
  <si>
    <t>Осушители автомобильные</t>
  </si>
  <si>
    <t>Фотоаппараты</t>
  </si>
  <si>
    <t>Броши</t>
  </si>
  <si>
    <t>Спусковые устройства</t>
  </si>
  <si>
    <t>Патроны для ламп</t>
  </si>
  <si>
    <t>Запонки</t>
  </si>
  <si>
    <t>Напульсники</t>
  </si>
  <si>
    <t>Алкотестеры</t>
  </si>
  <si>
    <t>Футляры для очков</t>
  </si>
  <si>
    <t>Защитные наборы</t>
  </si>
  <si>
    <t>Коврики туристические</t>
  </si>
  <si>
    <t>Прикуриватели</t>
  </si>
  <si>
    <t>Грили электрические</t>
  </si>
  <si>
    <t>Аккумуляторы температуры</t>
  </si>
  <si>
    <t>Мыши</t>
  </si>
  <si>
    <t>Увлажнители</t>
  </si>
  <si>
    <t>Блески для обуви</t>
  </si>
  <si>
    <t>Кухонные весы</t>
  </si>
  <si>
    <t>Шнурки</t>
  </si>
  <si>
    <t>Шампуры</t>
  </si>
  <si>
    <t>Ленты эротик</t>
  </si>
  <si>
    <t>Гелевые полоски</t>
  </si>
  <si>
    <t>Скребки для языка</t>
  </si>
  <si>
    <t>Контактные среды</t>
  </si>
  <si>
    <t>Щетки для животных</t>
  </si>
  <si>
    <t>Роллы</t>
  </si>
  <si>
    <t>Замороженные овощи</t>
  </si>
  <si>
    <t>Трико борцовское</t>
  </si>
  <si>
    <t>Соски</t>
  </si>
  <si>
    <t>Карты оплаты</t>
  </si>
  <si>
    <t>Горячий шоколад</t>
  </si>
  <si>
    <t>Плакаты</t>
  </si>
  <si>
    <t>Наборы автомобильных инструментов</t>
  </si>
  <si>
    <t>Дуги для парника</t>
  </si>
  <si>
    <t>Оладьи</t>
  </si>
  <si>
    <t>Формы для запекания</t>
  </si>
  <si>
    <t>Наборы музыкальных инструментов</t>
  </si>
  <si>
    <t>Фильтры охлаждающей жидкости</t>
  </si>
  <si>
    <t>Клей</t>
  </si>
  <si>
    <t>Поке</t>
  </si>
  <si>
    <t>Чехлы для ручек</t>
  </si>
  <si>
    <t>Ножи метательные</t>
  </si>
  <si>
    <t>Ножи канцелярские</t>
  </si>
  <si>
    <t>Датчики для микроэлектроники</t>
  </si>
  <si>
    <t>Аксессуары и запчасти для посудомоечных машин</t>
  </si>
  <si>
    <t>Мячики</t>
  </si>
  <si>
    <t>Льдогенераторы</t>
  </si>
  <si>
    <t>Биркодержатели</t>
  </si>
  <si>
    <t>Тросы и ленты для авто</t>
  </si>
  <si>
    <t>Подушки на стул</t>
  </si>
  <si>
    <t>Фиджет спиннеры</t>
  </si>
  <si>
    <t>Бензорезы</t>
  </si>
  <si>
    <t>Термальная вода</t>
  </si>
  <si>
    <t>Посттренировочные комплексы</t>
  </si>
  <si>
    <t>Клей для наращивания ресниц</t>
  </si>
  <si>
    <t>Диспенсеры канцелярские</t>
  </si>
  <si>
    <t>Ложки обувные</t>
  </si>
  <si>
    <t>Ручки для валиков</t>
  </si>
  <si>
    <t>Косметические наборы для ухода</t>
  </si>
  <si>
    <t>Наборы молочных продуктов</t>
  </si>
  <si>
    <t>Тарталетки</t>
  </si>
  <si>
    <t>Накладки на закраину диска</t>
  </si>
  <si>
    <t>Теплопроводящие материалы</t>
  </si>
  <si>
    <t>Черпаки для лодок</t>
  </si>
  <si>
    <t>Крупа пшеничная</t>
  </si>
  <si>
    <t>Негатоскопы</t>
  </si>
  <si>
    <t>Наборы для ТО</t>
  </si>
  <si>
    <t>Бермуды для малышей</t>
  </si>
  <si>
    <t>Пневмограверы</t>
  </si>
  <si>
    <t>Тан</t>
  </si>
  <si>
    <t>Комплекты белья для малышей</t>
  </si>
  <si>
    <t>Простыни одноразовые</t>
  </si>
  <si>
    <t>Комплектующие для теплых полов</t>
  </si>
  <si>
    <t>Барометры</t>
  </si>
  <si>
    <t>Саморезы в ленте</t>
  </si>
  <si>
    <t>Корректоры</t>
  </si>
  <si>
    <t>Обложки для переплета</t>
  </si>
  <si>
    <t>Халаты банные для малышей</t>
  </si>
  <si>
    <t>Защита тела</t>
  </si>
  <si>
    <t>Автокресла детские</t>
  </si>
  <si>
    <t>Медали подарочные</t>
  </si>
  <si>
    <t>Оптопары</t>
  </si>
  <si>
    <t>Простыни</t>
  </si>
  <si>
    <t>Замороженное мясо</t>
  </si>
  <si>
    <t>Органайзеры для сумки</t>
  </si>
  <si>
    <t>Ночные сорочки для малышей</t>
  </si>
  <si>
    <t>Другие запчасти для компьютеров</t>
  </si>
  <si>
    <t>Другие аксессуары для багажа</t>
  </si>
  <si>
    <t>Накладки на ремень безопасности</t>
  </si>
  <si>
    <t>Творожки</t>
  </si>
  <si>
    <t>Панельки под микросхемы</t>
  </si>
  <si>
    <t>Якорные намотки</t>
  </si>
  <si>
    <t>Таймеры для автоматизации птичника</t>
  </si>
  <si>
    <t>Дверные доборы, коробки и наличники</t>
  </si>
  <si>
    <t>Зажимы для тросов</t>
  </si>
  <si>
    <t>Насосно-смесительные узлы</t>
  </si>
  <si>
    <t>Бомберы для малышей</t>
  </si>
  <si>
    <t>Икра улитки</t>
  </si>
  <si>
    <t>Кулак краба</t>
  </si>
  <si>
    <t>Лаваш</t>
  </si>
  <si>
    <t>Колодки стартовые</t>
  </si>
  <si>
    <t>Топы для малышей</t>
  </si>
  <si>
    <t>Лонгсливы для малышей</t>
  </si>
  <si>
    <t>Комплектующие натяжного потолка</t>
  </si>
  <si>
    <t>Подушки противопролежневые</t>
  </si>
  <si>
    <t>Ферриты</t>
  </si>
  <si>
    <t>Блоки подготовки воздуха тонкой очистки</t>
  </si>
  <si>
    <t>Подоконники</t>
  </si>
  <si>
    <t>Лыжи детские</t>
  </si>
  <si>
    <t>Приборы для калибровки</t>
  </si>
  <si>
    <t>Биточки</t>
  </si>
  <si>
    <t>Макаруны</t>
  </si>
  <si>
    <t>Морские ежи</t>
  </si>
  <si>
    <t>Балки декоративные</t>
  </si>
  <si>
    <t>Рефлекторы для птиц</t>
  </si>
  <si>
    <t>Гидроаккумуляторы</t>
  </si>
  <si>
    <t>ТЭНы для водонагревателей</t>
  </si>
  <si>
    <t>Джамперы для микроэлектроники</t>
  </si>
  <si>
    <t>Сэндбэги</t>
  </si>
  <si>
    <t>Тиски спортивные</t>
  </si>
  <si>
    <t>Панамы для малышей</t>
  </si>
  <si>
    <t>Колготки для малышей</t>
  </si>
  <si>
    <t>Экипировка для снегохода</t>
  </si>
  <si>
    <t>Разделители для рюкзаков</t>
  </si>
  <si>
    <t>Косметика для лодок и яхт</t>
  </si>
  <si>
    <t>Кресла компьютерные</t>
  </si>
  <si>
    <t>Цифры дверные</t>
  </si>
  <si>
    <t>Коврики для пайки</t>
  </si>
  <si>
    <t>Колокольчики для лошади</t>
  </si>
  <si>
    <t>Аккумуляторы для фотоаппаратов</t>
  </si>
  <si>
    <t>Носки ортопедические</t>
  </si>
  <si>
    <t>Комплектующие руля для мототехники</t>
  </si>
  <si>
    <t>Кофеварки автомобильные</t>
  </si>
  <si>
    <t>Принтеры портативные</t>
  </si>
  <si>
    <t>Смесители и комплектующие для парикмахерских моек</t>
  </si>
  <si>
    <t>Комплекты клавиатур и мышей</t>
  </si>
  <si>
    <t>Кольца для птиц</t>
  </si>
  <si>
    <t>Обереги для животных</t>
  </si>
  <si>
    <t>Ролики массажные</t>
  </si>
  <si>
    <t>Адаптеры велосипедные</t>
  </si>
  <si>
    <t>Монетницы</t>
  </si>
  <si>
    <t>Массажные средства эротик</t>
  </si>
  <si>
    <t>Сальники штока сцепления</t>
  </si>
  <si>
    <t>Подставки страховочные</t>
  </si>
  <si>
    <t>Усилители для светодиодных лент</t>
  </si>
  <si>
    <t>Чехлы для медицинских приборов</t>
  </si>
  <si>
    <t>Баурсак</t>
  </si>
  <si>
    <t>NFC кольца</t>
  </si>
  <si>
    <t>Курвиметры</t>
  </si>
  <si>
    <t>Аккумуляторы для лодок</t>
  </si>
  <si>
    <t>Тормоза для роликовых коньков</t>
  </si>
  <si>
    <t>Босоножки</t>
  </si>
  <si>
    <t>Шлепанцы</t>
  </si>
  <si>
    <t>Каталки</t>
  </si>
  <si>
    <t>Осветители для смартфона</t>
  </si>
  <si>
    <t>Иглы швейные</t>
  </si>
  <si>
    <t>Рыба</t>
  </si>
  <si>
    <t>Пломбираторы</t>
  </si>
  <si>
    <t>Склерометры</t>
  </si>
  <si>
    <t>Кресла парикмахерские</t>
  </si>
  <si>
    <t>Корм для рептилий и черепах</t>
  </si>
  <si>
    <t>Замки автомобильные</t>
  </si>
  <si>
    <t>Кошельки</t>
  </si>
  <si>
    <t>Вкладыши для посуды</t>
  </si>
  <si>
    <t>Трекеры световые</t>
  </si>
  <si>
    <t>Губки абразивные</t>
  </si>
  <si>
    <t>Ювелирные кольца</t>
  </si>
  <si>
    <t>Наборы для наращивания ресниц</t>
  </si>
  <si>
    <t>Доски строительные</t>
  </si>
  <si>
    <t>Пломбировочные ленты</t>
  </si>
  <si>
    <t>Холдеры для коллекционирования</t>
  </si>
  <si>
    <t>Вилки для фаркопов</t>
  </si>
  <si>
    <t>Ввёртыши</t>
  </si>
  <si>
    <t>Козырьки для входной двери</t>
  </si>
  <si>
    <t>Трубки курительные</t>
  </si>
  <si>
    <t>Матрасы для автомобилей</t>
  </si>
  <si>
    <t>Щетки по металлу</t>
  </si>
  <si>
    <t>Травосборники</t>
  </si>
  <si>
    <t>Аксессуары для компрессоров</t>
  </si>
  <si>
    <t>Модули управления для водонагревателей</t>
  </si>
  <si>
    <t>Крепеж для авто</t>
  </si>
  <si>
    <t>Коврики с подогревом</t>
  </si>
  <si>
    <t>Зонты</t>
  </si>
  <si>
    <t>Шнуры разметочные</t>
  </si>
  <si>
    <t>Чехлы для стиральных машин</t>
  </si>
  <si>
    <t>Поддоны для цветов</t>
  </si>
  <si>
    <t>Джеггинсы для малышей</t>
  </si>
  <si>
    <t>Бумага рисовая</t>
  </si>
  <si>
    <t>Беговые дорожки</t>
  </si>
  <si>
    <t>Подушки для ванны</t>
  </si>
  <si>
    <t>Стойки ресепшн</t>
  </si>
  <si>
    <t>Насадки для фенов</t>
  </si>
  <si>
    <t>Щитки защитные лицевые</t>
  </si>
  <si>
    <t>Аксессуары для тостеров</t>
  </si>
  <si>
    <t>Чехлы для зонтов</t>
  </si>
  <si>
    <t>Насадки для миксеров</t>
  </si>
  <si>
    <t>Насосы вакуумные</t>
  </si>
  <si>
    <t>Клей для подков</t>
  </si>
  <si>
    <t>Поплавковые поилки</t>
  </si>
  <si>
    <t>Кернеры</t>
  </si>
  <si>
    <t>Шилья</t>
  </si>
  <si>
    <t>Фигуры светодиодные</t>
  </si>
  <si>
    <t>Иглодержатели хирургические</t>
  </si>
  <si>
    <t>Юбки медицинские</t>
  </si>
  <si>
    <t>Коврики для сушки посуды</t>
  </si>
  <si>
    <t>Сифоны</t>
  </si>
  <si>
    <t>Пинцеты монтажные</t>
  </si>
  <si>
    <t>Батуты детские</t>
  </si>
  <si>
    <t>Контейнеры для игрушек</t>
  </si>
  <si>
    <t>Валики художественные</t>
  </si>
  <si>
    <t>Механизмы для скоросшивания</t>
  </si>
  <si>
    <t>Скребки для посуды</t>
  </si>
  <si>
    <t>Красители для эпоксидной смолы</t>
  </si>
  <si>
    <t>Литьевые камни</t>
  </si>
  <si>
    <t>Оборудование для розлива</t>
  </si>
  <si>
    <t>Акустика для микроэлектроники</t>
  </si>
  <si>
    <t>Брюки</t>
  </si>
  <si>
    <t>Вата медицинская</t>
  </si>
  <si>
    <t>Съемники хомутов</t>
  </si>
  <si>
    <t>Чипы для стоматологических ламп</t>
  </si>
  <si>
    <t>Напальчники для игры на гитаре</t>
  </si>
  <si>
    <t>Сайлентблоки</t>
  </si>
  <si>
    <t>Глюкофоны</t>
  </si>
  <si>
    <t>Постеры</t>
  </si>
  <si>
    <t>Балконные ящики</t>
  </si>
  <si>
    <t>Гренки</t>
  </si>
  <si>
    <t>Виолончели</t>
  </si>
  <si>
    <t>Контроллеры электромагнитного клапана</t>
  </si>
  <si>
    <t>Вазы</t>
  </si>
  <si>
    <t>Штангенциркули</t>
  </si>
  <si>
    <t>Солнцезащитные очки</t>
  </si>
  <si>
    <t>Инструменты для выравнивания плитки</t>
  </si>
  <si>
    <t>Кабины душевые</t>
  </si>
  <si>
    <t>Накладные ногти</t>
  </si>
  <si>
    <t>Термопеналы для инсулина</t>
  </si>
  <si>
    <t>Печи для пиццы</t>
  </si>
  <si>
    <t>Принтеры для печати этикеток</t>
  </si>
  <si>
    <t>Кобуры для оружия</t>
  </si>
  <si>
    <t>Плитка гранитная</t>
  </si>
  <si>
    <t>Фильтры для курительных трубок</t>
  </si>
  <si>
    <t>Постельное белье</t>
  </si>
  <si>
    <t>Спортивные комплексы для детей</t>
  </si>
  <si>
    <t>Автоподсекатели для удочек</t>
  </si>
  <si>
    <t>Коврики греющие для рептилий</t>
  </si>
  <si>
    <t>Искусственная кожа для практики</t>
  </si>
  <si>
    <t>Болеро</t>
  </si>
  <si>
    <t>Куклы</t>
  </si>
  <si>
    <t>Крышки для банок</t>
  </si>
  <si>
    <t>Защитные накладки для дома</t>
  </si>
  <si>
    <t>Средства для моек высокого давления</t>
  </si>
  <si>
    <t>Хиджабы</t>
  </si>
  <si>
    <t>Дробилки для винограда</t>
  </si>
  <si>
    <t>Вешалки для отпаривателей</t>
  </si>
  <si>
    <t>Щетки для подметальных машин</t>
  </si>
  <si>
    <t>Велочулки</t>
  </si>
  <si>
    <t>Доильные аппараты</t>
  </si>
  <si>
    <t>Комплектующие для подвесного потолка</t>
  </si>
  <si>
    <t>Иглы кулинарные</t>
  </si>
  <si>
    <t>Прикормочные кораблики</t>
  </si>
  <si>
    <t>Другие запчасти для квадроциклов</t>
  </si>
  <si>
    <t>Втулки для мясорубок</t>
  </si>
  <si>
    <t>Фиксаторы для очков</t>
  </si>
  <si>
    <t>Сливники для чая</t>
  </si>
  <si>
    <t>Электротяпки</t>
  </si>
  <si>
    <t>Таблички и бирки для рассады</t>
  </si>
  <si>
    <t>Снеговые отвалы</t>
  </si>
  <si>
    <t>Ленты оградительные</t>
  </si>
  <si>
    <t>Пакеты для рассады</t>
  </si>
  <si>
    <t>Колодки портновские</t>
  </si>
  <si>
    <t>Ниппели под термометры</t>
  </si>
  <si>
    <t>Наполнители для кресла-мешка</t>
  </si>
  <si>
    <t>Мыло металлическое</t>
  </si>
  <si>
    <t>Букеты свадебные</t>
  </si>
  <si>
    <t>Зернодробилки</t>
  </si>
  <si>
    <t>Катушки для металлоискателя</t>
  </si>
  <si>
    <t>NFC брелоки</t>
  </si>
  <si>
    <t>Ковролин</t>
  </si>
  <si>
    <t>Боди</t>
  </si>
  <si>
    <t>Сапоги</t>
  </si>
  <si>
    <t>Ванночки малярные</t>
  </si>
  <si>
    <t>Столы журнальные</t>
  </si>
  <si>
    <t>Подставки для шампуров</t>
  </si>
  <si>
    <t>Комплекты фильтров</t>
  </si>
  <si>
    <t>Цилиндры для замка</t>
  </si>
  <si>
    <t>Краги для снегоходов</t>
  </si>
  <si>
    <t>Утеплители для одежды</t>
  </si>
  <si>
    <t>Чехлы для DJ оборудования</t>
  </si>
  <si>
    <t>Сервомоторы для швейных машин</t>
  </si>
  <si>
    <t>Блоки управления замком</t>
  </si>
  <si>
    <t>Иглы для тату</t>
  </si>
  <si>
    <t>Комплекты ГРМ</t>
  </si>
  <si>
    <t>Средства с феромонами</t>
  </si>
  <si>
    <t>Столы теннисные</t>
  </si>
  <si>
    <t>Сальники КПП</t>
  </si>
  <si>
    <t>Пакеты для транспортировки рыб</t>
  </si>
  <si>
    <t>Пролонгаторы</t>
  </si>
  <si>
    <t>Другие приспособления для крупно-рогатого скота</t>
  </si>
  <si>
    <t>Электрическая плита для углей</t>
  </si>
  <si>
    <t>Сервисные книжки автомобиля</t>
  </si>
  <si>
    <t>Одеяла одноразовые</t>
  </si>
  <si>
    <t>Наборы для обивки дверей</t>
  </si>
  <si>
    <t>Подставки для ведер и бутылок</t>
  </si>
  <si>
    <t>Ультразвуковые приборы для проверки герметичности</t>
  </si>
  <si>
    <t>Крышки клапанные</t>
  </si>
  <si>
    <t>Маслоохладители автомобильные</t>
  </si>
  <si>
    <t>Винные шкафы</t>
  </si>
  <si>
    <t>Манекены для косметологии</t>
  </si>
  <si>
    <t>Счетчики механические</t>
  </si>
  <si>
    <t>Стяжка</t>
  </si>
  <si>
    <t>Прессы для приманки</t>
  </si>
  <si>
    <t>Двигатели для садовой техники</t>
  </si>
  <si>
    <t>Кронштейны для кондиционера</t>
  </si>
  <si>
    <t>Канализационные установки</t>
  </si>
  <si>
    <t>Провода для тату машинки</t>
  </si>
  <si>
    <t>Термофутболки спортивные</t>
  </si>
  <si>
    <t>Коврики для садовых работ</t>
  </si>
  <si>
    <t>Ледорубы</t>
  </si>
  <si>
    <t>Повязки на голову</t>
  </si>
  <si>
    <t>Резинки для рукоделия</t>
  </si>
  <si>
    <t>Приспособления для мытья животных</t>
  </si>
  <si>
    <t>Ленты флористические</t>
  </si>
  <si>
    <t>Хлеб</t>
  </si>
  <si>
    <t>Ложементы для инструментов</t>
  </si>
  <si>
    <t>Газоны искусственные</t>
  </si>
  <si>
    <t>Крышки для емкостей</t>
  </si>
  <si>
    <t>Гирлянды уличные</t>
  </si>
  <si>
    <t>Пруды декоративные</t>
  </si>
  <si>
    <t>Природные материалы для творчества</t>
  </si>
  <si>
    <t>Вешалки на дверь</t>
  </si>
  <si>
    <t>Краски для автомобиля</t>
  </si>
  <si>
    <t>Пленки и сетки для пруда</t>
  </si>
  <si>
    <t>Дыроколы для крышек</t>
  </si>
  <si>
    <t>Камни для бани</t>
  </si>
  <si>
    <t>Цветы декоративные</t>
  </si>
  <si>
    <t>Чиабатта</t>
  </si>
  <si>
    <t>Аксессуары для пруда</t>
  </si>
  <si>
    <t>Эспадрильи</t>
  </si>
  <si>
    <t>Защитная пленка</t>
  </si>
  <si>
    <t>Ролики</t>
  </si>
  <si>
    <t>Сухоцветы</t>
  </si>
  <si>
    <t>Изливы для смесителей</t>
  </si>
  <si>
    <t>Тазики детские</t>
  </si>
  <si>
    <t>Наборы для чистки аквариумов</t>
  </si>
  <si>
    <t>Педали для тату машинки</t>
  </si>
  <si>
    <t>Шпингалеты</t>
  </si>
  <si>
    <t>Аэраторы кровельные</t>
  </si>
  <si>
    <t>Катушки и тележки для садовых шлангов</t>
  </si>
  <si>
    <t>Пластыри от укачивания</t>
  </si>
  <si>
    <t>Полки для телевизора</t>
  </si>
  <si>
    <t>Сменные ручки для ирригаторов</t>
  </si>
  <si>
    <t>Декор для творчества</t>
  </si>
  <si>
    <t>Подогреватели пищи электрические</t>
  </si>
  <si>
    <t>Трещотки велосипедные</t>
  </si>
  <si>
    <t>Кремеры</t>
  </si>
  <si>
    <t>Кружки Эсмарха</t>
  </si>
  <si>
    <t>Соединения для подоконника</t>
  </si>
  <si>
    <t>Счетчики судейские</t>
  </si>
  <si>
    <t>Шары для бампербола</t>
  </si>
  <si>
    <t>Контроллеры ИБП</t>
  </si>
  <si>
    <t>Грации</t>
  </si>
  <si>
    <t>Наборы для создания слепков</t>
  </si>
  <si>
    <t>Шпульки для швейных машин</t>
  </si>
  <si>
    <t>Подставки под ложку</t>
  </si>
  <si>
    <t>Настольные защитные экраны</t>
  </si>
  <si>
    <t>Снуды для собак</t>
  </si>
  <si>
    <t>Шпатлевки для автомобиля</t>
  </si>
  <si>
    <t>Чехлы для бутылей</t>
  </si>
  <si>
    <t>Игрушки для ванной</t>
  </si>
  <si>
    <t>Пуговичные машины</t>
  </si>
  <si>
    <t>Отражатели для фотовспышки</t>
  </si>
  <si>
    <t>Колпаки для забора</t>
  </si>
  <si>
    <t>Штампы для творчества</t>
  </si>
  <si>
    <t>Средства для удаления затирки</t>
  </si>
  <si>
    <t>Булочки</t>
  </si>
  <si>
    <t>Виниловые полы</t>
  </si>
  <si>
    <t>Пароочистители</t>
  </si>
  <si>
    <t>Завязыватели крючков</t>
  </si>
  <si>
    <t>Короба архивные</t>
  </si>
  <si>
    <t>Раздельные купальники для малышей</t>
  </si>
  <si>
    <t>Пилки для лобзика</t>
  </si>
  <si>
    <t>Пыльники автомобильные</t>
  </si>
  <si>
    <t>Слитные купальники для малышей</t>
  </si>
  <si>
    <t>Наборы для фитнеса</t>
  </si>
  <si>
    <t>Мясные деликатесы</t>
  </si>
  <si>
    <t>Аксессуары для воздушных шаров</t>
  </si>
  <si>
    <t>Колеса промышленные</t>
  </si>
  <si>
    <t>Муссы мясные</t>
  </si>
  <si>
    <t>Террины</t>
  </si>
  <si>
    <t>Муляжи мобильных телефонов</t>
  </si>
  <si>
    <t>Частотные преобразователи</t>
  </si>
  <si>
    <t>Абсорбент углекислого газа</t>
  </si>
  <si>
    <t>Эликсиры</t>
  </si>
  <si>
    <t>Прокладки крышки ГРМ</t>
  </si>
  <si>
    <t>Диваны бескаркасные</t>
  </si>
  <si>
    <t>Контроллеры для ПК</t>
  </si>
  <si>
    <t>Панели вызывные для домофона</t>
  </si>
  <si>
    <t>Стилусы</t>
  </si>
  <si>
    <t>Комплексные пищевые добавки</t>
  </si>
  <si>
    <t>Маски для плавания</t>
  </si>
  <si>
    <t>PoE инжекторы</t>
  </si>
  <si>
    <t>Заглушки для лыж</t>
  </si>
  <si>
    <t>Линейки закройщика</t>
  </si>
  <si>
    <t>Цукаты</t>
  </si>
  <si>
    <t>Болты для самокатов</t>
  </si>
  <si>
    <t>Направляющие под каретку</t>
  </si>
  <si>
    <t>Подвески интерьерные</t>
  </si>
  <si>
    <t>Звезды велосипедные</t>
  </si>
  <si>
    <t>Слипоны</t>
  </si>
  <si>
    <t>Крышки для гастроемкостей</t>
  </si>
  <si>
    <t>Насосы топливные</t>
  </si>
  <si>
    <t>Прокладки выхлопной трубы</t>
  </si>
  <si>
    <t>Адаптеры</t>
  </si>
  <si>
    <t>Измельчители пищевых отходов</t>
  </si>
  <si>
    <t>Измерители жира</t>
  </si>
  <si>
    <t>Инструменты для портативной техники</t>
  </si>
  <si>
    <t>Стетоскопы механические</t>
  </si>
  <si>
    <t>Формы для свечей</t>
  </si>
  <si>
    <t>Маркеры</t>
  </si>
  <si>
    <t>Кольца поршневые</t>
  </si>
  <si>
    <t>Насадки для систем отбеливания</t>
  </si>
  <si>
    <t>Термошорты спортивные</t>
  </si>
  <si>
    <t>Термоколготки спортивные</t>
  </si>
  <si>
    <t>Балансиры рыболовные</t>
  </si>
  <si>
    <t>Шипы велосипедные</t>
  </si>
  <si>
    <t>Тормоза гидравлические дисковые</t>
  </si>
  <si>
    <t>Подвески бижутерные</t>
  </si>
  <si>
    <t>Контроллеры видеосигнала</t>
  </si>
  <si>
    <t>Чехлы для презервативов</t>
  </si>
  <si>
    <t>Стрелы арбалетные</t>
  </si>
  <si>
    <t>Сани тренировочные</t>
  </si>
  <si>
    <t>Подставки для детских ванночек</t>
  </si>
  <si>
    <t>Палочки для наращивания ресниц</t>
  </si>
  <si>
    <t>Установки для замены масла</t>
  </si>
  <si>
    <t>Пульверизаторы парикмахерские</t>
  </si>
  <si>
    <t>Счетчики лески</t>
  </si>
  <si>
    <t>Ремни такелажные</t>
  </si>
  <si>
    <t>Термоджемперы спортивные</t>
  </si>
  <si>
    <t>Москитные сетки на коляску</t>
  </si>
  <si>
    <t>Чайники электрические</t>
  </si>
  <si>
    <t>Бетономешалки</t>
  </si>
  <si>
    <t>Держатели для тату машинки</t>
  </si>
  <si>
    <t>Колпачки для пигментов</t>
  </si>
  <si>
    <t>Крючки для коляски</t>
  </si>
  <si>
    <t>Губки для нанесения масла</t>
  </si>
  <si>
    <t>Антизапотевающие вставки</t>
  </si>
  <si>
    <t>Термомайки спортивные</t>
  </si>
  <si>
    <t>Подножки для колясок</t>
  </si>
  <si>
    <t>Бамперы для колясок</t>
  </si>
  <si>
    <t>Шлемы для птиц</t>
  </si>
  <si>
    <t>Знаки для автомобиля</t>
  </si>
  <si>
    <t>Гастроемкости</t>
  </si>
  <si>
    <t>Насадки для верстаков</t>
  </si>
  <si>
    <t>Керамогранит</t>
  </si>
  <si>
    <t>Воздушный рис</t>
  </si>
  <si>
    <t>Респираторы</t>
  </si>
  <si>
    <t>Рубашки рабочие</t>
  </si>
  <si>
    <t>Диффузоры для животных</t>
  </si>
  <si>
    <t>Папки-сумки</t>
  </si>
  <si>
    <t>Подзоры для кроватей</t>
  </si>
  <si>
    <t>Рамы для постеров</t>
  </si>
  <si>
    <t>Бачки ГУР</t>
  </si>
  <si>
    <t>Мячи для гольфа</t>
  </si>
  <si>
    <t>Плащи для малышей</t>
  </si>
  <si>
    <t>Идентификационные браслеты детские</t>
  </si>
  <si>
    <t>Бактерии для подстилок</t>
  </si>
  <si>
    <t>Коврики под разделочные доски</t>
  </si>
  <si>
    <t>Кальмар сушеный</t>
  </si>
  <si>
    <t>Запчасти для садовой техники</t>
  </si>
  <si>
    <t>Средства для ухода за оружием</t>
  </si>
  <si>
    <t>Подушки для медитаций</t>
  </si>
  <si>
    <t>Брезенты</t>
  </si>
  <si>
    <t>Пены для обуви</t>
  </si>
  <si>
    <t>Твинсеты</t>
  </si>
  <si>
    <t>Колеровка краски</t>
  </si>
  <si>
    <t>Ленты гимнастические</t>
  </si>
  <si>
    <t>Водолазки</t>
  </si>
  <si>
    <t>Колодки для дисковых тормозов</t>
  </si>
  <si>
    <t>Пистолеты топливораздаточные</t>
  </si>
  <si>
    <t>Устройства для прокалывания отверстий в бампере</t>
  </si>
  <si>
    <t>Оправки</t>
  </si>
  <si>
    <t>Сигнализации автомобильные</t>
  </si>
  <si>
    <t>Резинки для варежек и перчаток</t>
  </si>
  <si>
    <t>Стулья парикмахерские</t>
  </si>
  <si>
    <t>Постеры в рамах</t>
  </si>
  <si>
    <t>Лыжи для самоката</t>
  </si>
  <si>
    <t>Тату машинки</t>
  </si>
  <si>
    <t>Щитки</t>
  </si>
  <si>
    <t>Полотенца банные</t>
  </si>
  <si>
    <t>Валенки</t>
  </si>
  <si>
    <t>Вкладыши коленвала</t>
  </si>
  <si>
    <t>Парфюмерные наборы</t>
  </si>
  <si>
    <t>Дождик</t>
  </si>
  <si>
    <t>Снежинки</t>
  </si>
  <si>
    <t>Мишура</t>
  </si>
  <si>
    <t>Наборы для плавания</t>
  </si>
  <si>
    <t>Пеналы</t>
  </si>
  <si>
    <t>Ручки для смесителей</t>
  </si>
  <si>
    <t>Мягкие игрушки</t>
  </si>
  <si>
    <t>Свечи</t>
  </si>
  <si>
    <t>Молочко</t>
  </si>
  <si>
    <t>Вратарские перчатки</t>
  </si>
  <si>
    <t>Замки зажигания для мототехники</t>
  </si>
  <si>
    <t>Кинезио тейпы</t>
  </si>
  <si>
    <t>Ювелирные цепочки</t>
  </si>
  <si>
    <t>Термостаты комнатные</t>
  </si>
  <si>
    <t>Диадемы</t>
  </si>
  <si>
    <t>Ключницы</t>
  </si>
  <si>
    <t>Ополаскиватели для посудомоечных машин</t>
  </si>
  <si>
    <t>Футболки-поло</t>
  </si>
  <si>
    <t>Ночные сорочки</t>
  </si>
  <si>
    <t>Масла</t>
  </si>
  <si>
    <t>Пледы</t>
  </si>
  <si>
    <t>Объективы</t>
  </si>
  <si>
    <t>Колье</t>
  </si>
  <si>
    <t>Серьги</t>
  </si>
  <si>
    <t>Ванны</t>
  </si>
  <si>
    <t>Пневмоножи</t>
  </si>
  <si>
    <t>Пылесосы</t>
  </si>
  <si>
    <t>Экспедиционные ящики</t>
  </si>
  <si>
    <t>Бордюры для ванны</t>
  </si>
  <si>
    <t>Филе кальмаров</t>
  </si>
  <si>
    <t>Расходные материалы</t>
  </si>
  <si>
    <t>Зонты садовые</t>
  </si>
  <si>
    <t>Поршни двигателя</t>
  </si>
  <si>
    <t>Запчасти для секс машины</t>
  </si>
  <si>
    <t>Другие принадлежности для рыбалки</t>
  </si>
  <si>
    <t>Чаши поющие</t>
  </si>
  <si>
    <t>Сурдины</t>
  </si>
  <si>
    <t>Мандолины</t>
  </si>
  <si>
    <t>Ложки музыкальные</t>
  </si>
  <si>
    <t>Крепления для микрофонов</t>
  </si>
  <si>
    <t>Контроллеры заряда</t>
  </si>
  <si>
    <t>Препараты от вредных привычек</t>
  </si>
  <si>
    <t>Наручники</t>
  </si>
  <si>
    <t>Насосы подкачивающие</t>
  </si>
  <si>
    <t>Ролики обрезиненные</t>
  </si>
  <si>
    <t>Насадки на мастурбатор</t>
  </si>
  <si>
    <t>Масла гидравлические</t>
  </si>
  <si>
    <t>Тросы подсоса</t>
  </si>
  <si>
    <t>Вкладыши картера двигателя</t>
  </si>
  <si>
    <t>Другие запчасти для ноутбуков</t>
  </si>
  <si>
    <t>Культиваторы ручные</t>
  </si>
  <si>
    <t>Тренажеры для подъема стопы</t>
  </si>
  <si>
    <t>Пояса разгрузочные</t>
  </si>
  <si>
    <t>Намотчики для лески</t>
  </si>
  <si>
    <t>Установки пожаротушения</t>
  </si>
  <si>
    <t>Ингаляторы</t>
  </si>
  <si>
    <t>Держатели рыболовных крючков</t>
  </si>
  <si>
    <t>Планеры</t>
  </si>
  <si>
    <t>Блоки подогрева и стерилизации воды для поилки</t>
  </si>
  <si>
    <t>Масло топленое</t>
  </si>
  <si>
    <t>Подковы для лошадей</t>
  </si>
  <si>
    <t>Витаминно-минеральные препараты</t>
  </si>
  <si>
    <t>Гинекологические препараты</t>
  </si>
  <si>
    <t>Инвалидные коляски механические</t>
  </si>
  <si>
    <t>Губки для ухода за лежачими больными</t>
  </si>
  <si>
    <t>Глазные и ушные препараты</t>
  </si>
  <si>
    <t>Упаковщики вакуумные</t>
  </si>
  <si>
    <t>Другие аксессуары для смартфона</t>
  </si>
  <si>
    <t>Опоры для оружия</t>
  </si>
  <si>
    <t>Воски для свечей</t>
  </si>
  <si>
    <t>Сушилки для посуды</t>
  </si>
  <si>
    <t>Поводки эротик</t>
  </si>
  <si>
    <t>Рубашки одноразовые</t>
  </si>
  <si>
    <t>Креатины</t>
  </si>
  <si>
    <t>Прочая мебельная фурнитура</t>
  </si>
  <si>
    <t>Фитолампы для растений и аксессуары</t>
  </si>
  <si>
    <t>Лекарственные травы</t>
  </si>
  <si>
    <t>Молоко детское</t>
  </si>
  <si>
    <t>Запчасти для лодок и катеров</t>
  </si>
  <si>
    <t>Капли для глаз увлажняющие</t>
  </si>
  <si>
    <t>Другие автоинструменты</t>
  </si>
  <si>
    <t>Молотки неврологические</t>
  </si>
  <si>
    <t>Чехлы для шезлонга</t>
  </si>
  <si>
    <t>Антипаразитарные и противомикробные препараты</t>
  </si>
  <si>
    <t>Алмазная мозаика</t>
  </si>
  <si>
    <t>Рептухи для сена</t>
  </si>
  <si>
    <t>Пандусы</t>
  </si>
  <si>
    <t>Накладки на костыли</t>
  </si>
  <si>
    <t>Охладители для бокалов</t>
  </si>
  <si>
    <t>Ленты для груди</t>
  </si>
  <si>
    <t>Накидки маскировочные</t>
  </si>
  <si>
    <t>Кигуруми для малышей</t>
  </si>
  <si>
    <t>Худи для малышей</t>
  </si>
  <si>
    <t>Туники для малышей</t>
  </si>
  <si>
    <t>Леггинсы для малышей</t>
  </si>
  <si>
    <t>Нагрудники для лошадей</t>
  </si>
  <si>
    <t>Кронштейны для геймпадов</t>
  </si>
  <si>
    <t>Кофты для малышей</t>
  </si>
  <si>
    <t>Пончо для малышей</t>
  </si>
  <si>
    <t>Капри для малышей</t>
  </si>
  <si>
    <t>Водолазки для малышей</t>
  </si>
  <si>
    <t>Напальчники спортивные</t>
  </si>
  <si>
    <t>Стремена</t>
  </si>
  <si>
    <t>Твинсеты для малышей</t>
  </si>
  <si>
    <t>Накладки на педали</t>
  </si>
  <si>
    <t>Затирки</t>
  </si>
  <si>
    <t>Штативы для съемки</t>
  </si>
  <si>
    <t>Холодильники</t>
  </si>
  <si>
    <t>Держатели для пайки</t>
  </si>
  <si>
    <t>Морозильные камеры</t>
  </si>
  <si>
    <t>Чехлы для садовой мебели</t>
  </si>
  <si>
    <t>Накладки для обуви</t>
  </si>
  <si>
    <t>Стойки для баллонов</t>
  </si>
  <si>
    <t>Маркеры для бокалов</t>
  </si>
  <si>
    <t>Принтеры для ногтей</t>
  </si>
  <si>
    <t>Выпрямители волос</t>
  </si>
  <si>
    <t>Спреи для цитрусовых</t>
  </si>
  <si>
    <t>Фиксаторы распредвала</t>
  </si>
  <si>
    <t>Рефрактометры</t>
  </si>
  <si>
    <t>Планки спортивные</t>
  </si>
  <si>
    <t>Фотовспышки</t>
  </si>
  <si>
    <t>Накидки на ножки</t>
  </si>
  <si>
    <t>Коньки для лыж снегохода</t>
  </si>
  <si>
    <t>Мини-тиры</t>
  </si>
  <si>
    <t>Подстаканники для колясок</t>
  </si>
  <si>
    <t>Лебедки автомобильные</t>
  </si>
  <si>
    <t>Кинезио тейпы косметические</t>
  </si>
  <si>
    <t>Лебедки для квадроциклов</t>
  </si>
  <si>
    <t>Flash-накопители</t>
  </si>
  <si>
    <t>Корректоры осанки при письме</t>
  </si>
  <si>
    <t>Аксессуары для электробритв</t>
  </si>
  <si>
    <t>Hi-Fi плееры</t>
  </si>
  <si>
    <t>Конвекторы внутрипольные</t>
  </si>
  <si>
    <t>Йогурты</t>
  </si>
  <si>
    <t>Комплекты натяжного потолка</t>
  </si>
  <si>
    <t>Ограждения лестничные</t>
  </si>
  <si>
    <t>Декорации для муравьиных ферм</t>
  </si>
  <si>
    <t>Подколенники для ремонта авто</t>
  </si>
  <si>
    <t>Очистители воздуха для животных</t>
  </si>
  <si>
    <t>Сквиши</t>
  </si>
  <si>
    <t>Машинки для самокруток</t>
  </si>
  <si>
    <t>Виниры накладные</t>
  </si>
  <si>
    <t>Таблички кулинарные</t>
  </si>
  <si>
    <t>Сыры</t>
  </si>
  <si>
    <t>Саксофоны</t>
  </si>
  <si>
    <t>Рулонная изоляция</t>
  </si>
  <si>
    <t>Турки</t>
  </si>
  <si>
    <t>Стол для груминга</t>
  </si>
  <si>
    <t>Мини-кондиционеры воздуха</t>
  </si>
  <si>
    <t>Другие комплектующие для принтеров</t>
  </si>
  <si>
    <t>Трости для саксофонов</t>
  </si>
  <si>
    <t>Реквизит для фотографа</t>
  </si>
  <si>
    <t>Порожки для гитар</t>
  </si>
  <si>
    <t>Другие аксессуары для спорта</t>
  </si>
  <si>
    <t>Рули игровые</t>
  </si>
  <si>
    <t>Рули автомобильные</t>
  </si>
  <si>
    <t>Средства от сорняков</t>
  </si>
  <si>
    <t>Маски паяльные</t>
  </si>
  <si>
    <t>Органайзеры для косметических инструментов</t>
  </si>
  <si>
    <t>Блоттеры для парфюмерии</t>
  </si>
  <si>
    <t>Оборудование для автомойки</t>
  </si>
  <si>
    <t>Боксы для элементов питания</t>
  </si>
  <si>
    <t>Другие аксессуары для праздника</t>
  </si>
  <si>
    <t>Аксессуары для котлов отопления</t>
  </si>
  <si>
    <t>Колки для гитары</t>
  </si>
  <si>
    <t>Электроприводы для окон</t>
  </si>
  <si>
    <t>Букеты живых цветов</t>
  </si>
  <si>
    <t>Стулья санитарные</t>
  </si>
  <si>
    <t>Страхование техники</t>
  </si>
  <si>
    <t>Стреплоки</t>
  </si>
  <si>
    <t>Оптические приводы</t>
  </si>
  <si>
    <t>Отоскопы</t>
  </si>
  <si>
    <t>Домкраты для мебели</t>
  </si>
  <si>
    <t>Канифоль для скрипки</t>
  </si>
  <si>
    <t>Аэрозоли строительные</t>
  </si>
  <si>
    <t>Автострахование</t>
  </si>
  <si>
    <t>Другие велозапчасти</t>
  </si>
  <si>
    <t>Плитки потолочные</t>
  </si>
  <si>
    <t>Вилки амортизационные</t>
  </si>
  <si>
    <t>Аксессуары для альпинизма и скалолазания</t>
  </si>
  <si>
    <t>Увлажнители для гитары</t>
  </si>
  <si>
    <t>Бутылкорезы</t>
  </si>
  <si>
    <t>Колонки рулевые</t>
  </si>
  <si>
    <t>Мешки для приготовления</t>
  </si>
  <si>
    <t>Подставки для мотоциклов</t>
  </si>
  <si>
    <t>Чемоданы</t>
  </si>
  <si>
    <t>Держатели для простыни</t>
  </si>
  <si>
    <t>Масла смазочные</t>
  </si>
  <si>
    <t>Аксессуары для велосипедов</t>
  </si>
  <si>
    <t>Противоварикозные препараты</t>
  </si>
  <si>
    <t>Кепи для малышей</t>
  </si>
  <si>
    <t>Блоки зажигания снегохода</t>
  </si>
  <si>
    <t>Чехлы для клеток</t>
  </si>
  <si>
    <t>Заготовки для ножей</t>
  </si>
  <si>
    <t>Инъекторы</t>
  </si>
  <si>
    <t>Носилки</t>
  </si>
  <si>
    <t>Пандусы медицинские</t>
  </si>
  <si>
    <t>Чехлы для внешних аккумуляторов</t>
  </si>
  <si>
    <t>Накладки для ног</t>
  </si>
  <si>
    <t>Матрасы пеленальные</t>
  </si>
  <si>
    <t>Наггетсы</t>
  </si>
  <si>
    <t>Фрикадельки</t>
  </si>
  <si>
    <t>Другие запчасти для мототехники</t>
  </si>
  <si>
    <t>Защита картера</t>
  </si>
  <si>
    <t>Балдахины</t>
  </si>
  <si>
    <t>Лиры</t>
  </si>
  <si>
    <t>Нивелиры</t>
  </si>
  <si>
    <t>Защитные колпачки для термометров</t>
  </si>
  <si>
    <t>Снуды</t>
  </si>
  <si>
    <t>Кофемашины</t>
  </si>
  <si>
    <t>Протезы и аксессуары</t>
  </si>
  <si>
    <t>Док-станции</t>
  </si>
  <si>
    <t>Фрезеры</t>
  </si>
  <si>
    <t>Тарелки музыкальные</t>
  </si>
  <si>
    <t>Сбитень</t>
  </si>
  <si>
    <t>Электрорубанки</t>
  </si>
  <si>
    <t>Воск для депиляции</t>
  </si>
  <si>
    <t>Держатели для баллончиков</t>
  </si>
  <si>
    <t>Корзины для велосипеда</t>
  </si>
  <si>
    <t>Доски гладильные</t>
  </si>
  <si>
    <t>Скатерти</t>
  </si>
  <si>
    <t>Маникюрные наборы</t>
  </si>
  <si>
    <t>Камеры автомобильные для шин</t>
  </si>
  <si>
    <t>Подсачники</t>
  </si>
  <si>
    <t>Подставки для благовоний</t>
  </si>
  <si>
    <t>Повидло</t>
  </si>
  <si>
    <t>Чехлы для бритв</t>
  </si>
  <si>
    <t>Краски фестивальные</t>
  </si>
  <si>
    <t>Бриджи для малышей</t>
  </si>
  <si>
    <t>Планшеты для наращивания ресниц</t>
  </si>
  <si>
    <t>Лэшбоксы</t>
  </si>
  <si>
    <t>Лебедки ручные</t>
  </si>
  <si>
    <t>Перчатки для малышей</t>
  </si>
  <si>
    <t>Ремешки для пульсометров</t>
  </si>
  <si>
    <t>Топливные брикеты</t>
  </si>
  <si>
    <t>Насосы велосипедные</t>
  </si>
  <si>
    <t>Казу</t>
  </si>
  <si>
    <t>Корпуса для накопителей</t>
  </si>
  <si>
    <t>Пленки антидождь</t>
  </si>
  <si>
    <t>Пружины подвески</t>
  </si>
  <si>
    <t>Стерилизаторы для банок</t>
  </si>
  <si>
    <t>Носки одноразовые</t>
  </si>
  <si>
    <t>Косточки для бюстгальтера</t>
  </si>
  <si>
    <t>Проволка пломбировочная</t>
  </si>
  <si>
    <t>Ленты ободные</t>
  </si>
  <si>
    <t>Сургуч</t>
  </si>
  <si>
    <t>Ткани для рукоделия</t>
  </si>
  <si>
    <t>Накладки на соски для кормления</t>
  </si>
  <si>
    <t>Огниво туристическое</t>
  </si>
  <si>
    <t>Мартингалы конные</t>
  </si>
  <si>
    <t>Аксессуары и запчасти для кофемашин и кофеварок</t>
  </si>
  <si>
    <t>Прокладки для груди</t>
  </si>
  <si>
    <t>Очки корригирующие</t>
  </si>
  <si>
    <t>Доски для записей</t>
  </si>
  <si>
    <t>Глобусы</t>
  </si>
  <si>
    <t>Копировальная бумага</t>
  </si>
  <si>
    <t>Аксессуары для микрофонов</t>
  </si>
  <si>
    <t>Картриджи для смесителей</t>
  </si>
  <si>
    <t>Буженина</t>
  </si>
  <si>
    <t>Замороженные морепродукты</t>
  </si>
  <si>
    <t>Салаты</t>
  </si>
  <si>
    <t>Замороженные грибы</t>
  </si>
  <si>
    <t>Кефир</t>
  </si>
  <si>
    <t>Хачапури</t>
  </si>
  <si>
    <t>Страхование банковских карт</t>
  </si>
  <si>
    <t>Мембраны для гидроаккумулятора</t>
  </si>
  <si>
    <t>Подарочные наборы продуктов</t>
  </si>
  <si>
    <t>Вставки в монтажную головку</t>
  </si>
  <si>
    <t>Упаковки для украшений</t>
  </si>
  <si>
    <t>Пресервы рыбные</t>
  </si>
  <si>
    <t>Шницели</t>
  </si>
  <si>
    <t>Ребрышки</t>
  </si>
  <si>
    <t>Масло сливочное</t>
  </si>
  <si>
    <t>Торты</t>
  </si>
  <si>
    <t>Сало</t>
  </si>
  <si>
    <t>Тесто</t>
  </si>
  <si>
    <t>Пицца</t>
  </si>
  <si>
    <t>Напитки кисломолочные детские</t>
  </si>
  <si>
    <t>Гели акушерские</t>
  </si>
  <si>
    <t>Пластыри от курения</t>
  </si>
  <si>
    <t>Бекон</t>
  </si>
  <si>
    <t>Запеканки</t>
  </si>
  <si>
    <t>Бустеры тестостерона</t>
  </si>
  <si>
    <t>Насосы инфузионные</t>
  </si>
  <si>
    <t>Мясо охлажденное</t>
  </si>
  <si>
    <t>Видеорегистраторы для мотоциклов</t>
  </si>
  <si>
    <t>Горжетки</t>
  </si>
  <si>
    <t>Секаторы</t>
  </si>
  <si>
    <t>Шашлык</t>
  </si>
  <si>
    <t>Искусственные растения</t>
  </si>
  <si>
    <t>Термопрессы для сублимации</t>
  </si>
  <si>
    <t>Сардельки</t>
  </si>
  <si>
    <t>Наборы для приготовления выпечки</t>
  </si>
  <si>
    <t>Баяны</t>
  </si>
  <si>
    <t>Плов</t>
  </si>
  <si>
    <t>Двери межкомнатные</t>
  </si>
  <si>
    <t>Бандалетки</t>
  </si>
  <si>
    <t>Филе</t>
  </si>
  <si>
    <t>Шампуни для автомобиля</t>
  </si>
  <si>
    <t>Замороженная рыба</t>
  </si>
  <si>
    <t>Пистолеты-распылители кондитерские</t>
  </si>
  <si>
    <t>Альпинистские каски</t>
  </si>
  <si>
    <t>Яйца</t>
  </si>
  <si>
    <t>Сорбет</t>
  </si>
  <si>
    <t>Канюли назальные</t>
  </si>
  <si>
    <t>Рыбные закуски</t>
  </si>
  <si>
    <t>Ершовая загрузка</t>
  </si>
  <si>
    <t>Метлы садовые</t>
  </si>
  <si>
    <t>Дозаторы для напитков</t>
  </si>
  <si>
    <t>Кронштейны для скейтбордов</t>
  </si>
  <si>
    <t>Аккумуляторы для радиоуправляемых игрушек</t>
  </si>
  <si>
    <t>Топы-бра</t>
  </si>
  <si>
    <t>Опрыскиватели</t>
  </si>
  <si>
    <t>Вешалки настенные</t>
  </si>
  <si>
    <t>Ветчина</t>
  </si>
  <si>
    <t>Сосиски</t>
  </si>
  <si>
    <t>Комплектующие для сварочных аппаратов</t>
  </si>
  <si>
    <t>Рийет</t>
  </si>
  <si>
    <t>Плодосъемники</t>
  </si>
  <si>
    <t>Грабли</t>
  </si>
  <si>
    <t>Совки садовые</t>
  </si>
  <si>
    <t>Sim карты</t>
  </si>
  <si>
    <t>Стяжки для ковриков</t>
  </si>
  <si>
    <t>Провода для генераторов импульсов</t>
  </si>
  <si>
    <t>Отдушки косметические</t>
  </si>
  <si>
    <t>Комплектующие для плиткореза</t>
  </si>
  <si>
    <t>Запчасти для кулеров воды</t>
  </si>
  <si>
    <t>Тренажеры для сенсорной интеграции</t>
  </si>
  <si>
    <t>Оргстекла</t>
  </si>
  <si>
    <t>Десерты творожные</t>
  </si>
  <si>
    <t>Сэндвичи</t>
  </si>
  <si>
    <t>Комплектующие для мягких окон</t>
  </si>
  <si>
    <t>Тороки для дичи</t>
  </si>
  <si>
    <t>Держатели гвоздей</t>
  </si>
  <si>
    <t>Держатели для накладных ногтей</t>
  </si>
  <si>
    <t>Бутылки сувенирные</t>
  </si>
  <si>
    <t>Держатели для наушников</t>
  </si>
  <si>
    <t>Опунция</t>
  </si>
  <si>
    <t>Ветеринарные сельскохозяйственные инструменты</t>
  </si>
  <si>
    <t>Обувь послеоперационная</t>
  </si>
  <si>
    <t>Вешалки для одежды животным</t>
  </si>
  <si>
    <t>Замороженные ягоды</t>
  </si>
  <si>
    <t>Замороженная птица</t>
  </si>
  <si>
    <t>Сырки глазированные</t>
  </si>
  <si>
    <t>Чевапчичи</t>
  </si>
  <si>
    <t>Сырные шарики</t>
  </si>
  <si>
    <t>Пылесборники строительные</t>
  </si>
  <si>
    <t>Пояса страховочные</t>
  </si>
  <si>
    <t>Мастурбаторы мужские</t>
  </si>
  <si>
    <t>Якоря</t>
  </si>
  <si>
    <t>Простыни БДСМ</t>
  </si>
  <si>
    <t>Рукоятки дроссельной заслонки</t>
  </si>
  <si>
    <t>Матричные коммутаторы</t>
  </si>
  <si>
    <t>Модули сопряжения</t>
  </si>
  <si>
    <t>Покрывала</t>
  </si>
  <si>
    <t>Шезлонги детские</t>
  </si>
  <si>
    <t>Умные горшки</t>
  </si>
  <si>
    <t>Бисер</t>
  </si>
  <si>
    <t>Боксы для коллекционирования</t>
  </si>
  <si>
    <t>Прищепки декоративные</t>
  </si>
  <si>
    <t>Ящики рыболовные</t>
  </si>
  <si>
    <t>Застежки рыболовные</t>
  </si>
  <si>
    <t>Стропы</t>
  </si>
  <si>
    <t>Моторы для лодок</t>
  </si>
  <si>
    <t>Основы для пицц</t>
  </si>
  <si>
    <t>Атомайзеры</t>
  </si>
  <si>
    <t>Термометры для мотоцикла</t>
  </si>
  <si>
    <t>Брюки одноразовые</t>
  </si>
  <si>
    <t>Грелки детские</t>
  </si>
  <si>
    <t>Бюстгальтеры медицинские</t>
  </si>
  <si>
    <t>Сметана</t>
  </si>
  <si>
    <t>Окорока</t>
  </si>
  <si>
    <t>Абажуры</t>
  </si>
  <si>
    <t>Диваны садовые</t>
  </si>
  <si>
    <t>Джин</t>
  </si>
  <si>
    <t>Дровоколы электрические</t>
  </si>
  <si>
    <t>Наборы ниток</t>
  </si>
  <si>
    <t>Газовые горелки туристические</t>
  </si>
  <si>
    <t>Утилизаторы</t>
  </si>
  <si>
    <t>Побелки садовые</t>
  </si>
  <si>
    <t>Арки садовые</t>
  </si>
  <si>
    <t>Коврики для переобувания</t>
  </si>
  <si>
    <t>Груз для погружения</t>
  </si>
  <si>
    <t>Ликер</t>
  </si>
  <si>
    <t>Гайколомы</t>
  </si>
  <si>
    <t>Подъемники для ванны</t>
  </si>
  <si>
    <t>Арманьяк</t>
  </si>
  <si>
    <t>Пружинные узлы</t>
  </si>
  <si>
    <t>Ниппельные поилки</t>
  </si>
  <si>
    <t>Ножницы хирургические</t>
  </si>
  <si>
    <t>Кресла массажные</t>
  </si>
  <si>
    <t>Ремешки для удилищ</t>
  </si>
  <si>
    <t>Муфты кабельные</t>
  </si>
  <si>
    <t>Баки расширительные</t>
  </si>
  <si>
    <t>Столы садовые</t>
  </si>
  <si>
    <t>Крюки для мяса</t>
  </si>
  <si>
    <t>Навесные поилки</t>
  </si>
  <si>
    <t>Лотковые кормушки</t>
  </si>
  <si>
    <t>Пробковые компенсаторы</t>
  </si>
  <si>
    <t>Вина игристые безалкогольные</t>
  </si>
  <si>
    <t>Купели для бани</t>
  </si>
  <si>
    <t>Гели для защитных стекол</t>
  </si>
  <si>
    <t>Держатели мячей</t>
  </si>
  <si>
    <t>Камеры подводные</t>
  </si>
  <si>
    <t>Термопасты</t>
  </si>
  <si>
    <t>Клапаны термостатические</t>
  </si>
  <si>
    <t>Модуляторы видеосигнала</t>
  </si>
  <si>
    <t>Онлайн-кассы</t>
  </si>
  <si>
    <t>Секс куклы</t>
  </si>
  <si>
    <t>Компрессионные леггинсы</t>
  </si>
  <si>
    <t>Консервы фруктовые</t>
  </si>
  <si>
    <t>Фиксаторы эротик</t>
  </si>
  <si>
    <t>Подковы сувенирные</t>
  </si>
  <si>
    <t>Ключи сувенирные</t>
  </si>
  <si>
    <t>Стопы для фистинга</t>
  </si>
  <si>
    <t>Замки цепи</t>
  </si>
  <si>
    <t>Готовые каши</t>
  </si>
  <si>
    <t>Лапша</t>
  </si>
  <si>
    <t>Календари эротические</t>
  </si>
  <si>
    <t>Щупы для мультиметров</t>
  </si>
  <si>
    <t>Нектары детские</t>
  </si>
  <si>
    <t>Морсы детские</t>
  </si>
  <si>
    <t>Шаблоны строительные</t>
  </si>
  <si>
    <t>Компрессионные бриджи</t>
  </si>
  <si>
    <t>Консервы мясные</t>
  </si>
  <si>
    <t>Стопоры и ограничители двери</t>
  </si>
  <si>
    <t>Коробки для десертов</t>
  </si>
  <si>
    <t>Наборы игрушек для взрослых</t>
  </si>
  <si>
    <t>Карты памяти</t>
  </si>
  <si>
    <t>Хлопья гречневые</t>
  </si>
  <si>
    <t>Устройство автоматического ввода резерва</t>
  </si>
  <si>
    <t>Защитные экраны</t>
  </si>
  <si>
    <t>Кольца для похудения</t>
  </si>
  <si>
    <t>Пневмошлифмашины</t>
  </si>
  <si>
    <t>Автосканеры</t>
  </si>
  <si>
    <t>Кумыс</t>
  </si>
  <si>
    <t>Джаммеры</t>
  </si>
  <si>
    <t>Светодиоды</t>
  </si>
  <si>
    <t>Мацони</t>
  </si>
  <si>
    <t>Гидравлическое оборудование</t>
  </si>
  <si>
    <t>Крупы бобовые</t>
  </si>
  <si>
    <t>Чехлы для ножей</t>
  </si>
  <si>
    <t>Вина</t>
  </si>
  <si>
    <t>Наборы для чайного гриба</t>
  </si>
  <si>
    <t>Приборы регистрации частичных разрядов</t>
  </si>
  <si>
    <t>Толстовки для малышей</t>
  </si>
  <si>
    <t>Субпродукты</t>
  </si>
  <si>
    <t>Дозаторы шприцевые</t>
  </si>
  <si>
    <t>Варенец</t>
  </si>
  <si>
    <t>Кронштейны для уздечек</t>
  </si>
  <si>
    <t>Айран</t>
  </si>
  <si>
    <t>Катык</t>
  </si>
  <si>
    <t>Муссы молочные</t>
  </si>
  <si>
    <t>Мальтодекстрин</t>
  </si>
  <si>
    <t>Пояса согревающие</t>
  </si>
  <si>
    <t>Штроборезы</t>
  </si>
  <si>
    <t>Чехлы спортивные</t>
  </si>
  <si>
    <t>Формы для льда</t>
  </si>
  <si>
    <t>Воронки</t>
  </si>
  <si>
    <t>Чехлы для планшетов</t>
  </si>
  <si>
    <t>Чехлы для ноутбуков</t>
  </si>
  <si>
    <t>Инструменты для пчеловодства</t>
  </si>
  <si>
    <t>Домики сувенирные</t>
  </si>
  <si>
    <t>Центрифуги лабораторные</t>
  </si>
  <si>
    <t>Мешки для замешивания теста</t>
  </si>
  <si>
    <t>Пускатели</t>
  </si>
  <si>
    <t>Ремкомплекты для резиновых лодок</t>
  </si>
  <si>
    <t>Фуа-гра</t>
  </si>
  <si>
    <t>Цветовые веера</t>
  </si>
  <si>
    <t>Аксессуары для музыкальных инструментов</t>
  </si>
  <si>
    <t>Налобники от насекомых</t>
  </si>
  <si>
    <t>Палочки для йоги</t>
  </si>
  <si>
    <t>Завязки для кулинарии</t>
  </si>
  <si>
    <t>Икра имитированная красная</t>
  </si>
  <si>
    <t>Чехлы на руку</t>
  </si>
  <si>
    <t>Сварочные аппараты</t>
  </si>
  <si>
    <t>Лед сухой</t>
  </si>
  <si>
    <t>Лезвия для раскройных ножей</t>
  </si>
  <si>
    <t>Доски для биговки</t>
  </si>
  <si>
    <t>Перосъемные машины</t>
  </si>
  <si>
    <t>Тестеры кабельные</t>
  </si>
  <si>
    <t>Тушки кальмаров</t>
  </si>
  <si>
    <t>Лангустины</t>
  </si>
  <si>
    <t>Сменные ножки для игровой мыши</t>
  </si>
  <si>
    <t>Пескоуловители</t>
  </si>
  <si>
    <t>Таблички для органайзеров и ящиков</t>
  </si>
  <si>
    <t>Сундуки садовые</t>
  </si>
  <si>
    <t>Конечности краба</t>
  </si>
  <si>
    <t>Генераторы импульсов</t>
  </si>
  <si>
    <t>Изоляторы для генераторов импульсов</t>
  </si>
  <si>
    <t>Комплектующие для дистиллятора</t>
  </si>
  <si>
    <t>Ложки кофейные</t>
  </si>
  <si>
    <t>Чехлы для чистки кондиционера</t>
  </si>
  <si>
    <t>Фильтры-прессы</t>
  </si>
  <si>
    <t>Отпугиватели собак</t>
  </si>
  <si>
    <t>Наклейки для творчества</t>
  </si>
  <si>
    <t>Хлопья ржаные</t>
  </si>
  <si>
    <t>Овоскопы</t>
  </si>
  <si>
    <t>Комбинезоны медицинские</t>
  </si>
  <si>
    <t>Принадлежности для гриля и барбекю</t>
  </si>
  <si>
    <t>Тали цепные</t>
  </si>
  <si>
    <t>Мыло для бани</t>
  </si>
  <si>
    <t>Принадлежности для мангала</t>
  </si>
  <si>
    <t>Средства для чистки грилей</t>
  </si>
  <si>
    <t>Аксессуары для биотуалетов</t>
  </si>
  <si>
    <t>Шины для мотоциклов</t>
  </si>
  <si>
    <t>Шланги всасывающие для насосов</t>
  </si>
  <si>
    <t>Аксессуары для детских горшков</t>
  </si>
  <si>
    <t>Пружины для переплета</t>
  </si>
  <si>
    <t>Коннекторы и штуцеры садовые</t>
  </si>
  <si>
    <t>Лейки комнатные</t>
  </si>
  <si>
    <t>Грамоты и дипломы</t>
  </si>
  <si>
    <t>Кремы для бани</t>
  </si>
  <si>
    <t>Моноколеса</t>
  </si>
  <si>
    <t>Трафареты для творчества</t>
  </si>
  <si>
    <t>Средства для очистки рук</t>
  </si>
  <si>
    <t>Аптечки для хранения лекарств</t>
  </si>
  <si>
    <t>Лыжероллеры</t>
  </si>
  <si>
    <t>Маски эротик</t>
  </si>
  <si>
    <t>Жидкие обои</t>
  </si>
  <si>
    <t>Аппараты для сварки труб</t>
  </si>
  <si>
    <t>Горшки для рассады</t>
  </si>
  <si>
    <t>Теплицы</t>
  </si>
  <si>
    <t>Аксессуары для газовых грилей</t>
  </si>
  <si>
    <t>Переходные кольца</t>
  </si>
  <si>
    <t>Пилы для мяса</t>
  </si>
  <si>
    <t>Маяки строительные</t>
  </si>
  <si>
    <t>Терминалы для эквайринга</t>
  </si>
  <si>
    <t>Вибропоглощающий материал для авто</t>
  </si>
  <si>
    <t>Спринцовки эротик</t>
  </si>
  <si>
    <t>Пироги</t>
  </si>
  <si>
    <t>Средства для нанесения декалей</t>
  </si>
  <si>
    <t>Средства для удаления краски</t>
  </si>
  <si>
    <t>Болеро спортивные</t>
  </si>
  <si>
    <t>Толстовки спортивные</t>
  </si>
  <si>
    <t>Туники спортивные</t>
  </si>
  <si>
    <t>Килты банные</t>
  </si>
  <si>
    <t>Полоски для век</t>
  </si>
  <si>
    <t>🔒 Дополнительная информация от WB</t>
  </si>
  <si>
    <r>
      <rPr>
        <rFont val="Montserrat"/>
        <color rgb="FFFFFFFF"/>
        <sz val="10.0"/>
      </rPr>
      <t xml:space="preserve">📌 Актуальную информацию нужно взять </t>
    </r>
    <r>
      <rPr>
        <rFont val="Montserrat"/>
        <b/>
        <color rgb="FF9FC67D"/>
        <sz val="10.0"/>
        <u/>
      </rPr>
      <t>тут</t>
    </r>
    <r>
      <rPr>
        <rFont val="Montserrat"/>
        <color rgb="FFFFFFFF"/>
        <sz val="10.0"/>
      </rPr>
      <t>.</t>
    </r>
  </si>
  <si>
    <t>Коэффициенты складов</t>
  </si>
  <si>
    <t>Стоимость логистики и хранения</t>
  </si>
  <si>
    <t>Доставка 1 л., ₽</t>
  </si>
  <si>
    <t>Доставка каждого доп. л., ₽</t>
  </si>
  <si>
    <t>Хранение 1 л., ₽</t>
  </si>
  <si>
    <t>Хранение каждого доп. л., ₽</t>
  </si>
  <si>
    <t>Доставка
1 л, ₽</t>
  </si>
  <si>
    <t>Доставка каждого доп л, ₽</t>
  </si>
  <si>
    <t>Хранение
1 л, ₽</t>
  </si>
  <si>
    <t>Хранение каждого доп л, ₽</t>
  </si>
  <si>
    <t>Хранение
1 монопалеты, ₽</t>
  </si>
  <si>
    <t>От клиента, ₽</t>
  </si>
  <si>
    <t>Моно</t>
  </si>
  <si>
    <t>СЦ Белая Дача</t>
  </si>
  <si>
    <t>Конструктор тарифов</t>
  </si>
  <si>
    <t>СЦ Ростов-на-Дону</t>
  </si>
  <si>
    <t>СЦ Владикавказ</t>
  </si>
  <si>
    <t>Опций</t>
  </si>
  <si>
    <t>Внешка</t>
  </si>
  <si>
    <t>СЦ Липецк</t>
  </si>
  <si>
    <t>Запрос вывода денег в любой день</t>
  </si>
  <si>
    <t>Опция</t>
  </si>
  <si>
    <t>СЦ Новосибирск Пасечная</t>
  </si>
  <si>
    <t>Отключение похожих товаров других продавцов в ваших карточках товаров</t>
  </si>
  <si>
    <t>СЦ Ижевск</t>
  </si>
  <si>
    <t>Повышение позиции товара в поиске и каталоге</t>
  </si>
  <si>
    <t>СЦ Омск</t>
  </si>
  <si>
    <t>Автозапуск видео в каталоге</t>
  </si>
  <si>
    <t>СЦ Хабаровск</t>
  </si>
  <si>
    <t>Подписка «Джем»</t>
  </si>
  <si>
    <t>СЦ Астрахань</t>
  </si>
  <si>
    <t>Отключение графика изменения цены в карточках товаров</t>
  </si>
  <si>
    <t>СЦ Чита 2</t>
  </si>
  <si>
    <t>Пробные закупки собственных товаров</t>
  </si>
  <si>
    <t>СЦ Уфа</t>
  </si>
  <si>
    <t>Акцентные цвета карточки товара</t>
  </si>
  <si>
    <t>СЦ Шымкент</t>
  </si>
  <si>
    <t>Автозапуск видео в карточках товаров</t>
  </si>
  <si>
    <t>СЦ Томск</t>
  </si>
  <si>
    <t>Закрепление отзыва</t>
  </si>
  <si>
    <t>СЦ Челябинск 2</t>
  </si>
  <si>
    <t>Дополнительная защита от массовых заказов конкурентов</t>
  </si>
  <si>
    <t>Санкт-Петербург СГТ</t>
  </si>
  <si>
    <t>Чат с покупателем, оставившим отзыв</t>
  </si>
  <si>
    <t>Ярославль СГТ</t>
  </si>
  <si>
    <t>Статус Премиум-продавца</t>
  </si>
  <si>
    <t>Ташкент 1</t>
  </si>
  <si>
    <t>Дополнительный отчёт «Поисковые запросы: ваши товары»</t>
  </si>
  <si>
    <t>СЦ Чебоксары 2</t>
  </si>
  <si>
    <t>Показ и генерация рич-контента без ограничений</t>
  </si>
  <si>
    <t>СЦ Ульяновск</t>
  </si>
  <si>
    <t>Рекомендации по рыночной цене</t>
  </si>
  <si>
    <t>Обухово</t>
  </si>
  <si>
    <t>Улучшение качества фото и видео</t>
  </si>
  <si>
    <t>СЦ Курск</t>
  </si>
  <si>
    <t>ИИ-ответы на отзывы и вопросы</t>
  </si>
  <si>
    <t>Алматы Атакент</t>
  </si>
  <si>
    <t>Самостоятельная приёмка в СЦ для модели «Маркетплейс»</t>
  </si>
  <si>
    <t>СЦ Иркутск</t>
  </si>
  <si>
    <t>Перераспределение остатков между складами</t>
  </si>
  <si>
    <t>Софрино СГТ</t>
  </si>
  <si>
    <t>Доступ к курсам Pro WB</t>
  </si>
  <si>
    <t>СЦ Мурманск</t>
  </si>
  <si>
    <t>Приоритетная персональная поддержка</t>
  </si>
  <si>
    <t>Радумля СГТ</t>
  </si>
  <si>
    <t>Приоритетное рассмотрение жалоб на отзывы</t>
  </si>
  <si>
    <t>Краснодар (Тихорецкая)</t>
  </si>
  <si>
    <t>Пропуск цели в программе лояльности</t>
  </si>
  <si>
    <t>Челябинск СГТ</t>
  </si>
  <si>
    <t>Генерация описаний без ограничений</t>
  </si>
  <si>
    <t>СЦ Крыловская</t>
  </si>
  <si>
    <t>Персональное рассмотрение жалоб на подозрение в мошенничестве</t>
  </si>
  <si>
    <t>СЦ Вологда 2</t>
  </si>
  <si>
    <t>Блок «Продавец рекомендует» в карточке товара</t>
  </si>
  <si>
    <t>Белые Столбы</t>
  </si>
  <si>
    <t>Выходные дни для склада продавца по модели «Маркетплейс»</t>
  </si>
  <si>
    <t>Екатеринбург - Перспективный 12/2</t>
  </si>
  <si>
    <t>Автоматический вывод денег на счёт WB Банка</t>
  </si>
  <si>
    <t>Кузнецк СГТ</t>
  </si>
  <si>
    <t>Закрепление второго отзыва</t>
  </si>
  <si>
    <t>Сц Брянск 2</t>
  </si>
  <si>
    <t>Общий рейтинг по карточке</t>
  </si>
  <si>
    <t>Отложенная публикация негативных отзывов</t>
  </si>
  <si>
    <t>СЦ Абакан 2</t>
  </si>
  <si>
    <t>Рейтинг+</t>
  </si>
  <si>
    <t>Пакет</t>
  </si>
  <si>
    <t>СЦ Смоленск 3</t>
  </si>
  <si>
    <t>Промо премиум 2,35%</t>
  </si>
  <si>
    <t>СЦ Пермь 2</t>
  </si>
  <si>
    <t>Промо+ 2%</t>
  </si>
  <si>
    <t>Промо 2%</t>
  </si>
  <si>
    <t>Рязань (Тюшевское)</t>
  </si>
  <si>
    <t>Суперпродавец</t>
  </si>
  <si>
    <t>Новосемейкино</t>
  </si>
  <si>
    <t>Суперкарточка</t>
  </si>
  <si>
    <t>Воронеж</t>
  </si>
  <si>
    <t>Джем+</t>
  </si>
  <si>
    <t>СЦ Байсерке</t>
  </si>
  <si>
    <t>Супербренд+</t>
  </si>
  <si>
    <t>Котовск</t>
  </si>
  <si>
    <t>Супервизуал</t>
  </si>
  <si>
    <t>СЦ Пятигорск (Этока)</t>
  </si>
  <si>
    <t>Супербренд</t>
  </si>
  <si>
    <t>Новосибирск</t>
  </si>
  <si>
    <t>Суперконтент</t>
  </si>
  <si>
    <t>Владимир Воршинское</t>
  </si>
  <si>
    <t>Суперновичок</t>
  </si>
  <si>
    <t>Волгоград</t>
  </si>
  <si>
    <t>Суперсвязь</t>
  </si>
  <si>
    <t>Екатеринбург - Испытателей 14г</t>
  </si>
  <si>
    <t>Сарапул</t>
  </si>
  <si>
    <t>СЦ Кузнецк</t>
  </si>
  <si>
    <t>СЦ Кемерово</t>
  </si>
  <si>
    <t>СЦ Ереван</t>
  </si>
  <si>
    <t>СЦ Барнаул</t>
  </si>
  <si>
    <t>Тула</t>
  </si>
  <si>
    <t>СЦ Архангельск (ул Ленина)</t>
  </si>
  <si>
    <t>СЦ Минск</t>
  </si>
  <si>
    <t>СЦ Астрахань (Солянка)</t>
  </si>
  <si>
    <t>СЦ Киров</t>
  </si>
  <si>
    <t>СЦ Череповец</t>
  </si>
  <si>
    <t>Казань</t>
  </si>
  <si>
    <t>СЦ Нижний Тагил</t>
  </si>
  <si>
    <t>Обухово СГТ</t>
  </si>
  <si>
    <t>СЦ Воронеж</t>
  </si>
  <si>
    <t>СЦ Актобе</t>
  </si>
  <si>
    <t>СЦ Белогорск</t>
  </si>
  <si>
    <t>Санкт-Петербург (Уткина Заводь)</t>
  </si>
  <si>
    <t>Голицыно СГТ</t>
  </si>
  <si>
    <t>СЦ Софьино</t>
  </si>
  <si>
    <t>СЦ Новокузнецк</t>
  </si>
  <si>
    <t>СЦ Сабурово</t>
  </si>
  <si>
    <t>СЦ Внуково</t>
  </si>
  <si>
    <t>Астана 2</t>
  </si>
  <si>
    <t>Чехов 2, Новоселки вл 11 стр 7</t>
  </si>
  <si>
    <t>СЦ Симферополь Молодежненское</t>
  </si>
  <si>
    <t>Щербинка</t>
  </si>
  <si>
    <t>СЦ Ярославль Громова</t>
  </si>
  <si>
    <t>Склад Шушары</t>
  </si>
  <si>
    <t>СЦ Псков</t>
  </si>
  <si>
    <t>Пенза</t>
  </si>
  <si>
    <t>Чехов 1, Новоселки вл 11 стр 2</t>
  </si>
  <si>
    <t>СЦ Калуга</t>
  </si>
  <si>
    <t>СЦ Сыктывкар</t>
  </si>
  <si>
    <t>СЦ Тамбов</t>
  </si>
  <si>
    <t>Софьино СГТ</t>
  </si>
  <si>
    <t>СЦ Шымкент Асар</t>
  </si>
  <si>
    <t>Невинномысск</t>
  </si>
  <si>
    <t>СЦ Пушкино</t>
  </si>
  <si>
    <t>СЦ Тюмень</t>
  </si>
  <si>
    <t>Подольск</t>
  </si>
  <si>
    <t>Подольск 3</t>
  </si>
  <si>
    <t>СЦ Иваново</t>
  </si>
  <si>
    <t>Подольск 4</t>
  </si>
  <si>
    <t>СЦ Шушары</t>
  </si>
  <si>
    <t>СЦ Обухово 2</t>
  </si>
  <si>
    <t>Чашниково</t>
  </si>
  <si>
    <t>Склад Владивосток</t>
  </si>
  <si>
    <t>Склад Истра</t>
  </si>
  <si>
    <t>Новосибирск СГТ</t>
  </si>
  <si>
    <t>Нижний Тагил: Индустриальная СГТ</t>
  </si>
  <si>
    <t>Коледино: Горючее</t>
  </si>
  <si>
    <t>Пенза СГТ</t>
  </si>
  <si>
    <t>FBS: Коледино</t>
  </si>
  <si>
    <t>FBS: Подольск</t>
  </si>
  <si>
    <t>FBS: Электросталь</t>
  </si>
  <si>
    <t>FBS: Тула</t>
  </si>
  <si>
    <t>FBS: Чехов 2</t>
  </si>
  <si>
    <t>FBS: Белая дача</t>
  </si>
  <si>
    <t>FBS: Белые Столбы</t>
  </si>
  <si>
    <t>FBS: Обухово</t>
  </si>
  <si>
    <t>FBS: Радумля СГТ</t>
  </si>
  <si>
    <t>FBS: Рязань (Тюшевское)</t>
  </si>
  <si>
    <t>FBS: Котовск</t>
  </si>
  <si>
    <t>FBS: Обухово СГТ</t>
  </si>
  <si>
    <t>FBS: Голицыно СГТ</t>
  </si>
  <si>
    <t>FBS: Маркетплейс: Центральный федеральный округ СГТ</t>
  </si>
  <si>
    <t>FBS: Маркетплейс: Центральный федеральный округ</t>
  </si>
  <si>
    <t>FBS: Владимир</t>
  </si>
  <si>
    <t>FBS: Софрино СГТ</t>
  </si>
  <si>
    <t>FBS: Ярославль СГТ</t>
  </si>
  <si>
    <t>FBS: Воронеж</t>
  </si>
  <si>
    <t>FBS: Софьино СГТ</t>
  </si>
  <si>
    <t>FBS: Санкт-Петербург Уткина Заводь</t>
  </si>
  <si>
    <t>FBS: Маркетплейс: Северо-Западный федеральный округ СГТ</t>
  </si>
  <si>
    <t>FBS: Маркетплейс: Северо-Западный федеральный округ</t>
  </si>
  <si>
    <t>FBS: Санкт-Петербург СГТ</t>
  </si>
  <si>
    <t>FBS: Краснодар</t>
  </si>
  <si>
    <t>FBS: Волгоград</t>
  </si>
  <si>
    <t>FBS: Маркетплейс: Южный федеральный округ СГТ</t>
  </si>
  <si>
    <t>FBS: Маркетплейс: Южный федеральный округ</t>
  </si>
  <si>
    <t>FBS: Невинномысск</t>
  </si>
  <si>
    <t>FBS: Маркетплейс: Северо-Кавказский федеральный округ СГТ</t>
  </si>
  <si>
    <t>FBS: Маркетплейс: Северо-Кавказский федеральный округ</t>
  </si>
  <si>
    <t>FBS: Казань</t>
  </si>
  <si>
    <t>FBS: Самара (Новосемейкино)</t>
  </si>
  <si>
    <t>FBS: Маркетплейс: Приволжский федеральный округ СГТ</t>
  </si>
  <si>
    <t>FBS: Маркетплейс: Приволжский федеральный округ</t>
  </si>
  <si>
    <t>FBS: Сарапул</t>
  </si>
  <si>
    <t>FBS: Кузнецк СГТ</t>
  </si>
  <si>
    <t>FBS: Екатеринбург - Испытателей 14г</t>
  </si>
  <si>
    <t>FBS: Екатеринбург - Перспективный 12</t>
  </si>
  <si>
    <t>FBS: Маркетплейс: Уральский федеральный округ</t>
  </si>
  <si>
    <t>FBS: Челябинск СГТ</t>
  </si>
  <si>
    <t>FBS: Новосибирск</t>
  </si>
  <si>
    <t>FBS: Маркетплейс: Сибирский федеральный округ СГТ</t>
  </si>
  <si>
    <t>FBS: Маркетплейс: Сибирский федеральный округ</t>
  </si>
  <si>
    <t>FBS: Маркетплейс: Дальневосточный федеральный округ СГТ</t>
  </si>
  <si>
    <t>FBS: Маркетплейс: Дальневосточный федеральный округ</t>
  </si>
  <si>
    <t>FBS: Маркетплейс: Армения СГТ</t>
  </si>
  <si>
    <t>FBS: СЦ Ереван</t>
  </si>
  <si>
    <t>FBS: Маркетплейс: Беларусь СГТ</t>
  </si>
  <si>
    <t>FBS: Маркетплейс: Беларусь</t>
  </si>
  <si>
    <t>FBS: Атакент</t>
  </si>
  <si>
    <t>FBS: Астана Карагандинское шоссе</t>
  </si>
  <si>
    <t>FBS: Маркетплейс: Казахстан СГТ</t>
  </si>
  <si>
    <t>FBS: Маркетплейс: Казахстан</t>
  </si>
  <si>
    <t>FBS: Маркетплейс: Кыргызстан СГТ</t>
  </si>
  <si>
    <t>FBS: Маркетплейс: Кыргызстан</t>
  </si>
  <si>
    <t>FBS: Маркетплейс: Узбекистан</t>
  </si>
  <si>
    <t>FBS: Ташкент</t>
  </si>
  <si>
    <t>FBS: Маркетплейс: Грузия</t>
  </si>
  <si>
    <t>FBS: Маркетплейс: Грузия СГТ</t>
  </si>
  <si>
    <t>Срочно закупаем и продаем 💸</t>
  </si>
  <si>
    <t>«Стартовая» опция + 0,0% к Комиссии</t>
  </si>
  <si>
    <t>Недостаточная маржа 😢</t>
  </si>
  <si>
    <t>«Базовая» опция + 3,2% к Комиссии</t>
  </si>
  <si>
    <t>«Оптимум» опция + 4,4% к Комиссии</t>
  </si>
  <si>
    <t>«Премиум» опция + 4,5% к Комиссии</t>
  </si>
  <si>
    <t>✅</t>
  </si>
  <si>
    <t>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</si>
</sst>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 %"/>
    <numFmt numFmtId="165" formatCode="#,##0.000000"/>
    <numFmt numFmtId="166" formatCode="0.0%"/>
    <numFmt numFmtId="167" formatCode="#,##0.00[$ ₽]"/>
    <numFmt numFmtId="168" formatCode="#,##0[$ ₽]"/>
    <numFmt numFmtId="169" formatCode="#,##0[$₽]"/>
    <numFmt numFmtId="170" formatCode="#,##0.00[$ л]"/>
    <numFmt numFmtId="171" formatCode="dd.mm.yyyy"/>
    <numFmt numFmtId="172" formatCode="dd.MM.yyyy"/>
    <numFmt numFmtId="173" formatCode="d.m"/>
    <numFmt numFmtId="174" formatCode="dd.mm"/>
  </numFmts>
  <fonts count="56">
    <font>
      <sz val="10.0"/>
      <color rgb="FF000000"/>
      <name val="Verdana"/>
      <scheme val="minor"/>
    </font>
    <font>
      <color theme="1"/>
      <name val="Montserrat"/>
    </font>
    <font>
      <b/>
      <sz val="26.0"/>
      <color rgb="FF1A1A1A"/>
      <name val="Montserrat"/>
    </font>
    <font>
      <b/>
      <sz val="25.0"/>
      <color rgb="FF628B3D"/>
      <name val="Montserrat"/>
    </font>
    <font>
      <color rgb="FF628B3D"/>
      <name val="Montserrat"/>
    </font>
    <font>
      <b/>
      <sz val="25.0"/>
      <color rgb="FF1A1A1A"/>
      <name val="Montserrat"/>
    </font>
    <font>
      <u/>
      <color rgb="FF1F3E78"/>
      <name val="Montserrat"/>
    </font>
    <font>
      <b/>
      <sz val="25.0"/>
      <color rgb="FF999999"/>
      <name val="Montserrat"/>
    </font>
    <font>
      <sz val="8.0"/>
      <color rgb="FFFFFFFF"/>
      <name val="Montserrat"/>
    </font>
    <font/>
    <font>
      <sz val="8.0"/>
      <color theme="1"/>
      <name val="Montserrat"/>
    </font>
    <font>
      <sz val="10.0"/>
      <color theme="1"/>
      <name val="Montserrat"/>
    </font>
    <font>
      <u/>
      <color rgb="FF0000FF"/>
      <name val="Montserrat"/>
    </font>
    <font>
      <u/>
      <color rgb="FF1F3E78"/>
      <name val="Montserrat"/>
    </font>
    <font>
      <u/>
      <color rgb="FF1F3E78"/>
      <name val="Montserrat"/>
    </font>
    <font>
      <b/>
      <sz val="9.0"/>
      <color rgb="FFFFFFFF"/>
      <name val="Montserrat"/>
    </font>
    <font>
      <b/>
      <color theme="1"/>
      <name val="Montserrat"/>
    </font>
    <font>
      <color theme="1"/>
      <name val="Verdana"/>
    </font>
    <font>
      <b/>
      <sz val="24.0"/>
      <color rgb="FF1A1A1A"/>
      <name val="Montserrat"/>
    </font>
    <font>
      <u/>
      <color rgb="FF0000FF"/>
      <name val="Montserrat"/>
    </font>
    <font>
      <u/>
      <sz val="9.0"/>
      <color rgb="FF1F3E78"/>
      <name val="Montserrat"/>
    </font>
    <font>
      <u/>
      <sz val="9.0"/>
      <color rgb="FF1F3E78"/>
      <name val="Montserrat"/>
    </font>
    <font>
      <sz val="9.0"/>
      <color rgb="FFFFFFFF"/>
      <name val="Montserrat"/>
    </font>
    <font>
      <color rgb="FFFFFFFF"/>
      <name val="Montserrat"/>
    </font>
    <font>
      <b/>
      <sz val="10.0"/>
      <color rgb="FFFFFFFF"/>
      <name val="Montserrat"/>
    </font>
    <font>
      <sz val="7.0"/>
      <color theme="1"/>
      <name val="Montserrat"/>
    </font>
    <font>
      <b/>
      <sz val="9.0"/>
      <color theme="1"/>
      <name val="Montserrat"/>
    </font>
    <font>
      <b/>
      <sz val="9.0"/>
      <color rgb="FF000000"/>
      <name val="Montserrat"/>
    </font>
    <font>
      <b/>
      <sz val="9.0"/>
      <color rgb="FF151515"/>
      <name val="Montserrat"/>
    </font>
    <font>
      <b/>
      <sz val="7.0"/>
      <color rgb="FF151515"/>
      <name val="Montserrat"/>
    </font>
    <font>
      <u/>
      <sz val="8.0"/>
      <color rgb="FF0000FF"/>
      <name val="Montserrat"/>
    </font>
    <font>
      <u/>
      <sz val="8.0"/>
      <color rgb="FF1F3E78"/>
      <name val="Montserrat"/>
    </font>
    <font>
      <u/>
      <sz val="8.0"/>
      <color rgb="FF1A1A1A"/>
      <name val="Montserrat"/>
    </font>
    <font>
      <u/>
      <sz val="8.0"/>
      <color rgb="FF0000FF"/>
      <name val="Montserrat"/>
    </font>
    <font>
      <u/>
      <sz val="8.0"/>
      <color rgb="FF0000FF"/>
      <name val="Montserrat"/>
    </font>
    <font>
      <u/>
      <sz val="8.0"/>
      <color rgb="FF0000FF"/>
      <name val="Montserrat"/>
    </font>
    <font>
      <sz val="8.0"/>
      <color rgb="FF151515"/>
      <name val="Montserrat"/>
    </font>
    <font>
      <b/>
      <color rgb="FF000000"/>
      <name val="Montserrat"/>
    </font>
    <font>
      <sz val="10.0"/>
      <color rgb="FF000000"/>
      <name val="Montserrat"/>
    </font>
    <font>
      <b/>
      <sz val="11.0"/>
      <color rgb="FF000000"/>
      <name val="Montserrat"/>
    </font>
    <font>
      <b/>
      <sz val="9.0"/>
      <color rgb="FFEFEFEF"/>
      <name val="Montserrat"/>
    </font>
    <font>
      <sz val="6.0"/>
      <color rgb="FF000000"/>
      <name val="Montserrat"/>
    </font>
    <font>
      <sz val="9.0"/>
      <color rgb="FFEFEFEF"/>
      <name val="Montserrat"/>
    </font>
    <font>
      <color rgb="FF000000"/>
      <name val="Montserrat"/>
    </font>
    <font>
      <b/>
      <sz val="10.0"/>
      <color rgb="FF000000"/>
      <name val="Montserrat"/>
    </font>
    <font>
      <b/>
      <sz val="20.0"/>
      <color rgb="FFFFFFFF"/>
      <name val="Montserrat"/>
    </font>
    <font>
      <color theme="1"/>
      <name val="Verdana"/>
      <scheme val="minor"/>
    </font>
    <font>
      <sz val="10.0"/>
      <color rgb="FFFFFFFF"/>
      <name val="Montserrat"/>
    </font>
    <font>
      <u/>
      <sz val="10.0"/>
      <color rgb="FFFFFFFF"/>
      <name val="Montserrat"/>
    </font>
    <font>
      <b/>
      <sz val="8.0"/>
      <color rgb="FFFFFFFF"/>
      <name val="Montserrat"/>
    </font>
    <font>
      <b/>
      <sz val="10.0"/>
      <color theme="1"/>
      <name val="Montserrat"/>
    </font>
    <font>
      <u/>
      <sz val="10.0"/>
      <color rgb="FFFFFFFF"/>
      <name val="Montserrat"/>
    </font>
    <font>
      <b/>
      <color theme="1"/>
      <name val="Verdana"/>
      <scheme val="minor"/>
    </font>
    <font>
      <b/>
      <sz val="8.0"/>
      <color theme="1"/>
      <name val="Montserrat"/>
    </font>
    <font>
      <color rgb="FFEFEFEF"/>
      <name val="Montserrat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51515"/>
        <bgColor rgb="FF151515"/>
      </patternFill>
    </fill>
    <fill>
      <patternFill patternType="solid">
        <fgColor rgb="FFE9E4BA"/>
        <bgColor rgb="FFE9E4BA"/>
      </patternFill>
    </fill>
    <fill>
      <patternFill patternType="solid">
        <fgColor rgb="FFFFFFFF"/>
        <bgColor rgb="FFFFFFFF"/>
      </patternFill>
    </fill>
    <fill>
      <patternFill patternType="solid">
        <fgColor rgb="FF171D2B"/>
        <bgColor rgb="FF171D2B"/>
      </patternFill>
    </fill>
    <fill>
      <patternFill patternType="solid">
        <fgColor rgb="FF7F1472"/>
        <bgColor rgb="FF7F1472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DE42"/>
        <bgColor rgb="FFFFDE42"/>
      </patternFill>
    </fill>
    <fill>
      <patternFill patternType="solid">
        <fgColor rgb="FFF3C6CF"/>
        <bgColor rgb="FFF3C6CF"/>
      </patternFill>
    </fill>
    <fill>
      <patternFill patternType="solid">
        <fgColor rgb="FF161616"/>
        <bgColor rgb="FF161616"/>
      </patternFill>
    </fill>
  </fills>
  <borders count="38">
    <border/>
    <border>
      <left style="thin">
        <color rgb="FF000000"/>
      </left>
    </border>
    <border>
      <right style="hair">
        <color rgb="FF999999"/>
      </right>
    </border>
    <border>
      <left style="hair">
        <color rgb="FF999999"/>
      </left>
    </border>
    <border>
      <right style="hair">
        <color rgb="FFE9E4BA"/>
      </right>
    </border>
    <border>
      <bottom style="hair">
        <color rgb="FFE9E4BA"/>
      </bottom>
    </border>
    <border>
      <right style="hair">
        <color rgb="FFE9E4BA"/>
      </right>
      <bottom style="hair">
        <color rgb="FFE9E4BA"/>
      </bottom>
    </border>
    <border>
      <left style="hair">
        <color rgb="FFE9E4BA"/>
      </left>
      <bottom style="hair">
        <color rgb="FFE9E4BA"/>
      </bottom>
    </border>
    <border>
      <left style="hair">
        <color rgb="FFE9E4BA"/>
      </left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top style="thin">
        <color rgb="FFFFFFFF"/>
      </top>
      <bottom style="hair">
        <color rgb="FFE9E4B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E9E4BA"/>
      </bottom>
    </border>
    <border>
      <left style="thin">
        <color rgb="FFFFFFFF"/>
      </left>
      <top style="thin">
        <color rgb="FFFFFFFF"/>
      </top>
      <bottom style="hair">
        <color rgb="FFE9E4BA"/>
      </bottom>
    </border>
    <border>
      <left style="dotted">
        <color rgb="FFE9E4BA"/>
      </left>
    </border>
    <border>
      <right style="dotted">
        <color rgb="FFE9E4BA"/>
      </right>
    </border>
    <border>
      <left style="medium">
        <color rgb="FF38761D"/>
      </left>
      <right style="medium">
        <color rgb="FF38761D"/>
      </right>
      <top style="medium">
        <color rgb="FF38761D"/>
      </top>
    </border>
    <border>
      <left style="medium">
        <color rgb="FF990000"/>
      </left>
      <right style="medium">
        <color rgb="FF990000"/>
      </right>
      <top style="medium">
        <color rgb="FF990000"/>
      </top>
    </border>
    <border>
      <left style="medium">
        <color rgb="FF990000"/>
      </left>
      <top style="medium">
        <color rgb="FF990000"/>
      </top>
    </border>
    <border>
      <top style="medium">
        <color rgb="FF990000"/>
      </top>
    </border>
    <border>
      <right style="medium">
        <color rgb="FF990000"/>
      </right>
      <top style="medium">
        <color rgb="FF990000"/>
      </top>
    </border>
    <border>
      <left style="medium">
        <color rgb="FF38761D"/>
      </left>
      <right style="medium">
        <color rgb="FF38761D"/>
      </right>
    </border>
    <border>
      <left style="medium">
        <color rgb="FF990000"/>
      </left>
      <right style="medium">
        <color rgb="FF990000"/>
      </right>
    </border>
    <border>
      <left style="medium">
        <color rgb="FF990000"/>
      </left>
    </border>
    <border>
      <right style="medium">
        <color rgb="FF990000"/>
      </right>
    </border>
    <border>
      <left style="medium">
        <color rgb="FF38761D"/>
      </left>
      <right style="medium">
        <color rgb="FF38761D"/>
      </right>
      <bottom style="medium">
        <color rgb="FF38761D"/>
      </bottom>
    </border>
    <border>
      <left style="medium">
        <color rgb="FF990000"/>
      </left>
      <right style="medium">
        <color rgb="FF990000"/>
      </right>
      <bottom style="medium">
        <color rgb="FF990000"/>
      </bottom>
    </border>
    <border>
      <left style="medium">
        <color rgb="FF990000"/>
      </left>
      <bottom style="medium">
        <color rgb="FF990000"/>
      </bottom>
    </border>
    <border>
      <bottom style="medium">
        <color rgb="FF990000"/>
      </bottom>
    </border>
    <border>
      <right style="medium">
        <color rgb="FF990000"/>
      </right>
      <bottom style="medium">
        <color rgb="FF990000"/>
      </bottom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2" fontId="1" numFmtId="0" xfId="0" applyFont="1"/>
    <xf borderId="0" fillId="2" fontId="1" numFmtId="0" xfId="0" applyAlignment="1" applyFont="1">
      <alignment vertical="bottom"/>
    </xf>
    <xf borderId="0" fillId="3" fontId="1" numFmtId="0" xfId="0" applyFill="1" applyFont="1"/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 vertical="top"/>
    </xf>
    <xf borderId="0" fillId="3" fontId="4" numFmtId="0" xfId="0" applyFont="1"/>
    <xf borderId="0" fillId="3" fontId="5" numFmtId="0" xfId="0" applyAlignment="1" applyFont="1">
      <alignment horizontal="center" readingOrder="0" vertical="top"/>
    </xf>
    <xf quotePrefix="1" borderId="0" fillId="3" fontId="3" numFmtId="0" xfId="0" applyAlignment="1" applyFont="1">
      <alignment horizontal="center" readingOrder="0" vertical="top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/>
    </xf>
    <xf quotePrefix="1" borderId="0" fillId="3" fontId="3" numFmtId="0" xfId="0" applyAlignment="1" applyFont="1">
      <alignment horizontal="center" readingOrder="0"/>
    </xf>
    <xf quotePrefix="1" borderId="0" fillId="3" fontId="7" numFmtId="0" xfId="0" applyAlignment="1" applyFont="1">
      <alignment horizontal="center" readingOrder="0"/>
    </xf>
    <xf borderId="0" fillId="3" fontId="7" numFmtId="0" xfId="0" applyAlignment="1" applyFont="1">
      <alignment horizontal="center" readingOrder="0"/>
    </xf>
    <xf borderId="0" fillId="5" fontId="8" numFmtId="0" xfId="0" applyAlignment="1" applyFill="1" applyFont="1">
      <alignment horizontal="center" readingOrder="0" shrinkToFit="0" vertical="center" wrapText="1"/>
    </xf>
    <xf borderId="2" fillId="0" fontId="9" numFmtId="0" xfId="0" applyBorder="1" applyFont="1"/>
    <xf borderId="3" fillId="5" fontId="8" numFmtId="0" xfId="0" applyAlignment="1" applyBorder="1" applyFont="1">
      <alignment horizontal="center" readingOrder="0" shrinkToFit="0" vertical="center" wrapText="1"/>
    </xf>
    <xf borderId="0" fillId="5" fontId="8" numFmtId="0" xfId="0" applyAlignment="1" applyFont="1">
      <alignment horizontal="center" shrinkToFit="0" vertical="center" wrapText="1"/>
    </xf>
    <xf borderId="3" fillId="6" fontId="8" numFmtId="0" xfId="0" applyAlignment="1" applyBorder="1" applyFill="1" applyFont="1">
      <alignment horizontal="center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4" fillId="0" fontId="9" numFmtId="0" xfId="0" applyBorder="1" applyFont="1"/>
    <xf borderId="3" fillId="0" fontId="9" numFmtId="0" xfId="0" applyBorder="1" applyFont="1"/>
    <xf borderId="5" fillId="4" fontId="10" numFmtId="0" xfId="0" applyAlignment="1" applyBorder="1" applyFont="1">
      <alignment horizontal="center" readingOrder="0" shrinkToFit="0" vertical="center" wrapText="1"/>
    </xf>
    <xf borderId="5" fillId="0" fontId="9" numFmtId="0" xfId="0" applyBorder="1" applyFont="1"/>
    <xf borderId="6" fillId="0" fontId="9" numFmtId="0" xfId="0" applyBorder="1" applyFont="1"/>
    <xf borderId="7" fillId="0" fontId="10" numFmtId="0" xfId="0" applyAlignment="1" applyBorder="1" applyFont="1">
      <alignment horizontal="center" readingOrder="0" shrinkToFit="0" vertical="center" wrapText="1"/>
    </xf>
    <xf borderId="7" fillId="0" fontId="11" numFmtId="164" xfId="0" applyAlignment="1" applyBorder="1" applyFont="1" applyNumberFormat="1">
      <alignment horizontal="center" readingOrder="0" vertical="center"/>
    </xf>
    <xf borderId="7" fillId="0" fontId="11" numFmtId="9" xfId="0" applyAlignment="1" applyBorder="1" applyFont="1" applyNumberFormat="1">
      <alignment horizontal="center" readingOrder="0" vertical="center"/>
    </xf>
    <xf borderId="8" fillId="7" fontId="10" numFmtId="0" xfId="0" applyAlignment="1" applyBorder="1" applyFill="1" applyFont="1">
      <alignment horizontal="center" readingOrder="0" shrinkToFit="0" vertical="center" wrapText="1"/>
    </xf>
    <xf borderId="7" fillId="4" fontId="11" numFmtId="10" xfId="0" applyAlignment="1" applyBorder="1" applyFont="1" applyNumberFormat="1">
      <alignment horizontal="center" readingOrder="0" shrinkToFit="0" vertical="center" wrapText="1"/>
    </xf>
    <xf borderId="8" fillId="3" fontId="1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readingOrder="0"/>
    </xf>
    <xf borderId="8" fillId="0" fontId="9" numFmtId="0" xfId="0" applyBorder="1" applyFont="1"/>
    <xf borderId="7" fillId="4" fontId="11" numFmtId="9" xfId="0" applyAlignment="1" applyBorder="1" applyFont="1" applyNumberFormat="1">
      <alignment horizontal="center" readingOrder="0" shrinkToFit="0" vertical="center" wrapText="1"/>
    </xf>
    <xf borderId="7" fillId="0" fontId="11" numFmtId="164" xfId="0" applyAlignment="1" applyBorder="1" applyFont="1" applyNumberFormat="1">
      <alignment horizontal="center" vertical="center"/>
    </xf>
    <xf borderId="7" fillId="0" fontId="11" numFmtId="9" xfId="0" applyAlignment="1" applyBorder="1" applyFont="1" applyNumberFormat="1">
      <alignment horizontal="center" vertical="center"/>
    </xf>
    <xf borderId="7" fillId="0" fontId="9" numFmtId="0" xfId="0" applyBorder="1" applyFont="1"/>
    <xf borderId="0" fillId="3" fontId="1" numFmtId="0" xfId="0" applyAlignment="1" applyFont="1">
      <alignment vertical="bottom"/>
    </xf>
    <xf borderId="0" fillId="3" fontId="1" numFmtId="0" xfId="0" applyAlignment="1" applyFont="1">
      <alignment vertical="bottom"/>
    </xf>
    <xf quotePrefix="1" borderId="0" fillId="3" fontId="3" numFmtId="0" xfId="0" applyAlignment="1" applyFont="1">
      <alignment horizontal="center" vertical="top"/>
    </xf>
    <xf borderId="0" fillId="3" fontId="1" numFmtId="0" xfId="0" applyAlignment="1" applyFont="1">
      <alignment vertical="top"/>
    </xf>
    <xf borderId="0" fillId="3" fontId="1" numFmtId="0" xfId="0" applyAlignment="1" applyFont="1">
      <alignment vertical="top"/>
    </xf>
    <xf borderId="0" fillId="4" fontId="12" numFmtId="0" xfId="0" applyAlignment="1" applyFont="1">
      <alignment horizontal="center" shrinkToFit="0" vertical="center" wrapText="1"/>
    </xf>
    <xf borderId="0" fillId="3" fontId="1" numFmtId="0" xfId="0" applyAlignment="1" applyFont="1">
      <alignment vertical="center"/>
    </xf>
    <xf borderId="0" fillId="4" fontId="13" numFmtId="0" xfId="0" applyAlignment="1" applyFont="1">
      <alignment horizontal="center" shrinkToFit="0" vertical="center" wrapText="1"/>
    </xf>
    <xf borderId="0" fillId="3" fontId="1" numFmtId="0" xfId="0" applyAlignment="1" applyFont="1">
      <alignment vertical="center"/>
    </xf>
    <xf borderId="0" fillId="4" fontId="14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0" fillId="3" fontId="15" numFmtId="0" xfId="0" applyAlignment="1" applyFont="1">
      <alignment horizontal="center" readingOrder="0" shrinkToFit="0" vertical="center" wrapText="1"/>
    </xf>
    <xf borderId="9" fillId="4" fontId="1" numFmtId="0" xfId="0" applyAlignment="1" applyBorder="1" applyFont="1">
      <alignment readingOrder="0"/>
    </xf>
    <xf borderId="10" fillId="4" fontId="1" numFmtId="0" xfId="0" applyAlignment="1" applyBorder="1" applyFont="1">
      <alignment horizontal="center" readingOrder="0" shrinkToFit="0" vertical="center" wrapText="1"/>
    </xf>
    <xf borderId="11" fillId="0" fontId="9" numFmtId="0" xfId="0" applyBorder="1" applyFont="1"/>
    <xf borderId="12" fillId="0" fontId="9" numFmtId="0" xfId="0" applyBorder="1" applyFont="1"/>
    <xf borderId="13" fillId="4" fontId="1" numFmtId="0" xfId="0" applyAlignment="1" applyBorder="1" applyFont="1">
      <alignment readingOrder="0" vertical="center"/>
    </xf>
    <xf borderId="5" fillId="3" fontId="1" numFmtId="0" xfId="0" applyAlignment="1" applyBorder="1" applyFont="1">
      <alignment readingOrder="0" vertical="center"/>
    </xf>
    <xf borderId="14" fillId="4" fontId="1" numFmtId="0" xfId="0" applyAlignment="1" applyBorder="1" applyFont="1">
      <alignment readingOrder="0"/>
    </xf>
    <xf borderId="15" fillId="0" fontId="9" numFmtId="0" xfId="0" applyBorder="1" applyFont="1"/>
    <xf borderId="16" fillId="0" fontId="9" numFmtId="0" xfId="0" applyBorder="1" applyFont="1"/>
    <xf borderId="17" fillId="4" fontId="1" numFmtId="0" xfId="0" applyAlignment="1" applyBorder="1" applyFont="1">
      <alignment readingOrder="0"/>
    </xf>
    <xf borderId="5" fillId="3" fontId="1" numFmtId="0" xfId="0" applyAlignment="1" applyBorder="1" applyFont="1">
      <alignment readingOrder="0"/>
    </xf>
    <xf borderId="13" fillId="0" fontId="9" numFmtId="0" xfId="0" applyBorder="1" applyFont="1"/>
    <xf borderId="18" fillId="0" fontId="9" numFmtId="0" xfId="0" applyBorder="1" applyFont="1"/>
    <xf borderId="9" fillId="0" fontId="9" numFmtId="0" xfId="0" applyBorder="1" applyFont="1"/>
    <xf borderId="19" fillId="4" fontId="1" numFmtId="0" xfId="0" applyAlignment="1" applyBorder="1" applyFont="1">
      <alignment readingOrder="0"/>
    </xf>
    <xf borderId="20" fillId="4" fontId="1" numFmtId="0" xfId="0" applyAlignment="1" applyBorder="1" applyFont="1">
      <alignment readingOrder="0"/>
    </xf>
    <xf borderId="21" fillId="4" fontId="1" numFmtId="0" xfId="0" applyAlignment="1" applyBorder="1" applyFont="1">
      <alignment readingOrder="0"/>
    </xf>
    <xf borderId="0" fillId="3" fontId="1" numFmtId="0" xfId="0" applyAlignment="1" applyFont="1">
      <alignment readingOrder="0" vertical="bottom"/>
    </xf>
    <xf quotePrefix="1" borderId="0" fillId="3" fontId="3" numFmtId="0" xfId="0" applyAlignment="1" applyFont="1">
      <alignment horizontal="center" vertical="top"/>
    </xf>
    <xf borderId="0" fillId="6" fontId="15" numFmtId="0" xfId="0" applyAlignment="1" applyFont="1">
      <alignment horizontal="center" shrinkToFit="0" vertical="center" wrapText="1"/>
    </xf>
    <xf borderId="0" fillId="4" fontId="1" numFmtId="0" xfId="0" applyAlignment="1" applyFont="1">
      <alignment vertical="center"/>
    </xf>
    <xf borderId="0" fillId="4" fontId="16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6" numFmtId="10" xfId="0" applyAlignment="1" applyFont="1" applyNumberFormat="1">
      <alignment horizontal="right" vertical="center"/>
    </xf>
    <xf borderId="0" fillId="4" fontId="1" numFmtId="0" xfId="0" applyAlignment="1" applyFont="1">
      <alignment vertical="bottom"/>
    </xf>
    <xf borderId="0" fillId="4" fontId="16" numFmtId="0" xfId="0" applyAlignment="1" applyFont="1">
      <alignment horizontal="center" shrinkToFit="0" vertical="center" wrapText="1"/>
    </xf>
    <xf borderId="0" fillId="4" fontId="17" numFmtId="0" xfId="0" applyAlignment="1" applyFont="1">
      <alignment vertical="center"/>
    </xf>
    <xf borderId="0" fillId="4" fontId="17" numFmtId="3" xfId="0" applyAlignment="1" applyFont="1" applyNumberFormat="1">
      <alignment vertical="center"/>
    </xf>
    <xf borderId="0" fillId="4" fontId="1" numFmtId="0" xfId="0" applyFont="1"/>
    <xf borderId="0" fillId="4" fontId="1" numFmtId="0" xfId="0" applyFont="1"/>
    <xf borderId="0" fillId="4" fontId="1" numFmtId="0" xfId="0" applyAlignment="1" applyFont="1">
      <alignment vertical="top"/>
    </xf>
    <xf borderId="0" fillId="4" fontId="1" numFmtId="0" xfId="0" applyAlignment="1" applyFont="1">
      <alignment vertical="top"/>
    </xf>
    <xf borderId="0" fillId="4" fontId="1" numFmtId="10" xfId="0" applyFont="1" applyNumberFormat="1"/>
    <xf borderId="0" fillId="3" fontId="1" numFmtId="10" xfId="0" applyAlignment="1" applyFont="1" applyNumberFormat="1">
      <alignment vertical="bottom"/>
    </xf>
    <xf borderId="0" fillId="3" fontId="18" numFmtId="0" xfId="0" applyAlignment="1" applyFont="1">
      <alignment horizontal="center" readingOrder="0"/>
    </xf>
    <xf borderId="0" fillId="4" fontId="19" numFmtId="0" xfId="0" applyAlignment="1" applyFont="1">
      <alignment horizontal="center" readingOrder="0" shrinkToFit="0" vertical="center" wrapText="1"/>
    </xf>
    <xf borderId="0" fillId="2" fontId="20" numFmtId="0" xfId="0" applyAlignment="1" applyFont="1">
      <alignment horizontal="center" readingOrder="0" shrinkToFit="0" vertical="center" wrapText="1"/>
    </xf>
    <xf borderId="0" fillId="3" fontId="21" numFmtId="0" xfId="0" applyAlignment="1" applyFont="1">
      <alignment horizontal="center" readingOrder="0" shrinkToFit="0" vertical="center" wrapText="1"/>
    </xf>
    <xf borderId="0" fillId="3" fontId="22" numFmtId="0" xfId="0" applyAlignment="1" applyFont="1">
      <alignment horizontal="center" readingOrder="0" shrinkToFit="0" vertical="center" wrapText="1"/>
    </xf>
    <xf borderId="0" fillId="2" fontId="23" numFmtId="165" xfId="0" applyAlignment="1" applyFont="1" applyNumberFormat="1">
      <alignment horizontal="center" readingOrder="0" shrinkToFit="0" vertical="center" wrapText="1"/>
    </xf>
    <xf borderId="0" fillId="2" fontId="1" numFmtId="165" xfId="0" applyFont="1" applyNumberFormat="1"/>
    <xf borderId="0" fillId="2" fontId="1" numFmtId="165" xfId="0" applyAlignment="1" applyFont="1" applyNumberForma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vertical="center"/>
    </xf>
    <xf borderId="8" fillId="2" fontId="24" numFmtId="0" xfId="0" applyAlignment="1" applyBorder="1" applyFont="1">
      <alignment horizontal="center" readingOrder="0" shrinkToFit="0" vertical="center" wrapText="1"/>
    </xf>
    <xf borderId="0" fillId="2" fontId="24" numFmtId="0" xfId="0" applyAlignment="1" applyFont="1">
      <alignment horizontal="center" readingOrder="0" shrinkToFit="0" vertical="center" wrapText="1"/>
    </xf>
    <xf borderId="22" fillId="2" fontId="24" numFmtId="0" xfId="0" applyAlignment="1" applyBorder="1" applyFont="1">
      <alignment horizontal="center" readingOrder="0" shrinkToFit="0" vertical="center" wrapText="1"/>
    </xf>
    <xf borderId="23" fillId="0" fontId="9" numFmtId="0" xfId="0" applyBorder="1" applyFont="1"/>
    <xf borderId="0" fillId="2" fontId="1" numFmtId="165" xfId="0" applyAlignment="1" applyFont="1" applyNumberFormat="1">
      <alignment horizontal="center" readingOrder="0" vertical="center"/>
    </xf>
    <xf borderId="8" fillId="2" fontId="25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0" fillId="2" fontId="25" numFmtId="166" xfId="0" applyAlignment="1" applyFont="1" applyNumberFormat="1">
      <alignment horizontal="center" readingOrder="0" vertical="center"/>
    </xf>
    <xf borderId="0" fillId="2" fontId="25" numFmtId="1" xfId="0" applyAlignment="1" applyFont="1" applyNumberFormat="1">
      <alignment horizontal="center" vertical="center"/>
    </xf>
    <xf borderId="0" fillId="2" fontId="25" numFmtId="167" xfId="0" applyAlignment="1" applyFont="1" applyNumberFormat="1">
      <alignment horizontal="center" vertical="center"/>
    </xf>
    <xf borderId="0" fillId="2" fontId="25" numFmtId="4" xfId="0" applyAlignment="1" applyFont="1" applyNumberFormat="1">
      <alignment horizontal="center" readingOrder="0" vertical="center"/>
    </xf>
    <xf borderId="0" fillId="2" fontId="25" numFmtId="4" xfId="0" applyAlignment="1" applyFont="1" applyNumberFormat="1">
      <alignment horizontal="center" vertical="center"/>
    </xf>
    <xf borderId="4" fillId="2" fontId="25" numFmtId="0" xfId="0" applyAlignment="1" applyBorder="1" applyFont="1">
      <alignment horizontal="center" readingOrder="0" vertical="center"/>
    </xf>
    <xf borderId="22" fillId="2" fontId="25" numFmtId="4" xfId="0" applyAlignment="1" applyBorder="1" applyFont="1" applyNumberFormat="1">
      <alignment horizontal="center" readingOrder="0" vertical="center"/>
    </xf>
    <xf borderId="23" fillId="2" fontId="25" numFmtId="4" xfId="0" applyAlignment="1" applyBorder="1" applyFont="1" applyNumberFormat="1">
      <alignment horizontal="center" readingOrder="0" vertical="center"/>
    </xf>
    <xf borderId="0" fillId="3" fontId="26" numFmtId="0" xfId="0" applyAlignment="1" applyFont="1">
      <alignment horizontal="center" readingOrder="0" shrinkToFit="0" vertical="center" wrapText="1"/>
    </xf>
    <xf borderId="0" fillId="3" fontId="27" numFmtId="0" xfId="0" applyAlignment="1" applyFont="1">
      <alignment horizontal="center" readingOrder="0" shrinkToFit="0" vertical="center" wrapText="1"/>
    </xf>
    <xf borderId="0" fillId="3" fontId="26" numFmtId="0" xfId="0" applyAlignment="1" applyFont="1">
      <alignment horizontal="center" shrinkToFit="0" vertical="center" wrapText="1"/>
    </xf>
    <xf borderId="0" fillId="3" fontId="27" numFmtId="0" xfId="0" applyAlignment="1" applyFont="1">
      <alignment horizontal="center" shrinkToFit="0" vertical="center" wrapText="1"/>
    </xf>
    <xf borderId="0" fillId="3" fontId="27" numFmtId="0" xfId="0" applyAlignment="1" applyFont="1">
      <alignment horizontal="center" shrinkToFit="0" vertical="center" wrapText="1"/>
    </xf>
    <xf borderId="0" fillId="8" fontId="15" numFmtId="0" xfId="0" applyAlignment="1" applyFill="1" applyFont="1">
      <alignment horizontal="center" shrinkToFit="0" vertical="center" wrapText="1"/>
    </xf>
    <xf borderId="0" fillId="3" fontId="28" numFmtId="1" xfId="0" applyAlignment="1" applyFont="1" applyNumberFormat="1">
      <alignment horizontal="center" shrinkToFit="0" vertical="center" wrapText="1"/>
    </xf>
    <xf borderId="0" fillId="3" fontId="28" numFmtId="167" xfId="0" applyAlignment="1" applyFont="1" applyNumberFormat="1">
      <alignment horizontal="center" shrinkToFit="0" vertical="center" wrapText="1"/>
    </xf>
    <xf borderId="0" fillId="3" fontId="29" numFmtId="1" xfId="0" applyAlignment="1" applyFont="1" applyNumberFormat="1">
      <alignment horizontal="center" shrinkToFit="0" vertical="center" wrapText="1"/>
    </xf>
    <xf borderId="0" fillId="3" fontId="28" numFmtId="0" xfId="0" applyAlignment="1" applyFont="1">
      <alignment horizontal="center" shrinkToFit="0" vertical="center" wrapText="1"/>
    </xf>
    <xf borderId="0" fillId="3" fontId="26" numFmtId="4" xfId="0" applyAlignment="1" applyFont="1" applyNumberFormat="1">
      <alignment horizontal="center" readingOrder="0" shrinkToFit="0" vertical="center" wrapText="1"/>
    </xf>
    <xf borderId="0" fillId="8" fontId="15" numFmtId="4" xfId="0" applyAlignment="1" applyFont="1" applyNumberFormat="1">
      <alignment horizontal="center" shrinkToFit="0" vertical="center" wrapText="1"/>
    </xf>
    <xf borderId="24" fillId="3" fontId="26" numFmtId="0" xfId="0" applyAlignment="1" applyBorder="1" applyFont="1">
      <alignment horizontal="center" readingOrder="0" shrinkToFit="0" vertical="center" wrapText="1"/>
    </xf>
    <xf borderId="25" fillId="9" fontId="27" numFmtId="0" xfId="0" applyAlignment="1" applyBorder="1" applyFill="1" applyFont="1">
      <alignment horizontal="center" readingOrder="0" shrinkToFit="0" vertical="center" wrapText="1"/>
    </xf>
    <xf borderId="22" fillId="10" fontId="27" numFmtId="0" xfId="0" applyAlignment="1" applyBorder="1" applyFill="1" applyFont="1">
      <alignment horizontal="center" readingOrder="0" shrinkToFit="0" vertical="center" wrapText="1"/>
    </xf>
    <xf borderId="26" fillId="9" fontId="27" numFmtId="0" xfId="0" applyAlignment="1" applyBorder="1" applyFont="1">
      <alignment horizontal="center" readingOrder="0" shrinkToFit="0" vertical="center" wrapText="1"/>
    </xf>
    <xf borderId="27" fillId="9" fontId="27" numFmtId="0" xfId="0" applyAlignment="1" applyBorder="1" applyFont="1">
      <alignment horizontal="center" readingOrder="0" shrinkToFit="0" vertical="center" wrapText="1"/>
    </xf>
    <xf borderId="28" fillId="9" fontId="27" numFmtId="0" xfId="0" applyAlignment="1" applyBorder="1" applyFont="1">
      <alignment horizontal="center" readingOrder="0" shrinkToFit="0" vertical="center" wrapText="1"/>
    </xf>
    <xf borderId="23" fillId="3" fontId="26" numFmtId="0" xfId="0" applyAlignment="1" applyBorder="1" applyFont="1">
      <alignment horizontal="center" readingOrder="0" shrinkToFit="0" vertical="center" wrapText="1"/>
    </xf>
    <xf borderId="0" fillId="8" fontId="15" numFmtId="0" xfId="0" applyAlignment="1" applyFont="1">
      <alignment horizontal="center" readingOrder="0" shrinkToFit="0" vertical="center" wrapText="1"/>
    </xf>
    <xf borderId="0" fillId="3" fontId="27" numFmtId="3" xfId="0" applyAlignment="1" applyFont="1" applyNumberFormat="1">
      <alignment horizontal="center" readingOrder="0" shrinkToFit="0" vertical="center" wrapText="1"/>
    </xf>
    <xf borderId="0" fillId="3" fontId="27" numFmtId="168" xfId="0" applyAlignment="1" applyFont="1" applyNumberFormat="1">
      <alignment horizontal="center" shrinkToFit="0" vertical="center" wrapText="1"/>
    </xf>
    <xf borderId="0" fillId="3" fontId="27" numFmtId="168" xfId="0" applyAlignment="1" applyFont="1" applyNumberFormat="1">
      <alignment horizontal="center" readingOrder="0" shrinkToFit="0" vertical="center" wrapText="1"/>
    </xf>
    <xf borderId="0" fillId="3" fontId="27" numFmtId="4" xfId="0" applyAlignment="1" applyFont="1" applyNumberForma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29" fillId="0" fontId="9" numFmtId="0" xfId="0" applyBorder="1" applyFont="1"/>
    <xf borderId="30" fillId="0" fontId="9" numFmtId="0" xfId="0" applyBorder="1" applyFont="1"/>
    <xf borderId="22" fillId="0" fontId="9" numFmtId="0" xfId="0" applyBorder="1" applyFont="1"/>
    <xf borderId="31" fillId="0" fontId="9" numFmtId="0" xfId="0" applyBorder="1" applyFont="1"/>
    <xf borderId="32" fillId="0" fontId="9" numFmtId="0" xfId="0" applyBorder="1" applyFont="1"/>
    <xf borderId="0" fillId="0" fontId="10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0" fillId="0" fontId="10" numFmtId="169" xfId="0" applyAlignment="1" applyFont="1" applyNumberFormat="1">
      <alignment horizontal="center" readingOrder="0" shrinkToFit="0" vertical="center" wrapText="1"/>
    </xf>
    <xf borderId="0" fillId="0" fontId="10" numFmtId="169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3" xfId="0" applyAlignment="1" applyFont="1" applyNumberFormat="1">
      <alignment horizontal="center" readingOrder="0" shrinkToFit="0" vertical="center" wrapText="1"/>
    </xf>
    <xf borderId="0" fillId="0" fontId="10" numFmtId="166" xfId="0" applyAlignment="1" applyFont="1" applyNumberFormat="1">
      <alignment horizontal="center" readingOrder="0" shrinkToFit="0" vertical="center" wrapText="1"/>
    </xf>
    <xf borderId="0" fillId="0" fontId="10" numFmtId="4" xfId="0" applyAlignment="1" applyFont="1" applyNumberFormat="1">
      <alignment horizontal="center" readingOrder="0" shrinkToFit="0" vertical="center" wrapText="1"/>
    </xf>
    <xf borderId="0" fillId="0" fontId="31" numFmtId="0" xfId="0" applyAlignment="1" applyFont="1">
      <alignment horizontal="center" shrinkToFit="0" vertical="center" wrapText="1"/>
    </xf>
    <xf borderId="0" fillId="0" fontId="32" numFmtId="1" xfId="0" applyAlignment="1" applyFont="1" applyNumberFormat="1">
      <alignment horizontal="center" shrinkToFit="0" vertical="center" wrapText="1"/>
    </xf>
    <xf borderId="0" fillId="0" fontId="33" numFmtId="4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readingOrder="0" shrinkToFit="0" vertical="center" wrapText="1"/>
    </xf>
    <xf borderId="0" fillId="0" fontId="10" numFmtId="170" xfId="0" applyAlignment="1" applyFont="1" applyNumberFormat="1">
      <alignment horizontal="center" shrinkToFit="0" vertical="center" wrapText="1"/>
    </xf>
    <xf borderId="0" fillId="0" fontId="34" numFmtId="4" xfId="0" applyAlignment="1" applyFont="1" applyNumberFormat="1">
      <alignment horizontal="center" readingOrder="0" shrinkToFit="0" vertical="center" wrapText="1"/>
    </xf>
    <xf borderId="0" fillId="0" fontId="35" numFmtId="169" xfId="0" applyAlignment="1" applyFont="1" applyNumberFormat="1">
      <alignment horizontal="center" shrinkToFit="0" vertical="center" wrapText="1"/>
    </xf>
    <xf borderId="29" fillId="0" fontId="10" numFmtId="169" xfId="0" applyAlignment="1" applyBorder="1" applyFont="1" applyNumberFormat="1">
      <alignment horizontal="center" readingOrder="0" shrinkToFit="0" vertical="center" wrapText="1"/>
    </xf>
    <xf borderId="30" fillId="0" fontId="10" numFmtId="0" xfId="0" applyAlignment="1" applyBorder="1" applyFont="1">
      <alignment horizontal="center" readingOrder="0" shrinkToFit="0" vertical="center" wrapText="1"/>
    </xf>
    <xf borderId="0" fillId="0" fontId="10" numFmtId="169" xfId="0" applyAlignment="1" applyFont="1" applyNumberFormat="1">
      <alignment horizontal="center" shrinkToFit="0" vertical="center" wrapText="1"/>
    </xf>
    <xf borderId="31" fillId="0" fontId="10" numFmtId="169" xfId="0" applyAlignment="1" applyBorder="1" applyFont="1" applyNumberFormat="1">
      <alignment horizontal="center" shrinkToFit="0" vertical="center" wrapText="1"/>
    </xf>
    <xf borderId="32" fillId="0" fontId="10" numFmtId="169" xfId="0" applyAlignment="1" applyBorder="1" applyFont="1" applyNumberFormat="1">
      <alignment horizontal="center" shrinkToFit="0" vertical="center" wrapText="1"/>
    </xf>
    <xf borderId="23" fillId="0" fontId="10" numFmtId="0" xfId="0" applyAlignment="1" applyBorder="1" applyFont="1">
      <alignment horizontal="center" readingOrder="0" shrinkToFit="0" vertical="center" wrapText="1"/>
    </xf>
    <xf borderId="0" fillId="0" fontId="10" numFmtId="4" xfId="0" applyAlignment="1" applyFont="1" applyNumberFormat="1">
      <alignment horizontal="center" shrinkToFit="0" vertical="center" wrapText="1"/>
    </xf>
    <xf borderId="0" fillId="0" fontId="36" numFmtId="4" xfId="0" applyAlignment="1" applyFont="1" applyNumberFormat="1">
      <alignment horizontal="center" shrinkToFit="0" vertical="center" wrapText="1"/>
    </xf>
    <xf borderId="0" fillId="0" fontId="23" numFmtId="0" xfId="0" applyAlignment="1" applyFont="1">
      <alignment horizontal="center" readingOrder="0" vertical="center"/>
    </xf>
    <xf borderId="0" fillId="0" fontId="37" numFmtId="0" xfId="0" applyAlignment="1" applyFont="1">
      <alignment readingOrder="0" vertical="center"/>
    </xf>
    <xf borderId="0" fillId="11" fontId="23" numFmtId="0" xfId="0" applyAlignment="1" applyFill="1" applyFont="1">
      <alignment readingOrder="0" vertical="center"/>
    </xf>
    <xf borderId="0" fillId="0" fontId="1" numFmtId="0" xfId="0" applyAlignment="1" applyFont="1">
      <alignment readingOrder="0"/>
    </xf>
    <xf borderId="0" fillId="0" fontId="23" numFmtId="0" xfId="0" applyAlignment="1" applyFont="1">
      <alignment readingOrder="0" vertical="center"/>
    </xf>
    <xf borderId="0" fillId="0" fontId="38" numFmtId="0" xfId="0" applyAlignment="1" applyFont="1">
      <alignment horizontal="center" vertical="center"/>
    </xf>
    <xf borderId="0" fillId="4" fontId="39" numFmtId="169" xfId="0" applyAlignment="1" applyFont="1" applyNumberFormat="1">
      <alignment horizontal="center" readingOrder="0" vertical="center"/>
    </xf>
    <xf borderId="0" fillId="4" fontId="39" numFmtId="169" xfId="0" applyAlignment="1" applyFont="1" applyNumberFormat="1">
      <alignment horizontal="center" readingOrder="0" vertical="center"/>
    </xf>
    <xf borderId="0" fillId="4" fontId="39" numFmtId="9" xfId="0" applyAlignment="1" applyFont="1" applyNumberFormat="1">
      <alignment horizontal="center" readingOrder="0" vertical="center"/>
    </xf>
    <xf borderId="0" fillId="7" fontId="40" numFmtId="9" xfId="0" applyAlignment="1" applyFont="1" applyNumberFormat="1">
      <alignment horizontal="center" vertical="center"/>
    </xf>
    <xf borderId="0" fillId="4" fontId="39" numFmtId="3" xfId="0" applyAlignment="1" applyFont="1" applyNumberFormat="1">
      <alignment horizontal="center" readingOrder="0" vertical="center"/>
    </xf>
    <xf borderId="0" fillId="4" fontId="41" numFmtId="0" xfId="0" applyAlignment="1" applyFont="1">
      <alignment horizontal="right" readingOrder="0" shrinkToFit="0" vertical="center" wrapText="1"/>
    </xf>
    <xf borderId="0" fillId="4" fontId="38" numFmtId="10" xfId="0" applyAlignment="1" applyFont="1" applyNumberFormat="1">
      <alignment horizontal="center" shrinkToFit="0" vertical="center" wrapText="1"/>
    </xf>
    <xf borderId="0" fillId="7" fontId="40" numFmtId="0" xfId="0" applyAlignment="1" applyFont="1">
      <alignment horizontal="center" vertical="center"/>
    </xf>
    <xf borderId="0" fillId="4" fontId="38" numFmtId="0" xfId="0" applyAlignment="1" applyFont="1">
      <alignment horizontal="left" readingOrder="0" shrinkToFit="0" vertical="center" wrapText="0"/>
    </xf>
    <xf borderId="0" fillId="4" fontId="38" numFmtId="0" xfId="0" applyAlignment="1" applyFont="1">
      <alignment horizontal="center" readingOrder="0" shrinkToFit="0" vertical="center" wrapText="1"/>
    </xf>
    <xf borderId="0" fillId="4" fontId="38" numFmtId="4" xfId="0" applyAlignment="1" applyFont="1" applyNumberFormat="1">
      <alignment horizontal="center" readingOrder="0" shrinkToFit="0" vertical="center" wrapText="1"/>
    </xf>
    <xf borderId="0" fillId="7" fontId="40" numFmtId="164" xfId="0" applyAlignment="1" applyFont="1" applyNumberFormat="1">
      <alignment horizontal="center" vertical="center"/>
    </xf>
    <xf borderId="0" fillId="4" fontId="38" numFmtId="1" xfId="0" applyAlignment="1" applyFont="1" applyNumberFormat="1">
      <alignment horizontal="center" readingOrder="0" shrinkToFit="0" vertical="center" wrapText="1"/>
    </xf>
    <xf borderId="0" fillId="4" fontId="38" numFmtId="167" xfId="0" applyAlignment="1" applyFont="1" applyNumberFormat="1">
      <alignment horizontal="center" readingOrder="0" shrinkToFit="0" vertical="center" wrapText="1"/>
    </xf>
    <xf borderId="0" fillId="7" fontId="40" numFmtId="4" xfId="0" applyAlignment="1" applyFont="1" applyNumberFormat="1">
      <alignment horizontal="center" vertical="center"/>
    </xf>
    <xf borderId="0" fillId="7" fontId="40" numFmtId="169" xfId="0" applyAlignment="1" applyFont="1" applyNumberFormat="1">
      <alignment horizontal="center" vertical="center"/>
    </xf>
    <xf borderId="0" fillId="4" fontId="38" numFmtId="1" xfId="0" applyAlignment="1" applyFont="1" applyNumberFormat="1">
      <alignment horizontal="center" readingOrder="0" shrinkToFit="0" vertical="center" wrapText="1"/>
    </xf>
    <xf borderId="0" fillId="7" fontId="42" numFmtId="4" xfId="0" applyAlignment="1" applyFont="1" applyNumberFormat="1">
      <alignment horizontal="center" vertical="center"/>
    </xf>
    <xf borderId="0" fillId="4" fontId="38" numFmtId="169" xfId="0" applyAlignment="1" applyFont="1" applyNumberFormat="1">
      <alignment horizontal="center" readingOrder="0" vertical="center"/>
    </xf>
    <xf borderId="29" fillId="4" fontId="38" numFmtId="169" xfId="0" applyAlignment="1" applyBorder="1" applyFont="1" applyNumberFormat="1">
      <alignment horizontal="center" readingOrder="0" vertical="center"/>
    </xf>
    <xf borderId="0" fillId="4" fontId="38" numFmtId="9" xfId="0" applyAlignment="1" applyFont="1" applyNumberFormat="1">
      <alignment horizontal="center" readingOrder="0" vertical="center"/>
    </xf>
    <xf borderId="30" fillId="4" fontId="38" numFmtId="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22" fillId="12" fontId="43" numFmtId="169" xfId="0" applyAlignment="1" applyBorder="1" applyFill="1" applyFont="1" applyNumberFormat="1">
      <alignment horizontal="center" vertical="center"/>
    </xf>
    <xf borderId="0" fillId="0" fontId="38" numFmtId="169" xfId="0" applyAlignment="1" applyFont="1" applyNumberFormat="1">
      <alignment horizontal="center" readingOrder="0" vertical="center"/>
    </xf>
    <xf borderId="0" fillId="12" fontId="43" numFmtId="9" xfId="0" applyAlignment="1" applyFont="1" applyNumberFormat="1">
      <alignment horizontal="center" vertical="center"/>
    </xf>
    <xf borderId="31" fillId="12" fontId="43" numFmtId="169" xfId="0" applyAlignment="1" applyBorder="1" applyFont="1" applyNumberFormat="1">
      <alignment horizontal="center" readingOrder="0" vertical="center"/>
    </xf>
    <xf borderId="32" fillId="12" fontId="43" numFmtId="169" xfId="0" applyAlignment="1" applyBorder="1" applyFont="1" applyNumberFormat="1">
      <alignment horizontal="center" vertical="center"/>
    </xf>
    <xf borderId="0" fillId="0" fontId="44" numFmtId="169" xfId="0" applyAlignment="1" applyFont="1" applyNumberFormat="1">
      <alignment horizontal="center" vertical="center"/>
    </xf>
    <xf borderId="0" fillId="0" fontId="38" numFmtId="169" xfId="0" applyAlignment="1" applyFont="1" applyNumberFormat="1">
      <alignment horizontal="center" vertical="center"/>
    </xf>
    <xf borderId="0" fillId="0" fontId="38" numFmtId="10" xfId="0" applyAlignment="1" applyFont="1" applyNumberFormat="1">
      <alignment horizontal="center" vertical="center"/>
    </xf>
    <xf borderId="23" fillId="0" fontId="38" numFmtId="10" xfId="0" applyAlignment="1" applyBorder="1" applyFont="1" applyNumberFormat="1">
      <alignment horizontal="center" vertical="center"/>
    </xf>
    <xf borderId="0" fillId="4" fontId="38" numFmtId="4" xfId="0" applyAlignment="1" applyFont="1" applyNumberFormat="1">
      <alignment horizontal="right" vertical="center"/>
    </xf>
    <xf borderId="0" fillId="4" fontId="38" numFmtId="4" xfId="0" applyAlignment="1" applyFont="1" applyNumberFormat="1">
      <alignment horizontal="center" vertical="center"/>
    </xf>
    <xf borderId="22" fillId="12" fontId="43" numFmtId="169" xfId="0" applyAlignment="1" applyBorder="1" applyFont="1" applyNumberFormat="1">
      <alignment horizontal="center" readingOrder="0" vertical="center"/>
    </xf>
    <xf borderId="31" fillId="12" fontId="43" numFmtId="169" xfId="0" applyAlignment="1" applyBorder="1" applyFont="1" applyNumberFormat="1">
      <alignment horizontal="center" vertical="center"/>
    </xf>
    <xf borderId="33" fillId="4" fontId="38" numFmtId="169" xfId="0" applyAlignment="1" applyBorder="1" applyFont="1" applyNumberFormat="1">
      <alignment horizontal="center" readingOrder="0" vertical="center"/>
    </xf>
    <xf borderId="34" fillId="4" fontId="38" numFmtId="9" xfId="0" applyAlignment="1" applyBorder="1" applyFont="1" applyNumberFormat="1">
      <alignment horizontal="center" readingOrder="0" vertical="center"/>
    </xf>
    <xf borderId="35" fillId="12" fontId="43" numFmtId="169" xfId="0" applyAlignment="1" applyBorder="1" applyFont="1" applyNumberFormat="1">
      <alignment horizontal="center" vertical="center"/>
    </xf>
    <xf borderId="36" fillId="12" fontId="43" numFmtId="9" xfId="0" applyAlignment="1" applyBorder="1" applyFont="1" applyNumberFormat="1">
      <alignment horizontal="center" vertical="center"/>
    </xf>
    <xf borderId="37" fillId="12" fontId="43" numFmtId="169" xfId="0" applyAlignment="1" applyBorder="1" applyFont="1" applyNumberFormat="1">
      <alignment horizontal="center" vertical="center"/>
    </xf>
    <xf borderId="0" fillId="4" fontId="38" numFmtId="9" xfId="0" applyAlignment="1" applyFont="1" applyNumberFormat="1">
      <alignment horizontal="center" readingOrder="0" vertical="center"/>
    </xf>
    <xf borderId="0" fillId="12" fontId="43" numFmtId="169" xfId="0" applyAlignment="1" applyFont="1" applyNumberFormat="1">
      <alignment horizontal="center" vertical="center"/>
    </xf>
    <xf borderId="0" fillId="2" fontId="16" numFmtId="0" xfId="0" applyAlignment="1" applyFont="1">
      <alignment horizontal="center" readingOrder="0"/>
    </xf>
    <xf borderId="0" fillId="2" fontId="16" numFmtId="0" xfId="0" applyAlignment="1" applyFont="1">
      <alignment horizontal="center" readingOrder="0" shrinkToFit="0" vertical="center" wrapText="1"/>
    </xf>
    <xf borderId="0" fillId="2" fontId="45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2" fontId="46" numFmtId="0" xfId="0" applyFont="1"/>
    <xf borderId="0" fillId="2" fontId="47" numFmtId="0" xfId="0" applyAlignment="1" applyFont="1">
      <alignment horizontal="center" readingOrder="0" shrinkToFit="0" vertical="bottom" wrapText="1"/>
    </xf>
    <xf borderId="0" fillId="2" fontId="48" numFmtId="0" xfId="0" applyAlignment="1" applyFont="1">
      <alignment horizontal="center" readingOrder="0" shrinkToFit="0" vertical="bottom" wrapText="1"/>
    </xf>
    <xf borderId="0" fillId="2" fontId="47" numFmtId="0" xfId="0" applyAlignment="1" applyFont="1">
      <alignment horizontal="left" readingOrder="0" shrinkToFit="0" vertical="bottom" wrapText="1"/>
    </xf>
    <xf borderId="0" fillId="2" fontId="8" numFmtId="0" xfId="0" applyAlignment="1" applyFont="1">
      <alignment horizontal="right" readingOrder="0" shrinkToFit="0" wrapText="1"/>
    </xf>
    <xf borderId="0" fillId="2" fontId="8" numFmtId="0" xfId="0" applyAlignment="1" applyFont="1">
      <alignment horizontal="right" readingOrder="0" shrinkToFit="0" vertical="top" wrapText="1"/>
    </xf>
    <xf borderId="0" fillId="13" fontId="49" numFmtId="171" xfId="0" applyAlignment="1" applyFill="1" applyFont="1" applyNumberFormat="1">
      <alignment horizontal="center" readingOrder="0" shrinkToFit="0" vertical="top" wrapText="1"/>
    </xf>
    <xf borderId="0" fillId="2" fontId="49" numFmtId="0" xfId="0" applyAlignment="1" applyFont="1">
      <alignment horizontal="center" readingOrder="0" shrinkToFit="0" vertical="top" wrapText="1"/>
    </xf>
    <xf borderId="0" fillId="2" fontId="50" numFmtId="0" xfId="0" applyAlignment="1" applyFont="1">
      <alignment horizontal="center" shrinkToFit="0" vertical="center" wrapText="1"/>
    </xf>
    <xf borderId="0" fillId="2" fontId="26" numFmtId="0" xfId="0" applyAlignment="1" applyFont="1">
      <alignment horizontal="center" readingOrder="0" shrinkToFit="0" vertical="center" wrapText="1"/>
    </xf>
    <xf borderId="0" fillId="2" fontId="1" numFmtId="0" xfId="0" applyFont="1"/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2" fontId="51" numFmtId="0" xfId="0" applyAlignment="1" applyFont="1">
      <alignment horizontal="right" readingOrder="0" shrinkToFit="0" vertical="bottom" wrapText="1"/>
    </xf>
    <xf borderId="0" fillId="13" fontId="46" numFmtId="0" xfId="0" applyFont="1"/>
    <xf borderId="0" fillId="13" fontId="52" numFmtId="0" xfId="0" applyAlignment="1" applyFont="1">
      <alignment horizontal="right" readingOrder="0" shrinkToFit="0" vertical="top" wrapText="0"/>
    </xf>
    <xf borderId="0" fillId="13" fontId="8" numFmtId="0" xfId="0" applyAlignment="1" applyFont="1">
      <alignment horizontal="right" readingOrder="0" shrinkToFit="0" vertical="top" wrapText="1"/>
    </xf>
    <xf borderId="0" fillId="13" fontId="8" numFmtId="0" xfId="0" applyAlignment="1" applyFont="1">
      <alignment horizontal="left" readingOrder="0" shrinkToFit="0" vertical="top" wrapText="1"/>
    </xf>
    <xf borderId="0" fillId="13" fontId="8" numFmtId="0" xfId="0" applyAlignment="1" applyFont="1">
      <alignment horizontal="center" readingOrder="0" shrinkToFit="0" vertical="top" wrapText="1"/>
    </xf>
    <xf borderId="0" fillId="13" fontId="52" numFmtId="0" xfId="0" applyFont="1"/>
    <xf borderId="0" fillId="2" fontId="52" numFmtId="0" xfId="0" applyFont="1"/>
    <xf borderId="0" fillId="13" fontId="49" numFmtId="172" xfId="0" applyAlignment="1" applyFont="1" applyNumberFormat="1">
      <alignment horizontal="center" readingOrder="0" shrinkToFit="0" vertical="top" wrapText="1"/>
    </xf>
    <xf borderId="0" fillId="2" fontId="8" numFmtId="0" xfId="0" applyAlignment="1" applyFont="1">
      <alignment horizontal="center" readingOrder="0" shrinkToFit="0" vertical="top" wrapText="1"/>
    </xf>
    <xf borderId="0" fillId="3" fontId="50" numFmtId="0" xfId="0" applyAlignment="1" applyFont="1">
      <alignment horizontal="center" readingOrder="0" shrinkToFit="0" vertical="center" wrapText="1"/>
    </xf>
    <xf borderId="0" fillId="2" fontId="26" numFmtId="0" xfId="0" applyAlignment="1" applyFont="1">
      <alignment horizontal="center" shrinkToFit="0" vertical="center" wrapText="1"/>
    </xf>
    <xf borderId="0" fillId="2" fontId="26" numFmtId="0" xfId="0" applyAlignment="1" applyFont="1">
      <alignment horizontal="center" readingOrder="0" shrinkToFit="0" vertical="center" wrapText="1"/>
    </xf>
    <xf borderId="0" fillId="3" fontId="53" numFmtId="0" xfId="0" applyAlignment="1" applyFont="1">
      <alignment horizontal="center" readingOrder="0" shrinkToFit="0" vertical="center" wrapText="1"/>
    </xf>
    <xf borderId="0" fillId="2" fontId="10" numFmtId="0" xfId="0" applyFont="1"/>
    <xf borderId="0" fillId="3" fontId="53" numFmtId="0" xfId="0" applyAlignment="1" applyFont="1">
      <alignment horizontal="center" shrinkToFit="0" vertical="center" wrapText="1"/>
    </xf>
    <xf borderId="0" fillId="0" fontId="54" numFmtId="0" xfId="0" applyAlignment="1" applyFont="1">
      <alignment readingOrder="0"/>
    </xf>
    <xf borderId="0" fillId="0" fontId="54" numFmtId="0" xfId="0" applyAlignment="1" applyFont="1">
      <alignment horizontal="center" readingOrder="0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horizontal="center" readingOrder="0" vertical="center"/>
    </xf>
    <xf borderId="0" fillId="3" fontId="52" numFmtId="0" xfId="0" applyAlignment="1" applyFont="1">
      <alignment horizontal="center" vertical="center"/>
    </xf>
    <xf borderId="0" fillId="3" fontId="52" numFmtId="0" xfId="0" applyAlignment="1" applyFont="1">
      <alignment horizontal="center" readingOrder="0" vertical="center"/>
    </xf>
    <xf borderId="0" fillId="4" fontId="1" numFmtId="0" xfId="0" applyAlignment="1" applyFont="1">
      <alignment readingOrder="0" shrinkToFit="0" vertical="center" wrapText="0"/>
    </xf>
    <xf borderId="0" fillId="4" fontId="1" numFmtId="10" xfId="0" applyAlignment="1" applyFont="1" applyNumberFormat="1">
      <alignment horizontal="center" readingOrder="0" vertical="center"/>
    </xf>
    <xf borderId="0" fillId="2" fontId="1" numFmtId="173" xfId="0" applyAlignment="1" applyFont="1" applyNumberFormat="1">
      <alignment horizontal="center" readingOrder="0" vertical="center"/>
    </xf>
    <xf borderId="0" fillId="4" fontId="1" numFmtId="0" xfId="0" applyAlignment="1" applyFont="1">
      <alignment readingOrder="0" shrinkToFit="0" wrapText="0"/>
    </xf>
    <xf borderId="0" fillId="4" fontId="1" numFmtId="0" xfId="0" applyAlignment="1" applyFont="1">
      <alignment horizontal="center" readingOrder="0" shrinkToFit="0" wrapText="1"/>
    </xf>
    <xf borderId="0" fillId="4" fontId="1" numFmtId="10" xfId="0" applyAlignment="1" applyFont="1" applyNumberFormat="1">
      <alignment horizontal="center" readingOrder="0"/>
    </xf>
    <xf borderId="0" fillId="2" fontId="17" numFmtId="0" xfId="0" applyAlignment="1" applyFont="1">
      <alignment shrinkToFit="0" vertical="center" wrapText="0"/>
    </xf>
    <xf borderId="0" fillId="2" fontId="17" numFmtId="0" xfId="0" applyAlignment="1" applyFont="1">
      <alignment vertical="center"/>
    </xf>
    <xf borderId="0" fillId="2" fontId="17" numFmtId="10" xfId="0" applyAlignment="1" applyFont="1" applyNumberFormat="1">
      <alignment vertical="center"/>
    </xf>
    <xf borderId="0" fillId="2" fontId="1" numFmtId="174" xfId="0" applyAlignment="1" applyFont="1" applyNumberFormat="1">
      <alignment horizontal="center" readingOrder="0" vertical="center"/>
    </xf>
    <xf borderId="0" fillId="2" fontId="17" numFmtId="0" xfId="0" applyAlignment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0" fontId="46" numFmtId="0" xfId="0" applyAlignment="1" applyFont="1">
      <alignment readingOrder="0"/>
    </xf>
    <xf borderId="0" fillId="0" fontId="46" numFmtId="172" xfId="0" applyAlignment="1" applyFont="1" applyNumberFormat="1">
      <alignment readingOrder="0"/>
    </xf>
    <xf borderId="0" fillId="0" fontId="46" numFmtId="3" xfId="0" applyAlignment="1" applyFont="1" applyNumberFormat="1">
      <alignment readingOrder="0"/>
    </xf>
    <xf borderId="0" fillId="0" fontId="46" numFmtId="4" xfId="0" applyAlignment="1" applyFont="1" applyNumberFormat="1">
      <alignment readingOrder="0"/>
    </xf>
    <xf borderId="0" fillId="0" fontId="46" numFmtId="9" xfId="0" applyAlignment="1" applyFont="1" applyNumberFormat="1">
      <alignment readingOrder="0"/>
    </xf>
    <xf borderId="0" fillId="0" fontId="46" numFmtId="10" xfId="0" applyAlignment="1" applyFont="1" applyNumberFormat="1">
      <alignment readingOrder="0"/>
    </xf>
    <xf borderId="0" fillId="0" fontId="46" numFmtId="0" xfId="0" applyFont="1"/>
    <xf borderId="0" fillId="0" fontId="46" numFmtId="172" xfId="0" applyFont="1" applyNumberFormat="1"/>
    <xf borderId="0" fillId="0" fontId="46" numFmtId="3" xfId="0" applyFont="1" applyNumberFormat="1"/>
    <xf borderId="0" fillId="0" fontId="46" numFmtId="4" xfId="0" applyFont="1" applyNumberFormat="1"/>
    <xf borderId="0" fillId="0" fontId="46" numFmtId="0" xfId="0" applyFont="1"/>
    <xf borderId="0" fillId="0" fontId="55" numFmtId="0" xfId="0" applyAlignment="1" applyFont="1">
      <alignment vertical="bottom"/>
    </xf>
    <xf borderId="0" fillId="0" fontId="46" numFmtId="164" xfId="0" applyFont="1" applyNumberFormat="1"/>
  </cellXfs>
  <cellStyles count="1">
    <cellStyle xfId="0" name="Normal" builtinId="0"/>
  </cellStyles>
  <dxfs count="10"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EFEFEF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7F1472"/>
          <bgColor rgb="FF7F1472"/>
        </patternFill>
      </fill>
      <border/>
    </dxf>
    <dxf>
      <font>
        <color rgb="FFFFFFFF"/>
      </font>
      <fill>
        <patternFill patternType="solid">
          <fgColor rgb="FF005BFF"/>
          <bgColor rgb="FF005BFF"/>
        </patternFill>
      </fill>
      <border/>
    </dxf>
    <dxf>
      <font>
        <color rgb="FF000000"/>
      </font>
      <fill>
        <patternFill patternType="solid">
          <fgColor rgb="FFFFDE42"/>
          <bgColor rgb="FFFFDE42"/>
        </patternFill>
      </fill>
      <border/>
    </dxf>
    <dxf>
      <font>
        <color rgb="FF000000"/>
      </font>
      <fill>
        <patternFill patternType="solid">
          <fgColor rgb="FFF3C6CF"/>
          <bgColor rgb="FFF3C6CF"/>
        </patternFill>
      </fill>
      <border/>
    </dxf>
    <dxf>
      <font>
        <color rgb="FF000000"/>
      </font>
      <fill>
        <patternFill patternType="solid">
          <fgColor rgb="FF9FC67D"/>
          <bgColor rgb="FF9FC67D"/>
        </patternFill>
      </fill>
      <border/>
    </dxf>
    <dxf>
      <font/>
      <fill>
        <patternFill patternType="solid">
          <fgColor rgb="FF9FC67D"/>
          <bgColor rgb="FF9FC67D"/>
        </patternFill>
      </fill>
      <border/>
    </dxf>
    <dxf>
      <font>
        <color rgb="FF151515"/>
      </font>
      <fill>
        <patternFill patternType="solid">
          <fgColor rgb="FF151515"/>
          <bgColor rgb="FF15151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1</xdr:row>
      <xdr:rowOff>47625</xdr:rowOff>
    </xdr:from>
    <xdr:ext cx="571500" cy="4286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1</xdr:row>
      <xdr:rowOff>47625</xdr:rowOff>
    </xdr:from>
    <xdr:ext cx="571500" cy="4286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eller-edu.ozon.ru/commissions-tariffs/commissions-tariffs-ozon/rashody-na-dop-uslugi" TargetMode="External"/><Relationship Id="rId2" Type="http://schemas.openxmlformats.org/officeDocument/2006/relationships/hyperlink" Target="https://seller.wildberries.ru/supplies-management/warehouses-limits" TargetMode="External"/><Relationship Id="rId3" Type="http://schemas.openxmlformats.org/officeDocument/2006/relationships/hyperlink" Target="https://seller.wildberries.ru/warehouse-addresses/warehouses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eller.wildberries.ru/dynamic-product-categories/commissio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eller.wildberries.ru/supplies-management/warehouses-limit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1515"/>
    <outlinePr summaryBelow="0" summaryRight="0"/>
  </sheetPr>
  <sheetViews>
    <sheetView showGridLines="0" workbookViewId="0"/>
  </sheetViews>
  <sheetFormatPr customHeight="1" defaultColWidth="11.22" defaultRowHeight="15.75" outlineLevelRow="1"/>
  <cols>
    <col customWidth="1" min="1" max="54" width="3.11"/>
  </cols>
  <sheetData>
    <row r="1" ht="26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ht="45.0" customHeight="1">
      <c r="A2" s="4"/>
      <c r="B2" s="5" t="s">
        <v>0</v>
      </c>
      <c r="BB2" s="4"/>
    </row>
    <row r="3" ht="30.0" customHeight="1">
      <c r="A3" s="4"/>
      <c r="BB3" s="4"/>
    </row>
    <row r="4" ht="24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6"/>
      <c r="L4" s="6"/>
      <c r="M4" s="6"/>
      <c r="N4" s="6"/>
      <c r="O4" s="7"/>
      <c r="P4" s="7"/>
      <c r="Q4" s="7"/>
      <c r="R4" s="4"/>
      <c r="S4" s="4"/>
      <c r="T4" s="4"/>
      <c r="U4" s="4"/>
      <c r="V4" s="4"/>
      <c r="W4" s="4"/>
      <c r="X4" s="4"/>
      <c r="Y4" s="4"/>
      <c r="Z4" s="8"/>
      <c r="AA4" s="6"/>
      <c r="AB4" s="6"/>
      <c r="AC4" s="6"/>
      <c r="AD4" s="7"/>
      <c r="AE4" s="7"/>
      <c r="AF4" s="7"/>
      <c r="AG4" s="7"/>
      <c r="AH4" s="7"/>
      <c r="AI4" s="4"/>
      <c r="AJ4" s="4"/>
      <c r="AK4" s="4"/>
      <c r="AL4" s="4"/>
      <c r="AM4" s="4"/>
      <c r="AN4" s="4"/>
      <c r="AO4" s="4"/>
      <c r="AP4" s="6"/>
      <c r="AQ4" s="6"/>
      <c r="AR4" s="6"/>
      <c r="AS4" s="6"/>
      <c r="AT4" s="7"/>
      <c r="AU4" s="7"/>
      <c r="AV4" s="4"/>
      <c r="AW4" s="4"/>
      <c r="AX4" s="4"/>
      <c r="AY4" s="4"/>
      <c r="AZ4" s="4"/>
      <c r="BA4" s="4"/>
      <c r="BB4" s="4"/>
    </row>
    <row r="5" ht="30.0" customHeight="1">
      <c r="A5" s="4"/>
      <c r="B5" s="4"/>
      <c r="C5" s="4"/>
      <c r="D5" s="4"/>
      <c r="E5" s="4"/>
      <c r="F5" s="4"/>
      <c r="G5" s="4"/>
      <c r="H5" s="4"/>
      <c r="I5" s="9" t="s">
        <v>1</v>
      </c>
      <c r="M5" s="7"/>
      <c r="N5" s="7"/>
      <c r="O5" s="7"/>
      <c r="P5" s="7"/>
      <c r="Q5" s="7"/>
      <c r="R5" s="7"/>
      <c r="S5" s="4"/>
      <c r="T5" s="4"/>
      <c r="U5" s="4"/>
      <c r="V5" s="4"/>
      <c r="W5" s="4"/>
      <c r="X5" s="4"/>
      <c r="Y5" s="4"/>
      <c r="Z5" s="9" t="s">
        <v>2</v>
      </c>
      <c r="AD5" s="6"/>
      <c r="AE5" s="6"/>
      <c r="AF5" s="7"/>
      <c r="AG5" s="7"/>
      <c r="AH5" s="7"/>
      <c r="AI5" s="7"/>
      <c r="AJ5" s="4"/>
      <c r="AK5" s="4"/>
      <c r="AL5" s="4"/>
      <c r="AM5" s="4"/>
      <c r="AN5" s="4"/>
      <c r="AO5" s="4"/>
      <c r="AP5" s="4"/>
      <c r="AQ5" s="9" t="s">
        <v>3</v>
      </c>
      <c r="AU5" s="7"/>
      <c r="AV5" s="7"/>
      <c r="AW5" s="7"/>
      <c r="AX5" s="7"/>
      <c r="AY5" s="4"/>
      <c r="AZ5" s="4"/>
      <c r="BA5" s="4"/>
      <c r="BB5" s="4"/>
    </row>
    <row r="6" ht="24.0" customHeight="1">
      <c r="A6" s="4"/>
      <c r="B6" s="4"/>
      <c r="C6" s="4"/>
      <c r="D6" s="4"/>
      <c r="E6" s="10" t="s">
        <v>4</v>
      </c>
      <c r="Q6" s="7"/>
      <c r="R6" s="7"/>
      <c r="S6" s="4"/>
      <c r="T6" s="11" t="s">
        <v>5</v>
      </c>
      <c r="AJ6" s="4"/>
      <c r="AK6" s="4"/>
      <c r="AL6" s="4"/>
      <c r="AM6" s="11" t="s">
        <v>6</v>
      </c>
      <c r="AY6" s="4"/>
      <c r="AZ6" s="4"/>
      <c r="BA6" s="4"/>
      <c r="BB6" s="4"/>
    </row>
    <row r="7" ht="24.0" customHeight="1">
      <c r="A7" s="4"/>
      <c r="B7" s="4"/>
      <c r="C7" s="4"/>
      <c r="D7" s="4"/>
      <c r="Q7" s="7"/>
      <c r="R7" s="7"/>
      <c r="S7" s="4"/>
      <c r="AJ7" s="4"/>
      <c r="AK7" s="4"/>
      <c r="AL7" s="4"/>
      <c r="AY7" s="4"/>
      <c r="AZ7" s="4"/>
      <c r="BA7" s="4"/>
      <c r="BB7" s="4"/>
    </row>
    <row r="8" ht="24.0" customHeight="1">
      <c r="A8" s="4"/>
      <c r="B8" s="4"/>
      <c r="C8" s="4"/>
      <c r="D8" s="4"/>
      <c r="Q8" s="7"/>
      <c r="R8" s="7"/>
      <c r="S8" s="4"/>
      <c r="AJ8" s="4"/>
      <c r="AK8" s="4"/>
      <c r="AL8" s="4"/>
      <c r="AY8" s="4"/>
      <c r="AZ8" s="4"/>
      <c r="BA8" s="4"/>
      <c r="BB8" s="4"/>
    </row>
    <row r="9" ht="24.0" customHeight="1">
      <c r="A9" s="4"/>
      <c r="B9" s="4"/>
      <c r="C9" s="4"/>
      <c r="D9" s="4"/>
      <c r="Q9" s="7"/>
      <c r="R9" s="7"/>
      <c r="S9" s="4"/>
      <c r="AJ9" s="4"/>
      <c r="AK9" s="4"/>
      <c r="AL9" s="4"/>
      <c r="AY9" s="4"/>
      <c r="AZ9" s="4"/>
      <c r="BA9" s="4"/>
      <c r="BB9" s="4"/>
    </row>
    <row r="10" ht="24.0" customHeight="1">
      <c r="A10" s="4"/>
      <c r="B10" s="4"/>
      <c r="C10" s="4"/>
      <c r="D10" s="4"/>
      <c r="Q10" s="7"/>
      <c r="R10" s="7"/>
      <c r="S10" s="4"/>
      <c r="AJ10" s="4"/>
      <c r="AK10" s="4"/>
      <c r="AL10" s="4"/>
      <c r="AY10" s="4"/>
      <c r="AZ10" s="4"/>
      <c r="BA10" s="4"/>
      <c r="BB10" s="4"/>
    </row>
    <row r="11" ht="24.0" customHeight="1">
      <c r="A11" s="4"/>
      <c r="B11" s="4"/>
      <c r="C11" s="4"/>
      <c r="D11" s="4"/>
      <c r="Q11" s="7"/>
      <c r="R11" s="7"/>
      <c r="S11" s="4"/>
      <c r="AJ11" s="4"/>
      <c r="AK11" s="4"/>
      <c r="AL11" s="4"/>
      <c r="AY11" s="4"/>
      <c r="AZ11" s="4"/>
      <c r="BA11" s="4"/>
      <c r="BB11" s="4"/>
    </row>
    <row r="12" ht="24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6"/>
      <c r="L12" s="6"/>
      <c r="M12" s="6"/>
      <c r="N12" s="6"/>
      <c r="O12" s="7"/>
      <c r="P12" s="7"/>
      <c r="Q12" s="7"/>
      <c r="R12" s="7"/>
      <c r="S12" s="4"/>
      <c r="T12" s="4"/>
      <c r="U12" s="4"/>
      <c r="V12" s="4"/>
      <c r="W12" s="4"/>
      <c r="X12" s="4"/>
      <c r="Y12" s="4"/>
      <c r="Z12" s="4"/>
      <c r="AA12" s="6"/>
      <c r="AB12" s="6"/>
      <c r="AC12" s="6"/>
      <c r="AD12" s="6"/>
      <c r="AE12" s="7"/>
      <c r="AF12" s="7"/>
      <c r="AG12" s="7"/>
      <c r="AH12" s="7"/>
      <c r="AI12" s="4"/>
      <c r="AJ12" s="4"/>
      <c r="AK12" s="4"/>
      <c r="AL12" s="4"/>
      <c r="AM12" s="4"/>
      <c r="AN12" s="4"/>
      <c r="AO12" s="4"/>
      <c r="AP12" s="6"/>
      <c r="AQ12" s="6"/>
      <c r="AR12" s="6"/>
      <c r="AS12" s="6"/>
      <c r="AT12" s="7"/>
      <c r="AU12" s="7"/>
      <c r="AV12" s="4"/>
      <c r="AW12" s="4"/>
      <c r="AX12" s="4"/>
      <c r="AY12" s="4"/>
      <c r="AZ12" s="4"/>
      <c r="BA12" s="4"/>
      <c r="BB12" s="4"/>
    </row>
    <row r="13" ht="30.75" customHeight="1">
      <c r="A13" s="4"/>
      <c r="B13" s="4"/>
      <c r="C13" s="12"/>
      <c r="D13" s="9" t="s">
        <v>7</v>
      </c>
      <c r="F13" s="12"/>
      <c r="G13" s="13" t="s">
        <v>8</v>
      </c>
      <c r="N13" s="13" t="s">
        <v>9</v>
      </c>
      <c r="R13" s="9" t="s">
        <v>10</v>
      </c>
      <c r="U13" s="14" t="s">
        <v>11</v>
      </c>
      <c r="Y13" s="13" t="s">
        <v>12</v>
      </c>
      <c r="AD13" s="13" t="s">
        <v>13</v>
      </c>
      <c r="AI13" s="13" t="s">
        <v>14</v>
      </c>
      <c r="AL13" s="15"/>
      <c r="AU13" s="15"/>
      <c r="BA13" s="4"/>
      <c r="BB13" s="4"/>
    </row>
    <row r="14" ht="55.5" customHeight="1">
      <c r="A14" s="4"/>
      <c r="B14" s="4"/>
      <c r="C14" s="16" t="s">
        <v>15</v>
      </c>
      <c r="F14" s="17"/>
      <c r="G14" s="18" t="s">
        <v>16</v>
      </c>
      <c r="M14" s="17"/>
      <c r="N14" s="18" t="s">
        <v>17</v>
      </c>
      <c r="Q14" s="17"/>
      <c r="R14" s="18" t="s">
        <v>18</v>
      </c>
      <c r="T14" s="17"/>
      <c r="U14" s="19"/>
      <c r="Y14" s="18" t="s">
        <v>19</v>
      </c>
      <c r="AC14" s="17"/>
      <c r="AD14" s="18" t="s">
        <v>20</v>
      </c>
      <c r="AH14" s="17"/>
      <c r="AI14" s="20" t="s">
        <v>21</v>
      </c>
      <c r="AK14" s="17"/>
      <c r="AL14" s="21"/>
      <c r="AZ14" s="22"/>
      <c r="BA14" s="4"/>
      <c r="BB14" s="4"/>
    </row>
    <row r="15" ht="33.0" customHeight="1">
      <c r="A15" s="4"/>
      <c r="B15" s="4"/>
      <c r="F15" s="17"/>
      <c r="G15" s="23"/>
      <c r="M15" s="17"/>
      <c r="N15" s="23"/>
      <c r="Q15" s="17"/>
      <c r="R15" s="23"/>
      <c r="T15" s="17"/>
      <c r="Y15" s="23"/>
      <c r="AC15" s="17"/>
      <c r="AD15" s="23"/>
      <c r="AH15" s="17"/>
      <c r="AI15" s="23"/>
      <c r="AK15" s="17"/>
      <c r="AZ15" s="22"/>
      <c r="BA15" s="4"/>
      <c r="BB15" s="4"/>
    </row>
    <row r="16" ht="45.0" customHeight="1">
      <c r="A16" s="4"/>
      <c r="B16" s="4"/>
      <c r="C16" s="24" t="s">
        <v>22</v>
      </c>
      <c r="D16" s="25"/>
      <c r="E16" s="25"/>
      <c r="F16" s="26"/>
      <c r="G16" s="27" t="s">
        <v>23</v>
      </c>
      <c r="H16" s="25"/>
      <c r="I16" s="25"/>
      <c r="J16" s="25"/>
      <c r="K16" s="25"/>
      <c r="L16" s="25"/>
      <c r="M16" s="26"/>
      <c r="N16" s="28">
        <v>0.15</v>
      </c>
      <c r="O16" s="25"/>
      <c r="P16" s="25"/>
      <c r="Q16" s="26"/>
      <c r="R16" s="29">
        <v>0.07</v>
      </c>
      <c r="S16" s="25"/>
      <c r="T16" s="26"/>
      <c r="U16" s="30"/>
      <c r="X16" s="22"/>
      <c r="Y16" s="27" t="s">
        <v>24</v>
      </c>
      <c r="Z16" s="25"/>
      <c r="AA16" s="25"/>
      <c r="AB16" s="25"/>
      <c r="AC16" s="26"/>
      <c r="AD16" s="28">
        <v>0.0</v>
      </c>
      <c r="AE16" s="25"/>
      <c r="AF16" s="25"/>
      <c r="AG16" s="25"/>
      <c r="AH16" s="26"/>
      <c r="AI16" s="31">
        <v>0.03</v>
      </c>
      <c r="AJ16" s="25"/>
      <c r="AK16" s="26"/>
      <c r="AL16" s="32"/>
      <c r="AZ16" s="22"/>
      <c r="BA16" s="33"/>
      <c r="BB16" s="4"/>
    </row>
    <row r="17" ht="45.0" customHeight="1" outlineLevel="1">
      <c r="A17" s="4"/>
      <c r="B17" s="4"/>
      <c r="C17" s="24" t="s">
        <v>25</v>
      </c>
      <c r="D17" s="25"/>
      <c r="E17" s="25"/>
      <c r="F17" s="26"/>
      <c r="G17" s="27" t="s">
        <v>23</v>
      </c>
      <c r="H17" s="25"/>
      <c r="I17" s="25"/>
      <c r="J17" s="25"/>
      <c r="K17" s="25"/>
      <c r="L17" s="25"/>
      <c r="M17" s="26"/>
      <c r="N17" s="28">
        <v>0.1</v>
      </c>
      <c r="O17" s="25"/>
      <c r="P17" s="25"/>
      <c r="Q17" s="26"/>
      <c r="R17" s="29">
        <v>0.04</v>
      </c>
      <c r="S17" s="25"/>
      <c r="T17" s="26"/>
      <c r="U17" s="34"/>
      <c r="X17" s="22"/>
      <c r="Y17" s="27" t="s">
        <v>24</v>
      </c>
      <c r="Z17" s="25"/>
      <c r="AA17" s="25"/>
      <c r="AB17" s="25"/>
      <c r="AC17" s="26"/>
      <c r="AD17" s="28">
        <v>0.0</v>
      </c>
      <c r="AE17" s="25"/>
      <c r="AF17" s="25"/>
      <c r="AG17" s="25"/>
      <c r="AH17" s="26"/>
      <c r="AI17" s="31">
        <v>0.02</v>
      </c>
      <c r="AJ17" s="25"/>
      <c r="AK17" s="26"/>
      <c r="AL17" s="34"/>
      <c r="AZ17" s="22"/>
      <c r="BA17" s="4"/>
      <c r="BB17" s="4"/>
    </row>
    <row r="18" ht="45.0" customHeight="1" outlineLevel="1">
      <c r="A18" s="4"/>
      <c r="B18" s="4"/>
      <c r="C18" s="24" t="s">
        <v>26</v>
      </c>
      <c r="D18" s="25"/>
      <c r="E18" s="25"/>
      <c r="F18" s="26"/>
      <c r="G18" s="27" t="s">
        <v>23</v>
      </c>
      <c r="H18" s="25"/>
      <c r="I18" s="25"/>
      <c r="J18" s="25"/>
      <c r="K18" s="25"/>
      <c r="L18" s="25"/>
      <c r="M18" s="26"/>
      <c r="N18" s="28">
        <v>0.05</v>
      </c>
      <c r="O18" s="25"/>
      <c r="P18" s="25"/>
      <c r="Q18" s="26"/>
      <c r="R18" s="29">
        <v>0.04</v>
      </c>
      <c r="S18" s="25"/>
      <c r="T18" s="26"/>
      <c r="U18" s="34"/>
      <c r="X18" s="22"/>
      <c r="Y18" s="27" t="s">
        <v>24</v>
      </c>
      <c r="Z18" s="25"/>
      <c r="AA18" s="25"/>
      <c r="AB18" s="25"/>
      <c r="AC18" s="26"/>
      <c r="AD18" s="28">
        <v>0.0</v>
      </c>
      <c r="AE18" s="25"/>
      <c r="AF18" s="25"/>
      <c r="AG18" s="25"/>
      <c r="AH18" s="26"/>
      <c r="AI18" s="35">
        <v>0.02</v>
      </c>
      <c r="AJ18" s="25"/>
      <c r="AK18" s="26"/>
      <c r="AL18" s="34"/>
      <c r="AZ18" s="22"/>
      <c r="BA18" s="4"/>
      <c r="BB18" s="4"/>
    </row>
    <row r="19" ht="45.0" customHeight="1" outlineLevel="1">
      <c r="A19" s="4"/>
      <c r="B19" s="4"/>
      <c r="C19" s="24" t="s">
        <v>27</v>
      </c>
      <c r="D19" s="25"/>
      <c r="E19" s="25"/>
      <c r="F19" s="26"/>
      <c r="G19" s="27"/>
      <c r="H19" s="25"/>
      <c r="I19" s="25"/>
      <c r="J19" s="25"/>
      <c r="K19" s="25"/>
      <c r="L19" s="25"/>
      <c r="M19" s="26"/>
      <c r="N19" s="36"/>
      <c r="O19" s="25"/>
      <c r="P19" s="25"/>
      <c r="Q19" s="26"/>
      <c r="R19" s="37"/>
      <c r="S19" s="25"/>
      <c r="T19" s="26"/>
      <c r="U19" s="34"/>
      <c r="X19" s="22"/>
      <c r="Y19" s="27"/>
      <c r="Z19" s="25"/>
      <c r="AA19" s="25"/>
      <c r="AB19" s="25"/>
      <c r="AC19" s="26"/>
      <c r="AD19" s="36"/>
      <c r="AE19" s="25"/>
      <c r="AF19" s="25"/>
      <c r="AG19" s="25"/>
      <c r="AH19" s="26"/>
      <c r="AI19" s="35"/>
      <c r="AJ19" s="25"/>
      <c r="AK19" s="26"/>
      <c r="AL19" s="34"/>
      <c r="AZ19" s="22"/>
      <c r="BA19" s="4"/>
      <c r="BB19" s="4"/>
    </row>
    <row r="20" ht="45.0" customHeight="1" outlineLevel="1">
      <c r="A20" s="4"/>
      <c r="B20" s="4"/>
      <c r="C20" s="24"/>
      <c r="D20" s="25"/>
      <c r="E20" s="25"/>
      <c r="F20" s="26"/>
      <c r="G20" s="27"/>
      <c r="H20" s="25"/>
      <c r="I20" s="25"/>
      <c r="J20" s="25"/>
      <c r="K20" s="25"/>
      <c r="L20" s="25"/>
      <c r="M20" s="26"/>
      <c r="N20" s="36"/>
      <c r="O20" s="25"/>
      <c r="P20" s="25"/>
      <c r="Q20" s="26"/>
      <c r="R20" s="37"/>
      <c r="S20" s="25"/>
      <c r="T20" s="26"/>
      <c r="U20" s="38"/>
      <c r="V20" s="25"/>
      <c r="W20" s="25"/>
      <c r="X20" s="26"/>
      <c r="Y20" s="27"/>
      <c r="Z20" s="25"/>
      <c r="AA20" s="25"/>
      <c r="AB20" s="25"/>
      <c r="AC20" s="26"/>
      <c r="AD20" s="36"/>
      <c r="AE20" s="25"/>
      <c r="AF20" s="25"/>
      <c r="AG20" s="25"/>
      <c r="AH20" s="26"/>
      <c r="AI20" s="35"/>
      <c r="AJ20" s="25"/>
      <c r="AK20" s="26"/>
      <c r="AL20" s="38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6"/>
      <c r="BA20" s="4"/>
      <c r="BB20" s="4"/>
    </row>
    <row r="21" ht="21.0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BA21" s="39"/>
      <c r="BB21" s="39"/>
    </row>
    <row r="22" ht="36.0" customHeight="1">
      <c r="A22" s="39"/>
      <c r="B22" s="39"/>
      <c r="C22" s="39"/>
      <c r="D22" s="39"/>
      <c r="E22" s="39"/>
      <c r="F22" s="39"/>
      <c r="G22" s="4"/>
      <c r="H22" s="4"/>
      <c r="I22" s="39"/>
      <c r="J22" s="39"/>
      <c r="K22" s="39"/>
      <c r="L22" s="40"/>
      <c r="M22" s="41" t="s">
        <v>28</v>
      </c>
      <c r="O22" s="42"/>
      <c r="P22" s="43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1" t="s">
        <v>29</v>
      </c>
      <c r="AC22" s="42"/>
      <c r="AE22" s="42"/>
      <c r="AF22" s="42"/>
      <c r="AG22" s="40"/>
      <c r="AH22" s="40"/>
      <c r="AI22" s="39"/>
      <c r="AJ22" s="40"/>
      <c r="AK22" s="40"/>
      <c r="AL22" s="40"/>
      <c r="AM22" s="40"/>
      <c r="AN22" s="40"/>
      <c r="AO22" s="40"/>
      <c r="AP22" s="40"/>
      <c r="AQ22" s="41" t="s">
        <v>30</v>
      </c>
      <c r="AS22" s="42"/>
      <c r="AT22" s="42"/>
      <c r="AU22" s="40"/>
      <c r="AV22" s="39"/>
      <c r="AW22" s="39"/>
      <c r="AX22" s="39"/>
      <c r="AY22" s="39"/>
      <c r="AZ22" s="39"/>
      <c r="BA22" s="39"/>
      <c r="BB22" s="39"/>
    </row>
    <row r="23" ht="25.5" customHeight="1">
      <c r="A23" s="39"/>
      <c r="B23" s="39"/>
      <c r="C23" s="39"/>
      <c r="D23" s="39"/>
      <c r="E23" s="39"/>
      <c r="F23" s="39"/>
      <c r="G23" s="4"/>
      <c r="H23" s="4"/>
      <c r="I23" s="44" t="s">
        <v>31</v>
      </c>
      <c r="S23" s="45"/>
      <c r="T23" s="46" t="s">
        <v>32</v>
      </c>
      <c r="AJ23" s="47"/>
      <c r="AK23" s="48" t="s">
        <v>33</v>
      </c>
      <c r="AW23" s="39"/>
      <c r="AX23" s="39"/>
      <c r="AY23" s="39"/>
      <c r="AZ23" s="39"/>
      <c r="BA23" s="39"/>
      <c r="BB23" s="39"/>
    </row>
    <row r="24" ht="21.0" customHeight="1">
      <c r="A24" s="39"/>
      <c r="B24" s="39"/>
      <c r="C24" s="39"/>
      <c r="D24" s="39"/>
      <c r="E24" s="39"/>
      <c r="F24" s="39"/>
      <c r="G24" s="4"/>
      <c r="H24" s="4"/>
      <c r="S24" s="45"/>
      <c r="AJ24" s="47"/>
      <c r="AW24" s="39"/>
      <c r="AX24" s="39"/>
      <c r="AY24" s="39"/>
      <c r="AZ24" s="39"/>
      <c r="BA24" s="39"/>
      <c r="BB24" s="39"/>
    </row>
    <row r="25" ht="21.0" customHeight="1">
      <c r="A25" s="39"/>
      <c r="B25" s="39"/>
      <c r="C25" s="39"/>
      <c r="D25" s="39"/>
      <c r="E25" s="39"/>
      <c r="F25" s="39"/>
      <c r="G25" s="4"/>
      <c r="H25" s="4"/>
      <c r="S25" s="45"/>
      <c r="AJ25" s="47"/>
      <c r="AW25" s="39"/>
      <c r="AX25" s="39"/>
      <c r="AY25" s="39"/>
      <c r="AZ25" s="39"/>
      <c r="BA25" s="39"/>
      <c r="BB25" s="39"/>
    </row>
    <row r="26" ht="21.0" customHeight="1">
      <c r="A26" s="39"/>
      <c r="B26" s="39"/>
      <c r="C26" s="39"/>
      <c r="D26" s="39"/>
      <c r="E26" s="39"/>
      <c r="F26" s="39"/>
      <c r="G26" s="4"/>
      <c r="H26" s="4"/>
      <c r="S26" s="45"/>
      <c r="AJ26" s="47"/>
      <c r="AW26" s="39"/>
      <c r="AX26" s="39"/>
      <c r="AY26" s="39"/>
      <c r="AZ26" s="39"/>
      <c r="BA26" s="39"/>
      <c r="BB26" s="39"/>
    </row>
    <row r="27" ht="21.0" customHeight="1">
      <c r="A27" s="39"/>
      <c r="B27" s="39"/>
      <c r="C27" s="39"/>
      <c r="D27" s="39"/>
      <c r="E27" s="39"/>
      <c r="F27" s="39"/>
      <c r="G27" s="4"/>
      <c r="H27" s="4"/>
      <c r="S27" s="45"/>
      <c r="AJ27" s="47"/>
      <c r="AW27" s="39"/>
      <c r="AX27" s="39"/>
      <c r="AY27" s="39"/>
      <c r="AZ27" s="39"/>
      <c r="BA27" s="39"/>
      <c r="BB27" s="39"/>
    </row>
    <row r="28" ht="21.0" customHeight="1">
      <c r="A28" s="39"/>
      <c r="B28" s="39"/>
      <c r="C28" s="39"/>
      <c r="D28" s="39"/>
      <c r="E28" s="39"/>
      <c r="F28" s="39"/>
      <c r="G28" s="4"/>
      <c r="H28" s="4"/>
      <c r="S28" s="45"/>
      <c r="AJ28" s="47"/>
      <c r="AW28" s="39"/>
      <c r="AX28" s="39"/>
      <c r="AY28" s="39"/>
      <c r="AZ28" s="39"/>
      <c r="BA28" s="39"/>
      <c r="BB28" s="39"/>
    </row>
    <row r="29" ht="21.0" customHeight="1">
      <c r="A29" s="39"/>
      <c r="B29" s="39"/>
      <c r="C29" s="39"/>
      <c r="D29" s="39"/>
      <c r="E29" s="39"/>
      <c r="F29" s="39"/>
      <c r="G29" s="4"/>
      <c r="H29" s="4"/>
      <c r="I29" s="39"/>
      <c r="J29" s="39"/>
      <c r="K29" s="39"/>
      <c r="L29" s="39"/>
      <c r="M29" s="42"/>
      <c r="N29" s="42"/>
      <c r="O29" s="42"/>
      <c r="P29" s="42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3"/>
      <c r="AV29" s="43"/>
      <c r="AW29" s="39"/>
      <c r="AX29" s="39"/>
      <c r="AY29" s="39"/>
      <c r="AZ29" s="39"/>
      <c r="BA29" s="39"/>
      <c r="BB29" s="39"/>
    </row>
    <row r="30" ht="36.75" customHeight="1">
      <c r="A30" s="39"/>
      <c r="B30" s="39"/>
      <c r="C30" s="39"/>
      <c r="D30" s="39"/>
      <c r="E30" s="39"/>
      <c r="F30" s="39"/>
      <c r="G30" s="4"/>
      <c r="H30" s="4"/>
      <c r="I30" s="39"/>
      <c r="J30" s="39"/>
      <c r="K30" s="39"/>
      <c r="L30" s="39"/>
      <c r="M30" s="39"/>
      <c r="N30" s="39"/>
      <c r="O30" s="39"/>
      <c r="P30" s="39"/>
      <c r="Q30" s="39"/>
      <c r="R30" s="41" t="s">
        <v>34</v>
      </c>
      <c r="AL30" s="42"/>
      <c r="AM30" s="42"/>
      <c r="AN30" s="42"/>
      <c r="AO30" s="42"/>
      <c r="AP30" s="42"/>
      <c r="AQ30" s="42"/>
      <c r="AR30" s="42"/>
      <c r="AS30" s="42"/>
      <c r="AT30" s="42"/>
      <c r="AU30" s="43"/>
      <c r="AV30" s="43"/>
      <c r="AW30" s="39"/>
      <c r="AX30" s="39"/>
      <c r="AY30" s="39"/>
      <c r="AZ30" s="39"/>
      <c r="BA30" s="39"/>
      <c r="BB30" s="39"/>
    </row>
    <row r="31" ht="21.0" customHeight="1">
      <c r="A31" s="39"/>
      <c r="B31" s="39"/>
      <c r="C31" s="39"/>
      <c r="D31" s="39"/>
      <c r="E31" s="39"/>
      <c r="F31" s="3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9" t="s">
        <v>35</v>
      </c>
      <c r="AL31" s="50"/>
      <c r="AM31" s="4"/>
      <c r="AN31" s="6"/>
      <c r="AO31" s="6"/>
      <c r="AP31" s="6"/>
      <c r="AQ31" s="6"/>
      <c r="AR31" s="6"/>
      <c r="AS31" s="6"/>
      <c r="AT31" s="6"/>
      <c r="AU31" s="4"/>
      <c r="AV31" s="50"/>
      <c r="AW31" s="39"/>
      <c r="AX31" s="39"/>
      <c r="AY31" s="39"/>
      <c r="AZ31" s="39"/>
      <c r="BA31" s="39"/>
      <c r="BB31" s="39"/>
    </row>
    <row r="32" ht="21.0" customHeight="1">
      <c r="A32" s="39"/>
      <c r="B32" s="39"/>
      <c r="C32" s="39"/>
      <c r="D32" s="39"/>
      <c r="E32" s="39"/>
      <c r="F32" s="3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AL32" s="50"/>
      <c r="AM32" s="4"/>
      <c r="AN32" s="6"/>
      <c r="AO32" s="6"/>
      <c r="AP32" s="6"/>
      <c r="AQ32" s="6"/>
      <c r="AR32" s="6"/>
      <c r="AS32" s="6"/>
      <c r="AT32" s="6"/>
      <c r="AU32" s="4"/>
      <c r="AV32" s="50"/>
      <c r="AW32" s="39"/>
      <c r="AX32" s="39"/>
      <c r="AY32" s="39"/>
      <c r="AZ32" s="39"/>
      <c r="BA32" s="39"/>
      <c r="BB32" s="39"/>
    </row>
    <row r="33" ht="21.0" customHeight="1">
      <c r="A33" s="39"/>
      <c r="B33" s="39"/>
      <c r="C33" s="39"/>
      <c r="D33" s="39"/>
      <c r="E33" s="39"/>
      <c r="F33" s="3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AL33" s="50"/>
      <c r="AM33" s="4"/>
      <c r="AN33" s="6"/>
      <c r="AO33" s="6"/>
      <c r="AP33" s="6"/>
      <c r="AQ33" s="6"/>
      <c r="AR33" s="6"/>
      <c r="AS33" s="6"/>
      <c r="AT33" s="6"/>
      <c r="AU33" s="4"/>
      <c r="AV33" s="50"/>
      <c r="AW33" s="39"/>
      <c r="AX33" s="39"/>
      <c r="AY33" s="39"/>
      <c r="AZ33" s="39"/>
      <c r="BA33" s="39"/>
      <c r="BB33" s="39"/>
    </row>
    <row r="34" ht="21.0" customHeight="1">
      <c r="A34" s="39"/>
      <c r="B34" s="39"/>
      <c r="C34" s="39"/>
      <c r="D34" s="39"/>
      <c r="E34" s="39"/>
      <c r="F34" s="3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51" t="s">
        <v>36</v>
      </c>
      <c r="AL34" s="52"/>
      <c r="AM34" s="4"/>
      <c r="AN34" s="6"/>
      <c r="AO34" s="6"/>
      <c r="AP34" s="6"/>
      <c r="AQ34" s="6"/>
      <c r="AR34" s="6"/>
      <c r="AS34" s="6"/>
      <c r="AT34" s="6"/>
      <c r="AU34" s="4"/>
      <c r="AV34" s="50"/>
      <c r="AW34" s="39"/>
      <c r="AX34" s="39"/>
      <c r="AY34" s="39"/>
      <c r="AZ34" s="39"/>
      <c r="BA34" s="39"/>
      <c r="BB34" s="39"/>
    </row>
    <row r="35" ht="21.0" customHeight="1">
      <c r="A35" s="39"/>
      <c r="B35" s="39"/>
      <c r="C35" s="39"/>
      <c r="D35" s="39"/>
      <c r="E35" s="39"/>
      <c r="F35" s="3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AL35" s="52"/>
      <c r="AM35" s="4"/>
      <c r="AN35" s="6"/>
      <c r="AO35" s="6"/>
      <c r="AP35" s="6"/>
      <c r="AQ35" s="6"/>
      <c r="AR35" s="6"/>
      <c r="AS35" s="6"/>
      <c r="AT35" s="6"/>
      <c r="AU35" s="4"/>
      <c r="AV35" s="50"/>
      <c r="AW35" s="39"/>
      <c r="AX35" s="39"/>
      <c r="AY35" s="39"/>
      <c r="AZ35" s="39"/>
      <c r="BA35" s="39"/>
      <c r="BB35" s="39"/>
    </row>
    <row r="36" ht="21.0" customHeight="1">
      <c r="A36" s="39"/>
      <c r="B36" s="39"/>
      <c r="C36" s="39"/>
      <c r="D36" s="39"/>
      <c r="E36" s="39"/>
      <c r="F36" s="3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53"/>
      <c r="S36" s="54" t="s">
        <v>37</v>
      </c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6"/>
      <c r="AK36" s="57"/>
      <c r="AL36" s="58"/>
      <c r="AM36" s="4"/>
      <c r="AN36" s="6"/>
      <c r="AO36" s="6"/>
      <c r="AP36" s="6"/>
      <c r="AQ36" s="6"/>
      <c r="AR36" s="6"/>
      <c r="AS36" s="6"/>
      <c r="AT36" s="6"/>
      <c r="AU36" s="4"/>
      <c r="AV36" s="4"/>
      <c r="AW36" s="39"/>
      <c r="AX36" s="39"/>
      <c r="AY36" s="39"/>
      <c r="AZ36" s="39"/>
      <c r="BA36" s="39"/>
      <c r="BB36" s="39"/>
    </row>
    <row r="37" ht="21.0" customHeight="1">
      <c r="A37" s="39"/>
      <c r="B37" s="39"/>
      <c r="C37" s="39"/>
      <c r="D37" s="39"/>
      <c r="E37" s="39"/>
      <c r="F37" s="3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59"/>
      <c r="S37" s="60"/>
      <c r="AJ37" s="61"/>
      <c r="AK37" s="62"/>
      <c r="AL37" s="63"/>
      <c r="AM37" s="4"/>
      <c r="AN37" s="6"/>
      <c r="AO37" s="6"/>
      <c r="AP37" s="6"/>
      <c r="AQ37" s="6"/>
      <c r="AR37" s="6"/>
      <c r="AS37" s="6"/>
      <c r="AT37" s="6"/>
      <c r="AU37" s="4"/>
      <c r="AV37" s="4"/>
      <c r="AW37" s="39"/>
      <c r="AX37" s="39"/>
      <c r="AY37" s="39"/>
      <c r="AZ37" s="39"/>
      <c r="BA37" s="39"/>
      <c r="BB37" s="39"/>
    </row>
    <row r="38" ht="21.0" customHeight="1">
      <c r="A38" s="39"/>
      <c r="B38" s="39"/>
      <c r="C38" s="39"/>
      <c r="D38" s="39"/>
      <c r="E38" s="39"/>
      <c r="F38" s="3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59"/>
      <c r="S38" s="64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6"/>
      <c r="AK38" s="62"/>
      <c r="AL38" s="63"/>
      <c r="AM38" s="4"/>
      <c r="AN38" s="6"/>
      <c r="AO38" s="6"/>
      <c r="AP38" s="6"/>
      <c r="AQ38" s="6"/>
      <c r="AR38" s="6"/>
      <c r="AS38" s="6"/>
      <c r="AT38" s="6"/>
      <c r="AU38" s="4"/>
      <c r="AV38" s="4"/>
      <c r="AW38" s="39"/>
      <c r="AX38" s="39"/>
      <c r="AY38" s="39"/>
      <c r="AZ38" s="39"/>
      <c r="BA38" s="39"/>
      <c r="BB38" s="39"/>
    </row>
    <row r="39" ht="21.0" customHeight="1">
      <c r="A39" s="39"/>
      <c r="B39" s="39"/>
      <c r="C39" s="39"/>
      <c r="D39" s="39"/>
      <c r="E39" s="39"/>
      <c r="F39" s="3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67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9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</row>
    <row r="40" ht="21.0" customHeight="1">
      <c r="A40" s="39"/>
      <c r="B40" s="39"/>
      <c r="C40" s="39"/>
      <c r="D40" s="39"/>
      <c r="E40" s="39"/>
      <c r="F40" s="3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</row>
    <row r="41" ht="33.0" customHeight="1">
      <c r="A41" s="70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71" t="s">
        <v>38</v>
      </c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</row>
    <row r="42" ht="24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72" t="s">
        <v>39</v>
      </c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</row>
    <row r="43" ht="21.0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</row>
    <row r="44" ht="21.0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</row>
    <row r="45" ht="21.0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73"/>
      <c r="Q45" s="73"/>
      <c r="R45" s="74" t="s">
        <v>40</v>
      </c>
      <c r="AG45" s="73"/>
      <c r="AH45" s="73"/>
      <c r="AI45" s="73"/>
      <c r="AJ45" s="73"/>
      <c r="AK45" s="73"/>
      <c r="AL45" s="73"/>
      <c r="AM45" s="73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</row>
    <row r="46" ht="21.0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73"/>
      <c r="Q46" s="73"/>
      <c r="R46" s="10" t="s">
        <v>22</v>
      </c>
      <c r="AG46" s="75" t="s">
        <v>41</v>
      </c>
      <c r="AK46" s="76">
        <f>IFERROR(__xludf.DUMMYFUNCTION("SUM(ArrayFormula(SUMIF('🔒 Доп. информация'!J:J,TRANSPOSE(SPLIT(Q48,"", "",FALSE,TRUE)),'🔒 Доп. информация'!P:P)))"),0.0)</f>
        <v>0</v>
      </c>
      <c r="AM46" s="73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</row>
    <row r="47" ht="21.0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77"/>
      <c r="Q47" s="78" t="s">
        <v>42</v>
      </c>
      <c r="AG47" s="79"/>
      <c r="AK47" s="80"/>
      <c r="AM47" s="77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</row>
    <row r="48" ht="21.0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81"/>
      <c r="Q48" s="10"/>
      <c r="AM48" s="81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</row>
    <row r="49" ht="21.0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81"/>
      <c r="AM49" s="81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</row>
    <row r="50" ht="21.0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81"/>
      <c r="AM50" s="81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</row>
    <row r="51" ht="21.0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81"/>
      <c r="Q51" s="82"/>
      <c r="R51" s="83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5"/>
      <c r="AM51" s="81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</row>
    <row r="52" ht="21.0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40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86"/>
      <c r="AL52" s="86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</row>
    <row r="53" ht="21.0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73"/>
      <c r="Q53" s="73"/>
      <c r="R53" s="74" t="s">
        <v>40</v>
      </c>
      <c r="AG53" s="73"/>
      <c r="AH53" s="73"/>
      <c r="AI53" s="73"/>
      <c r="AJ53" s="73"/>
      <c r="AK53" s="73"/>
      <c r="AL53" s="73"/>
      <c r="AM53" s="73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</row>
    <row r="54" ht="21.0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73"/>
      <c r="Q54" s="73"/>
      <c r="R54" s="10" t="s">
        <v>27</v>
      </c>
      <c r="AG54" s="75" t="s">
        <v>41</v>
      </c>
      <c r="AK54" s="76">
        <f>IFERROR(__xludf.DUMMYFUNCTION("SUM(ArrayFormula(SUMIF('🔒 Доп. информация'!J:J,TRANSPOSE(SPLIT(Q56,"", "",FALSE,TRUE)),'🔒 Доп. информация'!P:P)))"),0.0)</f>
        <v>0</v>
      </c>
      <c r="AM54" s="73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</row>
    <row r="55" ht="21.0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77"/>
      <c r="Q55" s="78" t="s">
        <v>42</v>
      </c>
      <c r="AG55" s="79"/>
      <c r="AK55" s="80"/>
      <c r="AM55" s="77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</row>
    <row r="56" ht="21.0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1"/>
      <c r="Q56" s="10"/>
      <c r="AM56" s="81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</row>
    <row r="57" ht="21.0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81"/>
      <c r="AM57" s="81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</row>
    <row r="58" ht="21.0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81"/>
      <c r="AM58" s="81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</row>
    <row r="59" ht="21.0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81"/>
      <c r="Q59" s="82"/>
      <c r="R59" s="83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5"/>
      <c r="AM59" s="81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</row>
    <row r="60" ht="21.0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40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86"/>
      <c r="AL60" s="86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</row>
    <row r="61" ht="21.0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73"/>
      <c r="Q61" s="73"/>
      <c r="R61" s="74" t="s">
        <v>40</v>
      </c>
      <c r="AG61" s="73"/>
      <c r="AH61" s="73"/>
      <c r="AI61" s="73"/>
      <c r="AJ61" s="73"/>
      <c r="AK61" s="73"/>
      <c r="AL61" s="73"/>
      <c r="AM61" s="73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</row>
    <row r="62" ht="21.0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73"/>
      <c r="Q62" s="73"/>
      <c r="R62" s="10" t="s">
        <v>43</v>
      </c>
      <c r="AG62" s="75" t="s">
        <v>41</v>
      </c>
      <c r="AK62" s="76">
        <f>IFERROR(__xludf.DUMMYFUNCTION("SUM(ArrayFormula(SUMIF('🔒 Доп. информация'!J:J,TRANSPOSE(SPLIT(Q64,"", "",FALSE,TRUE)),'🔒 Доп. информация'!P:P)))"),0.0)</f>
        <v>0</v>
      </c>
      <c r="AM62" s="73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</row>
    <row r="63" ht="21.0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77"/>
      <c r="Q63" s="78" t="s">
        <v>42</v>
      </c>
      <c r="AG63" s="79"/>
      <c r="AK63" s="80"/>
      <c r="AM63" s="77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</row>
    <row r="64" ht="21.0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81"/>
      <c r="Q64" s="10"/>
      <c r="AM64" s="81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</row>
    <row r="65" ht="21.0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81"/>
      <c r="AM65" s="81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</row>
    <row r="66" ht="21.0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81"/>
      <c r="AM66" s="81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</row>
    <row r="67" ht="21.0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81"/>
      <c r="Q67" s="82"/>
      <c r="R67" s="83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5"/>
      <c r="AM67" s="81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</row>
    <row r="68" ht="21.0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40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86"/>
      <c r="AL68" s="86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</row>
    <row r="69" ht="21.0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73"/>
      <c r="Q69" s="73"/>
      <c r="R69" s="74" t="s">
        <v>40</v>
      </c>
      <c r="AG69" s="73"/>
      <c r="AH69" s="73"/>
      <c r="AI69" s="73"/>
      <c r="AJ69" s="73"/>
      <c r="AK69" s="73"/>
      <c r="AL69" s="73"/>
      <c r="AM69" s="73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</row>
    <row r="70" ht="21.0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73"/>
      <c r="Q70" s="73"/>
      <c r="R70" s="75"/>
      <c r="AG70" s="75" t="s">
        <v>41</v>
      </c>
      <c r="AK70" s="76">
        <f>IFERROR(__xludf.DUMMYFUNCTION("SUM(ArrayFormula(SUMIF('🔒 Доп. информация'!J:J,TRANSPOSE(SPLIT(Q72,"", "",FALSE,TRUE)),'🔒 Доп. информация'!P:P)))"),0.0)</f>
        <v>0</v>
      </c>
      <c r="AM70" s="73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</row>
    <row r="71" ht="21.0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77"/>
      <c r="Q71" s="78" t="s">
        <v>42</v>
      </c>
      <c r="AG71" s="79"/>
      <c r="AK71" s="80"/>
      <c r="AM71" s="77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</row>
    <row r="72" ht="21.0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81"/>
      <c r="Q72" s="10"/>
      <c r="AM72" s="81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</row>
    <row r="73" ht="21.0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81"/>
      <c r="AM73" s="81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</row>
    <row r="74" ht="21.0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81"/>
      <c r="AM74" s="81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</row>
    <row r="75" ht="21.0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81"/>
      <c r="Q75" s="82"/>
      <c r="R75" s="83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5"/>
      <c r="AM75" s="81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</row>
    <row r="76" ht="21.0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40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86"/>
      <c r="AL76" s="86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</row>
    <row r="77" ht="21.0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73"/>
      <c r="Q77" s="73"/>
      <c r="R77" s="74" t="s">
        <v>40</v>
      </c>
      <c r="AG77" s="73"/>
      <c r="AH77" s="73"/>
      <c r="AI77" s="73"/>
      <c r="AJ77" s="73"/>
      <c r="AK77" s="73"/>
      <c r="AL77" s="73"/>
      <c r="AM77" s="73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</row>
    <row r="78" ht="21.0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73"/>
      <c r="Q78" s="73"/>
      <c r="R78" s="75"/>
      <c r="AG78" s="75" t="s">
        <v>41</v>
      </c>
      <c r="AK78" s="76">
        <f>IFERROR(__xludf.DUMMYFUNCTION("SUM(ArrayFormula(SUMIF('🔒 Доп. информация'!J:J,TRANSPOSE(SPLIT(Q80,"", "",FALSE,TRUE)),'🔒 Доп. информация'!P:P)))"),0.0)</f>
        <v>0</v>
      </c>
      <c r="AM78" s="73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</row>
    <row r="79" ht="21.0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77"/>
      <c r="Q79" s="78" t="s">
        <v>42</v>
      </c>
      <c r="AG79" s="79"/>
      <c r="AK79" s="80"/>
      <c r="AM79" s="77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</row>
    <row r="80" ht="21.0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81"/>
      <c r="Q80" s="10"/>
      <c r="AM80" s="81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</row>
    <row r="81" ht="21.0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81"/>
      <c r="AM81" s="81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</row>
    <row r="82" ht="21.0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81"/>
      <c r="AM82" s="81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</row>
    <row r="83" ht="21.0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81"/>
      <c r="Q83" s="82"/>
      <c r="R83" s="83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5"/>
      <c r="AM83" s="81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</row>
    <row r="84" ht="21.0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40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86"/>
      <c r="AL84" s="86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</row>
    <row r="85" ht="21.0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73"/>
      <c r="Q85" s="73"/>
      <c r="R85" s="74" t="s">
        <v>40</v>
      </c>
      <c r="AG85" s="73"/>
      <c r="AH85" s="73"/>
      <c r="AI85" s="73"/>
      <c r="AJ85" s="73"/>
      <c r="AK85" s="73"/>
      <c r="AL85" s="73"/>
      <c r="AM85" s="73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</row>
    <row r="86" ht="21.0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73"/>
      <c r="Q86" s="73"/>
      <c r="R86" s="75"/>
      <c r="AG86" s="75" t="s">
        <v>41</v>
      </c>
      <c r="AK86" s="76">
        <f>IFERROR(__xludf.DUMMYFUNCTION("SUM(ArrayFormula(SUMIF('🔒 Доп. информация'!J:J,TRANSPOSE(SPLIT(Q88,"", "",FALSE,TRUE)),'🔒 Доп. информация'!P:P)))"),0.0)</f>
        <v>0</v>
      </c>
      <c r="AM86" s="73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</row>
    <row r="87" ht="21.0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77"/>
      <c r="Q87" s="78" t="s">
        <v>42</v>
      </c>
      <c r="AG87" s="79"/>
      <c r="AK87" s="80"/>
      <c r="AM87" s="77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</row>
    <row r="88" ht="21.0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81"/>
      <c r="Q88" s="10"/>
      <c r="AM88" s="81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</row>
    <row r="89" ht="21.0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81"/>
      <c r="AM89" s="81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</row>
    <row r="90" ht="21.0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81"/>
      <c r="AM90" s="81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</row>
    <row r="91" ht="21.0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81"/>
      <c r="Q91" s="82"/>
      <c r="R91" s="83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5"/>
      <c r="AM91" s="81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</row>
    <row r="92" ht="21.0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40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86"/>
      <c r="AL92" s="86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</row>
    <row r="93" ht="30.0" customHeight="1">
      <c r="A93" s="87" t="s">
        <v>44</v>
      </c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</row>
    <row r="95" ht="4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" t="s">
        <v>45</v>
      </c>
      <c r="AC95" s="4"/>
      <c r="AD95" s="4"/>
      <c r="AE95" s="9" t="s">
        <v>7</v>
      </c>
      <c r="AQ95" s="7"/>
      <c r="AR95" s="7"/>
      <c r="AS95" s="7"/>
      <c r="AT95" s="4"/>
      <c r="AU95" s="4"/>
      <c r="AV95" s="4"/>
      <c r="AW95" s="4"/>
      <c r="AX95" s="4"/>
      <c r="AY95" s="4"/>
      <c r="AZ95" s="4"/>
      <c r="BA95" s="4"/>
      <c r="BB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88" t="s">
        <v>46</v>
      </c>
      <c r="AC96" s="4"/>
      <c r="AD96" s="4"/>
      <c r="AE96" s="88" t="s">
        <v>47</v>
      </c>
      <c r="AQ96" s="50"/>
      <c r="AR96" s="50"/>
      <c r="AS96" s="50"/>
      <c r="AT96" s="4"/>
      <c r="AU96" s="4"/>
      <c r="AV96" s="4"/>
      <c r="AW96" s="4"/>
      <c r="AX96" s="4"/>
      <c r="AY96" s="4"/>
      <c r="AZ96" s="4"/>
      <c r="BA96" s="4"/>
      <c r="BB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AC97" s="4"/>
      <c r="AD97" s="4"/>
      <c r="AQ97" s="50"/>
      <c r="AR97" s="50"/>
      <c r="AS97" s="50"/>
      <c r="AT97" s="4"/>
      <c r="AU97" s="4"/>
      <c r="AV97" s="4"/>
      <c r="AW97" s="4"/>
      <c r="AX97" s="4"/>
      <c r="AY97" s="4"/>
      <c r="AZ97" s="4"/>
      <c r="BA97" s="4"/>
      <c r="BB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AC98" s="4"/>
      <c r="AD98" s="4"/>
      <c r="AQ98" s="50"/>
      <c r="AR98" s="50"/>
      <c r="AS98" s="50"/>
      <c r="AT98" s="4"/>
      <c r="AU98" s="4"/>
      <c r="AV98" s="4"/>
      <c r="AW98" s="4"/>
      <c r="AX98" s="4"/>
      <c r="AY98" s="4"/>
      <c r="AZ98" s="4"/>
      <c r="BA98" s="4"/>
      <c r="BB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AC99" s="4"/>
      <c r="AD99" s="4"/>
      <c r="AQ99" s="50"/>
      <c r="AR99" s="50"/>
      <c r="AS99" s="50"/>
      <c r="AT99" s="4"/>
      <c r="AU99" s="4"/>
      <c r="AV99" s="4"/>
      <c r="AW99" s="4"/>
      <c r="AX99" s="4"/>
      <c r="AY99" s="4"/>
      <c r="AZ99" s="4"/>
      <c r="BA99" s="4"/>
      <c r="BB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AC100" s="4"/>
      <c r="AD100" s="4"/>
      <c r="AE100" s="89"/>
      <c r="AQ100" s="90"/>
      <c r="AR100" s="90"/>
      <c r="AS100" s="50"/>
      <c r="AT100" s="4"/>
      <c r="AU100" s="4"/>
      <c r="AV100" s="4"/>
      <c r="AW100" s="4"/>
      <c r="AX100" s="4"/>
      <c r="AY100" s="4"/>
      <c r="AZ100" s="4"/>
      <c r="BA100" s="4"/>
      <c r="BB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AC101" s="4"/>
      <c r="AD101" s="4"/>
      <c r="AQ101" s="90"/>
      <c r="AR101" s="90"/>
      <c r="AS101" s="50"/>
      <c r="AT101" s="4"/>
      <c r="AU101" s="4"/>
      <c r="AV101" s="4"/>
      <c r="AW101" s="4"/>
      <c r="AX101" s="4"/>
      <c r="AY101" s="4"/>
      <c r="AZ101" s="4"/>
      <c r="BA101" s="4"/>
      <c r="BB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</row>
    <row r="103" ht="34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 t="s">
        <v>8</v>
      </c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88" t="s">
        <v>48</v>
      </c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50"/>
      <c r="AR104" s="50"/>
      <c r="AS104" s="50"/>
      <c r="AT104" s="4"/>
      <c r="AU104" s="4"/>
      <c r="AV104" s="4"/>
      <c r="AW104" s="4"/>
      <c r="AX104" s="4"/>
      <c r="AY104" s="4"/>
      <c r="AZ104" s="4"/>
      <c r="BA104" s="4"/>
      <c r="BB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50"/>
      <c r="AR105" s="50"/>
      <c r="AS105" s="50"/>
      <c r="AT105" s="4"/>
      <c r="AU105" s="4"/>
      <c r="AV105" s="4"/>
      <c r="AW105" s="4"/>
      <c r="AX105" s="4"/>
      <c r="AY105" s="4"/>
      <c r="AZ105" s="4"/>
      <c r="BA105" s="4"/>
      <c r="BB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50"/>
      <c r="AR106" s="50"/>
      <c r="AS106" s="50"/>
      <c r="AT106" s="4"/>
      <c r="AU106" s="4"/>
      <c r="AV106" s="4"/>
      <c r="AW106" s="4"/>
      <c r="AX106" s="4"/>
      <c r="AY106" s="4"/>
      <c r="AZ106" s="4"/>
      <c r="BA106" s="4"/>
      <c r="BB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50"/>
      <c r="AR107" s="50"/>
      <c r="AS107" s="50"/>
      <c r="AT107" s="4"/>
      <c r="AU107" s="4"/>
      <c r="AV107" s="4"/>
      <c r="AW107" s="4"/>
      <c r="AX107" s="4"/>
      <c r="AY107" s="4"/>
      <c r="AZ107" s="4"/>
      <c r="BA107" s="4"/>
      <c r="BB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89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90"/>
      <c r="AR108" s="90"/>
      <c r="AS108" s="50"/>
      <c r="AT108" s="4"/>
      <c r="AU108" s="4"/>
      <c r="AV108" s="4"/>
      <c r="AW108" s="4"/>
      <c r="AX108" s="4"/>
      <c r="AY108" s="4"/>
      <c r="AZ108" s="4"/>
      <c r="BA108" s="4"/>
      <c r="BB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90"/>
      <c r="AR109" s="90"/>
      <c r="AS109" s="50"/>
      <c r="AT109" s="4"/>
      <c r="AU109" s="4"/>
      <c r="AV109" s="4"/>
      <c r="AW109" s="4"/>
      <c r="AX109" s="4"/>
      <c r="AY109" s="4"/>
      <c r="AZ109" s="4"/>
      <c r="BA109" s="4"/>
      <c r="BB109" s="4"/>
    </row>
    <row r="110" ht="45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91"/>
      <c r="AT110" s="4"/>
      <c r="AU110" s="4"/>
      <c r="AV110" s="4"/>
      <c r="AW110" s="4"/>
      <c r="AX110" s="4"/>
      <c r="AY110" s="4"/>
      <c r="AZ110" s="4"/>
      <c r="BA110" s="4"/>
      <c r="BB110" s="4"/>
    </row>
  </sheetData>
  <mergeCells count="141">
    <mergeCell ref="B2:BA3"/>
    <mergeCell ref="I5:L5"/>
    <mergeCell ref="Z5:AC5"/>
    <mergeCell ref="AQ5:AT5"/>
    <mergeCell ref="E6:P11"/>
    <mergeCell ref="T6:AI11"/>
    <mergeCell ref="AM6:AX11"/>
    <mergeCell ref="AI13:AK13"/>
    <mergeCell ref="AL13:AT13"/>
    <mergeCell ref="AU13:AZ13"/>
    <mergeCell ref="D13:E13"/>
    <mergeCell ref="G13:M13"/>
    <mergeCell ref="N13:Q13"/>
    <mergeCell ref="R13:T13"/>
    <mergeCell ref="U13:X13"/>
    <mergeCell ref="Y13:AC13"/>
    <mergeCell ref="AD13:AH13"/>
    <mergeCell ref="AI14:AK15"/>
    <mergeCell ref="AL14:AZ15"/>
    <mergeCell ref="C14:F15"/>
    <mergeCell ref="G14:M15"/>
    <mergeCell ref="N14:Q15"/>
    <mergeCell ref="R14:T15"/>
    <mergeCell ref="U14:X15"/>
    <mergeCell ref="Y14:AC15"/>
    <mergeCell ref="AD14:AH15"/>
    <mergeCell ref="AI16:AK16"/>
    <mergeCell ref="AL16:AZ20"/>
    <mergeCell ref="AI17:AK17"/>
    <mergeCell ref="AI18:AK18"/>
    <mergeCell ref="AI19:AK19"/>
    <mergeCell ref="AI20:AK20"/>
    <mergeCell ref="AO21:AZ21"/>
    <mergeCell ref="AQ22:AR22"/>
    <mergeCell ref="N20:Q20"/>
    <mergeCell ref="M22:N22"/>
    <mergeCell ref="AA22:AB22"/>
    <mergeCell ref="AC22:AD22"/>
    <mergeCell ref="N17:Q17"/>
    <mergeCell ref="R17:T17"/>
    <mergeCell ref="C20:F20"/>
    <mergeCell ref="G20:M20"/>
    <mergeCell ref="R20:T20"/>
    <mergeCell ref="Y20:AC20"/>
    <mergeCell ref="AD20:AH20"/>
    <mergeCell ref="C17:F17"/>
    <mergeCell ref="G17:M17"/>
    <mergeCell ref="Y17:AC17"/>
    <mergeCell ref="AD17:AH17"/>
    <mergeCell ref="C18:F18"/>
    <mergeCell ref="G18:M18"/>
    <mergeCell ref="N18:Q18"/>
    <mergeCell ref="R18:T18"/>
    <mergeCell ref="Y18:AC18"/>
    <mergeCell ref="AD18:AH18"/>
    <mergeCell ref="N19:Q19"/>
    <mergeCell ref="R19:T19"/>
    <mergeCell ref="Y19:AC19"/>
    <mergeCell ref="AD19:AH19"/>
    <mergeCell ref="AG78:AJ78"/>
    <mergeCell ref="AK78:AL78"/>
    <mergeCell ref="Q71:AF71"/>
    <mergeCell ref="AG71:AJ71"/>
    <mergeCell ref="AK71:AL71"/>
    <mergeCell ref="Q72:AL74"/>
    <mergeCell ref="AK75:AL75"/>
    <mergeCell ref="R77:AF77"/>
    <mergeCell ref="R78:AF78"/>
    <mergeCell ref="AG86:AJ86"/>
    <mergeCell ref="AK86:AL86"/>
    <mergeCell ref="Q79:AF79"/>
    <mergeCell ref="AG79:AJ79"/>
    <mergeCell ref="AK79:AL79"/>
    <mergeCell ref="Q80:AL82"/>
    <mergeCell ref="AK83:AL83"/>
    <mergeCell ref="R85:AF85"/>
    <mergeCell ref="R86:AF86"/>
    <mergeCell ref="M95:AB95"/>
    <mergeCell ref="M96:AB101"/>
    <mergeCell ref="AE96:AP99"/>
    <mergeCell ref="AE100:AP101"/>
    <mergeCell ref="M103:AB103"/>
    <mergeCell ref="M104:AB107"/>
    <mergeCell ref="M108:AB109"/>
    <mergeCell ref="AB110:AS110"/>
    <mergeCell ref="Q87:AF87"/>
    <mergeCell ref="AG87:AJ87"/>
    <mergeCell ref="AK87:AL87"/>
    <mergeCell ref="Q88:AL90"/>
    <mergeCell ref="AK91:AL91"/>
    <mergeCell ref="A93:BB93"/>
    <mergeCell ref="AE95:AP95"/>
    <mergeCell ref="C16:F16"/>
    <mergeCell ref="G16:M16"/>
    <mergeCell ref="N16:Q16"/>
    <mergeCell ref="R16:T16"/>
    <mergeCell ref="U16:X20"/>
    <mergeCell ref="Y16:AC16"/>
    <mergeCell ref="AD16:AH16"/>
    <mergeCell ref="C19:F19"/>
    <mergeCell ref="G19:M19"/>
    <mergeCell ref="I23:R28"/>
    <mergeCell ref="T23:AI28"/>
    <mergeCell ref="AK23:AV28"/>
    <mergeCell ref="R30:AK30"/>
    <mergeCell ref="R31:AK33"/>
    <mergeCell ref="R34:AK35"/>
    <mergeCell ref="S36:AJ38"/>
    <mergeCell ref="R41:AK41"/>
    <mergeCell ref="P42:AM44"/>
    <mergeCell ref="R45:AF45"/>
    <mergeCell ref="AG46:AJ46"/>
    <mergeCell ref="AK46:AL46"/>
    <mergeCell ref="R46:AF46"/>
    <mergeCell ref="Q47:AF47"/>
    <mergeCell ref="AG47:AJ47"/>
    <mergeCell ref="AK47:AL47"/>
    <mergeCell ref="Q48:AL50"/>
    <mergeCell ref="AK51:AL51"/>
    <mergeCell ref="R53:AF53"/>
    <mergeCell ref="R54:AF54"/>
    <mergeCell ref="AG54:AJ54"/>
    <mergeCell ref="AK54:AL54"/>
    <mergeCell ref="Q55:AF55"/>
    <mergeCell ref="AG55:AJ55"/>
    <mergeCell ref="AK55:AL55"/>
    <mergeCell ref="Q56:AL58"/>
    <mergeCell ref="AK59:AL59"/>
    <mergeCell ref="R61:AF61"/>
    <mergeCell ref="R62:AF62"/>
    <mergeCell ref="AG62:AJ62"/>
    <mergeCell ref="AK62:AL62"/>
    <mergeCell ref="AG63:AJ63"/>
    <mergeCell ref="AK63:AL63"/>
    <mergeCell ref="Q63:AF63"/>
    <mergeCell ref="Q64:AL66"/>
    <mergeCell ref="AK67:AL67"/>
    <mergeCell ref="R69:AF69"/>
    <mergeCell ref="R70:AF70"/>
    <mergeCell ref="AG70:AJ70"/>
    <mergeCell ref="AK70:AL70"/>
  </mergeCells>
  <dataValidations>
    <dataValidation type="list" allowBlank="1" showErrorMessage="1" sqref="Y16:Y20">
      <formula1>"Налог с продаж,Налог с пришедших на счет денег"</formula1>
    </dataValidation>
    <dataValidation type="list" allowBlank="1" showErrorMessage="1" sqref="Q48 Q56 Q64 Q72 Q80 Q88">
      <formula1>'🔒 Доп. информация'!$J$15:$J110</formula1>
    </dataValidation>
    <dataValidation type="list" allowBlank="1" showErrorMessage="1" sqref="G16:G20">
      <formula1>"Маржинальность прихода,Маржинальность продаж"</formula1>
    </dataValidation>
    <dataValidation type="list" allowBlank="1" showErrorMessage="1" sqref="S36">
      <formula1>'🔒 Доп. информация'!$D$12:$D110</formula1>
    </dataValidation>
    <dataValidation type="list" allowBlank="1" showErrorMessage="1" sqref="R46 R54 R62 R70 R78 R86">
      <formula1>'▶️ Инструкция'!C$14:F$20</formula1>
    </dataValidation>
  </dataValidations>
  <hyperlinks>
    <hyperlink display="Вручную обновите данные во вкладке&#10;«📄Комиссии» в ячейках ниже 6-ой&#10;строки на актуальные из личного&#10;кабинета селлера по ссылке" location="'📄 Комиссии'!A1" ref="T6"/>
    <hyperlink display="Вручную обновите данные во вкладке&#10;«🔒Доп. информация» в ячейках&#10;I9:N10 и C12:F100 на актуальные&#10;из личного кабинета&#10;селлера по ссылке" location="'🔒 Доп. информация'!A1" ref="AM6"/>
    <hyperlink display="В 5 строчке в «🤖Калькулятор» указаны&#10;объяснения значений каждого&#10;столбца калькулятора.&#10;Их можно скрыть или открыть,&#10;нажав на ➕слева от строки 4" location="'🤖 Калькулятор'!A1" ref="M96"/>
    <hyperlink display="Во вкладке «📄Комиссии» — актуальные комиссии всех марктелпейсов. Эти данные периодически меняются, ссылки на актуальные данные указаны в таблице " location="'📄 Комиссии'!A1" ref="AE96"/>
    <hyperlink display="Во вкладке «🔒Доп. информация» указаны актуальные дополнительные данные&#10;от марктеплейсов. Эти данные&#10;периодически меняются, ссылки на актуальные данные указаны в таблице" location="'🔒 Доп. информация'!A1" ref="M10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8B3D"/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1.22" defaultRowHeight="15.75" outlineLevelCol="2" outlineLevelRow="1"/>
  <cols>
    <col customWidth="1" min="1" max="1" width="5.33"/>
    <col customWidth="1" min="2" max="2" width="6.11"/>
    <col customWidth="1" min="3" max="3" width="14.56"/>
    <col customWidth="1" min="4" max="4" width="6.0"/>
    <col customWidth="1" min="5" max="5" width="9.67"/>
    <col customWidth="1" min="6" max="6" width="26.22"/>
    <col customWidth="1" min="7" max="7" width="8.78"/>
    <col customWidth="1" min="8" max="8" width="10.56"/>
    <col customWidth="1" min="9" max="9" width="10.22"/>
    <col collapsed="1" customWidth="1" min="10" max="10" width="6.56"/>
    <col customWidth="1" hidden="1" min="11" max="11" width="8.67" outlineLevel="1"/>
    <col customWidth="1" min="12" max="12" width="7.0"/>
    <col customWidth="1" min="13" max="13" width="17.33" outlineLevel="1"/>
    <col collapsed="1" customWidth="1" min="14" max="14" width="10.0" outlineLevel="1"/>
    <col customWidth="1" hidden="1" min="15" max="15" width="17.33" outlineLevel="2"/>
    <col customWidth="1" hidden="1" min="16" max="16" width="5.67" outlineLevel="2"/>
    <col customWidth="1" hidden="1" min="17" max="17" width="17.33" outlineLevel="2"/>
    <col customWidth="1" hidden="1" min="18" max="18" width="4.22" outlineLevel="2"/>
    <col customWidth="1" min="19" max="19" width="17.44" outlineLevel="1"/>
    <col customWidth="1" min="20" max="20" width="8.33" outlineLevel="1"/>
    <col collapsed="1" customWidth="1" min="21" max="21" width="11.0" outlineLevel="1"/>
    <col customWidth="1" hidden="1" min="22" max="24" width="7.0" outlineLevel="2"/>
    <col customWidth="1" hidden="1" min="25" max="25" width="7.78" outlineLevel="2"/>
    <col customWidth="1" min="26" max="26" width="7.89" outlineLevel="1"/>
    <col collapsed="1" customWidth="1" min="27" max="27" width="7.89" outlineLevel="1"/>
    <col customWidth="1" hidden="1" min="28" max="30" width="7.89" outlineLevel="2"/>
    <col customWidth="1" min="31" max="31" width="7.22" outlineLevel="1"/>
    <col customWidth="1" min="32" max="34" width="2.56" outlineLevel="1"/>
    <col customWidth="1" min="35" max="35" width="6.67" outlineLevel="1"/>
    <col collapsed="1" customWidth="1" min="36" max="36" width="5.67" outlineLevel="1"/>
    <col customWidth="1" hidden="1" min="37" max="37" width="7.67" outlineLevel="2"/>
    <col collapsed="1" customWidth="1" min="38" max="38" width="6.33" outlineLevel="1"/>
    <col customWidth="1" hidden="1" min="39" max="39" width="8.56" outlineLevel="2"/>
    <col customWidth="1" min="40" max="45" width="6.44" outlineLevel="1"/>
    <col customWidth="1" min="46" max="46" width="16.22" outlineLevel="1"/>
    <col customWidth="1" min="47" max="47" width="10.11" outlineLevel="1"/>
    <col customWidth="1" min="48" max="48" width="7.33" outlineLevel="1"/>
    <col customWidth="1" min="49" max="49" width="7.22"/>
    <col customWidth="1" min="50" max="50" width="8.89"/>
    <col customWidth="1" min="51" max="51" width="7.44"/>
    <col customWidth="1" min="52" max="55" width="7.22"/>
    <col customWidth="1" min="56" max="56" width="8.56"/>
    <col customWidth="1" min="57" max="57" width="9.0"/>
    <col customWidth="1" min="58" max="58" width="10.33"/>
    <col customWidth="1" min="59" max="59" width="8.11"/>
    <col customWidth="1" min="60" max="60" width="7.78"/>
    <col customWidth="1" min="61" max="61" width="1.44"/>
    <col customWidth="1" min="62" max="62" width="6.0" outlineLevel="1"/>
    <col collapsed="1" customWidth="1" min="63" max="63" width="6.11" outlineLevel="1"/>
    <col customWidth="1" hidden="1" min="64" max="64" width="7.67" outlineLevel="2"/>
    <col customWidth="1" hidden="1" min="65" max="65" width="9.22" outlineLevel="2"/>
    <col customWidth="1" min="66" max="66" width="5.67" outlineLevel="1"/>
    <col customWidth="1" min="67" max="67" width="5.44" outlineLevel="1"/>
    <col customWidth="1" min="68" max="68" width="6.33" outlineLevel="1"/>
    <col customWidth="1" min="69" max="69" width="6.78" outlineLevel="1"/>
    <col customWidth="1" min="70" max="70" width="6.22" outlineLevel="1"/>
    <col customWidth="1" min="71" max="71" width="5.78" outlineLevel="1"/>
    <col customWidth="1" min="72" max="72" width="5.22" outlineLevel="1"/>
    <col customWidth="1" min="73" max="73" width="6.78" outlineLevel="1"/>
    <col customWidth="1" min="74" max="74" width="7.11" outlineLevel="1"/>
    <col customWidth="1" min="75" max="75" width="6.67" outlineLevel="1"/>
    <col customWidth="1" min="76" max="76" width="7.11" outlineLevel="1"/>
  </cols>
  <sheetData>
    <row r="1" ht="22.5" customHeight="1">
      <c r="A1" s="92"/>
      <c r="D1" s="93"/>
      <c r="E1" s="94"/>
      <c r="F1" s="95"/>
      <c r="G1" s="96" t="s">
        <v>49</v>
      </c>
      <c r="AS1" s="22"/>
      <c r="AT1" s="97" t="s">
        <v>50</v>
      </c>
      <c r="AW1" s="98" t="s">
        <v>51</v>
      </c>
      <c r="BH1" s="99"/>
      <c r="BI1" s="97"/>
      <c r="BJ1" s="97" t="s">
        <v>52</v>
      </c>
    </row>
    <row r="2" ht="15.0" customHeight="1">
      <c r="D2" s="93"/>
      <c r="E2" s="100"/>
      <c r="F2" s="95"/>
      <c r="G2" s="101" t="s">
        <v>53</v>
      </c>
      <c r="H2" s="102" t="s">
        <v>53</v>
      </c>
      <c r="I2" s="102" t="s">
        <v>53</v>
      </c>
      <c r="J2" s="103" t="s">
        <v>53</v>
      </c>
      <c r="K2" s="103" t="s">
        <v>54</v>
      </c>
      <c r="L2" s="102" t="s">
        <v>53</v>
      </c>
      <c r="M2" s="102" t="s">
        <v>53</v>
      </c>
      <c r="N2" s="104" t="s">
        <v>55</v>
      </c>
      <c r="O2" s="103" t="s">
        <v>54</v>
      </c>
      <c r="Q2" s="103" t="s">
        <v>54</v>
      </c>
      <c r="S2" s="102" t="s">
        <v>53</v>
      </c>
      <c r="T2" s="102" t="s">
        <v>53</v>
      </c>
      <c r="U2" s="102" t="s">
        <v>53</v>
      </c>
      <c r="V2" s="103" t="s">
        <v>54</v>
      </c>
      <c r="W2" s="103" t="s">
        <v>54</v>
      </c>
      <c r="X2" s="103" t="s">
        <v>54</v>
      </c>
      <c r="Y2" s="103" t="s">
        <v>54</v>
      </c>
      <c r="Z2" s="105" t="s">
        <v>53</v>
      </c>
      <c r="AA2" s="106" t="s">
        <v>55</v>
      </c>
      <c r="AB2" s="103" t="s">
        <v>54</v>
      </c>
      <c r="AC2" s="103" t="s">
        <v>54</v>
      </c>
      <c r="AD2" s="103" t="s">
        <v>54</v>
      </c>
      <c r="AE2" s="102" t="s">
        <v>53</v>
      </c>
      <c r="AF2" s="102" t="s">
        <v>53</v>
      </c>
      <c r="AG2" s="102" t="s">
        <v>53</v>
      </c>
      <c r="AH2" s="102" t="s">
        <v>53</v>
      </c>
      <c r="AI2" s="102" t="s">
        <v>55</v>
      </c>
      <c r="AJ2" s="107" t="s">
        <v>55</v>
      </c>
      <c r="AK2" s="108" t="s">
        <v>54</v>
      </c>
      <c r="AL2" s="107" t="s">
        <v>55</v>
      </c>
      <c r="AM2" s="103" t="s">
        <v>54</v>
      </c>
      <c r="AN2" s="102" t="s">
        <v>53</v>
      </c>
      <c r="AO2" s="102" t="s">
        <v>53</v>
      </c>
      <c r="AP2" s="102" t="s">
        <v>53</v>
      </c>
      <c r="AQ2" s="102" t="s">
        <v>53</v>
      </c>
      <c r="AR2" s="102" t="s">
        <v>53</v>
      </c>
      <c r="AS2" s="109" t="s">
        <v>53</v>
      </c>
      <c r="AW2" s="110" t="s">
        <v>55</v>
      </c>
      <c r="AX2" s="107" t="s">
        <v>55</v>
      </c>
      <c r="AY2" s="107" t="s">
        <v>55</v>
      </c>
      <c r="AZ2" s="102" t="s">
        <v>53</v>
      </c>
      <c r="BA2" s="107" t="s">
        <v>55</v>
      </c>
      <c r="BB2" s="107" t="s">
        <v>55</v>
      </c>
      <c r="BC2" s="107" t="s">
        <v>55</v>
      </c>
      <c r="BD2" s="107" t="s">
        <v>55</v>
      </c>
      <c r="BE2" s="107" t="s">
        <v>55</v>
      </c>
      <c r="BF2" s="107" t="s">
        <v>55</v>
      </c>
      <c r="BG2" s="107" t="s">
        <v>55</v>
      </c>
      <c r="BH2" s="111" t="s">
        <v>55</v>
      </c>
    </row>
    <row r="3" ht="47.25" customHeight="1">
      <c r="A3" s="112" t="s">
        <v>56</v>
      </c>
      <c r="B3" s="113" t="s">
        <v>57</v>
      </c>
      <c r="C3" s="112" t="s">
        <v>58</v>
      </c>
      <c r="D3" s="112" t="s">
        <v>59</v>
      </c>
      <c r="E3" s="114" t="s">
        <v>60</v>
      </c>
      <c r="F3" s="115" t="s">
        <v>61</v>
      </c>
      <c r="G3" s="115" t="s">
        <v>62</v>
      </c>
      <c r="H3" s="115" t="s">
        <v>63</v>
      </c>
      <c r="I3" s="113" t="s">
        <v>64</v>
      </c>
      <c r="J3" s="116" t="s">
        <v>65</v>
      </c>
      <c r="K3" s="117" t="s">
        <v>66</v>
      </c>
      <c r="L3" s="113" t="s">
        <v>67</v>
      </c>
      <c r="M3" s="113" t="s">
        <v>68</v>
      </c>
      <c r="S3" s="113" t="s">
        <v>69</v>
      </c>
      <c r="U3" s="113" t="s">
        <v>70</v>
      </c>
      <c r="V3" s="117" t="s">
        <v>71</v>
      </c>
      <c r="W3" s="117" t="s">
        <v>72</v>
      </c>
      <c r="Y3" s="117" t="s">
        <v>73</v>
      </c>
      <c r="Z3" s="118" t="s">
        <v>74</v>
      </c>
      <c r="AA3" s="119" t="s">
        <v>75</v>
      </c>
      <c r="AB3" s="120" t="s">
        <v>76</v>
      </c>
      <c r="AC3" s="121" t="s">
        <v>77</v>
      </c>
      <c r="AD3" s="121" t="s">
        <v>78</v>
      </c>
      <c r="AE3" s="113" t="s">
        <v>79</v>
      </c>
      <c r="AF3" s="113" t="s">
        <v>80</v>
      </c>
      <c r="AI3" s="114" t="s">
        <v>81</v>
      </c>
      <c r="AJ3" s="122" t="s">
        <v>82</v>
      </c>
      <c r="AK3" s="123" t="s">
        <v>83</v>
      </c>
      <c r="AL3" s="112" t="s">
        <v>84</v>
      </c>
      <c r="AM3" s="117" t="s">
        <v>85</v>
      </c>
      <c r="AN3" s="112" t="s">
        <v>86</v>
      </c>
      <c r="AO3" s="112" t="s">
        <v>87</v>
      </c>
      <c r="AP3" s="124" t="s">
        <v>88</v>
      </c>
      <c r="AQ3" s="113" t="s">
        <v>89</v>
      </c>
      <c r="AR3" s="113" t="s">
        <v>90</v>
      </c>
      <c r="AS3" s="125" t="s">
        <v>91</v>
      </c>
      <c r="AT3" s="113" t="s">
        <v>92</v>
      </c>
      <c r="AU3" s="113" t="s">
        <v>93</v>
      </c>
      <c r="AV3" s="113" t="s">
        <v>94</v>
      </c>
      <c r="AW3" s="126" t="s">
        <v>95</v>
      </c>
      <c r="AX3" s="113" t="s">
        <v>96</v>
      </c>
      <c r="AY3" s="113" t="s">
        <v>97</v>
      </c>
      <c r="AZ3" s="127" t="s">
        <v>98</v>
      </c>
      <c r="BA3" s="128" t="s">
        <v>99</v>
      </c>
      <c r="BB3" s="129" t="s">
        <v>100</v>
      </c>
      <c r="BC3" s="113" t="s">
        <v>101</v>
      </c>
      <c r="BD3" s="113" t="s">
        <v>102</v>
      </c>
      <c r="BE3" s="113" t="s">
        <v>103</v>
      </c>
      <c r="BF3" s="113" t="s">
        <v>104</v>
      </c>
      <c r="BG3" s="113" t="s">
        <v>105</v>
      </c>
      <c r="BH3" s="130" t="s">
        <v>23</v>
      </c>
      <c r="BI3" s="113"/>
      <c r="BJ3" s="113" t="s">
        <v>106</v>
      </c>
      <c r="BK3" s="113" t="s">
        <v>107</v>
      </c>
      <c r="BL3" s="131" t="s">
        <v>108</v>
      </c>
      <c r="BM3" s="117" t="s">
        <v>109</v>
      </c>
      <c r="BN3" s="113" t="s">
        <v>110</v>
      </c>
      <c r="BO3" s="132" t="s">
        <v>111</v>
      </c>
      <c r="BP3" s="116" t="s">
        <v>112</v>
      </c>
      <c r="BQ3" s="113" t="s">
        <v>113</v>
      </c>
      <c r="BR3" s="113" t="s">
        <v>114</v>
      </c>
      <c r="BS3" s="133" t="s">
        <v>115</v>
      </c>
      <c r="BT3" s="133" t="s">
        <v>116</v>
      </c>
      <c r="BU3" s="134" t="s">
        <v>117</v>
      </c>
      <c r="BV3" s="134" t="s">
        <v>118</v>
      </c>
      <c r="BW3" s="135" t="s">
        <v>119</v>
      </c>
      <c r="BX3" s="135" t="s">
        <v>120</v>
      </c>
    </row>
    <row r="4" collapsed="1">
      <c r="M4" s="136" t="s">
        <v>121</v>
      </c>
      <c r="O4" s="117" t="s">
        <v>122</v>
      </c>
      <c r="Q4" s="117" t="s">
        <v>123</v>
      </c>
      <c r="AP4" s="137"/>
      <c r="AS4" s="138"/>
      <c r="AW4" s="139"/>
      <c r="AZ4" s="140"/>
      <c r="BB4" s="141"/>
      <c r="BH4" s="99"/>
    </row>
    <row r="5" hidden="1" outlineLevel="1">
      <c r="A5" s="142" t="s">
        <v>124</v>
      </c>
      <c r="B5" s="142" t="s">
        <v>125</v>
      </c>
      <c r="C5" s="142" t="s">
        <v>126</v>
      </c>
      <c r="D5" s="142" t="s">
        <v>127</v>
      </c>
      <c r="E5" s="142" t="s">
        <v>128</v>
      </c>
      <c r="F5" s="143" t="s">
        <v>129</v>
      </c>
      <c r="G5" s="144" t="s">
        <v>130</v>
      </c>
      <c r="H5" s="145" t="s">
        <v>131</v>
      </c>
      <c r="I5" s="142" t="s">
        <v>132</v>
      </c>
      <c r="J5" s="142" t="s">
        <v>133</v>
      </c>
      <c r="K5" s="146" t="s">
        <v>134</v>
      </c>
      <c r="L5" s="147" t="s">
        <v>135</v>
      </c>
      <c r="M5" s="142" t="s">
        <v>136</v>
      </c>
      <c r="N5" s="148" t="s">
        <v>137</v>
      </c>
      <c r="O5" s="146" t="s">
        <v>136</v>
      </c>
      <c r="P5" s="146" t="s">
        <v>137</v>
      </c>
      <c r="Q5" s="146" t="s">
        <v>136</v>
      </c>
      <c r="R5" s="146" t="s">
        <v>137</v>
      </c>
      <c r="S5" s="143" t="s">
        <v>138</v>
      </c>
      <c r="T5" s="142" t="s">
        <v>139</v>
      </c>
      <c r="U5" s="149" t="s">
        <v>140</v>
      </c>
      <c r="V5" s="146" t="s">
        <v>141</v>
      </c>
      <c r="W5" s="150" t="s">
        <v>142</v>
      </c>
      <c r="Y5" s="146" t="s">
        <v>143</v>
      </c>
      <c r="Z5" s="151" t="s">
        <v>144</v>
      </c>
      <c r="AA5" s="151" t="s">
        <v>145</v>
      </c>
      <c r="AB5" s="142" t="s">
        <v>146</v>
      </c>
      <c r="AC5" s="152" t="s">
        <v>147</v>
      </c>
      <c r="AD5" s="152" t="s">
        <v>148</v>
      </c>
      <c r="AE5" s="142" t="s">
        <v>149</v>
      </c>
      <c r="AF5" s="153" t="s">
        <v>150</v>
      </c>
      <c r="AI5" s="149" t="s">
        <v>151</v>
      </c>
      <c r="AJ5" s="149" t="s">
        <v>152</v>
      </c>
      <c r="AK5" s="154" t="s">
        <v>153</v>
      </c>
      <c r="AL5" s="155" t="s">
        <v>154</v>
      </c>
      <c r="AM5" s="156" t="s">
        <v>155</v>
      </c>
      <c r="AN5" s="144" t="s">
        <v>156</v>
      </c>
      <c r="AP5" s="157" t="s">
        <v>157</v>
      </c>
      <c r="AQ5" s="146" t="s">
        <v>158</v>
      </c>
      <c r="AR5" s="142" t="s">
        <v>159</v>
      </c>
      <c r="AS5" s="158" t="s">
        <v>160</v>
      </c>
      <c r="AT5" s="142" t="s">
        <v>161</v>
      </c>
      <c r="AU5" s="142" t="s">
        <v>162</v>
      </c>
      <c r="AV5" s="142" t="s">
        <v>163</v>
      </c>
      <c r="AW5" s="159" t="s">
        <v>164</v>
      </c>
      <c r="AX5" s="159" t="s">
        <v>165</v>
      </c>
      <c r="AY5" s="159" t="s">
        <v>166</v>
      </c>
      <c r="AZ5" s="160" t="s">
        <v>167</v>
      </c>
      <c r="BA5" s="159" t="s">
        <v>168</v>
      </c>
      <c r="BB5" s="161" t="s">
        <v>169</v>
      </c>
      <c r="BC5" s="144" t="s">
        <v>170</v>
      </c>
      <c r="BD5" s="144" t="s">
        <v>171</v>
      </c>
      <c r="BE5" s="144" t="s">
        <v>172</v>
      </c>
      <c r="BF5" s="142" t="s">
        <v>173</v>
      </c>
      <c r="BG5" s="142" t="s">
        <v>174</v>
      </c>
      <c r="BH5" s="162" t="s">
        <v>175</v>
      </c>
      <c r="BI5" s="163"/>
      <c r="BJ5" s="149" t="s">
        <v>176</v>
      </c>
      <c r="BK5" s="149" t="s">
        <v>177</v>
      </c>
      <c r="BL5" s="149" t="s">
        <v>178</v>
      </c>
      <c r="BM5" s="163" t="s">
        <v>179</v>
      </c>
      <c r="BN5" s="149" t="s">
        <v>180</v>
      </c>
      <c r="BO5" s="149" t="s">
        <v>181</v>
      </c>
      <c r="BP5" s="149" t="s">
        <v>182</v>
      </c>
      <c r="BQ5" s="149" t="s">
        <v>183</v>
      </c>
      <c r="BR5" s="149" t="s">
        <v>184</v>
      </c>
      <c r="BS5" s="164" t="s">
        <v>185</v>
      </c>
      <c r="BT5" s="164" t="s">
        <v>186</v>
      </c>
      <c r="BU5" s="149" t="s">
        <v>187</v>
      </c>
      <c r="BV5" s="149" t="s">
        <v>188</v>
      </c>
      <c r="BW5" s="149" t="s">
        <v>189</v>
      </c>
      <c r="BX5" s="144" t="s">
        <v>170</v>
      </c>
    </row>
    <row r="6">
      <c r="A6" s="165" t="str">
        <f>if(D6=true,if(F6=data!A$1,data!A$10,data!A$11),)</f>
        <v/>
      </c>
      <c r="B6" s="166" t="str">
        <f t="shared" ref="B6:B203" si="4">AV6</f>
        <v>FBO</v>
      </c>
      <c r="C6" s="167">
        <v>9.785855906E9</v>
      </c>
      <c r="D6" s="168" t="b">
        <v>0</v>
      </c>
      <c r="E6" s="169" t="s">
        <v>190</v>
      </c>
      <c r="F6" s="170" t="str">
        <f t="array" ref="F6">IF(D6=TRUE,IF(IF(BG$3=VLOOKUP(AT6,{'▶️ Инструкция'!C:C,'▶️ Инструкция'!G:G},2,FALSE),BG6,BH6)&gt;VLOOKUP(AT6,{'▶️ Инструкция'!C:C,'▶️ Инструкция'!N:N},2,FALSE),data!A$1,data!A$2),)</f>
        <v/>
      </c>
      <c r="G6" s="171">
        <v>560.0</v>
      </c>
      <c r="H6" s="172">
        <v>2905.0</v>
      </c>
      <c r="I6" s="173">
        <v>0.26</v>
      </c>
      <c r="J6" s="173">
        <v>0.0</v>
      </c>
      <c r="K6" s="174" t="str">
        <f t="shared" ref="K6:K203" si="5">IF($D6,"🔒",)</f>
        <v/>
      </c>
      <c r="L6" s="175">
        <v>0.0</v>
      </c>
      <c r="M6" s="176" t="s">
        <v>191</v>
      </c>
      <c r="N6" s="177">
        <f>IFERROR(__xludf.DUMMYFUNCTION("ArrayFormula(let(category,VLOOKUP($M6, {'📄 Комиссии'!$C:$C , '📄 Комиссии'!$B:$B}, 2, 0),
data,MATCH('🔒 Доп. информация'!$J$15:$J203,TRANSPOSE(SPLIT(INDEX('▶️ Инструкция'!$Q:$Q,MATCH($AT6,'▶️ Инструкция'!$R:$R,0)+2),"", "",FALSE)),0),
options,COUNTA( if"&amp;"na( FILTER('🔒 Доп. информация'!$J$15:$J203,('🔒 Доп. информация'!$N$15:$N203=FALSE)*data*('🔒 Доп. информация'!$O$15:$O203=""Опция"")))),
commission,VLOOKUP($M6,'📄 Комиссии'!$C:$E,IF($AV6=data!A$8,2,3),0),
IF(NOT(ISBLANK($M6)),commission/100+
IFERROR(VL"&amp;"OOKUP($AT6,{'▶️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информация'!$O$15:"&amp;"$O203=""Пакет"")))))&gt;=5),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""Одежда"")*( c"&amp;"ategory &lt;&gt; ""Обувь"" ),-3% + 2%,0))))))"),0.345)</f>
        <v>0.345</v>
      </c>
      <c r="O6" s="178" t="str">
        <f t="shared" ref="O6:O203" si="6">IF($D6,"🔒",)</f>
        <v/>
      </c>
      <c r="Q6" s="178" t="str">
        <f t="shared" ref="Q6:Q203" si="7">IF($D6,"🔒",)</f>
        <v/>
      </c>
      <c r="S6" s="179" t="s">
        <v>192</v>
      </c>
      <c r="T6" s="180" t="s">
        <v>193</v>
      </c>
      <c r="U6" s="181">
        <v>1.17</v>
      </c>
      <c r="V6" s="182" t="str">
        <f t="shared" ref="V6:Y6" si="1">IF($D6,"🔒",)</f>
        <v/>
      </c>
      <c r="W6" s="182" t="str">
        <f t="shared" si="1"/>
        <v/>
      </c>
      <c r="X6" s="182" t="str">
        <f t="shared" si="1"/>
        <v/>
      </c>
      <c r="Y6" s="182" t="str">
        <f t="shared" si="1"/>
        <v/>
      </c>
      <c r="Z6" s="183">
        <v>0.0</v>
      </c>
      <c r="AA6" s="184">
        <v>0.0</v>
      </c>
      <c r="AB6" s="185" t="str">
        <f t="shared" ref="AB6:AD6" si="2">IF($D6,"🔒",)</f>
        <v/>
      </c>
      <c r="AC6" s="185" t="str">
        <f t="shared" si="2"/>
        <v/>
      </c>
      <c r="AD6" s="186" t="str">
        <f t="shared" si="2"/>
        <v/>
      </c>
      <c r="AE6" s="180">
        <v>30.0</v>
      </c>
      <c r="AF6" s="187">
        <v>11.0</v>
      </c>
      <c r="AG6" s="187">
        <v>31.0</v>
      </c>
      <c r="AH6" s="187">
        <v>31.0</v>
      </c>
      <c r="AI6" s="181">
        <f t="shared" ref="AI6:AI203" si="10">(AF6*AG6*AH6)/1000</f>
        <v>10.571</v>
      </c>
      <c r="AJ6" s="181">
        <f t="shared" ref="AJ6:AJ203" si="11">if(AI6&gt;1,(AI6-1),0)</f>
        <v>9.571</v>
      </c>
      <c r="AK6" s="185" t="str">
        <f t="shared" ref="AK6:AK203" si="12">IF($D6,"🔒",)</f>
        <v/>
      </c>
      <c r="AL6" s="188">
        <f t="array" ref="AL6">H6*(1-I6)*VLOOKUP(AT6,{'▶️ Инструкция'!C:C,'▶️ Инструкция'!AI:AI},2,false)</f>
        <v>64.491</v>
      </c>
      <c r="AM6" s="186" t="str">
        <f t="shared" ref="AM6:AM203" si="13">IF($D6,"🔒",)</f>
        <v/>
      </c>
      <c r="AN6" s="189">
        <v>0.0</v>
      </c>
      <c r="AO6" s="189">
        <v>0.0</v>
      </c>
      <c r="AP6" s="190">
        <v>0.0</v>
      </c>
      <c r="AQ6" s="191">
        <v>0.47</v>
      </c>
      <c r="AR6" s="191">
        <v>0.0</v>
      </c>
      <c r="AS6" s="192">
        <v>0.01</v>
      </c>
      <c r="AT6" s="193" t="s">
        <v>22</v>
      </c>
      <c r="AU6" s="193" t="s">
        <v>121</v>
      </c>
      <c r="AV6" s="193" t="s">
        <v>194</v>
      </c>
      <c r="AW6" s="194">
        <f t="shared" ref="AW6:AW203" si="14">AS6*H6</f>
        <v>29.05</v>
      </c>
      <c r="AX6" s="195">
        <f t="shared" ref="AX6:AX203" si="15">(1/(AQ6))*H6*AS6</f>
        <v>61.80851064</v>
      </c>
      <c r="AY6" s="196">
        <f t="shared" ref="AY6:AY203" si="16">AX6/BC6</f>
        <v>-0.1847252385</v>
      </c>
      <c r="AZ6" s="197">
        <v>100.0</v>
      </c>
      <c r="BA6" s="196">
        <f t="shared" ref="BA6:BA203" si="17">AZ6/H6</f>
        <v>0.03442340792</v>
      </c>
      <c r="BB6" s="198">
        <f t="shared" ref="BB6:BB203" si="18">H6-AW6</f>
        <v>2875.95</v>
      </c>
      <c r="BC6" s="199">
        <f t="shared" ref="BC6:BC203" si="19">BX6</f>
        <v>-334.597</v>
      </c>
      <c r="BD6" s="200">
        <f t="shared" ref="BD6:BD203" si="20">BC6*L6</f>
        <v>0</v>
      </c>
      <c r="BE6" s="200">
        <f t="shared" ref="BE6:BE203" si="21">H6*(1-I6)*L6</f>
        <v>0</v>
      </c>
      <c r="BF6" s="201">
        <f t="shared" ref="BF6:BF203" si="22">IFERROR(BC6/BV6,)</f>
        <v>-0.4709456578</v>
      </c>
      <c r="BG6" s="201">
        <f t="shared" ref="BG6:BG203" si="23">IFERROR(BC6/H6,)</f>
        <v>-0.1151796902</v>
      </c>
      <c r="BH6" s="202">
        <f t="shared" ref="BH6:BH203" si="24">IFERROR(if(BW6&gt;0,BC6/BW6,-BC6/BW6),)</f>
        <v>-0.8901649986</v>
      </c>
      <c r="BI6" s="203"/>
      <c r="BJ6" s="204">
        <f>IFERROR(__xludf.DUMMYFUNCTION("IF(AU6=data!A$5,
IF(AV6=data!A$8,
IF(T6=data!A$3,
VLOOKUP(S6,filter('🔒 Доп. информация'!D:H,'🔒 Доп. информация'!C:C=T6),4,FALSE)+VLOOKUP(S6,filter('🔒 Доп. информация'!D:H,'🔒 Доп. информация'!C:C=T6),5,FALSE)*AJ6,
IF(AND(MAX(AF6:AH6)&lt;80,SUM(AF6:AH6)&lt;=1"&amp;"60,AI6&lt;20,XLOOKUP(M6,'📄 Комиссии'!C:C,'📄 Комиссии'!B:B)&lt;&gt;""Продукты""),
VLOOKUP(S6,filter('🔒 Доп. информация'!D:H,'🔒 Доп. информация'!C:C=data!$A$3),4,FALSE)+VLOOKUP(S6,filter('🔒 Доп. информация'!D:H,'🔒 Доп. информация'!C:C=data!$A$3),5,FALSE)*AJ6,
"&amp;"VLOOKUP(S6,filter('🔒 Доп. информация'!D:H,'🔒 Доп. информация'!C:C=T6),4,FALSE)*ROUNDUP(AF6*AG6*AH6*L6/(120*80*175))/L6)
)
*(AE6/2)
,)
,)*0"),0.0)</f>
        <v>0</v>
      </c>
      <c r="BK6" s="204">
        <f>IFERROR(__xludf.DUMMYFUNCTION("IF(AU6=data!A$5,
IF(AI6&lt;=1,IF(AI6&lt;=0.8,IF(AI6&lt;=0.6,IF(AI6&lt;=0.4,IF(AI6&lt;=0.2,23,26),29),30),32)*VLOOKUP(S6,filter('🔒 Доп. информация'!D:E,'🔒 Доп. информация'!C:C=T6),2,FALSE)/'🔒 Доп. информация'!$K$9,
IF(AV6=data!A$8,U6,1)*VLOOKUP(S6,filter('🔒 Доп. инфо"&amp;"рмация'!D:E,'🔒 Доп. информация'!C:C=T6),2,FALSE)+
IF(AV6=data!A$8,U6,1)*VLOOKUP(S6,filter('🔒 Доп. информация'!D:F,'🔒 Доп. информация'!C:C=T6),3,FALSE)*AJ6)
,0)"),631.7789399999999)</f>
        <v>631.77894</v>
      </c>
      <c r="BL6" s="185" t="str">
        <f t="shared" ref="BL6:BM6" si="3">IF($D6,"🔒",)</f>
        <v/>
      </c>
      <c r="BM6" s="185" t="str">
        <f t="shared" si="3"/>
        <v/>
      </c>
      <c r="BN6" s="204">
        <f>VLOOKUP(T6,'🔒 Доп. информация'!J:P,7,false)</f>
        <v>50</v>
      </c>
      <c r="BO6" s="204">
        <f>IF(AV6=data!A$9,
(AA6+AO6+AP6+BJ6+BK6+BN6)+H6*AS6,
(BJ6+BK6+BN6)+H6*AS6
)</f>
        <v>710.82894</v>
      </c>
      <c r="BP6" s="204">
        <f t="shared" ref="BP6:BP203" si="26">AA6+BJ6+BK6</f>
        <v>631.77894</v>
      </c>
      <c r="BQ6" s="204">
        <f t="shared" ref="BQ6:BQ203" si="27">H6*N6</f>
        <v>1002.225</v>
      </c>
      <c r="BR6" s="204">
        <f>BP6+BQ6+AS6*H6+((1-AQ6)/AQ6)*BO6+AL6+H6*J6*1.1</f>
        <v>2529.118</v>
      </c>
      <c r="BS6" s="204">
        <f t="array" ref="BS6">IF(VLOOKUP(AT6,{'▶️ Инструкция'!C:C,'▶️ Инструкция'!Y:Y},2,FALSE)=data!A$15,
H6*(1-I6),
(H6-BR6))
*VLOOKUP(AT6,{'▶️ Инструкция'!C:C,'▶️ Инструкция'!AD:AD},2,FALSE)/(1+VLOOKUP(AT6,{'▶️ Инструкция'!C:C,'▶️ Инструкция'!AD:AD},2,FALSE))</f>
        <v>0</v>
      </c>
      <c r="BT6" s="204">
        <f t="array" ref="BT6">IF(VLOOKUP(AT6,{'▶️ Инструкция'!C:C,'▶️ Инструкция'!Y:Y},2,FALSE)=data!A$15,
H6*(1-I6)-BS6,
(H6-BR6-BS6))
*
VLOOKUP(AT6,{'▶️ Инструкция'!C:C,'▶️ Инструкция'!R:R},2,FALSE)
+BS6</f>
        <v>150.479</v>
      </c>
      <c r="BU6" s="204">
        <f>(G6*AR6)+if(AV6=data!A$9,AO6,AN6)+AP6+BR6+BT6</f>
        <v>2679.597</v>
      </c>
      <c r="BV6" s="204">
        <f>(G6*AR6)+if(AV6=data!A$9,AO6,AN6)+AP6+BT6+G6</f>
        <v>710.479</v>
      </c>
      <c r="BW6" s="204">
        <f t="shared" ref="BW6:BW203" si="28">H6-BR6</f>
        <v>375.882</v>
      </c>
      <c r="BX6" s="204">
        <f t="shared" ref="BX6:BX203" si="29">BW6-BV6</f>
        <v>-334.597</v>
      </c>
    </row>
    <row r="7">
      <c r="A7" s="165" t="str">
        <f>if(D7=true,if(F7=data!A$1,data!A$10,data!A$11),)</f>
        <v>✅</v>
      </c>
      <c r="B7" s="166" t="str">
        <f t="shared" si="4"/>
        <v>FBO</v>
      </c>
      <c r="C7" s="167" t="s">
        <v>195</v>
      </c>
      <c r="D7" s="168" t="b">
        <v>1</v>
      </c>
      <c r="E7" s="169" t="s">
        <v>190</v>
      </c>
      <c r="F7" s="170" t="str">
        <f t="array" ref="F7">IF(D7=TRUE,IF(IF(BG$3=VLOOKUP(AT7,{'▶️ Инструкция'!C:C,'▶️ Инструкция'!G:G},2,FALSE),BG7,BH7)&gt;VLOOKUP(AT7,{'▶️ Инструкция'!C:C,'▶️ Инструкция'!N:N},2,FALSE),data!A$1,data!A$2),)</f>
        <v>Срочно закупаем и продаем 💸</v>
      </c>
      <c r="G7" s="171">
        <v>560.0</v>
      </c>
      <c r="H7" s="172">
        <v>2905.0</v>
      </c>
      <c r="I7" s="173">
        <v>0.26</v>
      </c>
      <c r="J7" s="173">
        <v>0.0</v>
      </c>
      <c r="K7" s="174" t="str">
        <f t="shared" si="5"/>
        <v>🔒</v>
      </c>
      <c r="L7" s="175">
        <v>0.0</v>
      </c>
      <c r="M7" s="176" t="s">
        <v>191</v>
      </c>
      <c r="N7" s="177">
        <f>IFERROR(__xludf.DUMMYFUNCTION("ArrayFormula(let(category,VLOOKUP($M7, {'📄 Комиссии'!$C:$C , '📄 Комиссии'!$B:$B}, 2, 0),
data,MATCH('🔒 Доп. информация'!$J$15:$J203,TRANSPOSE(SPLIT(INDEX('▶️ Инструкция'!$Q:$Q,MATCH($AT7,'▶️ Инструкция'!$R:$R,0)+2),"", "",FALSE)),0),
options,COUNTA( if"&amp;"na( FILTER('🔒 Доп. информация'!$J$15:$J203,('🔒 Доп. информация'!$N$15:$N203=FALSE)*data*('🔒 Доп. информация'!$O$15:$O203=""Опция"")))),
commission,VLOOKUP($M7,'📄 Комиссии'!$C:$E,IF($AV7=data!A$8,2,3),0),
IF(NOT(ISBLANK($M7)),commission/100+
IFERROR(VL"&amp;"OOKUP($AT7,{'▶️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информация'!$O$15:"&amp;"$O203=""Пакет"")))))&gt;=5),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""Одежда"")*( c"&amp;"ategory &lt;&gt; ""Обувь"" ),-3% + 2%,0))))))"),0.345)</f>
        <v>0.345</v>
      </c>
      <c r="O7" s="178" t="str">
        <f t="shared" si="6"/>
        <v>🔒</v>
      </c>
      <c r="Q7" s="178" t="str">
        <f t="shared" si="7"/>
        <v>🔒</v>
      </c>
      <c r="S7" s="179" t="s">
        <v>196</v>
      </c>
      <c r="T7" s="180" t="s">
        <v>193</v>
      </c>
      <c r="U7" s="181">
        <v>1.17</v>
      </c>
      <c r="V7" s="182" t="str">
        <f t="shared" ref="V7:Y7" si="8">IF($D7,"🔒",)</f>
        <v>🔒</v>
      </c>
      <c r="W7" s="182" t="str">
        <f t="shared" si="8"/>
        <v>🔒</v>
      </c>
      <c r="X7" s="182" t="str">
        <f t="shared" si="8"/>
        <v>🔒</v>
      </c>
      <c r="Y7" s="182" t="str">
        <f t="shared" si="8"/>
        <v>🔒</v>
      </c>
      <c r="Z7" s="183">
        <v>0.0</v>
      </c>
      <c r="AA7" s="184">
        <f t="shared" ref="AA7:AA203" si="31">1.7*(1+AJ7)*Z7</f>
        <v>0</v>
      </c>
      <c r="AB7" s="185" t="str">
        <f t="shared" ref="AB7:AD7" si="9">IF($D7,"🔒",)</f>
        <v>🔒</v>
      </c>
      <c r="AC7" s="185" t="str">
        <f t="shared" si="9"/>
        <v>🔒</v>
      </c>
      <c r="AD7" s="186" t="str">
        <f t="shared" si="9"/>
        <v>🔒</v>
      </c>
      <c r="AE7" s="180">
        <v>30.0</v>
      </c>
      <c r="AF7" s="187">
        <v>11.0</v>
      </c>
      <c r="AG7" s="187">
        <v>31.0</v>
      </c>
      <c r="AH7" s="187">
        <v>31.0</v>
      </c>
      <c r="AI7" s="181">
        <f t="shared" si="10"/>
        <v>10.571</v>
      </c>
      <c r="AJ7" s="181">
        <f t="shared" si="11"/>
        <v>9.571</v>
      </c>
      <c r="AK7" s="185" t="str">
        <f t="shared" si="12"/>
        <v>🔒</v>
      </c>
      <c r="AL7" s="188">
        <f t="array" ref="AL7">H7*(1-I7)*VLOOKUP(AT7,{'▶️ Инструкция'!C:C,'▶️ Инструкция'!AI:AI},2,false)</f>
        <v>64.491</v>
      </c>
      <c r="AM7" s="186" t="str">
        <f t="shared" si="13"/>
        <v>🔒</v>
      </c>
      <c r="AN7" s="189">
        <v>0.0</v>
      </c>
      <c r="AO7" s="189">
        <v>0.0</v>
      </c>
      <c r="AP7" s="190">
        <v>150.0</v>
      </c>
      <c r="AQ7" s="191">
        <v>0.47</v>
      </c>
      <c r="AR7" s="191">
        <v>0.003</v>
      </c>
      <c r="AS7" s="192">
        <v>0.0</v>
      </c>
      <c r="AT7" s="193" t="s">
        <v>22</v>
      </c>
      <c r="AU7" s="193" t="s">
        <v>121</v>
      </c>
      <c r="AV7" s="193" t="s">
        <v>194</v>
      </c>
      <c r="AW7" s="205">
        <f t="shared" si="14"/>
        <v>0</v>
      </c>
      <c r="AX7" s="195">
        <f t="shared" si="15"/>
        <v>0</v>
      </c>
      <c r="AY7" s="196">
        <f t="shared" si="16"/>
        <v>0</v>
      </c>
      <c r="AZ7" s="197">
        <v>100.0</v>
      </c>
      <c r="BA7" s="196">
        <f t="shared" si="17"/>
        <v>0.03442340792</v>
      </c>
      <c r="BB7" s="198">
        <f t="shared" si="18"/>
        <v>2905</v>
      </c>
      <c r="BC7" s="199">
        <f t="shared" si="19"/>
        <v>471.6718511</v>
      </c>
      <c r="BD7" s="200">
        <f t="shared" si="20"/>
        <v>0</v>
      </c>
      <c r="BE7" s="200">
        <f t="shared" si="21"/>
        <v>0</v>
      </c>
      <c r="BF7" s="201">
        <f t="shared" si="22"/>
        <v>0.54708221</v>
      </c>
      <c r="BG7" s="201">
        <f t="shared" si="23"/>
        <v>0.1623655253</v>
      </c>
      <c r="BH7" s="202">
        <f t="shared" si="24"/>
        <v>0.3536219384</v>
      </c>
      <c r="BI7" s="203"/>
      <c r="BJ7" s="204">
        <f>IFERROR(__xludf.DUMMYFUNCTION("IF(AU7=data!A$5,
IF(AV7=data!A$8,
IF(T7=data!A$3,
VLOOKUP(S7,filter('🔒 Доп. информация'!D:H,'🔒 Доп. информация'!C:C=T7),4,FALSE)+VLOOKUP(S7,filter('🔒 Доп. информация'!D:H,'🔒 Доп. информация'!C:C=T7),5,FALSE)*AJ7,
IF(AND(MAX(AF7:AH7)&lt;80,SUM(AF7:AH7)&lt;=1"&amp;"60,AI7&lt;20,XLOOKUP(M7,'📄 Комиссии'!C:C,'📄 Комиссии'!B:B)&lt;&gt;""Продукты""),
VLOOKUP(S7,filter('🔒 Доп. информация'!D:H,'🔒 Доп. информация'!C:C=data!$A$3),4,FALSE)+VLOOKUP(S7,filter('🔒 Доп. информация'!D:H,'🔒 Доп. информация'!C:C=data!$A$3),5,FALSE)*AJ7,
"&amp;"VLOOKUP(S7,filter('🔒 Доп. информация'!D:H,'🔒 Доп. информация'!C:C=T7),4,FALSE)*ROUNDUP(AF7*AG7*AH7*L7/(120*80*175))/L7)
)
*(AE7/2)
,)
,)*0"),0.0)</f>
        <v>0</v>
      </c>
      <c r="BK7" s="204">
        <f>IFERROR(__xludf.DUMMYFUNCTION("IF(AU7=data!A$5,
IF(AI7&lt;=1,IF(AI7&lt;=0.8,IF(AI7&lt;=0.6,IF(AI7&lt;=0.4,IF(AI7&lt;=0.2,23,26),29),30),32)*VLOOKUP(S7,filter('🔒 Доп. информация'!D:E,'🔒 Доп. информация'!C:C=T7),2,FALSE)/'🔒 Доп. информация'!$K$9,
IF(AV7=data!A$8,U7,1)*VLOOKUP(S7,filter('🔒 Доп. инфо"&amp;"рмация'!D:E,'🔒 Доп. информация'!C:C=T7),2,FALSE)+
IF(AV7=data!A$8,U7,1)*VLOOKUP(S7,filter('🔒 Доп. информация'!D:F,'🔒 Доп. информация'!C:C=T7),3,FALSE)*AJ7)
,0)"),210.59297999999998)</f>
        <v>210.59298</v>
      </c>
      <c r="BL7" s="185" t="str">
        <f t="shared" ref="BL7:BM7" si="25">IF($D7,"🔒",)</f>
        <v>🔒</v>
      </c>
      <c r="BM7" s="185" t="str">
        <f t="shared" si="25"/>
        <v>🔒</v>
      </c>
      <c r="BN7" s="204">
        <f>VLOOKUP(T7,'🔒 Доп. информация'!J:P,7,false)</f>
        <v>50</v>
      </c>
      <c r="BO7" s="204">
        <f>IF(AV7=data!A$9,
(AA7+AO7+AP7+BJ7+BK7+BN7)+H7*AS7,
(BJ7+BK7+BN7)+H7*AS7
)</f>
        <v>260.59298</v>
      </c>
      <c r="BP7" s="204">
        <f t="shared" si="26"/>
        <v>210.59298</v>
      </c>
      <c r="BQ7" s="204">
        <f t="shared" si="27"/>
        <v>1002.225</v>
      </c>
      <c r="BR7" s="204">
        <f>BP7+BQ7+AS7*H7+((1-AQ7)/AQ7)*BO7+AL7+H7*J7</f>
        <v>1571.169149</v>
      </c>
      <c r="BS7" s="204">
        <f t="array" ref="BS7">IF(VLOOKUP(AT7,{'▶️ Инструкция'!C:C,'▶️ Инструкция'!Y:Y},2,FALSE)=data!A$15,
H7*(1-I7),
(H7-BR7))
*VLOOKUP(AT7,{'▶️ Инструкция'!C:C,'▶️ Инструкция'!AD:AD},2,FALSE)/(1+VLOOKUP(AT7,{'▶️ Инструкция'!C:C,'▶️ Инструкция'!AD:AD},2,FALSE))</f>
        <v>0</v>
      </c>
      <c r="BT7" s="204">
        <f t="array" ref="BT7">
IF(VLOOKUP(AT7,{'▶️ Инструкция'!C:C,'▶️ Инструкция'!Y:Y},2,FALSE)=data!A$15,
H7*(1-I7)-BS7,
(H7-BR7-BS7))
*
VLOOKUP(AT7,{'▶️ Инструкция'!C:C,'▶️ Инструкция'!R:R},2,FALSE)
+BS7</f>
        <v>150.479</v>
      </c>
      <c r="BU7" s="204">
        <f>(G7*AR7)+if(AV7=data!A$9,AO7,AN7)+AP7+BR7+BT7</f>
        <v>1873.328149</v>
      </c>
      <c r="BV7" s="204">
        <f>(G7*AR7)+if(AV7=data!A$9,AO7,AN7)+AP7+BT7+G7</f>
        <v>862.159</v>
      </c>
      <c r="BW7" s="204">
        <f t="shared" si="28"/>
        <v>1333.830851</v>
      </c>
      <c r="BX7" s="204">
        <f t="shared" si="29"/>
        <v>471.6718511</v>
      </c>
    </row>
    <row r="8">
      <c r="A8" s="165" t="str">
        <f>if(D8=true,if(F8=data!A$1,data!A$10,data!A$11),)</f>
        <v>✅</v>
      </c>
      <c r="B8" s="166" t="str">
        <f t="shared" si="4"/>
        <v>FBO</v>
      </c>
      <c r="C8" s="167" t="s">
        <v>195</v>
      </c>
      <c r="D8" s="168" t="b">
        <v>1</v>
      </c>
      <c r="E8" s="169" t="s">
        <v>190</v>
      </c>
      <c r="F8" s="170" t="str">
        <f t="array" ref="F8">IF(D8=TRUE,IF(IF(BG$3=VLOOKUP(AT8,{'▶️ Инструкция'!C:C,'▶️ Инструкция'!G:G},2,FALSE),BG8,BH8)&gt;VLOOKUP(AT8,{'▶️ Инструкция'!C:C,'▶️ Инструкция'!N:N},2,FALSE),data!A$1,data!A$2),)</f>
        <v>Срочно закупаем и продаем 💸</v>
      </c>
      <c r="G8" s="171">
        <v>0.0</v>
      </c>
      <c r="H8" s="172">
        <v>1000.0</v>
      </c>
      <c r="I8" s="173">
        <v>0.0</v>
      </c>
      <c r="J8" s="173">
        <v>0.0</v>
      </c>
      <c r="K8" s="174" t="str">
        <f t="shared" si="5"/>
        <v>🔒</v>
      </c>
      <c r="L8" s="175">
        <v>0.0</v>
      </c>
      <c r="M8" s="176" t="s">
        <v>197</v>
      </c>
      <c r="N8" s="177">
        <f>IFERROR(__xludf.DUMMYFUNCTION("ArrayFormula(let(category,VLOOKUP($M8, {'📄 Комиссии'!$C:$C , '📄 Комиссии'!$B:$B}, 2, 0),
data,MATCH('🔒 Доп. информация'!$J$15:$J203,TRANSPOSE(SPLIT(INDEX('▶️ Инструкция'!$Q:$Q,MATCH($AT8,'▶️ Инструкция'!$R:$R,0)+2),"", "",FALSE)),0),
options,COUNTA( if"&amp;"na( FILTER('🔒 Доп. информация'!$J$15:$J203,('🔒 Доп. информация'!$N$15:$N203=FALSE)*data*('🔒 Доп. информация'!$O$15:$O203=""Опция"")))),
commission,VLOOKUP($M8,'📄 Комиссии'!$C:$E,IF($AV8=data!A$8,2,3),0),
IF(NOT(ISBLANK($M8)),commission/100+
IFERROR(VL"&amp;"OOKUP($AT8,{'▶️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информация'!$O$15:"&amp;"$O203=""Пакет"")))))&gt;=5),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""Одежда"")*( c"&amp;"ategory &lt;&gt; ""Обувь"" ),-3% + 2%,0))))))"),0.285)</f>
        <v>0.285</v>
      </c>
      <c r="O8" s="178" t="str">
        <f t="shared" si="6"/>
        <v>🔒</v>
      </c>
      <c r="Q8" s="178" t="str">
        <f t="shared" si="7"/>
        <v>🔒</v>
      </c>
      <c r="S8" s="179" t="s">
        <v>192</v>
      </c>
      <c r="T8" s="180" t="s">
        <v>193</v>
      </c>
      <c r="U8" s="181">
        <v>1.0</v>
      </c>
      <c r="V8" s="182" t="str">
        <f t="shared" ref="V8:Y8" si="30">IF($D8,"🔒",)</f>
        <v>🔒</v>
      </c>
      <c r="W8" s="182" t="str">
        <f t="shared" si="30"/>
        <v>🔒</v>
      </c>
      <c r="X8" s="182" t="str">
        <f t="shared" si="30"/>
        <v>🔒</v>
      </c>
      <c r="Y8" s="182" t="str">
        <f t="shared" si="30"/>
        <v>🔒</v>
      </c>
      <c r="Z8" s="183">
        <v>0.0</v>
      </c>
      <c r="AA8" s="184">
        <f t="shared" si="31"/>
        <v>0</v>
      </c>
      <c r="AB8" s="185" t="str">
        <f t="shared" ref="AB8:AD8" si="32">IF($D8,"🔒",)</f>
        <v>🔒</v>
      </c>
      <c r="AC8" s="185" t="str">
        <f t="shared" si="32"/>
        <v>🔒</v>
      </c>
      <c r="AD8" s="186" t="str">
        <f t="shared" si="32"/>
        <v>🔒</v>
      </c>
      <c r="AE8" s="180">
        <v>60.0</v>
      </c>
      <c r="AF8" s="187">
        <v>0.0</v>
      </c>
      <c r="AG8" s="187">
        <v>0.0</v>
      </c>
      <c r="AH8" s="187">
        <v>0.0</v>
      </c>
      <c r="AI8" s="181">
        <f t="shared" si="10"/>
        <v>0</v>
      </c>
      <c r="AJ8" s="181">
        <f t="shared" si="11"/>
        <v>0</v>
      </c>
      <c r="AK8" s="185" t="str">
        <f t="shared" si="12"/>
        <v>🔒</v>
      </c>
      <c r="AL8" s="188">
        <f t="array" ref="AL8">H8*(1-I8)*VLOOKUP(AT8,{'▶️ Инструкция'!C:C,'▶️ Инструкция'!AI:AI},2,false)</f>
        <v>30</v>
      </c>
      <c r="AM8" s="186" t="str">
        <f t="shared" si="13"/>
        <v>🔒</v>
      </c>
      <c r="AN8" s="189">
        <v>0.0</v>
      </c>
      <c r="AO8" s="189">
        <v>0.0</v>
      </c>
      <c r="AP8" s="190">
        <v>0.0</v>
      </c>
      <c r="AQ8" s="191">
        <v>1.0</v>
      </c>
      <c r="AR8" s="191">
        <v>0.03</v>
      </c>
      <c r="AS8" s="192">
        <v>0.0</v>
      </c>
      <c r="AT8" s="193" t="s">
        <v>22</v>
      </c>
      <c r="AU8" s="193" t="s">
        <v>121</v>
      </c>
      <c r="AV8" s="193" t="s">
        <v>194</v>
      </c>
      <c r="AW8" s="194">
        <f t="shared" si="14"/>
        <v>0</v>
      </c>
      <c r="AX8" s="195">
        <f t="shared" si="15"/>
        <v>0</v>
      </c>
      <c r="AY8" s="196">
        <f t="shared" si="16"/>
        <v>0</v>
      </c>
      <c r="AZ8" s="206">
        <v>250.0</v>
      </c>
      <c r="BA8" s="196">
        <f t="shared" si="17"/>
        <v>0.25</v>
      </c>
      <c r="BB8" s="198">
        <f t="shared" si="18"/>
        <v>1000</v>
      </c>
      <c r="BC8" s="199">
        <f t="shared" si="19"/>
        <v>546</v>
      </c>
      <c r="BD8" s="200">
        <f t="shared" si="20"/>
        <v>0</v>
      </c>
      <c r="BE8" s="200">
        <f t="shared" si="21"/>
        <v>0</v>
      </c>
      <c r="BF8" s="201">
        <f t="shared" si="22"/>
        <v>7.8</v>
      </c>
      <c r="BG8" s="201">
        <f t="shared" si="23"/>
        <v>0.546</v>
      </c>
      <c r="BH8" s="202">
        <f t="shared" si="24"/>
        <v>0.8863636364</v>
      </c>
      <c r="BI8" s="203"/>
      <c r="BJ8" s="204">
        <f>IFERROR(__xludf.DUMMYFUNCTION("IF(AU8=data!A$5,
IF(AV8=data!A$8,
IF(T8=data!A$3,
VLOOKUP(S8,filter('🔒 Доп. информация'!D:H,'🔒 Доп. информация'!C:C=T8),4,FALSE)+VLOOKUP(S8,filter('🔒 Доп. информация'!D:H,'🔒 Доп. информация'!C:C=T8),5,FALSE)*AJ8,
IF(AND(MAX(AF8:AH8)&lt;80,SUM(AF8:AH8)&lt;=1"&amp;"60,AI8&lt;20,XLOOKUP(M8,'📄 Комиссии'!C:C,'📄 Комиссии'!B:B)&lt;&gt;""Продукты""),
VLOOKUP(S8,filter('🔒 Доп. информация'!D:H,'🔒 Доп. информация'!C:C=data!$A$3),4,FALSE)+VLOOKUP(S8,filter('🔒 Доп. информация'!D:H,'🔒 Доп. информация'!C:C=data!$A$3),5,FALSE)*AJ8,
"&amp;"VLOOKUP(S8,filter('🔒 Доп. информация'!D:H,'🔒 Доп. информация'!C:C=T8),4,FALSE)*ROUNDUP(AF8*AG8*AH8*L8/(120*80*175))/L8)
)
*(AE8/2)
,)
,)*0"),0.0)</f>
        <v>0</v>
      </c>
      <c r="BK8" s="204">
        <f>IFERROR(__xludf.DUMMYFUNCTION("IF(AU8=data!A$5,
IF(AI8&lt;=1,IF(AI8&lt;=0.8,IF(AI8&lt;=0.6,IF(AI8&lt;=0.4,IF(AI8&lt;=0.2,23,26),29),30),32)*VLOOKUP(S8,filter('🔒 Доп. информация'!D:E,'🔒 Доп. информация'!C:C=T8),2,FALSE)/'🔒 Доп. информация'!$K$9,
IF(AV8=data!A$8,U8,1)*VLOOKUP(S8,filter('🔒 Доп. инфо"&amp;"рмация'!D:E,'🔒 Доп. информация'!C:C=T8),2,FALSE)+
IF(AV8=data!A$8,U8,1)*VLOOKUP(S8,filter('🔒 Доп. информация'!D:F,'🔒 Доп. информация'!C:C=T8),3,FALSE)*AJ8)
,0)"),69.0)</f>
        <v>69</v>
      </c>
      <c r="BL8" s="185" t="str">
        <f t="shared" ref="BL8:BM8" si="33">IF($D8,"🔒",)</f>
        <v>🔒</v>
      </c>
      <c r="BM8" s="185" t="str">
        <f t="shared" si="33"/>
        <v>🔒</v>
      </c>
      <c r="BN8" s="204">
        <f>VLOOKUP(T8,'🔒 Доп. информация'!J:P,7,false)</f>
        <v>50</v>
      </c>
      <c r="BO8" s="204">
        <f>IF(AV8=data!A$9,
(AA8+AO8+AP8+BJ8+BK8+BN8)+H8*AS8,
(BJ8+BK8+BN8)+H8*AS8
)</f>
        <v>119</v>
      </c>
      <c r="BP8" s="204">
        <f t="shared" si="26"/>
        <v>69</v>
      </c>
      <c r="BQ8" s="204">
        <f t="shared" si="27"/>
        <v>285</v>
      </c>
      <c r="BR8" s="204">
        <f t="shared" ref="BR8:BR203" si="37">BP8+BQ8+AS8*H8+((1-AQ8)/AQ8)*BO8+AL8+H8*J8*1.1</f>
        <v>384</v>
      </c>
      <c r="BS8" s="204">
        <f t="array" ref="BS8">IF(VLOOKUP(AT8,{'▶️ Инструкция'!C:C,'▶️ Инструкция'!Y:Y},2,FALSE)=data!A$15,
H8*(1-I8),
(H8-BR8))
*VLOOKUP(AT8,{'▶️ Инструкция'!C:C,'▶️ Инструкция'!AD:AD},2,FALSE)/(1+VLOOKUP(AT8,{'▶️ Инструкция'!C:C,'▶️ Инструкция'!AD:AD},2,FALSE))</f>
        <v>0</v>
      </c>
      <c r="BT8" s="204">
        <f t="array" ref="BT8">
IF(VLOOKUP(AT8,{'▶️ Инструкция'!C:C,'▶️ Инструкция'!Y:Y},2,FALSE)=data!A$15,
H8*(1-I8)-BS8,
(H8-BR8-BS8))
*
VLOOKUP(AT8,{'▶️ Инструкция'!C:C,'▶️ Инструкция'!R:R},2,FALSE)
+BS8</f>
        <v>70</v>
      </c>
      <c r="BU8" s="204">
        <f>(G8*AR8)+if(AV8=data!A$9,AO8,AN8)+AP8+BR8+BT8</f>
        <v>454</v>
      </c>
      <c r="BV8" s="204">
        <f>(G8*AR8)+if(AV8=data!A$9,AO8,AN8)+AP8+BT8+G8</f>
        <v>70</v>
      </c>
      <c r="BW8" s="204">
        <f t="shared" si="28"/>
        <v>616</v>
      </c>
      <c r="BX8" s="204">
        <f t="shared" si="29"/>
        <v>546</v>
      </c>
    </row>
    <row r="9">
      <c r="A9" s="165" t="str">
        <f>if(D9=true,if(F9=data!A$1,data!A$10,data!A$11),)</f>
        <v>✅</v>
      </c>
      <c r="B9" s="166" t="str">
        <f t="shared" si="4"/>
        <v>FBS</v>
      </c>
      <c r="C9" s="167" t="s">
        <v>195</v>
      </c>
      <c r="D9" s="168" t="b">
        <v>1</v>
      </c>
      <c r="E9" s="169" t="s">
        <v>190</v>
      </c>
      <c r="F9" s="170" t="str">
        <f t="array" ref="F9">IF(D9=TRUE,IF(IF(BG$3=VLOOKUP(AT9,{'▶️ Инструкция'!C:C,'▶️ Инструкция'!G:G},2,FALSE),BG9,BH9)&gt;VLOOKUP(AT9,{'▶️ Инструкция'!C:C,'▶️ Инструкция'!N:N},2,FALSE),data!A$1,data!A$2),)</f>
        <v>Срочно закупаем и продаем 💸</v>
      </c>
      <c r="G9" s="171">
        <v>0.0</v>
      </c>
      <c r="H9" s="172">
        <v>1000.0</v>
      </c>
      <c r="I9" s="173">
        <v>0.0</v>
      </c>
      <c r="J9" s="173">
        <v>0.0</v>
      </c>
      <c r="K9" s="174" t="str">
        <f t="shared" si="5"/>
        <v>🔒</v>
      </c>
      <c r="L9" s="175">
        <v>0.0</v>
      </c>
      <c r="M9" s="176" t="s">
        <v>197</v>
      </c>
      <c r="N9" s="177">
        <f>IFERROR(__xludf.DUMMYFUNCTION("ArrayFormula(let(category,VLOOKUP($M9, {'📄 Комиссии'!$C:$C , '📄 Комиссии'!$B:$B}, 2, 0),
data,MATCH('🔒 Доп. информация'!$J$15:$J203,TRANSPOSE(SPLIT(INDEX('▶️ Инструкция'!$Q:$Q,MATCH($AT9,'▶️ Инструкция'!$R:$R,0)+2),"", "",FALSE)),0),
options,COUNTA( if"&amp;"na( FILTER('🔒 Доп. информация'!$J$15:$J203,('🔒 Доп. информация'!$N$15:$N203=FALSE)*data*('🔒 Доп. информация'!$O$15:$O203=""Опция"")))),
commission,VLOOKUP($M9,'📄 Комиссии'!$C:$E,IF($AV9=data!A$8,2,3),0),
IF(NOT(ISBLANK($M9)),commission/100+
IFERROR(VL"&amp;"OOKUP($AT9,{'▶️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информация'!$O$15:"&amp;"$O203=""Пакет"")))))&gt;=5),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""Одежда"")*( c"&amp;"ategory &lt;&gt; ""Обувь"" ),-3% + 2%,0))))))"),0.32)</f>
        <v>0.32</v>
      </c>
      <c r="O9" s="178" t="str">
        <f t="shared" si="6"/>
        <v>🔒</v>
      </c>
      <c r="Q9" s="178" t="str">
        <f t="shared" si="7"/>
        <v>🔒</v>
      </c>
      <c r="S9" s="179" t="s">
        <v>198</v>
      </c>
      <c r="T9" s="180" t="s">
        <v>193</v>
      </c>
      <c r="U9" s="181">
        <v>1.0</v>
      </c>
      <c r="V9" s="182" t="str">
        <f t="shared" ref="V9:Y9" si="34">IF($D9,"🔒",)</f>
        <v>🔒</v>
      </c>
      <c r="W9" s="182" t="str">
        <f t="shared" si="34"/>
        <v>🔒</v>
      </c>
      <c r="X9" s="182" t="str">
        <f t="shared" si="34"/>
        <v>🔒</v>
      </c>
      <c r="Y9" s="182" t="str">
        <f t="shared" si="34"/>
        <v>🔒</v>
      </c>
      <c r="Z9" s="183">
        <v>0.0</v>
      </c>
      <c r="AA9" s="184">
        <f t="shared" si="31"/>
        <v>0</v>
      </c>
      <c r="AB9" s="185" t="str">
        <f t="shared" ref="AB9:AD9" si="35">IF($D9,"🔒",)</f>
        <v>🔒</v>
      </c>
      <c r="AC9" s="185" t="str">
        <f t="shared" si="35"/>
        <v>🔒</v>
      </c>
      <c r="AD9" s="186" t="str">
        <f t="shared" si="35"/>
        <v>🔒</v>
      </c>
      <c r="AE9" s="180">
        <v>30.0</v>
      </c>
      <c r="AF9" s="187">
        <v>0.0</v>
      </c>
      <c r="AG9" s="187">
        <v>0.0</v>
      </c>
      <c r="AH9" s="187">
        <v>0.0</v>
      </c>
      <c r="AI9" s="181">
        <f t="shared" si="10"/>
        <v>0</v>
      </c>
      <c r="AJ9" s="181">
        <f t="shared" si="11"/>
        <v>0</v>
      </c>
      <c r="AK9" s="185" t="str">
        <f t="shared" si="12"/>
        <v>🔒</v>
      </c>
      <c r="AL9" s="188">
        <f t="array" ref="AL9">H9*(1-I9)*VLOOKUP(AT9,{'▶️ Инструкция'!C:C,'▶️ Инструкция'!AI:AI},2,false)</f>
        <v>30</v>
      </c>
      <c r="AM9" s="186" t="str">
        <f t="shared" si="13"/>
        <v>🔒</v>
      </c>
      <c r="AN9" s="189">
        <v>0.0</v>
      </c>
      <c r="AO9" s="189">
        <v>0.0</v>
      </c>
      <c r="AP9" s="207">
        <v>0.0</v>
      </c>
      <c r="AQ9" s="191">
        <v>1.0</v>
      </c>
      <c r="AR9" s="191">
        <v>0.0</v>
      </c>
      <c r="AS9" s="208">
        <v>0.0</v>
      </c>
      <c r="AT9" s="193" t="s">
        <v>22</v>
      </c>
      <c r="AU9" s="193" t="s">
        <v>121</v>
      </c>
      <c r="AV9" s="193" t="s">
        <v>199</v>
      </c>
      <c r="AW9" s="194">
        <f t="shared" si="14"/>
        <v>0</v>
      </c>
      <c r="AX9" s="195">
        <f t="shared" si="15"/>
        <v>0</v>
      </c>
      <c r="AY9" s="196">
        <f t="shared" si="16"/>
        <v>0</v>
      </c>
      <c r="AZ9" s="209">
        <v>250.0</v>
      </c>
      <c r="BA9" s="210">
        <f t="shared" si="17"/>
        <v>0.25</v>
      </c>
      <c r="BB9" s="211">
        <f t="shared" si="18"/>
        <v>1000</v>
      </c>
      <c r="BC9" s="199">
        <f t="shared" si="19"/>
        <v>535.15</v>
      </c>
      <c r="BD9" s="200">
        <f t="shared" si="20"/>
        <v>0</v>
      </c>
      <c r="BE9" s="200">
        <f t="shared" si="21"/>
        <v>0</v>
      </c>
      <c r="BF9" s="201">
        <f t="shared" si="22"/>
        <v>7.645</v>
      </c>
      <c r="BG9" s="201">
        <f t="shared" si="23"/>
        <v>0.53515</v>
      </c>
      <c r="BH9" s="202">
        <f t="shared" si="24"/>
        <v>0.8843262001</v>
      </c>
      <c r="BI9" s="203"/>
      <c r="BJ9" s="204">
        <f>IFERROR(__xludf.DUMMYFUNCTION("IF(AU9=data!A$5,
IF(AV9=data!A$8,
IF(T9=data!A$3,
VLOOKUP(S9,filter('🔒 Доп. информация'!D:H,'🔒 Доп. информация'!C:C=T9),4,FALSE)+VLOOKUP(S9,filter('🔒 Доп. информация'!D:H,'🔒 Доп. информация'!C:C=T9),5,FALSE)*AJ9,
IF(AND(MAX(AF9:AH9)&lt;80,SUM(AF9:AH9)&lt;=1"&amp;"60,AI9&lt;20,XLOOKUP(M9,'📄 Комиссии'!C:C,'📄 Комиссии'!B:B)&lt;&gt;""Продукты""),
VLOOKUP(S9,filter('🔒 Доп. информация'!D:H,'🔒 Доп. информация'!C:C=data!$A$3),4,FALSE)+VLOOKUP(S9,filter('🔒 Доп. информация'!D:H,'🔒 Доп. информация'!C:C=data!$A$3),5,FALSE)*AJ9,
"&amp;"VLOOKUP(S9,filter('🔒 Доп. информация'!D:H,'🔒 Доп. информация'!C:C=T9),4,FALSE)*ROUNDUP(AF9*AG9*AH9*L9/(120*80*175))/L9)
)
*(AE9/2)
,)
,)*0"),0.0)</f>
        <v>0</v>
      </c>
      <c r="BK9" s="204">
        <f>IFERROR(__xludf.DUMMYFUNCTION("IF(AU9=data!A$5,
IF(AI9&lt;=1,IF(AI9&lt;=0.8,IF(AI9&lt;=0.6,IF(AI9&lt;=0.4,IF(AI9&lt;=0.2,23,26),29),30),32)*VLOOKUP(S9,filter('🔒 Доп. информация'!D:E,'🔒 Доп. информация'!C:C=T9),2,FALSE)/'🔒 Доп. информация'!$K$9,
IF(AV9=data!A$8,U9,1)*VLOOKUP(S9,filter('🔒 Доп. инфо"&amp;"рмация'!D:E,'🔒 Доп. информация'!C:C=T9),2,FALSE)+
IF(AV9=data!A$8,U9,1)*VLOOKUP(S9,filter('🔒 Доп. информация'!D:F,'🔒 Доп. информация'!C:C=T9),3,FALSE)*AJ9)
,0)"),44.85)</f>
        <v>44.85</v>
      </c>
      <c r="BL9" s="185" t="str">
        <f t="shared" ref="BL9:BM9" si="36">IF($D9,"🔒",)</f>
        <v>🔒</v>
      </c>
      <c r="BM9" s="185" t="str">
        <f t="shared" si="36"/>
        <v>🔒</v>
      </c>
      <c r="BN9" s="204">
        <f>VLOOKUP(T9,'🔒 Доп. информация'!J:P,7,false)</f>
        <v>50</v>
      </c>
      <c r="BO9" s="204">
        <f>IF(AV9=data!A$9,
(AA9+AO9+AP9+BJ9+BK9+BN9)+H9*AS9,
(BJ9+BK9+BN9)+H9*AS9
)</f>
        <v>94.85</v>
      </c>
      <c r="BP9" s="204">
        <f t="shared" si="26"/>
        <v>44.85</v>
      </c>
      <c r="BQ9" s="204">
        <f t="shared" si="27"/>
        <v>320</v>
      </c>
      <c r="BR9" s="204">
        <f t="shared" si="37"/>
        <v>394.85</v>
      </c>
      <c r="BS9" s="204">
        <f t="array" ref="BS9">IF(VLOOKUP(AT9,{'▶️ Инструкция'!C:C,'▶️ Инструкция'!Y:Y},2,FALSE)=data!A$15,
H9*(1-I9),
(H9-BR9))
*VLOOKUP(AT9,{'▶️ Инструкция'!C:C,'▶️ Инструкция'!AD:AD},2,FALSE)/(1+VLOOKUP(AT9,{'▶️ Инструкция'!C:C,'▶️ Инструкция'!AD:AD},2,FALSE))</f>
        <v>0</v>
      </c>
      <c r="BT9" s="204">
        <f t="array" ref="BT9">
IF(VLOOKUP(AT9,{'▶️ Инструкция'!C:C,'▶️ Инструкция'!Y:Y},2,FALSE)=data!A$15,
H9*(1-I9)-BS9,
(H9-BR9-BS9))
*
VLOOKUP(AT9,{'▶️ Инструкция'!C:C,'▶️ Инструкция'!R:R},2,FALSE)
+BS9</f>
        <v>70</v>
      </c>
      <c r="BU9" s="204">
        <f>(G9*AR9)+if(AV9=data!A$9,AO9,AN9)+AP9+BR9+BT9</f>
        <v>464.85</v>
      </c>
      <c r="BV9" s="204">
        <f>(G9*AR9)+if(AV9=data!A$9,AO9,AN9)+AP9+BT9+G9</f>
        <v>70</v>
      </c>
      <c r="BW9" s="204">
        <f t="shared" si="28"/>
        <v>605.15</v>
      </c>
      <c r="BX9" s="204">
        <f t="shared" si="29"/>
        <v>535.15</v>
      </c>
    </row>
    <row r="10">
      <c r="A10" s="165" t="str">
        <f>if(D10=true,if(F10=data!A$1,data!A$10,data!A$11),)</f>
        <v>✅</v>
      </c>
      <c r="B10" s="166" t="str">
        <f t="shared" si="4"/>
        <v>FBO</v>
      </c>
      <c r="C10" s="167" t="s">
        <v>195</v>
      </c>
      <c r="D10" s="168" t="b">
        <v>1</v>
      </c>
      <c r="E10" s="169" t="s">
        <v>200</v>
      </c>
      <c r="F10" s="170" t="str">
        <f t="array" ref="F10">IF(D10=TRUE,IF(IF(BG$3=VLOOKUP(AT10,{'▶️ Инструкция'!C:C,'▶️ Инструкция'!G:G},2,FALSE),BG10,BH10)&gt;VLOOKUP(AT10,{'▶️ Инструкция'!C:C,'▶️ Инструкция'!N:N},2,FALSE),data!A$1,data!A$2),)</f>
        <v>Срочно закупаем и продаем 💸</v>
      </c>
      <c r="G10" s="171">
        <v>146.0</v>
      </c>
      <c r="H10" s="172">
        <v>650.0</v>
      </c>
      <c r="I10" s="173">
        <v>0.0</v>
      </c>
      <c r="J10" s="173">
        <v>0.0</v>
      </c>
      <c r="K10" s="174" t="str">
        <f t="shared" si="5"/>
        <v>🔒</v>
      </c>
      <c r="L10" s="175">
        <v>0.0</v>
      </c>
      <c r="M10" s="176" t="s">
        <v>201</v>
      </c>
      <c r="N10" s="177">
        <f>IFERROR(__xludf.DUMMYFUNCTION("ArrayFormula(let(category,VLOOKUP($M10, {'📄 Комиссии'!$C:$C , '📄 Комиссии'!$B:$B}, 2, 0),
data,MATCH('🔒 Доп. информация'!$J$15:$J203,TRANSPOSE(SPLIT(INDEX('▶️ Инструкция'!$Q:$Q,MATCH($AT10,'▶️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commission,VLOOKUP($M10,'📄 Комиссии'!$C:$E,IF($AV10=data!A$8,2,3),0),
IF(NOT(ISBLANK($M10)),commission/100+
IFERR"&amp;"OR(VLOOKUP($AT10,{'▶️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+ 2%,0))))))"),0.325)</f>
        <v>0.325</v>
      </c>
      <c r="O10" s="178" t="str">
        <f t="shared" si="6"/>
        <v>🔒</v>
      </c>
      <c r="Q10" s="178" t="str">
        <f t="shared" si="7"/>
        <v>🔒</v>
      </c>
      <c r="S10" s="179" t="s">
        <v>202</v>
      </c>
      <c r="T10" s="180" t="s">
        <v>193</v>
      </c>
      <c r="U10" s="181">
        <v>1.0</v>
      </c>
      <c r="V10" s="182" t="str">
        <f t="shared" ref="V10:Y10" si="38">IF($D10,"🔒",)</f>
        <v>🔒</v>
      </c>
      <c r="W10" s="182" t="str">
        <f t="shared" si="38"/>
        <v>🔒</v>
      </c>
      <c r="X10" s="182" t="str">
        <f t="shared" si="38"/>
        <v>🔒</v>
      </c>
      <c r="Y10" s="182" t="str">
        <f t="shared" si="38"/>
        <v>🔒</v>
      </c>
      <c r="Z10" s="183">
        <v>0.0</v>
      </c>
      <c r="AA10" s="184">
        <f t="shared" si="31"/>
        <v>0</v>
      </c>
      <c r="AB10" s="185" t="str">
        <f t="shared" ref="AB10:AD10" si="39">IF($D10,"🔒",)</f>
        <v>🔒</v>
      </c>
      <c r="AC10" s="185" t="str">
        <f t="shared" si="39"/>
        <v>🔒</v>
      </c>
      <c r="AD10" s="186" t="str">
        <f t="shared" si="39"/>
        <v>🔒</v>
      </c>
      <c r="AE10" s="180">
        <v>30.0</v>
      </c>
      <c r="AF10" s="187">
        <v>3.0</v>
      </c>
      <c r="AG10" s="187">
        <v>16.0</v>
      </c>
      <c r="AH10" s="187">
        <v>18.0</v>
      </c>
      <c r="AI10" s="181">
        <f t="shared" si="10"/>
        <v>0.864</v>
      </c>
      <c r="AJ10" s="181">
        <f t="shared" si="11"/>
        <v>0</v>
      </c>
      <c r="AK10" s="185" t="str">
        <f t="shared" si="12"/>
        <v>🔒</v>
      </c>
      <c r="AL10" s="188">
        <f t="array" ref="AL10">H10*(1-I10)*VLOOKUP(AT10,{'▶️ Инструкция'!C:C,'▶️ Инструкция'!AI:AI},2,false)</f>
        <v>13</v>
      </c>
      <c r="AM10" s="186" t="str">
        <f t="shared" si="13"/>
        <v>🔒</v>
      </c>
      <c r="AN10" s="189">
        <v>0.0</v>
      </c>
      <c r="AO10" s="189">
        <v>0.0</v>
      </c>
      <c r="AP10" s="189">
        <v>0.0</v>
      </c>
      <c r="AQ10" s="191">
        <v>1.0</v>
      </c>
      <c r="AR10" s="191">
        <v>0.0</v>
      </c>
      <c r="AS10" s="212">
        <v>0.01</v>
      </c>
      <c r="AT10" s="193" t="s">
        <v>26</v>
      </c>
      <c r="AU10" s="193" t="s">
        <v>121</v>
      </c>
      <c r="AV10" s="193" t="s">
        <v>194</v>
      </c>
      <c r="AW10" s="194">
        <f t="shared" si="14"/>
        <v>6.5</v>
      </c>
      <c r="AX10" s="195">
        <f t="shared" si="15"/>
        <v>6.5</v>
      </c>
      <c r="AY10" s="196">
        <f t="shared" si="16"/>
        <v>0.03370495204</v>
      </c>
      <c r="AZ10" s="213">
        <v>250.0</v>
      </c>
      <c r="BA10" s="196">
        <f t="shared" si="17"/>
        <v>0.3846153846</v>
      </c>
      <c r="BB10" s="213">
        <f t="shared" si="18"/>
        <v>643.5</v>
      </c>
      <c r="BC10" s="199">
        <f t="shared" si="19"/>
        <v>192.85</v>
      </c>
      <c r="BD10" s="200">
        <f t="shared" si="20"/>
        <v>0</v>
      </c>
      <c r="BE10" s="200">
        <f t="shared" si="21"/>
        <v>0</v>
      </c>
      <c r="BF10" s="201">
        <f t="shared" si="22"/>
        <v>1.12122093</v>
      </c>
      <c r="BG10" s="201">
        <f t="shared" si="23"/>
        <v>0.2966923077</v>
      </c>
      <c r="BH10" s="202">
        <f t="shared" si="24"/>
        <v>0.5285733863</v>
      </c>
      <c r="BI10" s="203"/>
      <c r="BJ10" s="204">
        <f>IFERROR(__xludf.DUMMYFUNCTION("IF(AU10=data!A$5,
IF(AV10=data!A$8,
IF(T10=data!A$3,
VLOOKUP(S10,filter('🔒 Доп. информация'!D:H,'🔒 Доп. информация'!C:C=T10),4,FALSE)+VLOOKUP(S10,filter('🔒 Доп. информация'!D:H,'🔒 Доп. информация'!C:C=T10),5,FALSE)*AJ10,
IF(AND(MAX(AF10:AH10)&lt;80,SUM(A"&amp;"F10:AH10)&lt;=160,AI10&lt;20,XLOOKUP(M10,'📄 Комиссии'!C:C,'📄 Комиссии'!B:B)&lt;&gt;""Продукты""),
VLOOKUP(S10,filter('🔒 Доп. информация'!D:H,'🔒 Доп. информация'!C:C=data!$A$3),4,FALSE)+VLOOKUP(S10,filter('🔒 Доп. информация'!D:H,'🔒 Доп. информация'!C:C=data!$A$3"&amp;"),5,FALSE)*AJ10,
VLOOKUP(S10,filter('🔒 Доп. информация'!D:H,'🔒 Доп. информация'!C:C=T10),4,FALSE)*ROUNDUP(AF10*AG10*AH10*L10/(120*80*175))/L10)
)
*(AE10/2)
,)
,)*0"),0.0)</f>
        <v>0</v>
      </c>
      <c r="BK10" s="204">
        <f>IFERROR(__xludf.DUMMYFUNCTION("IF(AU10=data!A$5,
IF(AI10&lt;=1,IF(AI10&lt;=0.8,IF(AI10&lt;=0.6,IF(AI10&lt;=0.4,IF(AI10&lt;=0.2,23,26),29),30),32)*VLOOKUP(S10,filter('🔒 Доп. информация'!D:E,'🔒 Доп. информация'!C:C=T10),2,FALSE)/'🔒 Доп. информация'!$K$9,
IF(AV10=data!A$8,U10,1)*VLOOKUP(S10,filter('"&amp;"🔒 Доп. информация'!D:E,'🔒 Доп. информация'!C:C=T10),2,FALSE)+
IF(AV10=data!A$8,U10,1)*VLOOKUP(S10,filter('🔒 Доп. информация'!D:F,'🔒 Доп. информация'!C:C=T10),3,FALSE)*AJ10)
,0)"),54.4)</f>
        <v>54.4</v>
      </c>
      <c r="BL10" s="185" t="str">
        <f t="shared" ref="BL10:BM10" si="40">IF($D10,"🔒",)</f>
        <v>🔒</v>
      </c>
      <c r="BM10" s="185" t="str">
        <f t="shared" si="40"/>
        <v>🔒</v>
      </c>
      <c r="BN10" s="204">
        <f>VLOOKUP(T10,'🔒 Доп. информация'!J:P,7,false)</f>
        <v>50</v>
      </c>
      <c r="BO10" s="204">
        <f>IF(AV10=data!A$9,
(AA10+AO10+AP10+BJ10+BK10+BN10)+H10*AS10,
(BJ10+BK10+BN10)+H10*AS10
)</f>
        <v>110.9</v>
      </c>
      <c r="BP10" s="204">
        <f t="shared" si="26"/>
        <v>54.4</v>
      </c>
      <c r="BQ10" s="204">
        <f t="shared" si="27"/>
        <v>211.25</v>
      </c>
      <c r="BR10" s="204">
        <f t="shared" si="37"/>
        <v>285.15</v>
      </c>
      <c r="BS10" s="204">
        <f t="array" ref="BS10">IF(VLOOKUP(AT10,{'▶️ Инструкция'!C:C,'▶️ Инструкция'!Y:Y},2,FALSE)=data!A$15,
H10*(1-I10),
(H10-BR10))
*VLOOKUP(AT10,{'▶️ Инструкция'!C:C,'▶️ Инструкция'!AD:AD},2,FALSE)/(1+VLOOKUP(AT10,{'▶️ Инструкция'!C:C,'▶️ Инструкция'!AD:AD},2,FALSE))</f>
        <v>0</v>
      </c>
      <c r="BT10" s="204">
        <f t="array" ref="BT10">
IF(VLOOKUP(AT10,{'▶️ Инструкция'!C:C,'▶️ Инструкция'!Y:Y},2,FALSE)=data!A$15,
H10*(1-I10)-BS10,
(H10-BR10-BS10))
*
VLOOKUP(AT10,{'▶️ Инструкция'!C:C,'▶️ Инструкция'!R:R},2,FALSE)
+BS10</f>
        <v>26</v>
      </c>
      <c r="BU10" s="204">
        <f>(G10*AR10)+if(AV10=data!A$9,AO10,AN10)+AP10+BR10+BT10</f>
        <v>311.15</v>
      </c>
      <c r="BV10" s="204">
        <f>(G10*AR10)+if(AV10=data!A$9,AO10,AN10)+AP10+BT10+G10</f>
        <v>172</v>
      </c>
      <c r="BW10" s="204">
        <f t="shared" si="28"/>
        <v>364.85</v>
      </c>
      <c r="BX10" s="204">
        <f t="shared" si="29"/>
        <v>192.85</v>
      </c>
    </row>
    <row r="11">
      <c r="A11" s="165" t="str">
        <f>if(D11=true,if(F11=data!A$1,data!A$10,data!A$11),)</f>
        <v>✅</v>
      </c>
      <c r="B11" s="166" t="str">
        <f t="shared" si="4"/>
        <v>FBO</v>
      </c>
      <c r="C11" s="167" t="s">
        <v>203</v>
      </c>
      <c r="D11" s="168" t="b">
        <v>1</v>
      </c>
      <c r="E11" s="169" t="s">
        <v>204</v>
      </c>
      <c r="F11" s="170" t="str">
        <f t="array" ref="F11">IF(D11=TRUE,IF(IF(BG$3=VLOOKUP(AT11,{'▶️ Инструкция'!C:C,'▶️ Инструкция'!G:G},2,FALSE),BG11,BH11)&gt;VLOOKUP(AT11,{'▶️ Инструкция'!C:C,'▶️ Инструкция'!N:N},2,FALSE),data!A$1,data!A$2),)</f>
        <v>Срочно закупаем и продаем 💸</v>
      </c>
      <c r="G11" s="171">
        <v>146.0</v>
      </c>
      <c r="H11" s="172">
        <v>600.0</v>
      </c>
      <c r="I11" s="173">
        <v>0.0</v>
      </c>
      <c r="J11" s="173">
        <v>0.0</v>
      </c>
      <c r="K11" s="174" t="str">
        <f t="shared" si="5"/>
        <v>🔒</v>
      </c>
      <c r="L11" s="175">
        <v>3600.0</v>
      </c>
      <c r="M11" s="176" t="s">
        <v>201</v>
      </c>
      <c r="N11" s="177">
        <f>IFERROR(__xludf.DUMMYFUNCTION("ArrayFormula(let(category,VLOOKUP($M11, {'📄 Комиссии'!$C:$C , '📄 Комиссии'!$B:$B}, 2, 0),
data,MATCH('🔒 Доп. информация'!$J$15:$J203,TRANSPOSE(SPLIT(INDEX('▶️ Инструкция'!$Q:$Q,MATCH($AT11,'▶️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commission,VLOOKUP($M11,'📄 Комиссии'!$C:$E,IF($AV11=data!A$8,2,3),0),
IF(NOT(ISBLANK($M11)),commission/100+
IFERR"&amp;"OR(VLOOKUP($AT11,{'▶️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+ 2%,0))))))"),0.325)</f>
        <v>0.325</v>
      </c>
      <c r="O11" s="178" t="str">
        <f t="shared" si="6"/>
        <v>🔒</v>
      </c>
      <c r="Q11" s="178" t="str">
        <f t="shared" si="7"/>
        <v>🔒</v>
      </c>
      <c r="S11" s="179" t="s">
        <v>205</v>
      </c>
      <c r="T11" s="180" t="s">
        <v>193</v>
      </c>
      <c r="U11" s="181">
        <v>1.0</v>
      </c>
      <c r="V11" s="182" t="str">
        <f t="shared" ref="V11:Y11" si="41">IF($D11,"🔒",)</f>
        <v>🔒</v>
      </c>
      <c r="W11" s="182" t="str">
        <f t="shared" si="41"/>
        <v>🔒</v>
      </c>
      <c r="X11" s="182" t="str">
        <f t="shared" si="41"/>
        <v>🔒</v>
      </c>
      <c r="Y11" s="182" t="str">
        <f t="shared" si="41"/>
        <v>🔒</v>
      </c>
      <c r="Z11" s="183">
        <v>0.0</v>
      </c>
      <c r="AA11" s="184">
        <f t="shared" si="31"/>
        <v>0</v>
      </c>
      <c r="AB11" s="185" t="str">
        <f t="shared" ref="AB11:AD11" si="42">IF($D11,"🔒",)</f>
        <v>🔒</v>
      </c>
      <c r="AC11" s="185" t="str">
        <f t="shared" si="42"/>
        <v>🔒</v>
      </c>
      <c r="AD11" s="186" t="str">
        <f t="shared" si="42"/>
        <v>🔒</v>
      </c>
      <c r="AE11" s="180">
        <v>30.0</v>
      </c>
      <c r="AF11" s="187">
        <v>3.0</v>
      </c>
      <c r="AG11" s="187">
        <v>16.0</v>
      </c>
      <c r="AH11" s="187">
        <v>18.0</v>
      </c>
      <c r="AI11" s="181">
        <f t="shared" si="10"/>
        <v>0.864</v>
      </c>
      <c r="AJ11" s="181">
        <f t="shared" si="11"/>
        <v>0</v>
      </c>
      <c r="AK11" s="185" t="str">
        <f t="shared" si="12"/>
        <v>🔒</v>
      </c>
      <c r="AL11" s="188">
        <f t="array" ref="AL11">H11*(1-I11)*VLOOKUP(AT11,{'▶️ Инструкция'!C:C,'▶️ Инструкция'!AI:AI},2,false)</f>
        <v>12</v>
      </c>
      <c r="AM11" s="186" t="str">
        <f t="shared" si="13"/>
        <v>🔒</v>
      </c>
      <c r="AN11" s="189">
        <v>0.0</v>
      </c>
      <c r="AO11" s="189">
        <v>0.0</v>
      </c>
      <c r="AP11" s="189">
        <v>0.0</v>
      </c>
      <c r="AQ11" s="191">
        <v>0.95</v>
      </c>
      <c r="AR11" s="191">
        <v>0.002</v>
      </c>
      <c r="AS11" s="212">
        <v>0.01</v>
      </c>
      <c r="AT11" s="193" t="s">
        <v>25</v>
      </c>
      <c r="AU11" s="193" t="s">
        <v>121</v>
      </c>
      <c r="AV11" s="193" t="s">
        <v>194</v>
      </c>
      <c r="AW11" s="194">
        <f t="shared" si="14"/>
        <v>6</v>
      </c>
      <c r="AX11" s="195">
        <f t="shared" si="15"/>
        <v>6.315789474</v>
      </c>
      <c r="AY11" s="196">
        <f t="shared" si="16"/>
        <v>0.04314293398</v>
      </c>
      <c r="AZ11" s="213">
        <v>250.0</v>
      </c>
      <c r="BA11" s="196">
        <f t="shared" si="17"/>
        <v>0.4166666667</v>
      </c>
      <c r="BB11" s="213">
        <f t="shared" si="18"/>
        <v>594</v>
      </c>
      <c r="BC11" s="199">
        <f t="shared" si="19"/>
        <v>146.3922105</v>
      </c>
      <c r="BD11" s="200">
        <f t="shared" si="20"/>
        <v>527011.9579</v>
      </c>
      <c r="BE11" s="200">
        <f t="shared" si="21"/>
        <v>2160000</v>
      </c>
      <c r="BF11" s="201">
        <f t="shared" si="22"/>
        <v>0.8596540679</v>
      </c>
      <c r="BG11" s="201">
        <f t="shared" si="23"/>
        <v>0.2439870175</v>
      </c>
      <c r="BH11" s="202">
        <f t="shared" si="24"/>
        <v>0.4622655809</v>
      </c>
      <c r="BI11" s="203"/>
      <c r="BJ11" s="204">
        <f>IFERROR(__xludf.DUMMYFUNCTION("IF(AU11=data!A$5,
IF(AV11=data!A$8,
IF(T11=data!A$3,
VLOOKUP(S11,filter('🔒 Доп. информация'!D:H,'🔒 Доп. информация'!C:C=T11),4,FALSE)+VLOOKUP(S11,filter('🔒 Доп. информация'!D:H,'🔒 Доп. информация'!C:C=T11),5,FALSE)*AJ11,
IF(AND(MAX(AF11:AH11)&lt;80,SUM(A"&amp;"F11:AH11)&lt;=160,AI11&lt;20,XLOOKUP(M11,'📄 Комиссии'!C:C,'📄 Комиссии'!B:B)&lt;&gt;""Продукты""),
VLOOKUP(S11,filter('🔒 Доп. информация'!D:H,'🔒 Доп. информация'!C:C=data!$A$3),4,FALSE)+VLOOKUP(S11,filter('🔒 Доп. информация'!D:H,'🔒 Доп. информация'!C:C=data!$A$3"&amp;"),5,FALSE)*AJ11,
VLOOKUP(S11,filter('🔒 Доп. информация'!D:H,'🔒 Доп. информация'!C:C=T11),4,FALSE)*ROUNDUP(AF11*AG11*AH11*L11/(120*80*175))/L11)
)
*(AE11/2)
,)
,)*0"),0.0)</f>
        <v>0</v>
      </c>
      <c r="BK11" s="204">
        <f>IFERROR(__xludf.DUMMYFUNCTION("IF(AU11=data!A$5,
IF(AI11&lt;=1,IF(AI11&lt;=0.8,IF(AI11&lt;=0.6,IF(AI11&lt;=0.4,IF(AI11&lt;=0.2,23,26),29),30),32)*VLOOKUP(S11,filter('🔒 Доп. информация'!D:E,'🔒 Доп. информация'!C:C=T11),2,FALSE)/'🔒 Доп. информация'!$K$9,
IF(AV11=data!A$8,U11,1)*VLOOKUP(S11,filter('"&amp;"🔒 Доп. информация'!D:E,'🔒 Доп. информация'!C:C=T11),2,FALSE)+
IF(AV11=data!A$8,U11,1)*VLOOKUP(S11,filter('🔒 Доп. информация'!D:F,'🔒 Доп. информация'!C:C=T11),3,FALSE)*AJ11)
,0)"),64.0)</f>
        <v>64</v>
      </c>
      <c r="BL11" s="185" t="str">
        <f t="shared" ref="BL11:BM11" si="43">IF($D11,"🔒",)</f>
        <v>🔒</v>
      </c>
      <c r="BM11" s="185" t="str">
        <f t="shared" si="43"/>
        <v>🔒</v>
      </c>
      <c r="BN11" s="204">
        <f>VLOOKUP(T11,'🔒 Доп. информация'!J:P,7,false)</f>
        <v>50</v>
      </c>
      <c r="BO11" s="204">
        <f>IF(AV11=data!A$9,
(AA11+AO11+AP11+BJ11+BK11+BN11)+H11*AS11,
(BJ11+BK11+BN11)+H11*AS11
)</f>
        <v>120</v>
      </c>
      <c r="BP11" s="204">
        <f t="shared" si="26"/>
        <v>64</v>
      </c>
      <c r="BQ11" s="204">
        <f t="shared" si="27"/>
        <v>195</v>
      </c>
      <c r="BR11" s="204">
        <f t="shared" si="37"/>
        <v>283.3157895</v>
      </c>
      <c r="BS11" s="204">
        <f t="array" ref="BS11">IF(VLOOKUP(AT11,{'▶️ Инструкция'!C:C,'▶️ Инструкция'!Y:Y},2,FALSE)=data!A$15,
H11*(1-I11),
(H11-BR11))
*VLOOKUP(AT11,{'▶️ Инструкция'!C:C,'▶️ Инструкция'!AD:AD},2,FALSE)/(1+VLOOKUP(AT11,{'▶️ Инструкция'!C:C,'▶️ Инструкция'!AD:AD},2,FALSE))</f>
        <v>0</v>
      </c>
      <c r="BT11" s="204">
        <f t="array" ref="BT11">
IF(VLOOKUP(AT11,{'▶️ Инструкция'!C:C,'▶️ Инструкция'!Y:Y},2,FALSE)=data!A$15,
H11*(1-I11)-BS11,
(H11-BR11-BS11))
*
VLOOKUP(AT11,{'▶️ Инструкция'!C:C,'▶️ Инструкция'!R:R},2,FALSE)
+BS11</f>
        <v>24</v>
      </c>
      <c r="BU11" s="204">
        <f>(G11*AR11)+if(AV11=data!A$9,AO11,AN11)+AP11+BR11+BT11</f>
        <v>307.6077895</v>
      </c>
      <c r="BV11" s="204">
        <f>(G11*AR11)+if(AV11=data!A$9,AO11,AN11)+AP11+BT11+G11</f>
        <v>170.292</v>
      </c>
      <c r="BW11" s="204">
        <f t="shared" si="28"/>
        <v>316.6842105</v>
      </c>
      <c r="BX11" s="204">
        <f t="shared" si="29"/>
        <v>146.3922105</v>
      </c>
    </row>
    <row r="12">
      <c r="A12" s="165" t="str">
        <f>if(D12=true,if(F12=data!A$1,data!A$10,data!A$11),)</f>
        <v/>
      </c>
      <c r="B12" s="166" t="str">
        <f t="shared" si="4"/>
        <v>FBS</v>
      </c>
      <c r="C12" s="167" t="s">
        <v>195</v>
      </c>
      <c r="D12" s="168" t="b">
        <v>0</v>
      </c>
      <c r="E12" s="169" t="s">
        <v>204</v>
      </c>
      <c r="F12" s="170" t="str">
        <f t="array" ref="F12">IF(D12=TRUE,IF(IF(BG$3=VLOOKUP(AT12,{'▶️ Инструкция'!C:C,'▶️ Инструкция'!G:G},2,FALSE),BG12,BH12)&gt;VLOOKUP(AT12,{'▶️ Инструкция'!C:C,'▶️ Инструкция'!N:N},2,FALSE),data!A$1,data!A$2),)</f>
        <v/>
      </c>
      <c r="G12" s="171">
        <v>0.0</v>
      </c>
      <c r="H12" s="172">
        <v>1000.0</v>
      </c>
      <c r="I12" s="173">
        <v>0.0</v>
      </c>
      <c r="J12" s="173">
        <v>0.0</v>
      </c>
      <c r="K12" s="174" t="str">
        <f t="shared" si="5"/>
        <v/>
      </c>
      <c r="L12" s="175">
        <v>0.0</v>
      </c>
      <c r="M12" s="176" t="s">
        <v>197</v>
      </c>
      <c r="N12" s="177">
        <f>IFERROR(__xludf.DUMMYFUNCTION("ArrayFormula(let(category,VLOOKUP($M12, {'📄 Комиссии'!$C:$C , '📄 Комиссии'!$B:$B}, 2, 0),
data,MATCH('🔒 Доп. информация'!$J$15:$J203,TRANSPOSE(SPLIT(INDEX('▶️ Инструкция'!$Q:$Q,MATCH($AT12,'▶️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commission,VLOOKUP($M12,'📄 Комиссии'!$C:$E,IF($AV12=data!A$8,2,3),0),
IF(NOT(ISBLANK($M12)),commission/100+
IFERR"&amp;"OR(VLOOKUP($AT12,{'▶️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12" s="178" t="str">
        <f t="shared" si="6"/>
        <v/>
      </c>
      <c r="Q12" s="178" t="str">
        <f t="shared" si="7"/>
        <v/>
      </c>
      <c r="S12" s="179" t="s">
        <v>192</v>
      </c>
      <c r="T12" s="180" t="s">
        <v>193</v>
      </c>
      <c r="U12" s="181">
        <v>1.0</v>
      </c>
      <c r="V12" s="182" t="str">
        <f t="shared" ref="V12:Y12" si="44">IF($D12,"🔒",)</f>
        <v/>
      </c>
      <c r="W12" s="182" t="str">
        <f t="shared" si="44"/>
        <v/>
      </c>
      <c r="X12" s="182" t="str">
        <f t="shared" si="44"/>
        <v/>
      </c>
      <c r="Y12" s="182" t="str">
        <f t="shared" si="44"/>
        <v/>
      </c>
      <c r="Z12" s="183">
        <v>0.0</v>
      </c>
      <c r="AA12" s="184">
        <f t="shared" si="31"/>
        <v>0</v>
      </c>
      <c r="AB12" s="185" t="str">
        <f t="shared" ref="AB12:AD12" si="45">IF($D12,"🔒",)</f>
        <v/>
      </c>
      <c r="AC12" s="185" t="str">
        <f t="shared" si="45"/>
        <v/>
      </c>
      <c r="AD12" s="186" t="str">
        <f t="shared" si="45"/>
        <v/>
      </c>
      <c r="AE12" s="180">
        <v>30.0</v>
      </c>
      <c r="AF12" s="187">
        <v>0.0</v>
      </c>
      <c r="AG12" s="187">
        <v>0.0</v>
      </c>
      <c r="AH12" s="187">
        <v>0.0</v>
      </c>
      <c r="AI12" s="181">
        <f t="shared" si="10"/>
        <v>0</v>
      </c>
      <c r="AJ12" s="181">
        <f t="shared" si="11"/>
        <v>0</v>
      </c>
      <c r="AK12" s="185" t="str">
        <f t="shared" si="12"/>
        <v/>
      </c>
      <c r="AL12" s="188" t="str">
        <f t="array" ref="AL12">H12*(1-I12)*VLOOKUP(AT12,{'▶️ Инструкция'!C:C,'▶️ Инструкция'!AI:AI},2,false)</f>
        <v>#N/A</v>
      </c>
      <c r="AM12" s="186" t="str">
        <f t="shared" si="13"/>
        <v/>
      </c>
      <c r="AN12" s="189">
        <v>0.0</v>
      </c>
      <c r="AO12" s="189">
        <v>0.0</v>
      </c>
      <c r="AP12" s="189">
        <v>0.0</v>
      </c>
      <c r="AQ12" s="191">
        <v>1.0</v>
      </c>
      <c r="AR12" s="191">
        <v>0.0</v>
      </c>
      <c r="AS12" s="212">
        <v>0.0</v>
      </c>
      <c r="AT12" s="193" t="s">
        <v>43</v>
      </c>
      <c r="AU12" s="193" t="s">
        <v>121</v>
      </c>
      <c r="AV12" s="193" t="s">
        <v>199</v>
      </c>
      <c r="AW12" s="194">
        <f t="shared" si="14"/>
        <v>0</v>
      </c>
      <c r="AX12" s="195">
        <f t="shared" si="15"/>
        <v>0</v>
      </c>
      <c r="AY12" s="196" t="str">
        <f t="shared" si="16"/>
        <v>#N/A</v>
      </c>
      <c r="AZ12" s="213">
        <v>250.0</v>
      </c>
      <c r="BA12" s="196">
        <f t="shared" si="17"/>
        <v>0.25</v>
      </c>
      <c r="BB12" s="213">
        <f t="shared" si="18"/>
        <v>1000</v>
      </c>
      <c r="BC12" s="199" t="str">
        <f t="shared" si="19"/>
        <v>#N/A</v>
      </c>
      <c r="BD12" s="200" t="str">
        <f t="shared" si="20"/>
        <v>#N/A</v>
      </c>
      <c r="BE12" s="200">
        <f t="shared" si="21"/>
        <v>0</v>
      </c>
      <c r="BF12" s="201" t="str">
        <f t="shared" si="22"/>
        <v/>
      </c>
      <c r="BG12" s="201" t="str">
        <f t="shared" si="23"/>
        <v/>
      </c>
      <c r="BH12" s="202" t="str">
        <f t="shared" si="24"/>
        <v/>
      </c>
      <c r="BI12" s="203"/>
      <c r="BJ12" s="204">
        <f>IFERROR(__xludf.DUMMYFUNCTION("IF(AU12=data!A$5,
IF(AV12=data!A$8,
IF(T12=data!A$3,
VLOOKUP(S12,filter('🔒 Доп. информация'!D:H,'🔒 Доп. информация'!C:C=T12),4,FALSE)+VLOOKUP(S12,filter('🔒 Доп. информация'!D:H,'🔒 Доп. информация'!C:C=T12),5,FALSE)*AJ12,
IF(AND(MAX(AF12:AH12)&lt;80,SUM(A"&amp;"F12:AH12)&lt;=160,AI12&lt;20,XLOOKUP(M12,'📄 Комиссии'!C:C,'📄 Комиссии'!B:B)&lt;&gt;""Продукты""),
VLOOKUP(S12,filter('🔒 Доп. информация'!D:H,'🔒 Доп. информация'!C:C=data!$A$3),4,FALSE)+VLOOKUP(S12,filter('🔒 Доп. информация'!D:H,'🔒 Доп. информация'!C:C=data!$A$3"&amp;"),5,FALSE)*AJ12,
VLOOKUP(S12,filter('🔒 Доп. информация'!D:H,'🔒 Доп. информация'!C:C=T12),4,FALSE)*ROUNDUP(AF12*AG12*AH12*L12/(120*80*175))/L12)
)
*(AE12/2)
,)
,)*0"),0.0)</f>
        <v>0</v>
      </c>
      <c r="BK12" s="204">
        <f>IFERROR(__xludf.DUMMYFUNCTION("IF(AU12=data!A$5,
IF(AI12&lt;=1,IF(AI12&lt;=0.8,IF(AI12&lt;=0.6,IF(AI12&lt;=0.4,IF(AI12&lt;=0.2,23,26),29),30),32)*VLOOKUP(S12,filter('🔒 Доп. информация'!D:E,'🔒 Доп. информация'!C:C=T12),2,FALSE)/'🔒 Доп. информация'!$K$9,
IF(AV12=data!A$8,U12,1)*VLOOKUP(S12,filter('"&amp;"🔒 Доп. информация'!D:E,'🔒 Доп. информация'!C:C=T12),2,FALSE)+
IF(AV12=data!A$8,U12,1)*VLOOKUP(S12,filter('🔒 Доп. информация'!D:F,'🔒 Доп. информация'!C:C=T12),3,FALSE)*AJ12)
,0)"),69.0)</f>
        <v>69</v>
      </c>
      <c r="BL12" s="185" t="str">
        <f t="shared" ref="BL12:BM12" si="46">IF($D12,"🔒",)</f>
        <v/>
      </c>
      <c r="BM12" s="185" t="str">
        <f t="shared" si="46"/>
        <v/>
      </c>
      <c r="BN12" s="204">
        <f>VLOOKUP(T12,'🔒 Доп. информация'!J:P,7,false)</f>
        <v>50</v>
      </c>
      <c r="BO12" s="204">
        <f>IF(AV12=data!A$9,
(AA12+AO12+AP12+BJ12+BK12+BN12)+H12*AS12,
(BJ12+BK12+BN12)+H12*AS12
)</f>
        <v>119</v>
      </c>
      <c r="BP12" s="204">
        <f t="shared" si="26"/>
        <v>69</v>
      </c>
      <c r="BQ12" s="204">
        <f t="shared" si="27"/>
        <v>320</v>
      </c>
      <c r="BR12" s="204" t="str">
        <f t="shared" si="37"/>
        <v>#N/A</v>
      </c>
      <c r="BS12" s="204" t="str">
        <f t="array" ref="BS12">IF(VLOOKUP(AT12,{'▶️ Инструкция'!C:C,'▶️ Инструкция'!Y:Y},2,FALSE)=data!A$15,
H12*(1-I12),
(H12-BR12))
*VLOOKUP(AT12,{'▶️ Инструкция'!C:C,'▶️ Инструкция'!AD:AD},2,FALSE)/(1+VLOOKUP(AT12,{'▶️ Инструкция'!C:C,'▶️ Инструкция'!AD:AD},2,FALSE))</f>
        <v>#N/A</v>
      </c>
      <c r="BT12" s="204" t="str">
        <f t="array" ref="BT12">
IF(VLOOKUP(AT12,{'▶️ Инструкция'!C:C,'▶️ Инструкция'!Y:Y},2,FALSE)=data!A$15,
H12*(1-I12)-BS12,
(H12-BR12-BS12))
*
VLOOKUP(AT12,{'▶️ Инструкция'!C:C,'▶️ Инструкция'!R:R},2,FALSE)
+BS12</f>
        <v>#N/A</v>
      </c>
      <c r="BU12" s="204" t="str">
        <f>(G12*AR12)+if(AV12=data!A$9,AO12,AN12)+AP12+BR12+BT12</f>
        <v>#N/A</v>
      </c>
      <c r="BV12" s="204" t="str">
        <f>(G12*AR12)+if(AV12=data!A$9,AO12,AN12)+AP12+BT12+G12</f>
        <v>#N/A</v>
      </c>
      <c r="BW12" s="204" t="str">
        <f t="shared" si="28"/>
        <v>#N/A</v>
      </c>
      <c r="BX12" s="204" t="str">
        <f t="shared" si="29"/>
        <v>#N/A</v>
      </c>
    </row>
    <row r="13">
      <c r="A13" s="165" t="str">
        <f>if(D13=true,if(F13=data!A$1,data!A$10,data!A$11),)</f>
        <v/>
      </c>
      <c r="B13" s="166" t="str">
        <f t="shared" si="4"/>
        <v>FBS</v>
      </c>
      <c r="C13" s="167" t="s">
        <v>195</v>
      </c>
      <c r="D13" s="168" t="b">
        <v>0</v>
      </c>
      <c r="E13" s="169" t="s">
        <v>204</v>
      </c>
      <c r="F13" s="170" t="str">
        <f t="array" ref="F13">IF(D13=TRUE,IF(IF(BG$3=VLOOKUP(AT13,{'▶️ Инструкция'!C:C,'▶️ Инструкция'!G:G},2,FALSE),BG13,BH13)&gt;VLOOKUP(AT13,{'▶️ Инструкция'!C:C,'▶️ Инструкция'!N:N},2,FALSE),data!A$1,data!A$2),)</f>
        <v/>
      </c>
      <c r="G13" s="171">
        <v>0.0</v>
      </c>
      <c r="H13" s="172">
        <v>1000.0</v>
      </c>
      <c r="I13" s="173">
        <v>0.0</v>
      </c>
      <c r="J13" s="173">
        <v>0.0</v>
      </c>
      <c r="K13" s="174" t="str">
        <f t="shared" si="5"/>
        <v/>
      </c>
      <c r="L13" s="175">
        <v>0.0</v>
      </c>
      <c r="M13" s="176" t="s">
        <v>197</v>
      </c>
      <c r="N13" s="177">
        <f>IFERROR(__xludf.DUMMYFUNCTION("ArrayFormula(let(category,VLOOKUP($M13, {'📄 Комиссии'!$C:$C , '📄 Комиссии'!$B:$B}, 2, 0),
data,MATCH('🔒 Доп. информация'!$J$15:$J203,TRANSPOSE(SPLIT(INDEX('▶️ Инструкция'!$Q:$Q,MATCH($AT13,'▶️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commission,VLOOKUP($M13,'📄 Комиссии'!$C:$E,IF($AV13=data!A$8,2,3),0),
IF(NOT(ISBLANK($M13)),commission/100+
IFERR"&amp;"OR(VLOOKUP($AT13,{'▶️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13" s="178" t="str">
        <f t="shared" si="6"/>
        <v/>
      </c>
      <c r="Q13" s="178" t="str">
        <f t="shared" si="7"/>
        <v/>
      </c>
      <c r="S13" s="179" t="s">
        <v>192</v>
      </c>
      <c r="T13" s="180" t="s">
        <v>193</v>
      </c>
      <c r="U13" s="181">
        <v>1.0</v>
      </c>
      <c r="V13" s="182" t="str">
        <f t="shared" ref="V13:Y13" si="47">IF($D13,"🔒",)</f>
        <v/>
      </c>
      <c r="W13" s="182" t="str">
        <f t="shared" si="47"/>
        <v/>
      </c>
      <c r="X13" s="182" t="str">
        <f t="shared" si="47"/>
        <v/>
      </c>
      <c r="Y13" s="182" t="str">
        <f t="shared" si="47"/>
        <v/>
      </c>
      <c r="Z13" s="183">
        <v>0.0</v>
      </c>
      <c r="AA13" s="184">
        <f t="shared" si="31"/>
        <v>0</v>
      </c>
      <c r="AB13" s="185" t="str">
        <f t="shared" ref="AB13:AD13" si="48">IF($D13,"🔒",)</f>
        <v/>
      </c>
      <c r="AC13" s="185" t="str">
        <f t="shared" si="48"/>
        <v/>
      </c>
      <c r="AD13" s="186" t="str">
        <f t="shared" si="48"/>
        <v/>
      </c>
      <c r="AE13" s="180">
        <v>30.0</v>
      </c>
      <c r="AF13" s="187">
        <v>0.0</v>
      </c>
      <c r="AG13" s="187">
        <v>0.0</v>
      </c>
      <c r="AH13" s="187">
        <v>0.0</v>
      </c>
      <c r="AI13" s="181">
        <f t="shared" si="10"/>
        <v>0</v>
      </c>
      <c r="AJ13" s="181">
        <f t="shared" si="11"/>
        <v>0</v>
      </c>
      <c r="AK13" s="185" t="str">
        <f t="shared" si="12"/>
        <v/>
      </c>
      <c r="AL13" s="188" t="str">
        <f t="array" ref="AL13">H13*(1-I13)*VLOOKUP(AT13,{'▶️ Инструкция'!C:C,'▶️ Инструкция'!AI:AI},2,false)</f>
        <v>#N/A</v>
      </c>
      <c r="AM13" s="186" t="str">
        <f t="shared" si="13"/>
        <v/>
      </c>
      <c r="AN13" s="189">
        <v>0.0</v>
      </c>
      <c r="AO13" s="189">
        <v>0.0</v>
      </c>
      <c r="AP13" s="189">
        <v>0.0</v>
      </c>
      <c r="AQ13" s="191">
        <v>1.0</v>
      </c>
      <c r="AR13" s="191">
        <v>0.0</v>
      </c>
      <c r="AS13" s="212">
        <v>0.0</v>
      </c>
      <c r="AT13" s="193" t="s">
        <v>43</v>
      </c>
      <c r="AU13" s="193" t="s">
        <v>121</v>
      </c>
      <c r="AV13" s="193" t="s">
        <v>199</v>
      </c>
      <c r="AW13" s="194">
        <f t="shared" si="14"/>
        <v>0</v>
      </c>
      <c r="AX13" s="195">
        <f t="shared" si="15"/>
        <v>0</v>
      </c>
      <c r="AY13" s="196" t="str">
        <f t="shared" si="16"/>
        <v>#N/A</v>
      </c>
      <c r="AZ13" s="213">
        <v>250.0</v>
      </c>
      <c r="BA13" s="196">
        <f t="shared" si="17"/>
        <v>0.25</v>
      </c>
      <c r="BB13" s="213">
        <f t="shared" si="18"/>
        <v>1000</v>
      </c>
      <c r="BC13" s="199" t="str">
        <f t="shared" si="19"/>
        <v>#N/A</v>
      </c>
      <c r="BD13" s="200" t="str">
        <f t="shared" si="20"/>
        <v>#N/A</v>
      </c>
      <c r="BE13" s="200">
        <f t="shared" si="21"/>
        <v>0</v>
      </c>
      <c r="BF13" s="201" t="str">
        <f t="shared" si="22"/>
        <v/>
      </c>
      <c r="BG13" s="201" t="str">
        <f t="shared" si="23"/>
        <v/>
      </c>
      <c r="BH13" s="202" t="str">
        <f t="shared" si="24"/>
        <v/>
      </c>
      <c r="BI13" s="203"/>
      <c r="BJ13" s="204">
        <f>IFERROR(__xludf.DUMMYFUNCTION("IF(AU13=data!A$5,
IF(AV13=data!A$8,
IF(T13=data!A$3,
VLOOKUP(S13,filter('🔒 Доп. информация'!D:H,'🔒 Доп. информация'!C:C=T13),4,FALSE)+VLOOKUP(S13,filter('🔒 Доп. информация'!D:H,'🔒 Доп. информация'!C:C=T13),5,FALSE)*AJ13,
IF(AND(MAX(AF13:AH13)&lt;80,SUM(A"&amp;"F13:AH13)&lt;=160,AI13&lt;20,XLOOKUP(M13,'📄 Комиссии'!C:C,'📄 Комиссии'!B:B)&lt;&gt;""Продукты""),
VLOOKUP(S13,filter('🔒 Доп. информация'!D:H,'🔒 Доп. информация'!C:C=data!$A$3),4,FALSE)+VLOOKUP(S13,filter('🔒 Доп. информация'!D:H,'🔒 Доп. информация'!C:C=data!$A$3"&amp;"),5,FALSE)*AJ13,
VLOOKUP(S13,filter('🔒 Доп. информация'!D:H,'🔒 Доп. информация'!C:C=T13),4,FALSE)*ROUNDUP(AF13*AG13*AH13*L13/(120*80*175))/L13)
)
*(AE13/2)
,)
,)*0"),0.0)</f>
        <v>0</v>
      </c>
      <c r="BK13" s="204">
        <f>IFERROR(__xludf.DUMMYFUNCTION("IF(AU13=data!A$5,
IF(AI13&lt;=1,IF(AI13&lt;=0.8,IF(AI13&lt;=0.6,IF(AI13&lt;=0.4,IF(AI13&lt;=0.2,23,26),29),30),32)*VLOOKUP(S13,filter('🔒 Доп. информация'!D:E,'🔒 Доп. информация'!C:C=T13),2,FALSE)/'🔒 Доп. информация'!$K$9,
IF(AV13=data!A$8,U13,1)*VLOOKUP(S13,filter('"&amp;"🔒 Доп. информация'!D:E,'🔒 Доп. информация'!C:C=T13),2,FALSE)+
IF(AV13=data!A$8,U13,1)*VLOOKUP(S13,filter('🔒 Доп. информация'!D:F,'🔒 Доп. информация'!C:C=T13),3,FALSE)*AJ13)
,0)"),69.0)</f>
        <v>69</v>
      </c>
      <c r="BL13" s="185" t="str">
        <f t="shared" ref="BL13:BM13" si="49">IF($D13,"🔒",)</f>
        <v/>
      </c>
      <c r="BM13" s="185" t="str">
        <f t="shared" si="49"/>
        <v/>
      </c>
      <c r="BN13" s="204">
        <f>VLOOKUP(T13,'🔒 Доп. информация'!J:P,7,false)</f>
        <v>50</v>
      </c>
      <c r="BO13" s="204">
        <f>IF(AV13=data!A$9,
(AA13+AO13+AP13+BJ13+BK13+BN13)+H13*AS13,
(BJ13+BK13+BN13)+H13*AS13
)</f>
        <v>119</v>
      </c>
      <c r="BP13" s="204">
        <f t="shared" si="26"/>
        <v>69</v>
      </c>
      <c r="BQ13" s="204">
        <f t="shared" si="27"/>
        <v>320</v>
      </c>
      <c r="BR13" s="204" t="str">
        <f t="shared" si="37"/>
        <v>#N/A</v>
      </c>
      <c r="BS13" s="204" t="str">
        <f t="array" ref="BS13">IF(VLOOKUP(AT13,{'▶️ Инструкция'!C:C,'▶️ Инструкция'!Y:Y},2,FALSE)=data!A$15,
H13*(1-I13),
(H13-BR13))
*VLOOKUP(AT13,{'▶️ Инструкция'!C:C,'▶️ Инструкция'!AD:AD},2,FALSE)/(1+VLOOKUP(AT13,{'▶️ Инструкция'!C:C,'▶️ Инструкция'!AD:AD},2,FALSE))</f>
        <v>#N/A</v>
      </c>
      <c r="BT13" s="204" t="str">
        <f t="array" ref="BT13">
IF(VLOOKUP(AT13,{'▶️ Инструкция'!C:C,'▶️ Инструкция'!Y:Y},2,FALSE)=data!A$15,
H13*(1-I13)-BS13,
(H13-BR13-BS13))
*
VLOOKUP(AT13,{'▶️ Инструкция'!C:C,'▶️ Инструкция'!R:R},2,FALSE)
+BS13</f>
        <v>#N/A</v>
      </c>
      <c r="BU13" s="204" t="str">
        <f>(G13*AR13)+if(AV13=data!A$9,AO13,AN13)+AP13+BR13+BT13</f>
        <v>#N/A</v>
      </c>
      <c r="BV13" s="204" t="str">
        <f>(G13*AR13)+if(AV13=data!A$9,AO13,AN13)+AP13+BT13+G13</f>
        <v>#N/A</v>
      </c>
      <c r="BW13" s="204" t="str">
        <f t="shared" si="28"/>
        <v>#N/A</v>
      </c>
      <c r="BX13" s="204" t="str">
        <f t="shared" si="29"/>
        <v>#N/A</v>
      </c>
    </row>
    <row r="14">
      <c r="A14" s="165" t="str">
        <f>if(D14=true,if(F14=data!A$1,data!A$10,data!A$11),)</f>
        <v/>
      </c>
      <c r="B14" s="166" t="str">
        <f t="shared" si="4"/>
        <v>FBS</v>
      </c>
      <c r="C14" s="167" t="s">
        <v>195</v>
      </c>
      <c r="D14" s="168" t="b">
        <v>0</v>
      </c>
      <c r="E14" s="169" t="s">
        <v>204</v>
      </c>
      <c r="F14" s="170" t="str">
        <f t="array" ref="F14">IF(D14=TRUE,IF(IF(BG$3=VLOOKUP(AT14,{'▶️ Инструкция'!C:C,'▶️ Инструкция'!G:G},2,FALSE),BG14,BH14)&gt;VLOOKUP(AT14,{'▶️ Инструкция'!C:C,'▶️ Инструкция'!N:N},2,FALSE),data!A$1,data!A$2),)</f>
        <v/>
      </c>
      <c r="G14" s="171">
        <v>0.0</v>
      </c>
      <c r="H14" s="172">
        <v>1000.0</v>
      </c>
      <c r="I14" s="173">
        <v>0.0</v>
      </c>
      <c r="J14" s="173">
        <v>0.0</v>
      </c>
      <c r="K14" s="174" t="str">
        <f t="shared" si="5"/>
        <v/>
      </c>
      <c r="L14" s="175">
        <v>0.0</v>
      </c>
      <c r="M14" s="176" t="s">
        <v>197</v>
      </c>
      <c r="N14" s="177">
        <f>IFERROR(__xludf.DUMMYFUNCTION("ArrayFormula(let(category,VLOOKUP($M14, {'📄 Комиссии'!$C:$C , '📄 Комиссии'!$B:$B}, 2, 0),
data,MATCH('🔒 Доп. информация'!$J$15:$J203,TRANSPOSE(SPLIT(INDEX('▶️ Инструкция'!$Q:$Q,MATCH($AT14,'▶️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commission,VLOOKUP($M14,'📄 Комиссии'!$C:$E,IF($AV14=data!A$8,2,3),0),
IF(NOT(ISBLANK($M14)),commission/100+
IFERR"&amp;"OR(VLOOKUP($AT14,{'▶️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14" s="178" t="str">
        <f t="shared" si="6"/>
        <v/>
      </c>
      <c r="Q14" s="178" t="str">
        <f t="shared" si="7"/>
        <v/>
      </c>
      <c r="S14" s="179" t="s">
        <v>192</v>
      </c>
      <c r="T14" s="180" t="s">
        <v>193</v>
      </c>
      <c r="U14" s="181">
        <v>1.0</v>
      </c>
      <c r="V14" s="182" t="str">
        <f t="shared" ref="V14:Y14" si="50">IF($D14,"🔒",)</f>
        <v/>
      </c>
      <c r="W14" s="182" t="str">
        <f t="shared" si="50"/>
        <v/>
      </c>
      <c r="X14" s="182" t="str">
        <f t="shared" si="50"/>
        <v/>
      </c>
      <c r="Y14" s="182" t="str">
        <f t="shared" si="50"/>
        <v/>
      </c>
      <c r="Z14" s="183">
        <v>0.0</v>
      </c>
      <c r="AA14" s="184">
        <f t="shared" si="31"/>
        <v>0</v>
      </c>
      <c r="AB14" s="185" t="str">
        <f t="shared" ref="AB14:AD14" si="51">IF($D14,"🔒",)</f>
        <v/>
      </c>
      <c r="AC14" s="185" t="str">
        <f t="shared" si="51"/>
        <v/>
      </c>
      <c r="AD14" s="186" t="str">
        <f t="shared" si="51"/>
        <v/>
      </c>
      <c r="AE14" s="180">
        <v>30.0</v>
      </c>
      <c r="AF14" s="187">
        <v>0.0</v>
      </c>
      <c r="AG14" s="187">
        <v>0.0</v>
      </c>
      <c r="AH14" s="187">
        <v>0.0</v>
      </c>
      <c r="AI14" s="181">
        <f t="shared" si="10"/>
        <v>0</v>
      </c>
      <c r="AJ14" s="181">
        <f t="shared" si="11"/>
        <v>0</v>
      </c>
      <c r="AK14" s="185" t="str">
        <f t="shared" si="12"/>
        <v/>
      </c>
      <c r="AL14" s="188" t="str">
        <f t="array" ref="AL14">H14*(1-I14)*VLOOKUP(AT14,{'▶️ Инструкция'!C:C,'▶️ Инструкция'!AI:AI},2,false)</f>
        <v>#N/A</v>
      </c>
      <c r="AM14" s="186" t="str">
        <f t="shared" si="13"/>
        <v/>
      </c>
      <c r="AN14" s="189">
        <v>0.0</v>
      </c>
      <c r="AO14" s="189">
        <v>0.0</v>
      </c>
      <c r="AP14" s="189">
        <v>0.0</v>
      </c>
      <c r="AQ14" s="191">
        <v>1.0</v>
      </c>
      <c r="AR14" s="191">
        <v>0.0</v>
      </c>
      <c r="AS14" s="212">
        <v>0.0</v>
      </c>
      <c r="AT14" s="193" t="s">
        <v>43</v>
      </c>
      <c r="AU14" s="193" t="s">
        <v>121</v>
      </c>
      <c r="AV14" s="193" t="s">
        <v>199</v>
      </c>
      <c r="AW14" s="194">
        <f t="shared" si="14"/>
        <v>0</v>
      </c>
      <c r="AX14" s="195">
        <f t="shared" si="15"/>
        <v>0</v>
      </c>
      <c r="AY14" s="196" t="str">
        <f t="shared" si="16"/>
        <v>#N/A</v>
      </c>
      <c r="AZ14" s="213">
        <v>250.0</v>
      </c>
      <c r="BA14" s="196">
        <f t="shared" si="17"/>
        <v>0.25</v>
      </c>
      <c r="BB14" s="213">
        <f t="shared" si="18"/>
        <v>1000</v>
      </c>
      <c r="BC14" s="199" t="str">
        <f t="shared" si="19"/>
        <v>#N/A</v>
      </c>
      <c r="BD14" s="200" t="str">
        <f t="shared" si="20"/>
        <v>#N/A</v>
      </c>
      <c r="BE14" s="200">
        <f t="shared" si="21"/>
        <v>0</v>
      </c>
      <c r="BF14" s="201" t="str">
        <f t="shared" si="22"/>
        <v/>
      </c>
      <c r="BG14" s="201" t="str">
        <f t="shared" si="23"/>
        <v/>
      </c>
      <c r="BH14" s="202" t="str">
        <f t="shared" si="24"/>
        <v/>
      </c>
      <c r="BI14" s="203"/>
      <c r="BJ14" s="204">
        <f>IFERROR(__xludf.DUMMYFUNCTION("IF(AU14=data!A$5,
IF(AV14=data!A$8,
IF(T14=data!A$3,
VLOOKUP(S14,filter('🔒 Доп. информация'!D:H,'🔒 Доп. информация'!C:C=T14),4,FALSE)+VLOOKUP(S14,filter('🔒 Доп. информация'!D:H,'🔒 Доп. информация'!C:C=T14),5,FALSE)*AJ14,
IF(AND(MAX(AF14:AH14)&lt;80,SUM(A"&amp;"F14:AH14)&lt;=160,AI14&lt;20,XLOOKUP(M14,'📄 Комиссии'!C:C,'📄 Комиссии'!B:B)&lt;&gt;""Продукты""),
VLOOKUP(S14,filter('🔒 Доп. информация'!D:H,'🔒 Доп. информация'!C:C=data!$A$3),4,FALSE)+VLOOKUP(S14,filter('🔒 Доп. информация'!D:H,'🔒 Доп. информация'!C:C=data!$A$3"&amp;"),5,FALSE)*AJ14,
VLOOKUP(S14,filter('🔒 Доп. информация'!D:H,'🔒 Доп. информация'!C:C=T14),4,FALSE)*ROUNDUP(AF14*AG14*AH14*L14/(120*80*175))/L14)
)
*(AE14/2)
,)
,)*0"),0.0)</f>
        <v>0</v>
      </c>
      <c r="BK14" s="204">
        <f>IFERROR(__xludf.DUMMYFUNCTION("IF(AU14=data!A$5,
IF(AI14&lt;=1,IF(AI14&lt;=0.8,IF(AI14&lt;=0.6,IF(AI14&lt;=0.4,IF(AI14&lt;=0.2,23,26),29),30),32)*VLOOKUP(S14,filter('🔒 Доп. информация'!D:E,'🔒 Доп. информация'!C:C=T14),2,FALSE)/'🔒 Доп. информация'!$K$9,
IF(AV14=data!A$8,U14,1)*VLOOKUP(S14,filter('"&amp;"🔒 Доп. информация'!D:E,'🔒 Доп. информация'!C:C=T14),2,FALSE)+
IF(AV14=data!A$8,U14,1)*VLOOKUP(S14,filter('🔒 Доп. информация'!D:F,'🔒 Доп. информация'!C:C=T14),3,FALSE)*AJ14)
,0)"),69.0)</f>
        <v>69</v>
      </c>
      <c r="BL14" s="185" t="str">
        <f t="shared" ref="BL14:BM14" si="52">IF($D14,"🔒",)</f>
        <v/>
      </c>
      <c r="BM14" s="185" t="str">
        <f t="shared" si="52"/>
        <v/>
      </c>
      <c r="BN14" s="204">
        <f>VLOOKUP(T14,'🔒 Доп. информация'!J:P,7,false)</f>
        <v>50</v>
      </c>
      <c r="BO14" s="204">
        <f>IF(AV14=data!A$9,
(AA14+AO14+AP14+BJ14+BK14+BN14)+H14*AS14,
(BJ14+BK14+BN14)+H14*AS14
)</f>
        <v>119</v>
      </c>
      <c r="BP14" s="204">
        <f t="shared" si="26"/>
        <v>69</v>
      </c>
      <c r="BQ14" s="204">
        <f t="shared" si="27"/>
        <v>320</v>
      </c>
      <c r="BR14" s="204" t="str">
        <f t="shared" si="37"/>
        <v>#N/A</v>
      </c>
      <c r="BS14" s="204" t="str">
        <f t="array" ref="BS14">IF(VLOOKUP(AT14,{'▶️ Инструкция'!C:C,'▶️ Инструкция'!Y:Y},2,FALSE)=data!A$15,
H14*(1-I14),
(H14-BR14))
*VLOOKUP(AT14,{'▶️ Инструкция'!C:C,'▶️ Инструкция'!AD:AD},2,FALSE)/(1+VLOOKUP(AT14,{'▶️ Инструкция'!C:C,'▶️ Инструкция'!AD:AD},2,FALSE))</f>
        <v>#N/A</v>
      </c>
      <c r="BT14" s="204" t="str">
        <f t="array" ref="BT14">
IF(VLOOKUP(AT14,{'▶️ Инструкция'!C:C,'▶️ Инструкция'!Y:Y},2,FALSE)=data!A$15,
H14*(1-I14)-BS14,
(H14-BR14-BS14))
*
VLOOKUP(AT14,{'▶️ Инструкция'!C:C,'▶️ Инструкция'!R:R},2,FALSE)
+BS14</f>
        <v>#N/A</v>
      </c>
      <c r="BU14" s="204" t="str">
        <f>(G14*AR14)+if(AV14=data!A$9,AO14,AN14)+AP14+BR14+BT14</f>
        <v>#N/A</v>
      </c>
      <c r="BV14" s="204" t="str">
        <f>(G14*AR14)+if(AV14=data!A$9,AO14,AN14)+AP14+BT14+G14</f>
        <v>#N/A</v>
      </c>
      <c r="BW14" s="204" t="str">
        <f t="shared" si="28"/>
        <v>#N/A</v>
      </c>
      <c r="BX14" s="204" t="str">
        <f t="shared" si="29"/>
        <v>#N/A</v>
      </c>
    </row>
    <row r="15">
      <c r="A15" s="165" t="str">
        <f>if(D15=true,if(F15=data!A$1,data!A$10,data!A$11),)</f>
        <v/>
      </c>
      <c r="B15" s="166" t="str">
        <f t="shared" si="4"/>
        <v>FBS</v>
      </c>
      <c r="C15" s="167" t="s">
        <v>195</v>
      </c>
      <c r="D15" s="168" t="b">
        <v>0</v>
      </c>
      <c r="E15" s="169" t="s">
        <v>204</v>
      </c>
      <c r="F15" s="170" t="str">
        <f t="array" ref="F15">IF(D15=TRUE,IF(IF(BG$3=VLOOKUP(AT15,{'▶️ Инструкция'!C:C,'▶️ Инструкция'!G:G},2,FALSE),BG15,BH15)&gt;VLOOKUP(AT15,{'▶️ Инструкция'!C:C,'▶️ Инструкция'!N:N},2,FALSE),data!A$1,data!A$2),)</f>
        <v/>
      </c>
      <c r="G15" s="171">
        <v>0.0</v>
      </c>
      <c r="H15" s="172">
        <v>1000.0</v>
      </c>
      <c r="I15" s="173">
        <v>0.0</v>
      </c>
      <c r="J15" s="173">
        <v>0.0</v>
      </c>
      <c r="K15" s="174" t="str">
        <f t="shared" si="5"/>
        <v/>
      </c>
      <c r="L15" s="175">
        <v>0.0</v>
      </c>
      <c r="M15" s="176" t="s">
        <v>197</v>
      </c>
      <c r="N15" s="177">
        <f>IFERROR(__xludf.DUMMYFUNCTION("ArrayFormula(let(category,VLOOKUP($M15, {'📄 Комиссии'!$C:$C , '📄 Комиссии'!$B:$B}, 2, 0),
data,MATCH('🔒 Доп. информация'!$J$15:$J203,TRANSPOSE(SPLIT(INDEX('▶️ Инструкция'!$Q:$Q,MATCH($AT15,'▶️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commission,VLOOKUP($M15,'📄 Комиссии'!$C:$E,IF($AV15=data!A$8,2,3),0),
IF(NOT(ISBLANK($M15)),commission/100+
IFERR"&amp;"OR(VLOOKUP($AT15,{'▶️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15" s="178" t="str">
        <f t="shared" si="6"/>
        <v/>
      </c>
      <c r="Q15" s="178" t="str">
        <f t="shared" si="7"/>
        <v/>
      </c>
      <c r="S15" s="179" t="s">
        <v>192</v>
      </c>
      <c r="T15" s="180" t="s">
        <v>193</v>
      </c>
      <c r="U15" s="181">
        <v>1.0</v>
      </c>
      <c r="V15" s="182" t="str">
        <f t="shared" ref="V15:Y15" si="53">IF($D15,"🔒",)</f>
        <v/>
      </c>
      <c r="W15" s="182" t="str">
        <f t="shared" si="53"/>
        <v/>
      </c>
      <c r="X15" s="182" t="str">
        <f t="shared" si="53"/>
        <v/>
      </c>
      <c r="Y15" s="182" t="str">
        <f t="shared" si="53"/>
        <v/>
      </c>
      <c r="Z15" s="183">
        <v>0.0</v>
      </c>
      <c r="AA15" s="184">
        <f t="shared" si="31"/>
        <v>0</v>
      </c>
      <c r="AB15" s="185" t="str">
        <f t="shared" ref="AB15:AD15" si="54">IF($D15,"🔒",)</f>
        <v/>
      </c>
      <c r="AC15" s="185" t="str">
        <f t="shared" si="54"/>
        <v/>
      </c>
      <c r="AD15" s="186" t="str">
        <f t="shared" si="54"/>
        <v/>
      </c>
      <c r="AE15" s="180">
        <v>30.0</v>
      </c>
      <c r="AF15" s="187">
        <v>0.0</v>
      </c>
      <c r="AG15" s="187">
        <v>0.0</v>
      </c>
      <c r="AH15" s="187">
        <v>0.0</v>
      </c>
      <c r="AI15" s="181">
        <f t="shared" si="10"/>
        <v>0</v>
      </c>
      <c r="AJ15" s="181">
        <f t="shared" si="11"/>
        <v>0</v>
      </c>
      <c r="AK15" s="185" t="str">
        <f t="shared" si="12"/>
        <v/>
      </c>
      <c r="AL15" s="188" t="str">
        <f t="array" ref="AL15">H15*(1-I15)*VLOOKUP(AT15,{'▶️ Инструкция'!C:C,'▶️ Инструкция'!AI:AI},2,false)</f>
        <v>#N/A</v>
      </c>
      <c r="AM15" s="186" t="str">
        <f t="shared" si="13"/>
        <v/>
      </c>
      <c r="AN15" s="189">
        <v>0.0</v>
      </c>
      <c r="AO15" s="189">
        <v>0.0</v>
      </c>
      <c r="AP15" s="189">
        <v>0.0</v>
      </c>
      <c r="AQ15" s="191">
        <v>1.0</v>
      </c>
      <c r="AR15" s="191">
        <v>0.0</v>
      </c>
      <c r="AS15" s="212">
        <v>0.0</v>
      </c>
      <c r="AT15" s="193" t="s">
        <v>206</v>
      </c>
      <c r="AU15" s="193" t="s">
        <v>121</v>
      </c>
      <c r="AV15" s="193" t="s">
        <v>199</v>
      </c>
      <c r="AW15" s="194">
        <f t="shared" si="14"/>
        <v>0</v>
      </c>
      <c r="AX15" s="195">
        <f t="shared" si="15"/>
        <v>0</v>
      </c>
      <c r="AY15" s="196" t="str">
        <f t="shared" si="16"/>
        <v>#N/A</v>
      </c>
      <c r="AZ15" s="213">
        <v>250.0</v>
      </c>
      <c r="BA15" s="196">
        <f t="shared" si="17"/>
        <v>0.25</v>
      </c>
      <c r="BB15" s="213">
        <f t="shared" si="18"/>
        <v>1000</v>
      </c>
      <c r="BC15" s="199" t="str">
        <f t="shared" si="19"/>
        <v>#N/A</v>
      </c>
      <c r="BD15" s="200" t="str">
        <f t="shared" si="20"/>
        <v>#N/A</v>
      </c>
      <c r="BE15" s="200">
        <f t="shared" si="21"/>
        <v>0</v>
      </c>
      <c r="BF15" s="201" t="str">
        <f t="shared" si="22"/>
        <v/>
      </c>
      <c r="BG15" s="201" t="str">
        <f t="shared" si="23"/>
        <v/>
      </c>
      <c r="BH15" s="202" t="str">
        <f t="shared" si="24"/>
        <v/>
      </c>
      <c r="BI15" s="203"/>
      <c r="BJ15" s="204">
        <f>IFERROR(__xludf.DUMMYFUNCTION("IF(AU15=data!A$5,
IF(AV15=data!A$8,
IF(T15=data!A$3,
VLOOKUP(S15,filter('🔒 Доп. информация'!D:H,'🔒 Доп. информация'!C:C=T15),4,FALSE)+VLOOKUP(S15,filter('🔒 Доп. информация'!D:H,'🔒 Доп. информация'!C:C=T15),5,FALSE)*AJ15,
IF(AND(MAX(AF15:AH15)&lt;80,SUM(A"&amp;"F15:AH15)&lt;=160,AI15&lt;20,XLOOKUP(M15,'📄 Комиссии'!C:C,'📄 Комиссии'!B:B)&lt;&gt;""Продукты""),
VLOOKUP(S15,filter('🔒 Доп. информация'!D:H,'🔒 Доп. информация'!C:C=data!$A$3),4,FALSE)+VLOOKUP(S15,filter('🔒 Доп. информация'!D:H,'🔒 Доп. информация'!C:C=data!$A$3"&amp;"),5,FALSE)*AJ15,
VLOOKUP(S15,filter('🔒 Доп. информация'!D:H,'🔒 Доп. информация'!C:C=T15),4,FALSE)*ROUNDUP(AF15*AG15*AH15*L15/(120*80*175))/L15)
)
*(AE15/2)
,)
,)*0"),0.0)</f>
        <v>0</v>
      </c>
      <c r="BK15" s="204">
        <f>IFERROR(__xludf.DUMMYFUNCTION("IF(AU15=data!A$5,
IF(AI15&lt;=1,IF(AI15&lt;=0.8,IF(AI15&lt;=0.6,IF(AI15&lt;=0.4,IF(AI15&lt;=0.2,23,26),29),30),32)*VLOOKUP(S15,filter('🔒 Доп. информация'!D:E,'🔒 Доп. информация'!C:C=T15),2,FALSE)/'🔒 Доп. информация'!$K$9,
IF(AV15=data!A$8,U15,1)*VLOOKUP(S15,filter('"&amp;"🔒 Доп. информация'!D:E,'🔒 Доп. информация'!C:C=T15),2,FALSE)+
IF(AV15=data!A$8,U15,1)*VLOOKUP(S15,filter('🔒 Доп. информация'!D:F,'🔒 Доп. информация'!C:C=T15),3,FALSE)*AJ15)
,0)"),69.0)</f>
        <v>69</v>
      </c>
      <c r="BL15" s="185" t="str">
        <f t="shared" ref="BL15:BM15" si="55">IF($D15,"🔒",)</f>
        <v/>
      </c>
      <c r="BM15" s="185" t="str">
        <f t="shared" si="55"/>
        <v/>
      </c>
      <c r="BN15" s="204">
        <f>VLOOKUP(T15,'🔒 Доп. информация'!J:P,7,false)</f>
        <v>50</v>
      </c>
      <c r="BO15" s="204">
        <f>IF(AV15=data!A$9,
(AA15+AO15+AP15+BJ15+BK15+BN15)+H15*AS15,
(BJ15+BK15+BN15)+H15*AS15
)</f>
        <v>119</v>
      </c>
      <c r="BP15" s="204">
        <f t="shared" si="26"/>
        <v>69</v>
      </c>
      <c r="BQ15" s="204">
        <f t="shared" si="27"/>
        <v>320</v>
      </c>
      <c r="BR15" s="204" t="str">
        <f t="shared" si="37"/>
        <v>#N/A</v>
      </c>
      <c r="BS15" s="204" t="str">
        <f t="array" ref="BS15">IF(VLOOKUP(AT15,{'▶️ Инструкция'!C:C,'▶️ Инструкция'!Y:Y},2,FALSE)=data!A$15,
H15*(1-I15),
(H15-BR15))
*VLOOKUP(AT15,{'▶️ Инструкция'!C:C,'▶️ Инструкция'!AD:AD},2,FALSE)/(1+VLOOKUP(AT15,{'▶️ Инструкция'!C:C,'▶️ Инструкция'!AD:AD},2,FALSE))</f>
        <v>#N/A</v>
      </c>
      <c r="BT15" s="204" t="str">
        <f t="array" ref="BT15">
IF(VLOOKUP(AT15,{'▶️ Инструкция'!C:C,'▶️ Инструкция'!Y:Y},2,FALSE)=data!A$15,
H15*(1-I15)-BS15,
(H15-BR15-BS15))
*
VLOOKUP(AT15,{'▶️ Инструкция'!C:C,'▶️ Инструкция'!R:R},2,FALSE)
+BS15</f>
        <v>#N/A</v>
      </c>
      <c r="BU15" s="204" t="str">
        <f>(G15*AR15)+if(AV15=data!A$9,AO15,AN15)+AP15+BR15+BT15</f>
        <v>#N/A</v>
      </c>
      <c r="BV15" s="204" t="str">
        <f>(G15*AR15)+if(AV15=data!A$9,AO15,AN15)+AP15+BT15+G15</f>
        <v>#N/A</v>
      </c>
      <c r="BW15" s="204" t="str">
        <f t="shared" si="28"/>
        <v>#N/A</v>
      </c>
      <c r="BX15" s="204" t="str">
        <f t="shared" si="29"/>
        <v>#N/A</v>
      </c>
    </row>
    <row r="16">
      <c r="A16" s="165" t="str">
        <f>if(D16=true,if(F16=data!A$1,data!A$10,data!A$11),)</f>
        <v/>
      </c>
      <c r="B16" s="166" t="str">
        <f t="shared" si="4"/>
        <v>FBS</v>
      </c>
      <c r="C16" s="167" t="s">
        <v>195</v>
      </c>
      <c r="D16" s="168" t="b">
        <v>0</v>
      </c>
      <c r="E16" s="169" t="s">
        <v>204</v>
      </c>
      <c r="F16" s="170" t="str">
        <f t="array" ref="F16">IF(D16=TRUE,IF(IF(BG$3=VLOOKUP(AT16,{'▶️ Инструкция'!C:C,'▶️ Инструкция'!G:G},2,FALSE),BG16,BH16)&gt;VLOOKUP(AT16,{'▶️ Инструкция'!C:C,'▶️ Инструкция'!N:N},2,FALSE),data!A$1,data!A$2),)</f>
        <v/>
      </c>
      <c r="G16" s="171">
        <v>0.0</v>
      </c>
      <c r="H16" s="172">
        <v>1000.0</v>
      </c>
      <c r="I16" s="173">
        <v>0.0</v>
      </c>
      <c r="J16" s="173">
        <v>0.0</v>
      </c>
      <c r="K16" s="174" t="str">
        <f t="shared" si="5"/>
        <v/>
      </c>
      <c r="L16" s="175">
        <v>0.0</v>
      </c>
      <c r="M16" s="176" t="s">
        <v>197</v>
      </c>
      <c r="N16" s="177">
        <f>IFERROR(__xludf.DUMMYFUNCTION("ArrayFormula(let(category,VLOOKUP($M16, {'📄 Комиссии'!$C:$C , '📄 Комиссии'!$B:$B}, 2, 0),
data,MATCH('🔒 Доп. информация'!$J$15:$J203,TRANSPOSE(SPLIT(INDEX('▶️ Инструкция'!$Q:$Q,MATCH($AT16,'▶️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commission,VLOOKUP($M16,'📄 Комиссии'!$C:$E,IF($AV16=data!A$8,2,3),0),
IF(NOT(ISBLANK($M16)),commission/100+
IFERR"&amp;"OR(VLOOKUP($AT16,{'▶️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16" s="178" t="str">
        <f t="shared" si="6"/>
        <v/>
      </c>
      <c r="Q16" s="178" t="str">
        <f t="shared" si="7"/>
        <v/>
      </c>
      <c r="S16" s="179" t="s">
        <v>192</v>
      </c>
      <c r="T16" s="180" t="s">
        <v>193</v>
      </c>
      <c r="U16" s="181">
        <v>1.0</v>
      </c>
      <c r="V16" s="182" t="str">
        <f t="shared" ref="V16:Y16" si="56">IF($D16,"🔒",)</f>
        <v/>
      </c>
      <c r="W16" s="182" t="str">
        <f t="shared" si="56"/>
        <v/>
      </c>
      <c r="X16" s="182" t="str">
        <f t="shared" si="56"/>
        <v/>
      </c>
      <c r="Y16" s="182" t="str">
        <f t="shared" si="56"/>
        <v/>
      </c>
      <c r="Z16" s="183">
        <v>0.0</v>
      </c>
      <c r="AA16" s="184">
        <f t="shared" si="31"/>
        <v>0</v>
      </c>
      <c r="AB16" s="185" t="str">
        <f t="shared" ref="AB16:AD16" si="57">IF($D16,"🔒",)</f>
        <v/>
      </c>
      <c r="AC16" s="185" t="str">
        <f t="shared" si="57"/>
        <v/>
      </c>
      <c r="AD16" s="186" t="str">
        <f t="shared" si="57"/>
        <v/>
      </c>
      <c r="AE16" s="180">
        <v>30.0</v>
      </c>
      <c r="AF16" s="187">
        <v>0.0</v>
      </c>
      <c r="AG16" s="187">
        <v>0.0</v>
      </c>
      <c r="AH16" s="187">
        <v>0.0</v>
      </c>
      <c r="AI16" s="181">
        <f t="shared" si="10"/>
        <v>0</v>
      </c>
      <c r="AJ16" s="181">
        <f t="shared" si="11"/>
        <v>0</v>
      </c>
      <c r="AK16" s="185" t="str">
        <f t="shared" si="12"/>
        <v/>
      </c>
      <c r="AL16" s="188" t="str">
        <f t="array" ref="AL16">H16*(1-I16)*VLOOKUP(AT16,{'▶️ Инструкция'!C:C,'▶️ Инструкция'!AI:AI},2,false)</f>
        <v>#N/A</v>
      </c>
      <c r="AM16" s="186" t="str">
        <f t="shared" si="13"/>
        <v/>
      </c>
      <c r="AN16" s="189">
        <v>0.0</v>
      </c>
      <c r="AO16" s="189">
        <v>0.0</v>
      </c>
      <c r="AP16" s="189">
        <v>0.0</v>
      </c>
      <c r="AQ16" s="191">
        <v>1.0</v>
      </c>
      <c r="AR16" s="191">
        <v>0.0</v>
      </c>
      <c r="AS16" s="212">
        <v>0.0</v>
      </c>
      <c r="AT16" s="193" t="s">
        <v>206</v>
      </c>
      <c r="AU16" s="193" t="s">
        <v>121</v>
      </c>
      <c r="AV16" s="193" t="s">
        <v>199</v>
      </c>
      <c r="AW16" s="194">
        <f t="shared" si="14"/>
        <v>0</v>
      </c>
      <c r="AX16" s="195">
        <f t="shared" si="15"/>
        <v>0</v>
      </c>
      <c r="AY16" s="196" t="str">
        <f t="shared" si="16"/>
        <v>#N/A</v>
      </c>
      <c r="AZ16" s="213">
        <v>250.0</v>
      </c>
      <c r="BA16" s="196">
        <f t="shared" si="17"/>
        <v>0.25</v>
      </c>
      <c r="BB16" s="213">
        <f t="shared" si="18"/>
        <v>1000</v>
      </c>
      <c r="BC16" s="199" t="str">
        <f t="shared" si="19"/>
        <v>#N/A</v>
      </c>
      <c r="BD16" s="200" t="str">
        <f t="shared" si="20"/>
        <v>#N/A</v>
      </c>
      <c r="BE16" s="200">
        <f t="shared" si="21"/>
        <v>0</v>
      </c>
      <c r="BF16" s="201" t="str">
        <f t="shared" si="22"/>
        <v/>
      </c>
      <c r="BG16" s="201" t="str">
        <f t="shared" si="23"/>
        <v/>
      </c>
      <c r="BH16" s="202" t="str">
        <f t="shared" si="24"/>
        <v/>
      </c>
      <c r="BI16" s="203"/>
      <c r="BJ16" s="204">
        <f>IFERROR(__xludf.DUMMYFUNCTION("IF(AU16=data!A$5,
IF(AV16=data!A$8,
IF(T16=data!A$3,
VLOOKUP(S16,filter('🔒 Доп. информация'!D:H,'🔒 Доп. информация'!C:C=T16),4,FALSE)+VLOOKUP(S16,filter('🔒 Доп. информация'!D:H,'🔒 Доп. информация'!C:C=T16),5,FALSE)*AJ16,
IF(AND(MAX(AF16:AH16)&lt;80,SUM(A"&amp;"F16:AH16)&lt;=160,AI16&lt;20,XLOOKUP(M16,'📄 Комиссии'!C:C,'📄 Комиссии'!B:B)&lt;&gt;""Продукты""),
VLOOKUP(S16,filter('🔒 Доп. информация'!D:H,'🔒 Доп. информация'!C:C=data!$A$3),4,FALSE)+VLOOKUP(S16,filter('🔒 Доп. информация'!D:H,'🔒 Доп. информация'!C:C=data!$A$3"&amp;"),5,FALSE)*AJ16,
VLOOKUP(S16,filter('🔒 Доп. информация'!D:H,'🔒 Доп. информация'!C:C=T16),4,FALSE)*ROUNDUP(AF16*AG16*AH16*L16/(120*80*175))/L16)
)
*(AE16/2)
,)
,)*0"),0.0)</f>
        <v>0</v>
      </c>
      <c r="BK16" s="204">
        <f>IFERROR(__xludf.DUMMYFUNCTION("IF(AU16=data!A$5,
IF(AI16&lt;=1,IF(AI16&lt;=0.8,IF(AI16&lt;=0.6,IF(AI16&lt;=0.4,IF(AI16&lt;=0.2,23,26),29),30),32)*VLOOKUP(S16,filter('🔒 Доп. информация'!D:E,'🔒 Доп. информация'!C:C=T16),2,FALSE)/'🔒 Доп. информация'!$K$9,
IF(AV16=data!A$8,U16,1)*VLOOKUP(S16,filter('"&amp;"🔒 Доп. информация'!D:E,'🔒 Доп. информация'!C:C=T16),2,FALSE)+
IF(AV16=data!A$8,U16,1)*VLOOKUP(S16,filter('🔒 Доп. информация'!D:F,'🔒 Доп. информация'!C:C=T16),3,FALSE)*AJ16)
,0)"),69.0)</f>
        <v>69</v>
      </c>
      <c r="BL16" s="185" t="str">
        <f t="shared" ref="BL16:BM16" si="58">IF($D16,"🔒",)</f>
        <v/>
      </c>
      <c r="BM16" s="185" t="str">
        <f t="shared" si="58"/>
        <v/>
      </c>
      <c r="BN16" s="204">
        <f>VLOOKUP(T16,'🔒 Доп. информация'!J:P,7,false)</f>
        <v>50</v>
      </c>
      <c r="BO16" s="204">
        <f>IF(AV16=data!A$9,
(AA16+AO16+AP16+BJ16+BK16+BN16)+H16*AS16,
(BJ16+BK16+BN16)+H16*AS16
)</f>
        <v>119</v>
      </c>
      <c r="BP16" s="204">
        <f t="shared" si="26"/>
        <v>69</v>
      </c>
      <c r="BQ16" s="204">
        <f t="shared" si="27"/>
        <v>320</v>
      </c>
      <c r="BR16" s="204" t="str">
        <f t="shared" si="37"/>
        <v>#N/A</v>
      </c>
      <c r="BS16" s="204" t="str">
        <f t="array" ref="BS16">IF(VLOOKUP(AT16,{'▶️ Инструкция'!C:C,'▶️ Инструкция'!Y:Y},2,FALSE)=data!A$15,
H16*(1-I16),
(H16-BR16))
*VLOOKUP(AT16,{'▶️ Инструкция'!C:C,'▶️ Инструкция'!AD:AD},2,FALSE)/(1+VLOOKUP(AT16,{'▶️ Инструкция'!C:C,'▶️ Инструкция'!AD:AD},2,FALSE))</f>
        <v>#N/A</v>
      </c>
      <c r="BT16" s="204" t="str">
        <f t="array" ref="BT16">
IF(VLOOKUP(AT16,{'▶️ Инструкция'!C:C,'▶️ Инструкция'!Y:Y},2,FALSE)=data!A$15,
H16*(1-I16)-BS16,
(H16-BR16-BS16))
*
VLOOKUP(AT16,{'▶️ Инструкция'!C:C,'▶️ Инструкция'!R:R},2,FALSE)
+BS16</f>
        <v>#N/A</v>
      </c>
      <c r="BU16" s="204" t="str">
        <f>(G16*AR16)+if(AV16=data!A$9,AO16,AN16)+AP16+BR16+BT16</f>
        <v>#N/A</v>
      </c>
      <c r="BV16" s="204" t="str">
        <f>(G16*AR16)+if(AV16=data!A$9,AO16,AN16)+AP16+BT16+G16</f>
        <v>#N/A</v>
      </c>
      <c r="BW16" s="204" t="str">
        <f t="shared" si="28"/>
        <v>#N/A</v>
      </c>
      <c r="BX16" s="204" t="str">
        <f t="shared" si="29"/>
        <v>#N/A</v>
      </c>
    </row>
    <row r="17">
      <c r="A17" s="165" t="str">
        <f>if(D17=true,if(F17=data!A$1,data!A$10,data!A$11),)</f>
        <v/>
      </c>
      <c r="B17" s="166" t="str">
        <f t="shared" si="4"/>
        <v>FBS</v>
      </c>
      <c r="C17" s="167" t="s">
        <v>195</v>
      </c>
      <c r="D17" s="168" t="b">
        <v>0</v>
      </c>
      <c r="E17" s="169" t="s">
        <v>204</v>
      </c>
      <c r="F17" s="170" t="str">
        <f t="array" ref="F17">IF(D17=TRUE,IF(IF(BG$3=VLOOKUP(AT17,{'▶️ Инструкция'!C:C,'▶️ Инструкция'!G:G},2,FALSE),BG17,BH17)&gt;VLOOKUP(AT17,{'▶️ Инструкция'!C:C,'▶️ Инструкция'!N:N},2,FALSE),data!A$1,data!A$2),)</f>
        <v/>
      </c>
      <c r="G17" s="171">
        <v>0.0</v>
      </c>
      <c r="H17" s="172">
        <v>1000.0</v>
      </c>
      <c r="I17" s="173">
        <v>0.0</v>
      </c>
      <c r="J17" s="173">
        <v>0.0</v>
      </c>
      <c r="K17" s="174" t="str">
        <f t="shared" si="5"/>
        <v/>
      </c>
      <c r="L17" s="175">
        <v>0.0</v>
      </c>
      <c r="M17" s="176" t="s">
        <v>197</v>
      </c>
      <c r="N17" s="177">
        <f>IFERROR(__xludf.DUMMYFUNCTION("ArrayFormula(let(category,VLOOKUP($M17, {'📄 Комиссии'!$C:$C , '📄 Комиссии'!$B:$B}, 2, 0),
data,MATCH('🔒 Доп. информация'!$J$15:$J203,TRANSPOSE(SPLIT(INDEX('▶️ Инструкция'!$Q:$Q,MATCH($AT17,'▶️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commission,VLOOKUP($M17,'📄 Комиссии'!$C:$E,IF($AV17=data!A$8,2,3),0),
IF(NOT(ISBLANK($M17)),commission/100+
IFERR"&amp;"OR(VLOOKUP($AT17,{'▶️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17" s="178" t="str">
        <f t="shared" si="6"/>
        <v/>
      </c>
      <c r="Q17" s="178" t="str">
        <f t="shared" si="7"/>
        <v/>
      </c>
      <c r="S17" s="179" t="s">
        <v>192</v>
      </c>
      <c r="T17" s="180" t="s">
        <v>193</v>
      </c>
      <c r="U17" s="181">
        <v>1.0</v>
      </c>
      <c r="V17" s="182" t="str">
        <f t="shared" ref="V17:Y17" si="59">IF($D17,"🔒",)</f>
        <v/>
      </c>
      <c r="W17" s="182" t="str">
        <f t="shared" si="59"/>
        <v/>
      </c>
      <c r="X17" s="182" t="str">
        <f t="shared" si="59"/>
        <v/>
      </c>
      <c r="Y17" s="182" t="str">
        <f t="shared" si="59"/>
        <v/>
      </c>
      <c r="Z17" s="183">
        <v>0.0</v>
      </c>
      <c r="AA17" s="184">
        <f t="shared" si="31"/>
        <v>0</v>
      </c>
      <c r="AB17" s="185" t="str">
        <f t="shared" ref="AB17:AD17" si="60">IF($D17,"🔒",)</f>
        <v/>
      </c>
      <c r="AC17" s="185" t="str">
        <f t="shared" si="60"/>
        <v/>
      </c>
      <c r="AD17" s="186" t="str">
        <f t="shared" si="60"/>
        <v/>
      </c>
      <c r="AE17" s="180">
        <v>30.0</v>
      </c>
      <c r="AF17" s="187">
        <v>0.0</v>
      </c>
      <c r="AG17" s="187">
        <v>0.0</v>
      </c>
      <c r="AH17" s="187">
        <v>0.0</v>
      </c>
      <c r="AI17" s="181">
        <f t="shared" si="10"/>
        <v>0</v>
      </c>
      <c r="AJ17" s="181">
        <f t="shared" si="11"/>
        <v>0</v>
      </c>
      <c r="AK17" s="185" t="str">
        <f t="shared" si="12"/>
        <v/>
      </c>
      <c r="AL17" s="188" t="str">
        <f t="array" ref="AL17">H17*(1-I17)*VLOOKUP(AT17,{'▶️ Инструкция'!C:C,'▶️ Инструкция'!AI:AI},2,false)</f>
        <v>#N/A</v>
      </c>
      <c r="AM17" s="186" t="str">
        <f t="shared" si="13"/>
        <v/>
      </c>
      <c r="AN17" s="189">
        <v>0.0</v>
      </c>
      <c r="AO17" s="189">
        <v>0.0</v>
      </c>
      <c r="AP17" s="189">
        <v>0.0</v>
      </c>
      <c r="AQ17" s="191">
        <v>1.0</v>
      </c>
      <c r="AR17" s="191">
        <v>0.0</v>
      </c>
      <c r="AS17" s="212">
        <v>0.0</v>
      </c>
      <c r="AT17" s="193" t="s">
        <v>206</v>
      </c>
      <c r="AU17" s="193" t="s">
        <v>121</v>
      </c>
      <c r="AV17" s="193" t="s">
        <v>199</v>
      </c>
      <c r="AW17" s="194">
        <f t="shared" si="14"/>
        <v>0</v>
      </c>
      <c r="AX17" s="195">
        <f t="shared" si="15"/>
        <v>0</v>
      </c>
      <c r="AY17" s="196" t="str">
        <f t="shared" si="16"/>
        <v>#N/A</v>
      </c>
      <c r="AZ17" s="213">
        <v>250.0</v>
      </c>
      <c r="BA17" s="196">
        <f t="shared" si="17"/>
        <v>0.25</v>
      </c>
      <c r="BB17" s="213">
        <f t="shared" si="18"/>
        <v>1000</v>
      </c>
      <c r="BC17" s="199" t="str">
        <f t="shared" si="19"/>
        <v>#N/A</v>
      </c>
      <c r="BD17" s="200" t="str">
        <f t="shared" si="20"/>
        <v>#N/A</v>
      </c>
      <c r="BE17" s="200">
        <f t="shared" si="21"/>
        <v>0</v>
      </c>
      <c r="BF17" s="201" t="str">
        <f t="shared" si="22"/>
        <v/>
      </c>
      <c r="BG17" s="201" t="str">
        <f t="shared" si="23"/>
        <v/>
      </c>
      <c r="BH17" s="202" t="str">
        <f t="shared" si="24"/>
        <v/>
      </c>
      <c r="BI17" s="203"/>
      <c r="BJ17" s="204">
        <f>IFERROR(__xludf.DUMMYFUNCTION("IF(AU17=data!A$5,
IF(AV17=data!A$8,
IF(T17=data!A$3,
VLOOKUP(S17,filter('🔒 Доп. информация'!D:H,'🔒 Доп. информация'!C:C=T17),4,FALSE)+VLOOKUP(S17,filter('🔒 Доп. информация'!D:H,'🔒 Доп. информация'!C:C=T17),5,FALSE)*AJ17,
IF(AND(MAX(AF17:AH17)&lt;80,SUM(A"&amp;"F17:AH17)&lt;=160,AI17&lt;20,XLOOKUP(M17,'📄 Комиссии'!C:C,'📄 Комиссии'!B:B)&lt;&gt;""Продукты""),
VLOOKUP(S17,filter('🔒 Доп. информация'!D:H,'🔒 Доп. информация'!C:C=data!$A$3),4,FALSE)+VLOOKUP(S17,filter('🔒 Доп. информация'!D:H,'🔒 Доп. информация'!C:C=data!$A$3"&amp;"),5,FALSE)*AJ17,
VLOOKUP(S17,filter('🔒 Доп. информация'!D:H,'🔒 Доп. информация'!C:C=T17),4,FALSE)*ROUNDUP(AF17*AG17*AH17*L17/(120*80*175))/L17)
)
*(AE17/2)
,)
,)*0"),0.0)</f>
        <v>0</v>
      </c>
      <c r="BK17" s="204">
        <f>IFERROR(__xludf.DUMMYFUNCTION("IF(AU17=data!A$5,
IF(AI17&lt;=1,IF(AI17&lt;=0.8,IF(AI17&lt;=0.6,IF(AI17&lt;=0.4,IF(AI17&lt;=0.2,23,26),29),30),32)*VLOOKUP(S17,filter('🔒 Доп. информация'!D:E,'🔒 Доп. информация'!C:C=T17),2,FALSE)/'🔒 Доп. информация'!$K$9,
IF(AV17=data!A$8,U17,1)*VLOOKUP(S17,filter('"&amp;"🔒 Доп. информация'!D:E,'🔒 Доп. информация'!C:C=T17),2,FALSE)+
IF(AV17=data!A$8,U17,1)*VLOOKUP(S17,filter('🔒 Доп. информация'!D:F,'🔒 Доп. информация'!C:C=T17),3,FALSE)*AJ17)
,0)"),69.0)</f>
        <v>69</v>
      </c>
      <c r="BL17" s="185" t="str">
        <f t="shared" ref="BL17:BM17" si="61">IF($D17,"🔒",)</f>
        <v/>
      </c>
      <c r="BM17" s="185" t="str">
        <f t="shared" si="61"/>
        <v/>
      </c>
      <c r="BN17" s="204">
        <f>VLOOKUP(T17,'🔒 Доп. информация'!J:P,7,false)</f>
        <v>50</v>
      </c>
      <c r="BO17" s="204">
        <f>IF(AV17=data!A$9,
(AA17+AO17+AP17+BJ17+BK17+BN17)+H17*AS17,
(BJ17+BK17+BN17)+H17*AS17
)</f>
        <v>119</v>
      </c>
      <c r="BP17" s="204">
        <f t="shared" si="26"/>
        <v>69</v>
      </c>
      <c r="BQ17" s="204">
        <f t="shared" si="27"/>
        <v>320</v>
      </c>
      <c r="BR17" s="204" t="str">
        <f t="shared" si="37"/>
        <v>#N/A</v>
      </c>
      <c r="BS17" s="204" t="str">
        <f t="array" ref="BS17">IF(VLOOKUP(AT17,{'▶️ Инструкция'!C:C,'▶️ Инструкция'!Y:Y},2,FALSE)=data!A$15,
H17*(1-I17),
(H17-BR17))
*VLOOKUP(AT17,{'▶️ Инструкция'!C:C,'▶️ Инструкция'!AD:AD},2,FALSE)/(1+VLOOKUP(AT17,{'▶️ Инструкция'!C:C,'▶️ Инструкция'!AD:AD},2,FALSE))</f>
        <v>#N/A</v>
      </c>
      <c r="BT17" s="204" t="str">
        <f t="array" ref="BT17">
IF(VLOOKUP(AT17,{'▶️ Инструкция'!C:C,'▶️ Инструкция'!Y:Y},2,FALSE)=data!A$15,
H17*(1-I17)-BS17,
(H17-BR17-BS17))
*
VLOOKUP(AT17,{'▶️ Инструкция'!C:C,'▶️ Инструкция'!R:R},2,FALSE)
+BS17</f>
        <v>#N/A</v>
      </c>
      <c r="BU17" s="204" t="str">
        <f>(G17*AR17)+if(AV17=data!A$9,AO17,AN17)+AP17+BR17+BT17</f>
        <v>#N/A</v>
      </c>
      <c r="BV17" s="204" t="str">
        <f>(G17*AR17)+if(AV17=data!A$9,AO17,AN17)+AP17+BT17+G17</f>
        <v>#N/A</v>
      </c>
      <c r="BW17" s="204" t="str">
        <f t="shared" si="28"/>
        <v>#N/A</v>
      </c>
      <c r="BX17" s="204" t="str">
        <f t="shared" si="29"/>
        <v>#N/A</v>
      </c>
    </row>
    <row r="18">
      <c r="A18" s="165" t="str">
        <f>if(D18=true,if(F18=data!A$1,data!A$10,data!A$11),)</f>
        <v/>
      </c>
      <c r="B18" s="166" t="str">
        <f t="shared" si="4"/>
        <v>FBS</v>
      </c>
      <c r="C18" s="167" t="s">
        <v>195</v>
      </c>
      <c r="D18" s="168" t="b">
        <v>0</v>
      </c>
      <c r="E18" s="169" t="s">
        <v>204</v>
      </c>
      <c r="F18" s="170" t="str">
        <f t="array" ref="F18">IF(D18=TRUE,IF(IF(BG$3=VLOOKUP(AT18,{'▶️ Инструкция'!C:C,'▶️ Инструкция'!G:G},2,FALSE),BG18,BH18)&gt;VLOOKUP(AT18,{'▶️ Инструкция'!C:C,'▶️ Инструкция'!N:N},2,FALSE),data!A$1,data!A$2),)</f>
        <v/>
      </c>
      <c r="G18" s="171">
        <v>0.0</v>
      </c>
      <c r="H18" s="172">
        <v>1000.0</v>
      </c>
      <c r="I18" s="173">
        <v>0.0</v>
      </c>
      <c r="J18" s="173">
        <v>0.0</v>
      </c>
      <c r="K18" s="174" t="str">
        <f t="shared" si="5"/>
        <v/>
      </c>
      <c r="L18" s="175">
        <v>0.0</v>
      </c>
      <c r="M18" s="176" t="s">
        <v>197</v>
      </c>
      <c r="N18" s="177">
        <f>IFERROR(__xludf.DUMMYFUNCTION("ArrayFormula(let(category,VLOOKUP($M18, {'📄 Комиссии'!$C:$C , '📄 Комиссии'!$B:$B}, 2, 0),
data,MATCH('🔒 Доп. информация'!$J$15:$J203,TRANSPOSE(SPLIT(INDEX('▶️ Инструкция'!$Q:$Q,MATCH($AT18,'▶️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commission,VLOOKUP($M18,'📄 Комиссии'!$C:$E,IF($AV18=data!A$8,2,3),0),
IF(NOT(ISBLANK($M18)),commission/100+
IFERR"&amp;"OR(VLOOKUP($AT18,{'▶️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18" s="178" t="str">
        <f t="shared" si="6"/>
        <v/>
      </c>
      <c r="Q18" s="178" t="str">
        <f t="shared" si="7"/>
        <v/>
      </c>
      <c r="S18" s="179" t="s">
        <v>192</v>
      </c>
      <c r="T18" s="180" t="s">
        <v>193</v>
      </c>
      <c r="U18" s="181">
        <v>1.0</v>
      </c>
      <c r="V18" s="182" t="str">
        <f t="shared" ref="V18:Y18" si="62">IF($D18,"🔒",)</f>
        <v/>
      </c>
      <c r="W18" s="182" t="str">
        <f t="shared" si="62"/>
        <v/>
      </c>
      <c r="X18" s="182" t="str">
        <f t="shared" si="62"/>
        <v/>
      </c>
      <c r="Y18" s="182" t="str">
        <f t="shared" si="62"/>
        <v/>
      </c>
      <c r="Z18" s="183">
        <v>0.0</v>
      </c>
      <c r="AA18" s="184">
        <f t="shared" si="31"/>
        <v>0</v>
      </c>
      <c r="AB18" s="185" t="str">
        <f t="shared" ref="AB18:AD18" si="63">IF($D18,"🔒",)</f>
        <v/>
      </c>
      <c r="AC18" s="185" t="str">
        <f t="shared" si="63"/>
        <v/>
      </c>
      <c r="AD18" s="186" t="str">
        <f t="shared" si="63"/>
        <v/>
      </c>
      <c r="AE18" s="180">
        <v>30.0</v>
      </c>
      <c r="AF18" s="187">
        <v>0.0</v>
      </c>
      <c r="AG18" s="187">
        <v>0.0</v>
      </c>
      <c r="AH18" s="187">
        <v>0.0</v>
      </c>
      <c r="AI18" s="181">
        <f t="shared" si="10"/>
        <v>0</v>
      </c>
      <c r="AJ18" s="181">
        <f t="shared" si="11"/>
        <v>0</v>
      </c>
      <c r="AK18" s="185" t="str">
        <f t="shared" si="12"/>
        <v/>
      </c>
      <c r="AL18" s="188" t="str">
        <f t="array" ref="AL18">H18*(1-I18)*VLOOKUP(AT18,{'▶️ Инструкция'!C:C,'▶️ Инструкция'!AI:AI},2,false)</f>
        <v>#N/A</v>
      </c>
      <c r="AM18" s="186" t="str">
        <f t="shared" si="13"/>
        <v/>
      </c>
      <c r="AN18" s="189">
        <v>0.0</v>
      </c>
      <c r="AO18" s="189">
        <v>0.0</v>
      </c>
      <c r="AP18" s="189">
        <v>0.0</v>
      </c>
      <c r="AQ18" s="191">
        <v>1.0</v>
      </c>
      <c r="AR18" s="191">
        <v>0.0</v>
      </c>
      <c r="AS18" s="212">
        <v>0.0</v>
      </c>
      <c r="AT18" s="193" t="s">
        <v>206</v>
      </c>
      <c r="AU18" s="193" t="s">
        <v>121</v>
      </c>
      <c r="AV18" s="193" t="s">
        <v>199</v>
      </c>
      <c r="AW18" s="194">
        <f t="shared" si="14"/>
        <v>0</v>
      </c>
      <c r="AX18" s="195">
        <f t="shared" si="15"/>
        <v>0</v>
      </c>
      <c r="AY18" s="196" t="str">
        <f t="shared" si="16"/>
        <v>#N/A</v>
      </c>
      <c r="AZ18" s="213">
        <v>250.0</v>
      </c>
      <c r="BA18" s="196">
        <f t="shared" si="17"/>
        <v>0.25</v>
      </c>
      <c r="BB18" s="213">
        <f t="shared" si="18"/>
        <v>1000</v>
      </c>
      <c r="BC18" s="199" t="str">
        <f t="shared" si="19"/>
        <v>#N/A</v>
      </c>
      <c r="BD18" s="200" t="str">
        <f t="shared" si="20"/>
        <v>#N/A</v>
      </c>
      <c r="BE18" s="200">
        <f t="shared" si="21"/>
        <v>0</v>
      </c>
      <c r="BF18" s="201" t="str">
        <f t="shared" si="22"/>
        <v/>
      </c>
      <c r="BG18" s="201" t="str">
        <f t="shared" si="23"/>
        <v/>
      </c>
      <c r="BH18" s="202" t="str">
        <f t="shared" si="24"/>
        <v/>
      </c>
      <c r="BI18" s="203"/>
      <c r="BJ18" s="204">
        <f>IFERROR(__xludf.DUMMYFUNCTION("IF(AU18=data!A$5,
IF(AV18=data!A$8,
IF(T18=data!A$3,
VLOOKUP(S18,filter('🔒 Доп. информация'!D:H,'🔒 Доп. информация'!C:C=T18),4,FALSE)+VLOOKUP(S18,filter('🔒 Доп. информация'!D:H,'🔒 Доп. информация'!C:C=T18),5,FALSE)*AJ18,
IF(AND(MAX(AF18:AH18)&lt;80,SUM(A"&amp;"F18:AH18)&lt;=160,AI18&lt;20,XLOOKUP(M18,'📄 Комиссии'!C:C,'📄 Комиссии'!B:B)&lt;&gt;""Продукты""),
VLOOKUP(S18,filter('🔒 Доп. информация'!D:H,'🔒 Доп. информация'!C:C=data!$A$3),4,FALSE)+VLOOKUP(S18,filter('🔒 Доп. информация'!D:H,'🔒 Доп. информация'!C:C=data!$A$3"&amp;"),5,FALSE)*AJ18,
VLOOKUP(S18,filter('🔒 Доп. информация'!D:H,'🔒 Доп. информация'!C:C=T18),4,FALSE)*ROUNDUP(AF18*AG18*AH18*L18/(120*80*175))/L18)
)
*(AE18/2)
,)
,)*0"),0.0)</f>
        <v>0</v>
      </c>
      <c r="BK18" s="204">
        <f>IFERROR(__xludf.DUMMYFUNCTION("IF(AU18=data!A$5,
IF(AI18&lt;=1,IF(AI18&lt;=0.8,IF(AI18&lt;=0.6,IF(AI18&lt;=0.4,IF(AI18&lt;=0.2,23,26),29),30),32)*VLOOKUP(S18,filter('🔒 Доп. информация'!D:E,'🔒 Доп. информация'!C:C=T18),2,FALSE)/'🔒 Доп. информация'!$K$9,
IF(AV18=data!A$8,U18,1)*VLOOKUP(S18,filter('"&amp;"🔒 Доп. информация'!D:E,'🔒 Доп. информация'!C:C=T18),2,FALSE)+
IF(AV18=data!A$8,U18,1)*VLOOKUP(S18,filter('🔒 Доп. информация'!D:F,'🔒 Доп. информация'!C:C=T18),3,FALSE)*AJ18)
,0)"),69.0)</f>
        <v>69</v>
      </c>
      <c r="BL18" s="185" t="str">
        <f t="shared" ref="BL18:BM18" si="64">IF($D18,"🔒",)</f>
        <v/>
      </c>
      <c r="BM18" s="185" t="str">
        <f t="shared" si="64"/>
        <v/>
      </c>
      <c r="BN18" s="204">
        <f>VLOOKUP(T18,'🔒 Доп. информация'!J:P,7,false)</f>
        <v>50</v>
      </c>
      <c r="BO18" s="204">
        <f>IF(AV18=data!A$9,
(AA18+AO18+AP18+BJ18+BK18+BN18)+H18*AS18,
(BJ18+BK18+BN18)+H18*AS18
)</f>
        <v>119</v>
      </c>
      <c r="BP18" s="204">
        <f t="shared" si="26"/>
        <v>69</v>
      </c>
      <c r="BQ18" s="204">
        <f t="shared" si="27"/>
        <v>320</v>
      </c>
      <c r="BR18" s="204" t="str">
        <f t="shared" si="37"/>
        <v>#N/A</v>
      </c>
      <c r="BS18" s="204" t="str">
        <f t="array" ref="BS18">IF(VLOOKUP(AT18,{'▶️ Инструкция'!C:C,'▶️ Инструкция'!Y:Y},2,FALSE)=data!A$15,
H18*(1-I18),
(H18-BR18))
*VLOOKUP(AT18,{'▶️ Инструкция'!C:C,'▶️ Инструкция'!AD:AD},2,FALSE)/(1+VLOOKUP(AT18,{'▶️ Инструкция'!C:C,'▶️ Инструкция'!AD:AD},2,FALSE))</f>
        <v>#N/A</v>
      </c>
      <c r="BT18" s="204" t="str">
        <f t="array" ref="BT18">
IF(VLOOKUP(AT18,{'▶️ Инструкция'!C:C,'▶️ Инструкция'!Y:Y},2,FALSE)=data!A$15,
H18*(1-I18)-BS18,
(H18-BR18-BS18))
*
VLOOKUP(AT18,{'▶️ Инструкция'!C:C,'▶️ Инструкция'!R:R},2,FALSE)
+BS18</f>
        <v>#N/A</v>
      </c>
      <c r="BU18" s="204" t="str">
        <f>(G18*AR18)+if(AV18=data!A$9,AO18,AN18)+AP18+BR18+BT18</f>
        <v>#N/A</v>
      </c>
      <c r="BV18" s="204" t="str">
        <f>(G18*AR18)+if(AV18=data!A$9,AO18,AN18)+AP18+BT18+G18</f>
        <v>#N/A</v>
      </c>
      <c r="BW18" s="204" t="str">
        <f t="shared" si="28"/>
        <v>#N/A</v>
      </c>
      <c r="BX18" s="204" t="str">
        <f t="shared" si="29"/>
        <v>#N/A</v>
      </c>
    </row>
    <row r="19">
      <c r="A19" s="165" t="str">
        <f>if(D19=true,if(F19=data!A$1,data!A$10,data!A$11),)</f>
        <v/>
      </c>
      <c r="B19" s="166" t="str">
        <f t="shared" si="4"/>
        <v>FBS</v>
      </c>
      <c r="C19" s="167" t="s">
        <v>195</v>
      </c>
      <c r="D19" s="168" t="b">
        <v>0</v>
      </c>
      <c r="E19" s="169" t="s">
        <v>204</v>
      </c>
      <c r="F19" s="170" t="str">
        <f t="array" ref="F19">IF(D19=TRUE,IF(IF(BG$3=VLOOKUP(AT19,{'▶️ Инструкция'!C:C,'▶️ Инструкция'!G:G},2,FALSE),BG19,BH19)&gt;VLOOKUP(AT19,{'▶️ Инструкция'!C:C,'▶️ Инструкция'!N:N},2,FALSE),data!A$1,data!A$2),)</f>
        <v/>
      </c>
      <c r="G19" s="171">
        <v>0.0</v>
      </c>
      <c r="H19" s="172">
        <v>1000.0</v>
      </c>
      <c r="I19" s="173">
        <v>0.0</v>
      </c>
      <c r="J19" s="173">
        <v>0.0</v>
      </c>
      <c r="K19" s="174" t="str">
        <f t="shared" si="5"/>
        <v/>
      </c>
      <c r="L19" s="175">
        <v>0.0</v>
      </c>
      <c r="M19" s="176" t="s">
        <v>197</v>
      </c>
      <c r="N19" s="177">
        <f>IFERROR(__xludf.DUMMYFUNCTION("ArrayFormula(let(category,VLOOKUP($M19, {'📄 Комиссии'!$C:$C , '📄 Комиссии'!$B:$B}, 2, 0),
data,MATCH('🔒 Доп. информация'!$J$15:$J203,TRANSPOSE(SPLIT(INDEX('▶️ Инструкция'!$Q:$Q,MATCH($AT19,'▶️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commission,VLOOKUP($M19,'📄 Комиссии'!$C:$E,IF($AV19=data!A$8,2,3),0),
IF(NOT(ISBLANK($M19)),commission/100+
IFERR"&amp;"OR(VLOOKUP($AT19,{'▶️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19" s="178" t="str">
        <f t="shared" si="6"/>
        <v/>
      </c>
      <c r="Q19" s="178" t="str">
        <f t="shared" si="7"/>
        <v/>
      </c>
      <c r="S19" s="179" t="s">
        <v>192</v>
      </c>
      <c r="T19" s="180" t="s">
        <v>193</v>
      </c>
      <c r="U19" s="181">
        <v>1.0</v>
      </c>
      <c r="V19" s="182" t="str">
        <f t="shared" ref="V19:Y19" si="65">IF($D19,"🔒",)</f>
        <v/>
      </c>
      <c r="W19" s="182" t="str">
        <f t="shared" si="65"/>
        <v/>
      </c>
      <c r="X19" s="182" t="str">
        <f t="shared" si="65"/>
        <v/>
      </c>
      <c r="Y19" s="182" t="str">
        <f t="shared" si="65"/>
        <v/>
      </c>
      <c r="Z19" s="183">
        <v>0.0</v>
      </c>
      <c r="AA19" s="184">
        <f t="shared" si="31"/>
        <v>0</v>
      </c>
      <c r="AB19" s="185" t="str">
        <f t="shared" ref="AB19:AD19" si="66">IF($D19,"🔒",)</f>
        <v/>
      </c>
      <c r="AC19" s="185" t="str">
        <f t="shared" si="66"/>
        <v/>
      </c>
      <c r="AD19" s="186" t="str">
        <f t="shared" si="66"/>
        <v/>
      </c>
      <c r="AE19" s="180">
        <v>30.0</v>
      </c>
      <c r="AF19" s="187">
        <v>0.0</v>
      </c>
      <c r="AG19" s="187">
        <v>0.0</v>
      </c>
      <c r="AH19" s="187">
        <v>0.0</v>
      </c>
      <c r="AI19" s="181">
        <f t="shared" si="10"/>
        <v>0</v>
      </c>
      <c r="AJ19" s="181">
        <f t="shared" si="11"/>
        <v>0</v>
      </c>
      <c r="AK19" s="185" t="str">
        <f t="shared" si="12"/>
        <v/>
      </c>
      <c r="AL19" s="188" t="str">
        <f t="array" ref="AL19">H19*(1-I19)*VLOOKUP(AT19,{'▶️ Инструкция'!C:C,'▶️ Инструкция'!AI:AI},2,false)</f>
        <v>#N/A</v>
      </c>
      <c r="AM19" s="186" t="str">
        <f t="shared" si="13"/>
        <v/>
      </c>
      <c r="AN19" s="189">
        <v>0.0</v>
      </c>
      <c r="AO19" s="189">
        <v>0.0</v>
      </c>
      <c r="AP19" s="189">
        <v>0.0</v>
      </c>
      <c r="AQ19" s="191">
        <v>1.0</v>
      </c>
      <c r="AR19" s="191">
        <v>0.0</v>
      </c>
      <c r="AS19" s="212">
        <v>0.0</v>
      </c>
      <c r="AT19" s="193" t="s">
        <v>206</v>
      </c>
      <c r="AU19" s="193" t="s">
        <v>121</v>
      </c>
      <c r="AV19" s="193" t="s">
        <v>199</v>
      </c>
      <c r="AW19" s="194">
        <f t="shared" si="14"/>
        <v>0</v>
      </c>
      <c r="AX19" s="195">
        <f t="shared" si="15"/>
        <v>0</v>
      </c>
      <c r="AY19" s="196" t="str">
        <f t="shared" si="16"/>
        <v>#N/A</v>
      </c>
      <c r="AZ19" s="213">
        <v>250.0</v>
      </c>
      <c r="BA19" s="196">
        <f t="shared" si="17"/>
        <v>0.25</v>
      </c>
      <c r="BB19" s="213">
        <f t="shared" si="18"/>
        <v>1000</v>
      </c>
      <c r="BC19" s="199" t="str">
        <f t="shared" si="19"/>
        <v>#N/A</v>
      </c>
      <c r="BD19" s="200" t="str">
        <f t="shared" si="20"/>
        <v>#N/A</v>
      </c>
      <c r="BE19" s="200">
        <f t="shared" si="21"/>
        <v>0</v>
      </c>
      <c r="BF19" s="201" t="str">
        <f t="shared" si="22"/>
        <v/>
      </c>
      <c r="BG19" s="201" t="str">
        <f t="shared" si="23"/>
        <v/>
      </c>
      <c r="BH19" s="202" t="str">
        <f t="shared" si="24"/>
        <v/>
      </c>
      <c r="BI19" s="203"/>
      <c r="BJ19" s="204">
        <f>IFERROR(__xludf.DUMMYFUNCTION("IF(AU19=data!A$5,
IF(AV19=data!A$8,
IF(T19=data!A$3,
VLOOKUP(S19,filter('🔒 Доп. информация'!D:H,'🔒 Доп. информация'!C:C=T19),4,FALSE)+VLOOKUP(S19,filter('🔒 Доп. информация'!D:H,'🔒 Доп. информация'!C:C=T19),5,FALSE)*AJ19,
IF(AND(MAX(AF19:AH19)&lt;80,SUM(A"&amp;"F19:AH19)&lt;=160,AI19&lt;20,XLOOKUP(M19,'📄 Комиссии'!C:C,'📄 Комиссии'!B:B)&lt;&gt;""Продукты""),
VLOOKUP(S19,filter('🔒 Доп. информация'!D:H,'🔒 Доп. информация'!C:C=data!$A$3),4,FALSE)+VLOOKUP(S19,filter('🔒 Доп. информация'!D:H,'🔒 Доп. информация'!C:C=data!$A$3"&amp;"),5,FALSE)*AJ19,
VLOOKUP(S19,filter('🔒 Доп. информация'!D:H,'🔒 Доп. информация'!C:C=T19),4,FALSE)*ROUNDUP(AF19*AG19*AH19*L19/(120*80*175))/L19)
)
*(AE19/2)
,)
,)*0"),0.0)</f>
        <v>0</v>
      </c>
      <c r="BK19" s="204">
        <f>IFERROR(__xludf.DUMMYFUNCTION("IF(AU19=data!A$5,
IF(AI19&lt;=1,IF(AI19&lt;=0.8,IF(AI19&lt;=0.6,IF(AI19&lt;=0.4,IF(AI19&lt;=0.2,23,26),29),30),32)*VLOOKUP(S19,filter('🔒 Доп. информация'!D:E,'🔒 Доп. информация'!C:C=T19),2,FALSE)/'🔒 Доп. информация'!$K$9,
IF(AV19=data!A$8,U19,1)*VLOOKUP(S19,filter('"&amp;"🔒 Доп. информация'!D:E,'🔒 Доп. информация'!C:C=T19),2,FALSE)+
IF(AV19=data!A$8,U19,1)*VLOOKUP(S19,filter('🔒 Доп. информация'!D:F,'🔒 Доп. информация'!C:C=T19),3,FALSE)*AJ19)
,0)"),69.0)</f>
        <v>69</v>
      </c>
      <c r="BL19" s="185" t="str">
        <f t="shared" ref="BL19:BM19" si="67">IF($D19,"🔒",)</f>
        <v/>
      </c>
      <c r="BM19" s="185" t="str">
        <f t="shared" si="67"/>
        <v/>
      </c>
      <c r="BN19" s="204">
        <f>VLOOKUP(T19,'🔒 Доп. информация'!J:P,7,false)</f>
        <v>50</v>
      </c>
      <c r="BO19" s="204">
        <f>IF(AV19=data!A$9,
(AA19+AO19+AP19+BJ19+BK19+BN19)+H19*AS19,
(BJ19+BK19+BN19)+H19*AS19
)</f>
        <v>119</v>
      </c>
      <c r="BP19" s="204">
        <f t="shared" si="26"/>
        <v>69</v>
      </c>
      <c r="BQ19" s="204">
        <f t="shared" si="27"/>
        <v>320</v>
      </c>
      <c r="BR19" s="204" t="str">
        <f t="shared" si="37"/>
        <v>#N/A</v>
      </c>
      <c r="BS19" s="204" t="str">
        <f t="array" ref="BS19">IF(VLOOKUP(AT19,{'▶️ Инструкция'!C:C,'▶️ Инструкция'!Y:Y},2,FALSE)=data!A$15,
H19*(1-I19),
(H19-BR19))
*VLOOKUP(AT19,{'▶️ Инструкция'!C:C,'▶️ Инструкция'!AD:AD},2,FALSE)/(1+VLOOKUP(AT19,{'▶️ Инструкция'!C:C,'▶️ Инструкция'!AD:AD},2,FALSE))</f>
        <v>#N/A</v>
      </c>
      <c r="BT19" s="204" t="str">
        <f t="array" ref="BT19">
IF(VLOOKUP(AT19,{'▶️ Инструкция'!C:C,'▶️ Инструкция'!Y:Y},2,FALSE)=data!A$15,
H19*(1-I19)-BS19,
(H19-BR19-BS19))
*
VLOOKUP(AT19,{'▶️ Инструкция'!C:C,'▶️ Инструкция'!R:R},2,FALSE)
+BS19</f>
        <v>#N/A</v>
      </c>
      <c r="BU19" s="204" t="str">
        <f>(G19*AR19)+if(AV19=data!A$9,AO19,AN19)+AP19+BR19+BT19</f>
        <v>#N/A</v>
      </c>
      <c r="BV19" s="204" t="str">
        <f>(G19*AR19)+if(AV19=data!A$9,AO19,AN19)+AP19+BT19+G19</f>
        <v>#N/A</v>
      </c>
      <c r="BW19" s="204" t="str">
        <f t="shared" si="28"/>
        <v>#N/A</v>
      </c>
      <c r="BX19" s="204" t="str">
        <f t="shared" si="29"/>
        <v>#N/A</v>
      </c>
    </row>
    <row r="20">
      <c r="A20" s="165" t="str">
        <f>if(D20=true,if(F20=data!A$1,data!A$10,data!A$11),)</f>
        <v/>
      </c>
      <c r="B20" s="166" t="str">
        <f t="shared" si="4"/>
        <v>FBS</v>
      </c>
      <c r="C20" s="167" t="s">
        <v>195</v>
      </c>
      <c r="D20" s="168" t="b">
        <v>0</v>
      </c>
      <c r="E20" s="169" t="s">
        <v>204</v>
      </c>
      <c r="F20" s="170" t="str">
        <f t="array" ref="F20">IF(D20=TRUE,IF(IF(BG$3=VLOOKUP(AT20,{'▶️ Инструкция'!C:C,'▶️ Инструкция'!G:G},2,FALSE),BG20,BH20)&gt;VLOOKUP(AT20,{'▶️ Инструкция'!C:C,'▶️ Инструкция'!N:N},2,FALSE),data!A$1,data!A$2),)</f>
        <v/>
      </c>
      <c r="G20" s="171">
        <v>0.0</v>
      </c>
      <c r="H20" s="172">
        <v>1000.0</v>
      </c>
      <c r="I20" s="173">
        <v>0.0</v>
      </c>
      <c r="J20" s="173">
        <v>0.0</v>
      </c>
      <c r="K20" s="174" t="str">
        <f t="shared" si="5"/>
        <v/>
      </c>
      <c r="L20" s="175">
        <v>0.0</v>
      </c>
      <c r="M20" s="176" t="s">
        <v>197</v>
      </c>
      <c r="N20" s="177">
        <f>IFERROR(__xludf.DUMMYFUNCTION("ArrayFormula(let(category,VLOOKUP($M20, {'📄 Комиссии'!$C:$C , '📄 Комиссии'!$B:$B}, 2, 0),
data,MATCH('🔒 Доп. информация'!$J$15:$J203,TRANSPOSE(SPLIT(INDEX('▶️ Инструкция'!$Q:$Q,MATCH($AT20,'▶️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commission,VLOOKUP($M20,'📄 Комиссии'!$C:$E,IF($AV20=data!A$8,2,3),0),
IF(NOT(ISBLANK($M20)),commission/100+
IFERR"&amp;"OR(VLOOKUP($AT20,{'▶️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20" s="178" t="str">
        <f t="shared" si="6"/>
        <v/>
      </c>
      <c r="Q20" s="178" t="str">
        <f t="shared" si="7"/>
        <v/>
      </c>
      <c r="S20" s="179" t="s">
        <v>192</v>
      </c>
      <c r="T20" s="180" t="s">
        <v>193</v>
      </c>
      <c r="U20" s="181">
        <v>1.0</v>
      </c>
      <c r="V20" s="182" t="str">
        <f t="shared" ref="V20:Y20" si="68">IF($D20,"🔒",)</f>
        <v/>
      </c>
      <c r="W20" s="182" t="str">
        <f t="shared" si="68"/>
        <v/>
      </c>
      <c r="X20" s="182" t="str">
        <f t="shared" si="68"/>
        <v/>
      </c>
      <c r="Y20" s="182" t="str">
        <f t="shared" si="68"/>
        <v/>
      </c>
      <c r="Z20" s="183">
        <v>0.0</v>
      </c>
      <c r="AA20" s="184">
        <f t="shared" si="31"/>
        <v>0</v>
      </c>
      <c r="AB20" s="185" t="str">
        <f t="shared" ref="AB20:AD20" si="69">IF($D20,"🔒",)</f>
        <v/>
      </c>
      <c r="AC20" s="185" t="str">
        <f t="shared" si="69"/>
        <v/>
      </c>
      <c r="AD20" s="186" t="str">
        <f t="shared" si="69"/>
        <v/>
      </c>
      <c r="AE20" s="180">
        <v>30.0</v>
      </c>
      <c r="AF20" s="187">
        <v>0.0</v>
      </c>
      <c r="AG20" s="187">
        <v>0.0</v>
      </c>
      <c r="AH20" s="187">
        <v>0.0</v>
      </c>
      <c r="AI20" s="181">
        <f t="shared" si="10"/>
        <v>0</v>
      </c>
      <c r="AJ20" s="181">
        <f t="shared" si="11"/>
        <v>0</v>
      </c>
      <c r="AK20" s="185" t="str">
        <f t="shared" si="12"/>
        <v/>
      </c>
      <c r="AL20" s="188" t="str">
        <f t="array" ref="AL20">H20*(1-I20)*VLOOKUP(AT20,{'▶️ Инструкция'!C:C,'▶️ Инструкция'!AI:AI},2,false)</f>
        <v>#N/A</v>
      </c>
      <c r="AM20" s="186" t="str">
        <f t="shared" si="13"/>
        <v/>
      </c>
      <c r="AN20" s="189">
        <v>0.0</v>
      </c>
      <c r="AO20" s="189">
        <v>0.0</v>
      </c>
      <c r="AP20" s="189">
        <v>0.0</v>
      </c>
      <c r="AQ20" s="191">
        <v>1.0</v>
      </c>
      <c r="AR20" s="191">
        <v>0.0</v>
      </c>
      <c r="AS20" s="212">
        <v>0.0</v>
      </c>
      <c r="AT20" s="193" t="s">
        <v>206</v>
      </c>
      <c r="AU20" s="193" t="s">
        <v>121</v>
      </c>
      <c r="AV20" s="193" t="s">
        <v>199</v>
      </c>
      <c r="AW20" s="194">
        <f t="shared" si="14"/>
        <v>0</v>
      </c>
      <c r="AX20" s="195">
        <f t="shared" si="15"/>
        <v>0</v>
      </c>
      <c r="AY20" s="196" t="str">
        <f t="shared" si="16"/>
        <v>#N/A</v>
      </c>
      <c r="AZ20" s="213">
        <v>250.0</v>
      </c>
      <c r="BA20" s="196">
        <f t="shared" si="17"/>
        <v>0.25</v>
      </c>
      <c r="BB20" s="213">
        <f t="shared" si="18"/>
        <v>1000</v>
      </c>
      <c r="BC20" s="199" t="str">
        <f t="shared" si="19"/>
        <v>#N/A</v>
      </c>
      <c r="BD20" s="200" t="str">
        <f t="shared" si="20"/>
        <v>#N/A</v>
      </c>
      <c r="BE20" s="200">
        <f t="shared" si="21"/>
        <v>0</v>
      </c>
      <c r="BF20" s="201" t="str">
        <f t="shared" si="22"/>
        <v/>
      </c>
      <c r="BG20" s="201" t="str">
        <f t="shared" si="23"/>
        <v/>
      </c>
      <c r="BH20" s="202" t="str">
        <f t="shared" si="24"/>
        <v/>
      </c>
      <c r="BI20" s="203"/>
      <c r="BJ20" s="204">
        <f>IFERROR(__xludf.DUMMYFUNCTION("IF(AU20=data!A$5,
IF(AV20=data!A$8,
IF(T20=data!A$3,
VLOOKUP(S20,filter('🔒 Доп. информация'!D:H,'🔒 Доп. информация'!C:C=T20),4,FALSE)+VLOOKUP(S20,filter('🔒 Доп. информация'!D:H,'🔒 Доп. информация'!C:C=T20),5,FALSE)*AJ20,
IF(AND(MAX(AF20:AH20)&lt;80,SUM(A"&amp;"F20:AH20)&lt;=160,AI20&lt;20,XLOOKUP(M20,'📄 Комиссии'!C:C,'📄 Комиссии'!B:B)&lt;&gt;""Продукты""),
VLOOKUP(S20,filter('🔒 Доп. информация'!D:H,'🔒 Доп. информация'!C:C=data!$A$3),4,FALSE)+VLOOKUP(S20,filter('🔒 Доп. информация'!D:H,'🔒 Доп. информация'!C:C=data!$A$3"&amp;"),5,FALSE)*AJ20,
VLOOKUP(S20,filter('🔒 Доп. информация'!D:H,'🔒 Доп. информация'!C:C=T20),4,FALSE)*ROUNDUP(AF20*AG20*AH20*L20/(120*80*175))/L20)
)
*(AE20/2)
,)
,)*0"),0.0)</f>
        <v>0</v>
      </c>
      <c r="BK20" s="204">
        <f>IFERROR(__xludf.DUMMYFUNCTION("IF(AU20=data!A$5,
IF(AI20&lt;=1,IF(AI20&lt;=0.8,IF(AI20&lt;=0.6,IF(AI20&lt;=0.4,IF(AI20&lt;=0.2,23,26),29),30),32)*VLOOKUP(S20,filter('🔒 Доп. информация'!D:E,'🔒 Доп. информация'!C:C=T20),2,FALSE)/'🔒 Доп. информация'!$K$9,
IF(AV20=data!A$8,U20,1)*VLOOKUP(S20,filter('"&amp;"🔒 Доп. информация'!D:E,'🔒 Доп. информация'!C:C=T20),2,FALSE)+
IF(AV20=data!A$8,U20,1)*VLOOKUP(S20,filter('🔒 Доп. информация'!D:F,'🔒 Доп. информация'!C:C=T20),3,FALSE)*AJ20)
,0)"),69.0)</f>
        <v>69</v>
      </c>
      <c r="BL20" s="185" t="str">
        <f t="shared" ref="BL20:BM20" si="70">IF($D20,"🔒",)</f>
        <v/>
      </c>
      <c r="BM20" s="185" t="str">
        <f t="shared" si="70"/>
        <v/>
      </c>
      <c r="BN20" s="204">
        <f>VLOOKUP(T20,'🔒 Доп. информация'!J:P,7,false)</f>
        <v>50</v>
      </c>
      <c r="BO20" s="204">
        <f>IF(AV20=data!A$9,
(AA20+AO20+AP20+BJ20+BK20+BN20)+H20*AS20,
(BJ20+BK20+BN20)+H20*AS20
)</f>
        <v>119</v>
      </c>
      <c r="BP20" s="204">
        <f t="shared" si="26"/>
        <v>69</v>
      </c>
      <c r="BQ20" s="204">
        <f t="shared" si="27"/>
        <v>320</v>
      </c>
      <c r="BR20" s="204" t="str">
        <f t="shared" si="37"/>
        <v>#N/A</v>
      </c>
      <c r="BS20" s="204" t="str">
        <f t="array" ref="BS20">IF(VLOOKUP(AT20,{'▶️ Инструкция'!C:C,'▶️ Инструкция'!Y:Y},2,FALSE)=data!A$15,
H20*(1-I20),
(H20-BR20))
*VLOOKUP(AT20,{'▶️ Инструкция'!C:C,'▶️ Инструкция'!AD:AD},2,FALSE)/(1+VLOOKUP(AT20,{'▶️ Инструкция'!C:C,'▶️ Инструкция'!AD:AD},2,FALSE))</f>
        <v>#N/A</v>
      </c>
      <c r="BT20" s="204" t="str">
        <f t="array" ref="BT20">
IF(VLOOKUP(AT20,{'▶️ Инструкция'!C:C,'▶️ Инструкция'!Y:Y},2,FALSE)=data!A$15,
H20*(1-I20)-BS20,
(H20-BR20-BS20))
*
VLOOKUP(AT20,{'▶️ Инструкция'!C:C,'▶️ Инструкция'!R:R},2,FALSE)
+BS20</f>
        <v>#N/A</v>
      </c>
      <c r="BU20" s="204" t="str">
        <f>(G20*AR20)+if(AV20=data!A$9,AO20,AN20)+AP20+BR20+BT20</f>
        <v>#N/A</v>
      </c>
      <c r="BV20" s="204" t="str">
        <f>(G20*AR20)+if(AV20=data!A$9,AO20,AN20)+AP20+BT20+G20</f>
        <v>#N/A</v>
      </c>
      <c r="BW20" s="204" t="str">
        <f t="shared" si="28"/>
        <v>#N/A</v>
      </c>
      <c r="BX20" s="204" t="str">
        <f t="shared" si="29"/>
        <v>#N/A</v>
      </c>
    </row>
    <row r="21">
      <c r="A21" s="165" t="str">
        <f>if(D21=true,if(F21=data!A$1,data!A$10,data!A$11),)</f>
        <v/>
      </c>
      <c r="B21" s="166" t="str">
        <f t="shared" si="4"/>
        <v>FBS</v>
      </c>
      <c r="C21" s="167" t="s">
        <v>195</v>
      </c>
      <c r="D21" s="168" t="b">
        <v>0</v>
      </c>
      <c r="E21" s="169" t="s">
        <v>204</v>
      </c>
      <c r="F21" s="170" t="str">
        <f t="array" ref="F21">IF(D21=TRUE,IF(IF(BG$3=VLOOKUP(AT21,{'▶️ Инструкция'!C:C,'▶️ Инструкция'!G:G},2,FALSE),BG21,BH21)&gt;VLOOKUP(AT21,{'▶️ Инструкция'!C:C,'▶️ Инструкция'!N:N},2,FALSE),data!A$1,data!A$2),)</f>
        <v/>
      </c>
      <c r="G21" s="171">
        <v>0.0</v>
      </c>
      <c r="H21" s="172">
        <v>1000.0</v>
      </c>
      <c r="I21" s="173">
        <v>0.0</v>
      </c>
      <c r="J21" s="173">
        <v>0.0</v>
      </c>
      <c r="K21" s="174" t="str">
        <f t="shared" si="5"/>
        <v/>
      </c>
      <c r="L21" s="175">
        <v>0.0</v>
      </c>
      <c r="M21" s="176" t="s">
        <v>197</v>
      </c>
      <c r="N21" s="177">
        <f>IFERROR(__xludf.DUMMYFUNCTION("ArrayFormula(let(category,VLOOKUP($M21, {'📄 Комиссии'!$C:$C , '📄 Комиссии'!$B:$B}, 2, 0),
data,MATCH('🔒 Доп. информация'!$J$15:$J203,TRANSPOSE(SPLIT(INDEX('▶️ Инструкция'!$Q:$Q,MATCH($AT21,'▶️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commission,VLOOKUP($M21,'📄 Комиссии'!$C:$E,IF($AV21=data!A$8,2,3),0),
IF(NOT(ISBLANK($M21)),commission/100+
IFERR"&amp;"OR(VLOOKUP($AT21,{'▶️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21" s="178" t="str">
        <f t="shared" si="6"/>
        <v/>
      </c>
      <c r="Q21" s="178" t="str">
        <f t="shared" si="7"/>
        <v/>
      </c>
      <c r="S21" s="179" t="s">
        <v>192</v>
      </c>
      <c r="T21" s="180" t="s">
        <v>193</v>
      </c>
      <c r="U21" s="181">
        <v>1.0</v>
      </c>
      <c r="V21" s="182" t="str">
        <f t="shared" ref="V21:Y21" si="71">IF($D21,"🔒",)</f>
        <v/>
      </c>
      <c r="W21" s="182" t="str">
        <f t="shared" si="71"/>
        <v/>
      </c>
      <c r="X21" s="182" t="str">
        <f t="shared" si="71"/>
        <v/>
      </c>
      <c r="Y21" s="182" t="str">
        <f t="shared" si="71"/>
        <v/>
      </c>
      <c r="Z21" s="183">
        <v>0.0</v>
      </c>
      <c r="AA21" s="184">
        <f t="shared" si="31"/>
        <v>0</v>
      </c>
      <c r="AB21" s="185" t="str">
        <f t="shared" ref="AB21:AD21" si="72">IF($D21,"🔒",)</f>
        <v/>
      </c>
      <c r="AC21" s="185" t="str">
        <f t="shared" si="72"/>
        <v/>
      </c>
      <c r="AD21" s="186" t="str">
        <f t="shared" si="72"/>
        <v/>
      </c>
      <c r="AE21" s="180">
        <v>30.0</v>
      </c>
      <c r="AF21" s="187">
        <v>0.0</v>
      </c>
      <c r="AG21" s="187">
        <v>0.0</v>
      </c>
      <c r="AH21" s="187">
        <v>0.0</v>
      </c>
      <c r="AI21" s="181">
        <f t="shared" si="10"/>
        <v>0</v>
      </c>
      <c r="AJ21" s="181">
        <f t="shared" si="11"/>
        <v>0</v>
      </c>
      <c r="AK21" s="185" t="str">
        <f t="shared" si="12"/>
        <v/>
      </c>
      <c r="AL21" s="188" t="str">
        <f t="array" ref="AL21">H21*(1-I21)*VLOOKUP(AT21,{'▶️ Инструкция'!C:C,'▶️ Инструкция'!AI:AI},2,false)</f>
        <v>#N/A</v>
      </c>
      <c r="AM21" s="186" t="str">
        <f t="shared" si="13"/>
        <v/>
      </c>
      <c r="AN21" s="189">
        <v>0.0</v>
      </c>
      <c r="AO21" s="189">
        <v>0.0</v>
      </c>
      <c r="AP21" s="189">
        <v>0.0</v>
      </c>
      <c r="AQ21" s="191">
        <v>1.0</v>
      </c>
      <c r="AR21" s="191">
        <v>0.0</v>
      </c>
      <c r="AS21" s="212">
        <v>0.0</v>
      </c>
      <c r="AT21" s="193" t="s">
        <v>206</v>
      </c>
      <c r="AU21" s="193" t="s">
        <v>121</v>
      </c>
      <c r="AV21" s="193" t="s">
        <v>199</v>
      </c>
      <c r="AW21" s="194">
        <f t="shared" si="14"/>
        <v>0</v>
      </c>
      <c r="AX21" s="195">
        <f t="shared" si="15"/>
        <v>0</v>
      </c>
      <c r="AY21" s="196" t="str">
        <f t="shared" si="16"/>
        <v>#N/A</v>
      </c>
      <c r="AZ21" s="213">
        <v>250.0</v>
      </c>
      <c r="BA21" s="196">
        <f t="shared" si="17"/>
        <v>0.25</v>
      </c>
      <c r="BB21" s="213">
        <f t="shared" si="18"/>
        <v>1000</v>
      </c>
      <c r="BC21" s="199" t="str">
        <f t="shared" si="19"/>
        <v>#N/A</v>
      </c>
      <c r="BD21" s="200" t="str">
        <f t="shared" si="20"/>
        <v>#N/A</v>
      </c>
      <c r="BE21" s="200">
        <f t="shared" si="21"/>
        <v>0</v>
      </c>
      <c r="BF21" s="201" t="str">
        <f t="shared" si="22"/>
        <v/>
      </c>
      <c r="BG21" s="201" t="str">
        <f t="shared" si="23"/>
        <v/>
      </c>
      <c r="BH21" s="202" t="str">
        <f t="shared" si="24"/>
        <v/>
      </c>
      <c r="BI21" s="203"/>
      <c r="BJ21" s="204">
        <f>IFERROR(__xludf.DUMMYFUNCTION("IF(AU21=data!A$5,
IF(AV21=data!A$8,
IF(T21=data!A$3,
VLOOKUP(S21,filter('🔒 Доп. информация'!D:H,'🔒 Доп. информация'!C:C=T21),4,FALSE)+VLOOKUP(S21,filter('🔒 Доп. информация'!D:H,'🔒 Доп. информация'!C:C=T21),5,FALSE)*AJ21,
IF(AND(MAX(AF21:AH21)&lt;80,SUM(A"&amp;"F21:AH21)&lt;=160,AI21&lt;20,XLOOKUP(M21,'📄 Комиссии'!C:C,'📄 Комиссии'!B:B)&lt;&gt;""Продукты""),
VLOOKUP(S21,filter('🔒 Доп. информация'!D:H,'🔒 Доп. информация'!C:C=data!$A$3),4,FALSE)+VLOOKUP(S21,filter('🔒 Доп. информация'!D:H,'🔒 Доп. информация'!C:C=data!$A$3"&amp;"),5,FALSE)*AJ21,
VLOOKUP(S21,filter('🔒 Доп. информация'!D:H,'🔒 Доп. информация'!C:C=T21),4,FALSE)*ROUNDUP(AF21*AG21*AH21*L21/(120*80*175))/L21)
)
*(AE21/2)
,)
,)*0"),0.0)</f>
        <v>0</v>
      </c>
      <c r="BK21" s="204">
        <f>IFERROR(__xludf.DUMMYFUNCTION("IF(AU21=data!A$5,
IF(AI21&lt;=1,IF(AI21&lt;=0.8,IF(AI21&lt;=0.6,IF(AI21&lt;=0.4,IF(AI21&lt;=0.2,23,26),29),30),32)*VLOOKUP(S21,filter('🔒 Доп. информация'!D:E,'🔒 Доп. информация'!C:C=T21),2,FALSE)/'🔒 Доп. информация'!$K$9,
IF(AV21=data!A$8,U21,1)*VLOOKUP(S21,filter('"&amp;"🔒 Доп. информация'!D:E,'🔒 Доп. информация'!C:C=T21),2,FALSE)+
IF(AV21=data!A$8,U21,1)*VLOOKUP(S21,filter('🔒 Доп. информация'!D:F,'🔒 Доп. информация'!C:C=T21),3,FALSE)*AJ21)
,0)"),69.0)</f>
        <v>69</v>
      </c>
      <c r="BL21" s="185" t="str">
        <f t="shared" ref="BL21:BM21" si="73">IF($D21,"🔒",)</f>
        <v/>
      </c>
      <c r="BM21" s="185" t="str">
        <f t="shared" si="73"/>
        <v/>
      </c>
      <c r="BN21" s="204">
        <f>VLOOKUP(T21,'🔒 Доп. информация'!J:P,7,false)</f>
        <v>50</v>
      </c>
      <c r="BO21" s="204">
        <f>IF(AV21=data!A$9,
(AA21+AO21+AP21+BJ21+BK21+BN21)+H21*AS21,
(BJ21+BK21+BN21)+H21*AS21
)</f>
        <v>119</v>
      </c>
      <c r="BP21" s="204">
        <f t="shared" si="26"/>
        <v>69</v>
      </c>
      <c r="BQ21" s="204">
        <f t="shared" si="27"/>
        <v>320</v>
      </c>
      <c r="BR21" s="204" t="str">
        <f t="shared" si="37"/>
        <v>#N/A</v>
      </c>
      <c r="BS21" s="204" t="str">
        <f t="array" ref="BS21">IF(VLOOKUP(AT21,{'▶️ Инструкция'!C:C,'▶️ Инструкция'!Y:Y},2,FALSE)=data!A$15,
H21*(1-I21),
(H21-BR21))
*VLOOKUP(AT21,{'▶️ Инструкция'!C:C,'▶️ Инструкция'!AD:AD},2,FALSE)/(1+VLOOKUP(AT21,{'▶️ Инструкция'!C:C,'▶️ Инструкция'!AD:AD},2,FALSE))</f>
        <v>#N/A</v>
      </c>
      <c r="BT21" s="204" t="str">
        <f t="array" ref="BT21">
IF(VLOOKUP(AT21,{'▶️ Инструкция'!C:C,'▶️ Инструкция'!Y:Y},2,FALSE)=data!A$15,
H21*(1-I21)-BS21,
(H21-BR21-BS21))
*
VLOOKUP(AT21,{'▶️ Инструкция'!C:C,'▶️ Инструкция'!R:R},2,FALSE)
+BS21</f>
        <v>#N/A</v>
      </c>
      <c r="BU21" s="204" t="str">
        <f>(G21*AR21)+if(AV21=data!A$9,AO21,AN21)+AP21+BR21+BT21</f>
        <v>#N/A</v>
      </c>
      <c r="BV21" s="204" t="str">
        <f>(G21*AR21)+if(AV21=data!A$9,AO21,AN21)+AP21+BT21+G21</f>
        <v>#N/A</v>
      </c>
      <c r="BW21" s="204" t="str">
        <f t="shared" si="28"/>
        <v>#N/A</v>
      </c>
      <c r="BX21" s="204" t="str">
        <f t="shared" si="29"/>
        <v>#N/A</v>
      </c>
    </row>
    <row r="22">
      <c r="A22" s="165" t="str">
        <f>if(D22=true,if(F22=data!A$1,data!A$10,data!A$11),)</f>
        <v/>
      </c>
      <c r="B22" s="166" t="str">
        <f t="shared" si="4"/>
        <v>FBS</v>
      </c>
      <c r="C22" s="167" t="s">
        <v>195</v>
      </c>
      <c r="D22" s="168" t="b">
        <v>0</v>
      </c>
      <c r="E22" s="169" t="s">
        <v>204</v>
      </c>
      <c r="F22" s="170" t="str">
        <f t="array" ref="F22">IF(D22=TRUE,IF(IF(BG$3=VLOOKUP(AT22,{'▶️ Инструкция'!C:C,'▶️ Инструкция'!G:G},2,FALSE),BG22,BH22)&gt;VLOOKUP(AT22,{'▶️ Инструкция'!C:C,'▶️ Инструкция'!N:N},2,FALSE),data!A$1,data!A$2),)</f>
        <v/>
      </c>
      <c r="G22" s="171">
        <v>0.0</v>
      </c>
      <c r="H22" s="172">
        <v>1000.0</v>
      </c>
      <c r="I22" s="173">
        <v>0.0</v>
      </c>
      <c r="J22" s="173">
        <v>0.0</v>
      </c>
      <c r="K22" s="174" t="str">
        <f t="shared" si="5"/>
        <v/>
      </c>
      <c r="L22" s="175">
        <v>0.0</v>
      </c>
      <c r="M22" s="176" t="s">
        <v>197</v>
      </c>
      <c r="N22" s="177">
        <f>IFERROR(__xludf.DUMMYFUNCTION("ArrayFormula(let(category,VLOOKUP($M22, {'📄 Комиссии'!$C:$C , '📄 Комиссии'!$B:$B}, 2, 0),
data,MATCH('🔒 Доп. информация'!$J$15:$J203,TRANSPOSE(SPLIT(INDEX('▶️ Инструкция'!$Q:$Q,MATCH($AT22,'▶️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commission,VLOOKUP($M22,'📄 Комиссии'!$C:$E,IF($AV22=data!A$8,2,3),0),
IF(NOT(ISBLANK($M22)),commission/100+
IFERR"&amp;"OR(VLOOKUP($AT22,{'▶️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22" s="178" t="str">
        <f t="shared" si="6"/>
        <v/>
      </c>
      <c r="Q22" s="178" t="str">
        <f t="shared" si="7"/>
        <v/>
      </c>
      <c r="S22" s="179" t="s">
        <v>192</v>
      </c>
      <c r="T22" s="180" t="s">
        <v>193</v>
      </c>
      <c r="U22" s="181">
        <v>1.0</v>
      </c>
      <c r="V22" s="182" t="str">
        <f t="shared" ref="V22:Y22" si="74">IF($D22,"🔒",)</f>
        <v/>
      </c>
      <c r="W22" s="182" t="str">
        <f t="shared" si="74"/>
        <v/>
      </c>
      <c r="X22" s="182" t="str">
        <f t="shared" si="74"/>
        <v/>
      </c>
      <c r="Y22" s="182" t="str">
        <f t="shared" si="74"/>
        <v/>
      </c>
      <c r="Z22" s="183">
        <v>0.0</v>
      </c>
      <c r="AA22" s="184">
        <f t="shared" si="31"/>
        <v>0</v>
      </c>
      <c r="AB22" s="185" t="str">
        <f t="shared" ref="AB22:AD22" si="75">IF($D22,"🔒",)</f>
        <v/>
      </c>
      <c r="AC22" s="185" t="str">
        <f t="shared" si="75"/>
        <v/>
      </c>
      <c r="AD22" s="186" t="str">
        <f t="shared" si="75"/>
        <v/>
      </c>
      <c r="AE22" s="180">
        <v>30.0</v>
      </c>
      <c r="AF22" s="187">
        <v>0.0</v>
      </c>
      <c r="AG22" s="187">
        <v>0.0</v>
      </c>
      <c r="AH22" s="187">
        <v>0.0</v>
      </c>
      <c r="AI22" s="181">
        <f t="shared" si="10"/>
        <v>0</v>
      </c>
      <c r="AJ22" s="181">
        <f t="shared" si="11"/>
        <v>0</v>
      </c>
      <c r="AK22" s="185" t="str">
        <f t="shared" si="12"/>
        <v/>
      </c>
      <c r="AL22" s="188" t="str">
        <f t="array" ref="AL22">H22*(1-I22)*VLOOKUP(AT22,{'▶️ Инструкция'!C:C,'▶️ Инструкция'!AI:AI},2,false)</f>
        <v>#N/A</v>
      </c>
      <c r="AM22" s="186" t="str">
        <f t="shared" si="13"/>
        <v/>
      </c>
      <c r="AN22" s="189">
        <v>0.0</v>
      </c>
      <c r="AO22" s="189">
        <v>0.0</v>
      </c>
      <c r="AP22" s="189">
        <v>0.0</v>
      </c>
      <c r="AQ22" s="191">
        <v>1.0</v>
      </c>
      <c r="AR22" s="191">
        <v>0.0</v>
      </c>
      <c r="AS22" s="212">
        <v>0.0</v>
      </c>
      <c r="AT22" s="193" t="s">
        <v>206</v>
      </c>
      <c r="AU22" s="193" t="s">
        <v>121</v>
      </c>
      <c r="AV22" s="193" t="s">
        <v>199</v>
      </c>
      <c r="AW22" s="194">
        <f t="shared" si="14"/>
        <v>0</v>
      </c>
      <c r="AX22" s="195">
        <f t="shared" si="15"/>
        <v>0</v>
      </c>
      <c r="AY22" s="196" t="str">
        <f t="shared" si="16"/>
        <v>#N/A</v>
      </c>
      <c r="AZ22" s="213">
        <v>250.0</v>
      </c>
      <c r="BA22" s="196">
        <f t="shared" si="17"/>
        <v>0.25</v>
      </c>
      <c r="BB22" s="213">
        <f t="shared" si="18"/>
        <v>1000</v>
      </c>
      <c r="BC22" s="199" t="str">
        <f t="shared" si="19"/>
        <v>#N/A</v>
      </c>
      <c r="BD22" s="200" t="str">
        <f t="shared" si="20"/>
        <v>#N/A</v>
      </c>
      <c r="BE22" s="200">
        <f t="shared" si="21"/>
        <v>0</v>
      </c>
      <c r="BF22" s="201" t="str">
        <f t="shared" si="22"/>
        <v/>
      </c>
      <c r="BG22" s="201" t="str">
        <f t="shared" si="23"/>
        <v/>
      </c>
      <c r="BH22" s="202" t="str">
        <f t="shared" si="24"/>
        <v/>
      </c>
      <c r="BI22" s="203"/>
      <c r="BJ22" s="204">
        <f>IFERROR(__xludf.DUMMYFUNCTION("IF(AU22=data!A$5,
IF(AV22=data!A$8,
IF(T22=data!A$3,
VLOOKUP(S22,filter('🔒 Доп. информация'!D:H,'🔒 Доп. информация'!C:C=T22),4,FALSE)+VLOOKUP(S22,filter('🔒 Доп. информация'!D:H,'🔒 Доп. информация'!C:C=T22),5,FALSE)*AJ22,
IF(AND(MAX(AF22:AH22)&lt;80,SUM(A"&amp;"F22:AH22)&lt;=160,AI22&lt;20,XLOOKUP(M22,'📄 Комиссии'!C:C,'📄 Комиссии'!B:B)&lt;&gt;""Продукты""),
VLOOKUP(S22,filter('🔒 Доп. информация'!D:H,'🔒 Доп. информация'!C:C=data!$A$3),4,FALSE)+VLOOKUP(S22,filter('🔒 Доп. информация'!D:H,'🔒 Доп. информация'!C:C=data!$A$3"&amp;"),5,FALSE)*AJ22,
VLOOKUP(S22,filter('🔒 Доп. информация'!D:H,'🔒 Доп. информация'!C:C=T22),4,FALSE)*ROUNDUP(AF22*AG22*AH22*L22/(120*80*175))/L22)
)
*(AE22/2)
,)
,)*0"),0.0)</f>
        <v>0</v>
      </c>
      <c r="BK22" s="204">
        <f>IFERROR(__xludf.DUMMYFUNCTION("IF(AU22=data!A$5,
IF(AI22&lt;=1,IF(AI22&lt;=0.8,IF(AI22&lt;=0.6,IF(AI22&lt;=0.4,IF(AI22&lt;=0.2,23,26),29),30),32)*VLOOKUP(S22,filter('🔒 Доп. информация'!D:E,'🔒 Доп. информация'!C:C=T22),2,FALSE)/'🔒 Доп. информация'!$K$9,
IF(AV22=data!A$8,U22,1)*VLOOKUP(S22,filter('"&amp;"🔒 Доп. информация'!D:E,'🔒 Доп. информация'!C:C=T22),2,FALSE)+
IF(AV22=data!A$8,U22,1)*VLOOKUP(S22,filter('🔒 Доп. информация'!D:F,'🔒 Доп. информация'!C:C=T22),3,FALSE)*AJ22)
,0)"),69.0)</f>
        <v>69</v>
      </c>
      <c r="BL22" s="185" t="str">
        <f t="shared" ref="BL22:BM22" si="76">IF($D22,"🔒",)</f>
        <v/>
      </c>
      <c r="BM22" s="185" t="str">
        <f t="shared" si="76"/>
        <v/>
      </c>
      <c r="BN22" s="204">
        <f>VLOOKUP(T22,'🔒 Доп. информация'!J:P,7,false)</f>
        <v>50</v>
      </c>
      <c r="BO22" s="204">
        <f>IF(AV22=data!A$9,
(AA22+AO22+AP22+BJ22+BK22+BN22)+H22*AS22,
(BJ22+BK22+BN22)+H22*AS22
)</f>
        <v>119</v>
      </c>
      <c r="BP22" s="204">
        <f t="shared" si="26"/>
        <v>69</v>
      </c>
      <c r="BQ22" s="204">
        <f t="shared" si="27"/>
        <v>320</v>
      </c>
      <c r="BR22" s="204" t="str">
        <f t="shared" si="37"/>
        <v>#N/A</v>
      </c>
      <c r="BS22" s="204" t="str">
        <f t="array" ref="BS22">IF(VLOOKUP(AT22,{'▶️ Инструкция'!C:C,'▶️ Инструкция'!Y:Y},2,FALSE)=data!A$15,
H22*(1-I22),
(H22-BR22))
*VLOOKUP(AT22,{'▶️ Инструкция'!C:C,'▶️ Инструкция'!AD:AD},2,FALSE)/(1+VLOOKUP(AT22,{'▶️ Инструкция'!C:C,'▶️ Инструкция'!AD:AD},2,FALSE))</f>
        <v>#N/A</v>
      </c>
      <c r="BT22" s="204" t="str">
        <f t="array" ref="BT22">
IF(VLOOKUP(AT22,{'▶️ Инструкция'!C:C,'▶️ Инструкция'!Y:Y},2,FALSE)=data!A$15,
H22*(1-I22)-BS22,
(H22-BR22-BS22))
*
VLOOKUP(AT22,{'▶️ Инструкция'!C:C,'▶️ Инструкция'!R:R},2,FALSE)
+BS22</f>
        <v>#N/A</v>
      </c>
      <c r="BU22" s="204" t="str">
        <f>(G22*AR22)+if(AV22=data!A$9,AO22,AN22)+AP22+BR22+BT22</f>
        <v>#N/A</v>
      </c>
      <c r="BV22" s="204" t="str">
        <f>(G22*AR22)+if(AV22=data!A$9,AO22,AN22)+AP22+BT22+G22</f>
        <v>#N/A</v>
      </c>
      <c r="BW22" s="204" t="str">
        <f t="shared" si="28"/>
        <v>#N/A</v>
      </c>
      <c r="BX22" s="204" t="str">
        <f t="shared" si="29"/>
        <v>#N/A</v>
      </c>
    </row>
    <row r="23">
      <c r="A23" s="165" t="str">
        <f>if(D23=true,if(F23=data!A$1,data!A$10,data!A$11),)</f>
        <v/>
      </c>
      <c r="B23" s="166" t="str">
        <f t="shared" si="4"/>
        <v>FBS</v>
      </c>
      <c r="C23" s="167" t="s">
        <v>195</v>
      </c>
      <c r="D23" s="168" t="b">
        <v>0</v>
      </c>
      <c r="E23" s="169" t="s">
        <v>204</v>
      </c>
      <c r="F23" s="170" t="str">
        <f t="array" ref="F23">IF(D23=TRUE,IF(IF(BG$3=VLOOKUP(AT23,{'▶️ Инструкция'!C:C,'▶️ Инструкция'!G:G},2,FALSE),BG23,BH23)&gt;VLOOKUP(AT23,{'▶️ Инструкция'!C:C,'▶️ Инструкция'!N:N},2,FALSE),data!A$1,data!A$2),)</f>
        <v/>
      </c>
      <c r="G23" s="171">
        <v>0.0</v>
      </c>
      <c r="H23" s="172">
        <v>1000.0</v>
      </c>
      <c r="I23" s="173">
        <v>0.0</v>
      </c>
      <c r="J23" s="173">
        <v>0.0</v>
      </c>
      <c r="K23" s="174" t="str">
        <f t="shared" si="5"/>
        <v/>
      </c>
      <c r="L23" s="175">
        <v>0.0</v>
      </c>
      <c r="M23" s="176" t="s">
        <v>197</v>
      </c>
      <c r="N23" s="177">
        <f>IFERROR(__xludf.DUMMYFUNCTION("ArrayFormula(let(category,VLOOKUP($M23, {'📄 Комиссии'!$C:$C , '📄 Комиссии'!$B:$B}, 2, 0),
data,MATCH('🔒 Доп. информация'!$J$15:$J203,TRANSPOSE(SPLIT(INDEX('▶️ Инструкция'!$Q:$Q,MATCH($AT23,'▶️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commission,VLOOKUP($M23,'📄 Комиссии'!$C:$E,IF($AV23=data!A$8,2,3),0),
IF(NOT(ISBLANK($M23)),commission/100+
IFERR"&amp;"OR(VLOOKUP($AT23,{'▶️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23" s="178" t="str">
        <f t="shared" si="6"/>
        <v/>
      </c>
      <c r="Q23" s="178" t="str">
        <f t="shared" si="7"/>
        <v/>
      </c>
      <c r="S23" s="179" t="s">
        <v>192</v>
      </c>
      <c r="T23" s="180" t="s">
        <v>193</v>
      </c>
      <c r="U23" s="181">
        <v>1.0</v>
      </c>
      <c r="V23" s="182" t="str">
        <f t="shared" ref="V23:Y23" si="77">IF($D23,"🔒",)</f>
        <v/>
      </c>
      <c r="W23" s="182" t="str">
        <f t="shared" si="77"/>
        <v/>
      </c>
      <c r="X23" s="182" t="str">
        <f t="shared" si="77"/>
        <v/>
      </c>
      <c r="Y23" s="182" t="str">
        <f t="shared" si="77"/>
        <v/>
      </c>
      <c r="Z23" s="183">
        <v>0.0</v>
      </c>
      <c r="AA23" s="184">
        <f t="shared" si="31"/>
        <v>0</v>
      </c>
      <c r="AB23" s="185" t="str">
        <f t="shared" ref="AB23:AD23" si="78">IF($D23,"🔒",)</f>
        <v/>
      </c>
      <c r="AC23" s="185" t="str">
        <f t="shared" si="78"/>
        <v/>
      </c>
      <c r="AD23" s="186" t="str">
        <f t="shared" si="78"/>
        <v/>
      </c>
      <c r="AE23" s="180">
        <v>30.0</v>
      </c>
      <c r="AF23" s="187">
        <v>0.0</v>
      </c>
      <c r="AG23" s="187">
        <v>0.0</v>
      </c>
      <c r="AH23" s="187">
        <v>0.0</v>
      </c>
      <c r="AI23" s="181">
        <f t="shared" si="10"/>
        <v>0</v>
      </c>
      <c r="AJ23" s="181">
        <f t="shared" si="11"/>
        <v>0</v>
      </c>
      <c r="AK23" s="185" t="str">
        <f t="shared" si="12"/>
        <v/>
      </c>
      <c r="AL23" s="188" t="str">
        <f t="array" ref="AL23">H23*(1-I23)*VLOOKUP(AT23,{'▶️ Инструкция'!C:C,'▶️ Инструкция'!AI:AI},2,false)</f>
        <v>#N/A</v>
      </c>
      <c r="AM23" s="186" t="str">
        <f t="shared" si="13"/>
        <v/>
      </c>
      <c r="AN23" s="189">
        <v>0.0</v>
      </c>
      <c r="AO23" s="189">
        <v>0.0</v>
      </c>
      <c r="AP23" s="189">
        <v>0.0</v>
      </c>
      <c r="AQ23" s="191">
        <v>1.0</v>
      </c>
      <c r="AR23" s="191">
        <v>0.0</v>
      </c>
      <c r="AS23" s="212">
        <v>0.0</v>
      </c>
      <c r="AT23" s="193" t="s">
        <v>206</v>
      </c>
      <c r="AU23" s="193" t="s">
        <v>121</v>
      </c>
      <c r="AV23" s="193" t="s">
        <v>199</v>
      </c>
      <c r="AW23" s="194">
        <f t="shared" si="14"/>
        <v>0</v>
      </c>
      <c r="AX23" s="195">
        <f t="shared" si="15"/>
        <v>0</v>
      </c>
      <c r="AY23" s="196" t="str">
        <f t="shared" si="16"/>
        <v>#N/A</v>
      </c>
      <c r="AZ23" s="213">
        <v>250.0</v>
      </c>
      <c r="BA23" s="196">
        <f t="shared" si="17"/>
        <v>0.25</v>
      </c>
      <c r="BB23" s="213">
        <f t="shared" si="18"/>
        <v>1000</v>
      </c>
      <c r="BC23" s="199" t="str">
        <f t="shared" si="19"/>
        <v>#N/A</v>
      </c>
      <c r="BD23" s="200" t="str">
        <f t="shared" si="20"/>
        <v>#N/A</v>
      </c>
      <c r="BE23" s="200">
        <f t="shared" si="21"/>
        <v>0</v>
      </c>
      <c r="BF23" s="201" t="str">
        <f t="shared" si="22"/>
        <v/>
      </c>
      <c r="BG23" s="201" t="str">
        <f t="shared" si="23"/>
        <v/>
      </c>
      <c r="BH23" s="202" t="str">
        <f t="shared" si="24"/>
        <v/>
      </c>
      <c r="BI23" s="203"/>
      <c r="BJ23" s="204">
        <f>IFERROR(__xludf.DUMMYFUNCTION("IF(AU23=data!A$5,
IF(AV23=data!A$8,
IF(T23=data!A$3,
VLOOKUP(S23,filter('🔒 Доп. информация'!D:H,'🔒 Доп. информация'!C:C=T23),4,FALSE)+VLOOKUP(S23,filter('🔒 Доп. информация'!D:H,'🔒 Доп. информация'!C:C=T23),5,FALSE)*AJ23,
IF(AND(MAX(AF23:AH23)&lt;80,SUM(A"&amp;"F23:AH23)&lt;=160,AI23&lt;20,XLOOKUP(M23,'📄 Комиссии'!C:C,'📄 Комиссии'!B:B)&lt;&gt;""Продукты""),
VLOOKUP(S23,filter('🔒 Доп. информация'!D:H,'🔒 Доп. информация'!C:C=data!$A$3),4,FALSE)+VLOOKUP(S23,filter('🔒 Доп. информация'!D:H,'🔒 Доп. информация'!C:C=data!$A$3"&amp;"),5,FALSE)*AJ23,
VLOOKUP(S23,filter('🔒 Доп. информация'!D:H,'🔒 Доп. информация'!C:C=T23),4,FALSE)*ROUNDUP(AF23*AG23*AH23*L23/(120*80*175))/L23)
)
*(AE23/2)
,)
,)*0"),0.0)</f>
        <v>0</v>
      </c>
      <c r="BK23" s="204">
        <f>IFERROR(__xludf.DUMMYFUNCTION("IF(AU23=data!A$5,
IF(AI23&lt;=1,IF(AI23&lt;=0.8,IF(AI23&lt;=0.6,IF(AI23&lt;=0.4,IF(AI23&lt;=0.2,23,26),29),30),32)*VLOOKUP(S23,filter('🔒 Доп. информация'!D:E,'🔒 Доп. информация'!C:C=T23),2,FALSE)/'🔒 Доп. информация'!$K$9,
IF(AV23=data!A$8,U23,1)*VLOOKUP(S23,filter('"&amp;"🔒 Доп. информация'!D:E,'🔒 Доп. информация'!C:C=T23),2,FALSE)+
IF(AV23=data!A$8,U23,1)*VLOOKUP(S23,filter('🔒 Доп. информация'!D:F,'🔒 Доп. информация'!C:C=T23),3,FALSE)*AJ23)
,0)"),69.0)</f>
        <v>69</v>
      </c>
      <c r="BL23" s="185" t="str">
        <f t="shared" ref="BL23:BM23" si="79">IF($D23,"🔒",)</f>
        <v/>
      </c>
      <c r="BM23" s="185" t="str">
        <f t="shared" si="79"/>
        <v/>
      </c>
      <c r="BN23" s="204">
        <f>VLOOKUP(T23,'🔒 Доп. информация'!J:P,7,false)</f>
        <v>50</v>
      </c>
      <c r="BO23" s="204">
        <f>IF(AV23=data!A$9,
(AA23+AO23+AP23+BJ23+BK23+BN23)+H23*AS23,
(BJ23+BK23+BN23)+H23*AS23
)</f>
        <v>119</v>
      </c>
      <c r="BP23" s="204">
        <f t="shared" si="26"/>
        <v>69</v>
      </c>
      <c r="BQ23" s="204">
        <f t="shared" si="27"/>
        <v>320</v>
      </c>
      <c r="BR23" s="204" t="str">
        <f t="shared" si="37"/>
        <v>#N/A</v>
      </c>
      <c r="BS23" s="204" t="str">
        <f t="array" ref="BS23">IF(VLOOKUP(AT23,{'▶️ Инструкция'!C:C,'▶️ Инструкция'!Y:Y},2,FALSE)=data!A$15,
H23*(1-I23),
(H23-BR23))
*VLOOKUP(AT23,{'▶️ Инструкция'!C:C,'▶️ Инструкция'!AD:AD},2,FALSE)/(1+VLOOKUP(AT23,{'▶️ Инструкция'!C:C,'▶️ Инструкция'!AD:AD},2,FALSE))</f>
        <v>#N/A</v>
      </c>
      <c r="BT23" s="204" t="str">
        <f t="array" ref="BT23">
IF(VLOOKUP(AT23,{'▶️ Инструкция'!C:C,'▶️ Инструкция'!Y:Y},2,FALSE)=data!A$15,
H23*(1-I23)-BS23,
(H23-BR23-BS23))
*
VLOOKUP(AT23,{'▶️ Инструкция'!C:C,'▶️ Инструкция'!R:R},2,FALSE)
+BS23</f>
        <v>#N/A</v>
      </c>
      <c r="BU23" s="204" t="str">
        <f>(G23*AR23)+if(AV23=data!A$9,AO23,AN23)+AP23+BR23+BT23</f>
        <v>#N/A</v>
      </c>
      <c r="BV23" s="204" t="str">
        <f>(G23*AR23)+if(AV23=data!A$9,AO23,AN23)+AP23+BT23+G23</f>
        <v>#N/A</v>
      </c>
      <c r="BW23" s="204" t="str">
        <f t="shared" si="28"/>
        <v>#N/A</v>
      </c>
      <c r="BX23" s="204" t="str">
        <f t="shared" si="29"/>
        <v>#N/A</v>
      </c>
    </row>
    <row r="24">
      <c r="A24" s="165" t="str">
        <f>if(D24=true,if(F24=data!A$1,data!A$10,data!A$11),)</f>
        <v/>
      </c>
      <c r="B24" s="166" t="str">
        <f t="shared" si="4"/>
        <v>FBS</v>
      </c>
      <c r="C24" s="167" t="s">
        <v>195</v>
      </c>
      <c r="D24" s="168" t="b">
        <v>0</v>
      </c>
      <c r="E24" s="169" t="s">
        <v>204</v>
      </c>
      <c r="F24" s="170" t="str">
        <f t="array" ref="F24">IF(D24=TRUE,IF(IF(BG$3=VLOOKUP(AT24,{'▶️ Инструкция'!C:C,'▶️ Инструкция'!G:G},2,FALSE),BG24,BH24)&gt;VLOOKUP(AT24,{'▶️ Инструкция'!C:C,'▶️ Инструкция'!N:N},2,FALSE),data!A$1,data!A$2),)</f>
        <v/>
      </c>
      <c r="G24" s="171">
        <v>0.0</v>
      </c>
      <c r="H24" s="172">
        <v>1000.0</v>
      </c>
      <c r="I24" s="173">
        <v>0.0</v>
      </c>
      <c r="J24" s="173">
        <v>0.0</v>
      </c>
      <c r="K24" s="174" t="str">
        <f t="shared" si="5"/>
        <v/>
      </c>
      <c r="L24" s="175">
        <v>0.0</v>
      </c>
      <c r="M24" s="176" t="s">
        <v>197</v>
      </c>
      <c r="N24" s="177">
        <f>IFERROR(__xludf.DUMMYFUNCTION("ArrayFormula(let(category,VLOOKUP($M24, {'📄 Комиссии'!$C:$C , '📄 Комиссии'!$B:$B}, 2, 0),
data,MATCH('🔒 Доп. информация'!$J$15:$J203,TRANSPOSE(SPLIT(INDEX('▶️ Инструкция'!$Q:$Q,MATCH($AT24,'▶️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commission,VLOOKUP($M24,'📄 Комиссии'!$C:$E,IF($AV24=data!A$8,2,3),0),
IF(NOT(ISBLANK($M24)),commission/100+
IFERR"&amp;"OR(VLOOKUP($AT24,{'▶️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24" s="178" t="str">
        <f t="shared" si="6"/>
        <v/>
      </c>
      <c r="Q24" s="178" t="str">
        <f t="shared" si="7"/>
        <v/>
      </c>
      <c r="S24" s="179" t="s">
        <v>192</v>
      </c>
      <c r="T24" s="180" t="s">
        <v>193</v>
      </c>
      <c r="U24" s="181">
        <v>1.0</v>
      </c>
      <c r="V24" s="182" t="str">
        <f t="shared" ref="V24:Y24" si="80">IF($D24,"🔒",)</f>
        <v/>
      </c>
      <c r="W24" s="182" t="str">
        <f t="shared" si="80"/>
        <v/>
      </c>
      <c r="X24" s="182" t="str">
        <f t="shared" si="80"/>
        <v/>
      </c>
      <c r="Y24" s="182" t="str">
        <f t="shared" si="80"/>
        <v/>
      </c>
      <c r="Z24" s="183">
        <v>0.0</v>
      </c>
      <c r="AA24" s="184">
        <f t="shared" si="31"/>
        <v>0</v>
      </c>
      <c r="AB24" s="185" t="str">
        <f t="shared" ref="AB24:AD24" si="81">IF($D24,"🔒",)</f>
        <v/>
      </c>
      <c r="AC24" s="185" t="str">
        <f t="shared" si="81"/>
        <v/>
      </c>
      <c r="AD24" s="186" t="str">
        <f t="shared" si="81"/>
        <v/>
      </c>
      <c r="AE24" s="180">
        <v>30.0</v>
      </c>
      <c r="AF24" s="187">
        <v>0.0</v>
      </c>
      <c r="AG24" s="187">
        <v>0.0</v>
      </c>
      <c r="AH24" s="187">
        <v>0.0</v>
      </c>
      <c r="AI24" s="181">
        <f t="shared" si="10"/>
        <v>0</v>
      </c>
      <c r="AJ24" s="181">
        <f t="shared" si="11"/>
        <v>0</v>
      </c>
      <c r="AK24" s="185" t="str">
        <f t="shared" si="12"/>
        <v/>
      </c>
      <c r="AL24" s="188" t="str">
        <f t="array" ref="AL24">H24*(1-I24)*VLOOKUP(AT24,{'▶️ Инструкция'!C:C,'▶️ Инструкция'!AI:AI},2,false)</f>
        <v>#N/A</v>
      </c>
      <c r="AM24" s="186" t="str">
        <f t="shared" si="13"/>
        <v/>
      </c>
      <c r="AN24" s="189">
        <v>0.0</v>
      </c>
      <c r="AO24" s="189">
        <v>0.0</v>
      </c>
      <c r="AP24" s="189">
        <v>0.0</v>
      </c>
      <c r="AQ24" s="191">
        <v>1.0</v>
      </c>
      <c r="AR24" s="191">
        <v>0.0</v>
      </c>
      <c r="AS24" s="212">
        <v>0.0</v>
      </c>
      <c r="AT24" s="193" t="s">
        <v>206</v>
      </c>
      <c r="AU24" s="193" t="s">
        <v>121</v>
      </c>
      <c r="AV24" s="193" t="s">
        <v>199</v>
      </c>
      <c r="AW24" s="194">
        <f t="shared" si="14"/>
        <v>0</v>
      </c>
      <c r="AX24" s="195">
        <f t="shared" si="15"/>
        <v>0</v>
      </c>
      <c r="AY24" s="196" t="str">
        <f t="shared" si="16"/>
        <v>#N/A</v>
      </c>
      <c r="AZ24" s="213">
        <v>250.0</v>
      </c>
      <c r="BA24" s="196">
        <f t="shared" si="17"/>
        <v>0.25</v>
      </c>
      <c r="BB24" s="213">
        <f t="shared" si="18"/>
        <v>1000</v>
      </c>
      <c r="BC24" s="199" t="str">
        <f t="shared" si="19"/>
        <v>#N/A</v>
      </c>
      <c r="BD24" s="200" t="str">
        <f t="shared" si="20"/>
        <v>#N/A</v>
      </c>
      <c r="BE24" s="200">
        <f t="shared" si="21"/>
        <v>0</v>
      </c>
      <c r="BF24" s="201" t="str">
        <f t="shared" si="22"/>
        <v/>
      </c>
      <c r="BG24" s="201" t="str">
        <f t="shared" si="23"/>
        <v/>
      </c>
      <c r="BH24" s="202" t="str">
        <f t="shared" si="24"/>
        <v/>
      </c>
      <c r="BI24" s="203"/>
      <c r="BJ24" s="204">
        <f>IFERROR(__xludf.DUMMYFUNCTION("IF(AU24=data!A$5,
IF(AV24=data!A$8,
IF(T24=data!A$3,
VLOOKUP(S24,filter('🔒 Доп. информация'!D:H,'🔒 Доп. информация'!C:C=T24),4,FALSE)+VLOOKUP(S24,filter('🔒 Доп. информация'!D:H,'🔒 Доп. информация'!C:C=T24),5,FALSE)*AJ24,
IF(AND(MAX(AF24:AH24)&lt;80,SUM(A"&amp;"F24:AH24)&lt;=160,AI24&lt;20,XLOOKUP(M24,'📄 Комиссии'!C:C,'📄 Комиссии'!B:B)&lt;&gt;""Продукты""),
VLOOKUP(S24,filter('🔒 Доп. информация'!D:H,'🔒 Доп. информация'!C:C=data!$A$3),4,FALSE)+VLOOKUP(S24,filter('🔒 Доп. информация'!D:H,'🔒 Доп. информация'!C:C=data!$A$3"&amp;"),5,FALSE)*AJ24,
VLOOKUP(S24,filter('🔒 Доп. информация'!D:H,'🔒 Доп. информация'!C:C=T24),4,FALSE)*ROUNDUP(AF24*AG24*AH24*L24/(120*80*175))/L24)
)
*(AE24/2)
,)
,)*0"),0.0)</f>
        <v>0</v>
      </c>
      <c r="BK24" s="204">
        <f>IFERROR(__xludf.DUMMYFUNCTION("IF(AU24=data!A$5,
IF(AI24&lt;=1,IF(AI24&lt;=0.8,IF(AI24&lt;=0.6,IF(AI24&lt;=0.4,IF(AI24&lt;=0.2,23,26),29),30),32)*VLOOKUP(S24,filter('🔒 Доп. информация'!D:E,'🔒 Доп. информация'!C:C=T24),2,FALSE)/'🔒 Доп. информация'!$K$9,
IF(AV24=data!A$8,U24,1)*VLOOKUP(S24,filter('"&amp;"🔒 Доп. информация'!D:E,'🔒 Доп. информация'!C:C=T24),2,FALSE)+
IF(AV24=data!A$8,U24,1)*VLOOKUP(S24,filter('🔒 Доп. информация'!D:F,'🔒 Доп. информация'!C:C=T24),3,FALSE)*AJ24)
,0)"),69.0)</f>
        <v>69</v>
      </c>
      <c r="BL24" s="185" t="str">
        <f t="shared" ref="BL24:BM24" si="82">IF($D24,"🔒",)</f>
        <v/>
      </c>
      <c r="BM24" s="185" t="str">
        <f t="shared" si="82"/>
        <v/>
      </c>
      <c r="BN24" s="204">
        <f>VLOOKUP(T24,'🔒 Доп. информация'!J:P,7,false)</f>
        <v>50</v>
      </c>
      <c r="BO24" s="204">
        <f>IF(AV24=data!A$9,
(AA24+AO24+AP24+BJ24+BK24+BN24)+H24*AS24,
(BJ24+BK24+BN24)+H24*AS24
)</f>
        <v>119</v>
      </c>
      <c r="BP24" s="204">
        <f t="shared" si="26"/>
        <v>69</v>
      </c>
      <c r="BQ24" s="204">
        <f t="shared" si="27"/>
        <v>320</v>
      </c>
      <c r="BR24" s="204" t="str">
        <f t="shared" si="37"/>
        <v>#N/A</v>
      </c>
      <c r="BS24" s="204" t="str">
        <f t="array" ref="BS24">IF(VLOOKUP(AT24,{'▶️ Инструкция'!C:C,'▶️ Инструкция'!Y:Y},2,FALSE)=data!A$15,
H24*(1-I24),
(H24-BR24))
*VLOOKUP(AT24,{'▶️ Инструкция'!C:C,'▶️ Инструкция'!AD:AD},2,FALSE)/(1+VLOOKUP(AT24,{'▶️ Инструкция'!C:C,'▶️ Инструкция'!AD:AD},2,FALSE))</f>
        <v>#N/A</v>
      </c>
      <c r="BT24" s="204" t="str">
        <f t="array" ref="BT24">
IF(VLOOKUP(AT24,{'▶️ Инструкция'!C:C,'▶️ Инструкция'!Y:Y},2,FALSE)=data!A$15,
H24*(1-I24)-BS24,
(H24-BR24-BS24))
*
VLOOKUP(AT24,{'▶️ Инструкция'!C:C,'▶️ Инструкция'!R:R},2,FALSE)
+BS24</f>
        <v>#N/A</v>
      </c>
      <c r="BU24" s="204" t="str">
        <f>(G24*AR24)+if(AV24=data!A$9,AO24,AN24)+AP24+BR24+BT24</f>
        <v>#N/A</v>
      </c>
      <c r="BV24" s="204" t="str">
        <f>(G24*AR24)+if(AV24=data!A$9,AO24,AN24)+AP24+BT24+G24</f>
        <v>#N/A</v>
      </c>
      <c r="BW24" s="204" t="str">
        <f t="shared" si="28"/>
        <v>#N/A</v>
      </c>
      <c r="BX24" s="204" t="str">
        <f t="shared" si="29"/>
        <v>#N/A</v>
      </c>
    </row>
    <row r="25">
      <c r="A25" s="165" t="str">
        <f>if(D25=true,if(F25=data!A$1,data!A$10,data!A$11),)</f>
        <v/>
      </c>
      <c r="B25" s="166" t="str">
        <f t="shared" si="4"/>
        <v>FBS</v>
      </c>
      <c r="C25" s="167" t="s">
        <v>195</v>
      </c>
      <c r="D25" s="168" t="b">
        <v>0</v>
      </c>
      <c r="E25" s="169" t="s">
        <v>204</v>
      </c>
      <c r="F25" s="170" t="str">
        <f t="array" ref="F25">IF(D25=TRUE,IF(IF(BG$3=VLOOKUP(AT25,{'▶️ Инструкция'!C:C,'▶️ Инструкция'!G:G},2,FALSE),BG25,BH25)&gt;VLOOKUP(AT25,{'▶️ Инструкция'!C:C,'▶️ Инструкция'!N:N},2,FALSE),data!A$1,data!A$2),)</f>
        <v/>
      </c>
      <c r="G25" s="171">
        <v>0.0</v>
      </c>
      <c r="H25" s="172">
        <v>1000.0</v>
      </c>
      <c r="I25" s="173">
        <v>0.0</v>
      </c>
      <c r="J25" s="173">
        <v>0.0</v>
      </c>
      <c r="K25" s="174" t="str">
        <f t="shared" si="5"/>
        <v/>
      </c>
      <c r="L25" s="175">
        <v>0.0</v>
      </c>
      <c r="M25" s="176" t="s">
        <v>197</v>
      </c>
      <c r="N25" s="177">
        <f>IFERROR(__xludf.DUMMYFUNCTION("ArrayFormula(let(category,VLOOKUP($M25, {'📄 Комиссии'!$C:$C , '📄 Комиссии'!$B:$B}, 2, 0),
data,MATCH('🔒 Доп. информация'!$J$15:$J203,TRANSPOSE(SPLIT(INDEX('▶️ Инструкция'!$Q:$Q,MATCH($AT25,'▶️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commission,VLOOKUP($M25,'📄 Комиссии'!$C:$E,IF($AV25=data!A$8,2,3),0),
IF(NOT(ISBLANK($M25)),commission/100+
IFERR"&amp;"OR(VLOOKUP($AT25,{'▶️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25" s="178" t="str">
        <f t="shared" si="6"/>
        <v/>
      </c>
      <c r="Q25" s="178" t="str">
        <f t="shared" si="7"/>
        <v/>
      </c>
      <c r="S25" s="179" t="s">
        <v>192</v>
      </c>
      <c r="T25" s="180" t="s">
        <v>193</v>
      </c>
      <c r="U25" s="181">
        <v>1.0</v>
      </c>
      <c r="V25" s="182" t="str">
        <f t="shared" ref="V25:Y25" si="83">IF($D25,"🔒",)</f>
        <v/>
      </c>
      <c r="W25" s="182" t="str">
        <f t="shared" si="83"/>
        <v/>
      </c>
      <c r="X25" s="182" t="str">
        <f t="shared" si="83"/>
        <v/>
      </c>
      <c r="Y25" s="182" t="str">
        <f t="shared" si="83"/>
        <v/>
      </c>
      <c r="Z25" s="183">
        <v>0.0</v>
      </c>
      <c r="AA25" s="184">
        <f t="shared" si="31"/>
        <v>0</v>
      </c>
      <c r="AB25" s="185" t="str">
        <f t="shared" ref="AB25:AD25" si="84">IF($D25,"🔒",)</f>
        <v/>
      </c>
      <c r="AC25" s="185" t="str">
        <f t="shared" si="84"/>
        <v/>
      </c>
      <c r="AD25" s="186" t="str">
        <f t="shared" si="84"/>
        <v/>
      </c>
      <c r="AE25" s="180">
        <v>30.0</v>
      </c>
      <c r="AF25" s="187">
        <v>0.0</v>
      </c>
      <c r="AG25" s="187">
        <v>0.0</v>
      </c>
      <c r="AH25" s="187">
        <v>0.0</v>
      </c>
      <c r="AI25" s="181">
        <f t="shared" si="10"/>
        <v>0</v>
      </c>
      <c r="AJ25" s="181">
        <f t="shared" si="11"/>
        <v>0</v>
      </c>
      <c r="AK25" s="185" t="str">
        <f t="shared" si="12"/>
        <v/>
      </c>
      <c r="AL25" s="188" t="str">
        <f t="array" ref="AL25">H25*(1-I25)*VLOOKUP(AT25,{'▶️ Инструкция'!C:C,'▶️ Инструкция'!AI:AI},2,false)</f>
        <v>#N/A</v>
      </c>
      <c r="AM25" s="186" t="str">
        <f t="shared" si="13"/>
        <v/>
      </c>
      <c r="AN25" s="189">
        <v>0.0</v>
      </c>
      <c r="AO25" s="189">
        <v>0.0</v>
      </c>
      <c r="AP25" s="189">
        <v>0.0</v>
      </c>
      <c r="AQ25" s="191">
        <v>1.0</v>
      </c>
      <c r="AR25" s="191">
        <v>0.0</v>
      </c>
      <c r="AS25" s="212">
        <v>0.0</v>
      </c>
      <c r="AT25" s="193" t="s">
        <v>206</v>
      </c>
      <c r="AU25" s="193" t="s">
        <v>121</v>
      </c>
      <c r="AV25" s="193" t="s">
        <v>199</v>
      </c>
      <c r="AW25" s="194">
        <f t="shared" si="14"/>
        <v>0</v>
      </c>
      <c r="AX25" s="195">
        <f t="shared" si="15"/>
        <v>0</v>
      </c>
      <c r="AY25" s="196" t="str">
        <f t="shared" si="16"/>
        <v>#N/A</v>
      </c>
      <c r="AZ25" s="213">
        <v>250.0</v>
      </c>
      <c r="BA25" s="196">
        <f t="shared" si="17"/>
        <v>0.25</v>
      </c>
      <c r="BB25" s="213">
        <f t="shared" si="18"/>
        <v>1000</v>
      </c>
      <c r="BC25" s="199" t="str">
        <f t="shared" si="19"/>
        <v>#N/A</v>
      </c>
      <c r="BD25" s="200" t="str">
        <f t="shared" si="20"/>
        <v>#N/A</v>
      </c>
      <c r="BE25" s="200">
        <f t="shared" si="21"/>
        <v>0</v>
      </c>
      <c r="BF25" s="201" t="str">
        <f t="shared" si="22"/>
        <v/>
      </c>
      <c r="BG25" s="201" t="str">
        <f t="shared" si="23"/>
        <v/>
      </c>
      <c r="BH25" s="202" t="str">
        <f t="shared" si="24"/>
        <v/>
      </c>
      <c r="BI25" s="203"/>
      <c r="BJ25" s="204">
        <f>IFERROR(__xludf.DUMMYFUNCTION("IF(AU25=data!A$5,
IF(AV25=data!A$8,
IF(T25=data!A$3,
VLOOKUP(S25,filter('🔒 Доп. информация'!D:H,'🔒 Доп. информация'!C:C=T25),4,FALSE)+VLOOKUP(S25,filter('🔒 Доп. информация'!D:H,'🔒 Доп. информация'!C:C=T25),5,FALSE)*AJ25,
IF(AND(MAX(AF25:AH25)&lt;80,SUM(A"&amp;"F25:AH25)&lt;=160,AI25&lt;20,XLOOKUP(M25,'📄 Комиссии'!C:C,'📄 Комиссии'!B:B)&lt;&gt;""Продукты""),
VLOOKUP(S25,filter('🔒 Доп. информация'!D:H,'🔒 Доп. информация'!C:C=data!$A$3),4,FALSE)+VLOOKUP(S25,filter('🔒 Доп. информация'!D:H,'🔒 Доп. информация'!C:C=data!$A$3"&amp;"),5,FALSE)*AJ25,
VLOOKUP(S25,filter('🔒 Доп. информация'!D:H,'🔒 Доп. информация'!C:C=T25),4,FALSE)*ROUNDUP(AF25*AG25*AH25*L25/(120*80*175))/L25)
)
*(AE25/2)
,)
,)*0"),0.0)</f>
        <v>0</v>
      </c>
      <c r="BK25" s="204">
        <f>IFERROR(__xludf.DUMMYFUNCTION("IF(AU25=data!A$5,
IF(AI25&lt;=1,IF(AI25&lt;=0.8,IF(AI25&lt;=0.6,IF(AI25&lt;=0.4,IF(AI25&lt;=0.2,23,26),29),30),32)*VLOOKUP(S25,filter('🔒 Доп. информация'!D:E,'🔒 Доп. информация'!C:C=T25),2,FALSE)/'🔒 Доп. информация'!$K$9,
IF(AV25=data!A$8,U25,1)*VLOOKUP(S25,filter('"&amp;"🔒 Доп. информация'!D:E,'🔒 Доп. информация'!C:C=T25),2,FALSE)+
IF(AV25=data!A$8,U25,1)*VLOOKUP(S25,filter('🔒 Доп. информация'!D:F,'🔒 Доп. информация'!C:C=T25),3,FALSE)*AJ25)
,0)"),69.0)</f>
        <v>69</v>
      </c>
      <c r="BL25" s="185" t="str">
        <f t="shared" ref="BL25:BM25" si="85">IF($D25,"🔒",)</f>
        <v/>
      </c>
      <c r="BM25" s="185" t="str">
        <f t="shared" si="85"/>
        <v/>
      </c>
      <c r="BN25" s="204">
        <f>VLOOKUP(T25,'🔒 Доп. информация'!J:P,7,false)</f>
        <v>50</v>
      </c>
      <c r="BO25" s="204">
        <f>IF(AV25=data!A$9,
(AA25+AO25+AP25+BJ25+BK25+BN25)+H25*AS25,
(BJ25+BK25+BN25)+H25*AS25
)</f>
        <v>119</v>
      </c>
      <c r="BP25" s="204">
        <f t="shared" si="26"/>
        <v>69</v>
      </c>
      <c r="BQ25" s="204">
        <f t="shared" si="27"/>
        <v>320</v>
      </c>
      <c r="BR25" s="204" t="str">
        <f t="shared" si="37"/>
        <v>#N/A</v>
      </c>
      <c r="BS25" s="204" t="str">
        <f t="array" ref="BS25">IF(VLOOKUP(AT25,{'▶️ Инструкция'!C:C,'▶️ Инструкция'!Y:Y},2,FALSE)=data!A$15,
H25*(1-I25),
(H25-BR25))
*VLOOKUP(AT25,{'▶️ Инструкция'!C:C,'▶️ Инструкция'!AD:AD},2,FALSE)/(1+VLOOKUP(AT25,{'▶️ Инструкция'!C:C,'▶️ Инструкция'!AD:AD},2,FALSE))</f>
        <v>#N/A</v>
      </c>
      <c r="BT25" s="204" t="str">
        <f t="array" ref="BT25">
IF(VLOOKUP(AT25,{'▶️ Инструкция'!C:C,'▶️ Инструкция'!Y:Y},2,FALSE)=data!A$15,
H25*(1-I25)-BS25,
(H25-BR25-BS25))
*
VLOOKUP(AT25,{'▶️ Инструкция'!C:C,'▶️ Инструкция'!R:R},2,FALSE)
+BS25</f>
        <v>#N/A</v>
      </c>
      <c r="BU25" s="204" t="str">
        <f>(G25*AR25)+if(AV25=data!A$9,AO25,AN25)+AP25+BR25+BT25</f>
        <v>#N/A</v>
      </c>
      <c r="BV25" s="204" t="str">
        <f>(G25*AR25)+if(AV25=data!A$9,AO25,AN25)+AP25+BT25+G25</f>
        <v>#N/A</v>
      </c>
      <c r="BW25" s="204" t="str">
        <f t="shared" si="28"/>
        <v>#N/A</v>
      </c>
      <c r="BX25" s="204" t="str">
        <f t="shared" si="29"/>
        <v>#N/A</v>
      </c>
    </row>
    <row r="26">
      <c r="A26" s="165" t="str">
        <f>if(D26=true,if(F26=data!A$1,data!A$10,data!A$11),)</f>
        <v/>
      </c>
      <c r="B26" s="166" t="str">
        <f t="shared" si="4"/>
        <v>FBS</v>
      </c>
      <c r="C26" s="167" t="s">
        <v>195</v>
      </c>
      <c r="D26" s="168" t="b">
        <v>0</v>
      </c>
      <c r="E26" s="169" t="s">
        <v>204</v>
      </c>
      <c r="F26" s="170" t="str">
        <f t="array" ref="F26">IF(D26=TRUE,IF(IF(BG$3=VLOOKUP(AT26,{'▶️ Инструкция'!C:C,'▶️ Инструкция'!G:G},2,FALSE),BG26,BH26)&gt;VLOOKUP(AT26,{'▶️ Инструкция'!C:C,'▶️ Инструкция'!N:N},2,FALSE),data!A$1,data!A$2),)</f>
        <v/>
      </c>
      <c r="G26" s="171">
        <v>0.0</v>
      </c>
      <c r="H26" s="172">
        <v>1000.0</v>
      </c>
      <c r="I26" s="173">
        <v>0.0</v>
      </c>
      <c r="J26" s="173">
        <v>0.0</v>
      </c>
      <c r="K26" s="174" t="str">
        <f t="shared" si="5"/>
        <v/>
      </c>
      <c r="L26" s="175">
        <v>0.0</v>
      </c>
      <c r="M26" s="176" t="s">
        <v>197</v>
      </c>
      <c r="N26" s="177">
        <f>IFERROR(__xludf.DUMMYFUNCTION("ArrayFormula(let(category,VLOOKUP($M26, {'📄 Комиссии'!$C:$C , '📄 Комиссии'!$B:$B}, 2, 0),
data,MATCH('🔒 Доп. информация'!$J$15:$J203,TRANSPOSE(SPLIT(INDEX('▶️ Инструкция'!$Q:$Q,MATCH($AT26,'▶️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commission,VLOOKUP($M26,'📄 Комиссии'!$C:$E,IF($AV26=data!A$8,2,3),0),
IF(NOT(ISBLANK($M26)),commission/100+
IFERR"&amp;"OR(VLOOKUP($AT26,{'▶️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26" s="178" t="str">
        <f t="shared" si="6"/>
        <v/>
      </c>
      <c r="Q26" s="178" t="str">
        <f t="shared" si="7"/>
        <v/>
      </c>
      <c r="S26" s="179" t="s">
        <v>192</v>
      </c>
      <c r="T26" s="180" t="s">
        <v>193</v>
      </c>
      <c r="U26" s="181">
        <v>1.0</v>
      </c>
      <c r="V26" s="182" t="str">
        <f t="shared" ref="V26:Y26" si="86">IF($D26,"🔒",)</f>
        <v/>
      </c>
      <c r="W26" s="182" t="str">
        <f t="shared" si="86"/>
        <v/>
      </c>
      <c r="X26" s="182" t="str">
        <f t="shared" si="86"/>
        <v/>
      </c>
      <c r="Y26" s="182" t="str">
        <f t="shared" si="86"/>
        <v/>
      </c>
      <c r="Z26" s="183">
        <v>0.0</v>
      </c>
      <c r="AA26" s="184">
        <f t="shared" si="31"/>
        <v>0</v>
      </c>
      <c r="AB26" s="185" t="str">
        <f t="shared" ref="AB26:AD26" si="87">IF($D26,"🔒",)</f>
        <v/>
      </c>
      <c r="AC26" s="185" t="str">
        <f t="shared" si="87"/>
        <v/>
      </c>
      <c r="AD26" s="186" t="str">
        <f t="shared" si="87"/>
        <v/>
      </c>
      <c r="AE26" s="180">
        <v>30.0</v>
      </c>
      <c r="AF26" s="187">
        <v>0.0</v>
      </c>
      <c r="AG26" s="187">
        <v>0.0</v>
      </c>
      <c r="AH26" s="187">
        <v>0.0</v>
      </c>
      <c r="AI26" s="181">
        <f t="shared" si="10"/>
        <v>0</v>
      </c>
      <c r="AJ26" s="181">
        <f t="shared" si="11"/>
        <v>0</v>
      </c>
      <c r="AK26" s="185" t="str">
        <f t="shared" si="12"/>
        <v/>
      </c>
      <c r="AL26" s="188" t="str">
        <f t="array" ref="AL26">H26*(1-I26)*VLOOKUP(AT26,{'▶️ Инструкция'!C:C,'▶️ Инструкция'!AI:AI},2,false)</f>
        <v>#N/A</v>
      </c>
      <c r="AM26" s="186" t="str">
        <f t="shared" si="13"/>
        <v/>
      </c>
      <c r="AN26" s="189">
        <v>0.0</v>
      </c>
      <c r="AO26" s="189">
        <v>0.0</v>
      </c>
      <c r="AP26" s="189">
        <v>0.0</v>
      </c>
      <c r="AQ26" s="191">
        <v>1.0</v>
      </c>
      <c r="AR26" s="191">
        <v>0.0</v>
      </c>
      <c r="AS26" s="212">
        <v>0.0</v>
      </c>
      <c r="AT26" s="193" t="s">
        <v>206</v>
      </c>
      <c r="AU26" s="193" t="s">
        <v>121</v>
      </c>
      <c r="AV26" s="193" t="s">
        <v>199</v>
      </c>
      <c r="AW26" s="194">
        <f t="shared" si="14"/>
        <v>0</v>
      </c>
      <c r="AX26" s="195">
        <f t="shared" si="15"/>
        <v>0</v>
      </c>
      <c r="AY26" s="196" t="str">
        <f t="shared" si="16"/>
        <v>#N/A</v>
      </c>
      <c r="AZ26" s="213">
        <v>250.0</v>
      </c>
      <c r="BA26" s="196">
        <f t="shared" si="17"/>
        <v>0.25</v>
      </c>
      <c r="BB26" s="213">
        <f t="shared" si="18"/>
        <v>1000</v>
      </c>
      <c r="BC26" s="199" t="str">
        <f t="shared" si="19"/>
        <v>#N/A</v>
      </c>
      <c r="BD26" s="200" t="str">
        <f t="shared" si="20"/>
        <v>#N/A</v>
      </c>
      <c r="BE26" s="200">
        <f t="shared" si="21"/>
        <v>0</v>
      </c>
      <c r="BF26" s="201" t="str">
        <f t="shared" si="22"/>
        <v/>
      </c>
      <c r="BG26" s="201" t="str">
        <f t="shared" si="23"/>
        <v/>
      </c>
      <c r="BH26" s="202" t="str">
        <f t="shared" si="24"/>
        <v/>
      </c>
      <c r="BI26" s="203"/>
      <c r="BJ26" s="204">
        <f>IFERROR(__xludf.DUMMYFUNCTION("IF(AU26=data!A$5,
IF(AV26=data!A$8,
IF(T26=data!A$3,
VLOOKUP(S26,filter('🔒 Доп. информация'!D:H,'🔒 Доп. информация'!C:C=T26),4,FALSE)+VLOOKUP(S26,filter('🔒 Доп. информация'!D:H,'🔒 Доп. информация'!C:C=T26),5,FALSE)*AJ26,
IF(AND(MAX(AF26:AH26)&lt;80,SUM(A"&amp;"F26:AH26)&lt;=160,AI26&lt;20,XLOOKUP(M26,'📄 Комиссии'!C:C,'📄 Комиссии'!B:B)&lt;&gt;""Продукты""),
VLOOKUP(S26,filter('🔒 Доп. информация'!D:H,'🔒 Доп. информация'!C:C=data!$A$3),4,FALSE)+VLOOKUP(S26,filter('🔒 Доп. информация'!D:H,'🔒 Доп. информация'!C:C=data!$A$3"&amp;"),5,FALSE)*AJ26,
VLOOKUP(S26,filter('🔒 Доп. информация'!D:H,'🔒 Доп. информация'!C:C=T26),4,FALSE)*ROUNDUP(AF26*AG26*AH26*L26/(120*80*175))/L26)
)
*(AE26/2)
,)
,)*0"),0.0)</f>
        <v>0</v>
      </c>
      <c r="BK26" s="204">
        <f>IFERROR(__xludf.DUMMYFUNCTION("IF(AU26=data!A$5,
IF(AI26&lt;=1,IF(AI26&lt;=0.8,IF(AI26&lt;=0.6,IF(AI26&lt;=0.4,IF(AI26&lt;=0.2,23,26),29),30),32)*VLOOKUP(S26,filter('🔒 Доп. информация'!D:E,'🔒 Доп. информация'!C:C=T26),2,FALSE)/'🔒 Доп. информация'!$K$9,
IF(AV26=data!A$8,U26,1)*VLOOKUP(S26,filter('"&amp;"🔒 Доп. информация'!D:E,'🔒 Доп. информация'!C:C=T26),2,FALSE)+
IF(AV26=data!A$8,U26,1)*VLOOKUP(S26,filter('🔒 Доп. информация'!D:F,'🔒 Доп. информация'!C:C=T26),3,FALSE)*AJ26)
,0)"),69.0)</f>
        <v>69</v>
      </c>
      <c r="BL26" s="185" t="str">
        <f t="shared" ref="BL26:BM26" si="88">IF($D26,"🔒",)</f>
        <v/>
      </c>
      <c r="BM26" s="185" t="str">
        <f t="shared" si="88"/>
        <v/>
      </c>
      <c r="BN26" s="204">
        <f>VLOOKUP(T26,'🔒 Доп. информация'!J:P,7,false)</f>
        <v>50</v>
      </c>
      <c r="BO26" s="204">
        <f>IF(AV26=data!A$9,
(AA26+AO26+AP26+BJ26+BK26+BN26)+H26*AS26,
(BJ26+BK26+BN26)+H26*AS26
)</f>
        <v>119</v>
      </c>
      <c r="BP26" s="204">
        <f t="shared" si="26"/>
        <v>69</v>
      </c>
      <c r="BQ26" s="204">
        <f t="shared" si="27"/>
        <v>320</v>
      </c>
      <c r="BR26" s="204" t="str">
        <f t="shared" si="37"/>
        <v>#N/A</v>
      </c>
      <c r="BS26" s="204" t="str">
        <f t="array" ref="BS26">IF(VLOOKUP(AT26,{'▶️ Инструкция'!C:C,'▶️ Инструкция'!Y:Y},2,FALSE)=data!A$15,
H26*(1-I26),
(H26-BR26))
*VLOOKUP(AT26,{'▶️ Инструкция'!C:C,'▶️ Инструкция'!AD:AD},2,FALSE)/(1+VLOOKUP(AT26,{'▶️ Инструкция'!C:C,'▶️ Инструкция'!AD:AD},2,FALSE))</f>
        <v>#N/A</v>
      </c>
      <c r="BT26" s="204" t="str">
        <f t="array" ref="BT26">
IF(VLOOKUP(AT26,{'▶️ Инструкция'!C:C,'▶️ Инструкция'!Y:Y},2,FALSE)=data!A$15,
H26*(1-I26)-BS26,
(H26-BR26-BS26))
*
VLOOKUP(AT26,{'▶️ Инструкция'!C:C,'▶️ Инструкция'!R:R},2,FALSE)
+BS26</f>
        <v>#N/A</v>
      </c>
      <c r="BU26" s="204" t="str">
        <f>(G26*AR26)+if(AV26=data!A$9,AO26,AN26)+AP26+BR26+BT26</f>
        <v>#N/A</v>
      </c>
      <c r="BV26" s="204" t="str">
        <f>(G26*AR26)+if(AV26=data!A$9,AO26,AN26)+AP26+BT26+G26</f>
        <v>#N/A</v>
      </c>
      <c r="BW26" s="204" t="str">
        <f t="shared" si="28"/>
        <v>#N/A</v>
      </c>
      <c r="BX26" s="204" t="str">
        <f t="shared" si="29"/>
        <v>#N/A</v>
      </c>
    </row>
    <row r="27">
      <c r="A27" s="165" t="str">
        <f>if(D27=true,if(F27=data!A$1,data!A$10,data!A$11),)</f>
        <v/>
      </c>
      <c r="B27" s="166" t="str">
        <f t="shared" si="4"/>
        <v>FBS</v>
      </c>
      <c r="C27" s="167" t="s">
        <v>195</v>
      </c>
      <c r="D27" s="168" t="b">
        <v>0</v>
      </c>
      <c r="E27" s="169" t="s">
        <v>204</v>
      </c>
      <c r="F27" s="170" t="str">
        <f t="array" ref="F27">IF(D27=TRUE,IF(IF(BG$3=VLOOKUP(AT27,{'▶️ Инструкция'!C:C,'▶️ Инструкция'!G:G},2,FALSE),BG27,BH27)&gt;VLOOKUP(AT27,{'▶️ Инструкция'!C:C,'▶️ Инструкция'!N:N},2,FALSE),data!A$1,data!A$2),)</f>
        <v/>
      </c>
      <c r="G27" s="171">
        <v>0.0</v>
      </c>
      <c r="H27" s="172">
        <v>1000.0</v>
      </c>
      <c r="I27" s="173">
        <v>0.0</v>
      </c>
      <c r="J27" s="173">
        <v>0.0</v>
      </c>
      <c r="K27" s="174" t="str">
        <f t="shared" si="5"/>
        <v/>
      </c>
      <c r="L27" s="175">
        <v>0.0</v>
      </c>
      <c r="M27" s="176" t="s">
        <v>197</v>
      </c>
      <c r="N27" s="177">
        <f>IFERROR(__xludf.DUMMYFUNCTION("ArrayFormula(let(category,VLOOKUP($M27, {'📄 Комиссии'!$C:$C , '📄 Комиссии'!$B:$B}, 2, 0),
data,MATCH('🔒 Доп. информация'!$J$15:$J203,TRANSPOSE(SPLIT(INDEX('▶️ Инструкция'!$Q:$Q,MATCH($AT27,'▶️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commission,VLOOKUP($M27,'📄 Комиссии'!$C:$E,IF($AV27=data!A$8,2,3),0),
IF(NOT(ISBLANK($M27)),commission/100+
IFERR"&amp;"OR(VLOOKUP($AT27,{'▶️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27" s="178" t="str">
        <f t="shared" si="6"/>
        <v/>
      </c>
      <c r="Q27" s="178" t="str">
        <f t="shared" si="7"/>
        <v/>
      </c>
      <c r="S27" s="179" t="s">
        <v>192</v>
      </c>
      <c r="T27" s="180" t="s">
        <v>193</v>
      </c>
      <c r="U27" s="181">
        <v>1.0</v>
      </c>
      <c r="V27" s="182" t="str">
        <f t="shared" ref="V27:Y27" si="89">IF($D27,"🔒",)</f>
        <v/>
      </c>
      <c r="W27" s="182" t="str">
        <f t="shared" si="89"/>
        <v/>
      </c>
      <c r="X27" s="182" t="str">
        <f t="shared" si="89"/>
        <v/>
      </c>
      <c r="Y27" s="182" t="str">
        <f t="shared" si="89"/>
        <v/>
      </c>
      <c r="Z27" s="183">
        <v>0.0</v>
      </c>
      <c r="AA27" s="184">
        <f t="shared" si="31"/>
        <v>0</v>
      </c>
      <c r="AB27" s="185" t="str">
        <f t="shared" ref="AB27:AD27" si="90">IF($D27,"🔒",)</f>
        <v/>
      </c>
      <c r="AC27" s="185" t="str">
        <f t="shared" si="90"/>
        <v/>
      </c>
      <c r="AD27" s="186" t="str">
        <f t="shared" si="90"/>
        <v/>
      </c>
      <c r="AE27" s="180">
        <v>30.0</v>
      </c>
      <c r="AF27" s="187">
        <v>0.0</v>
      </c>
      <c r="AG27" s="187">
        <v>0.0</v>
      </c>
      <c r="AH27" s="187">
        <v>0.0</v>
      </c>
      <c r="AI27" s="181">
        <f t="shared" si="10"/>
        <v>0</v>
      </c>
      <c r="AJ27" s="181">
        <f t="shared" si="11"/>
        <v>0</v>
      </c>
      <c r="AK27" s="185" t="str">
        <f t="shared" si="12"/>
        <v/>
      </c>
      <c r="AL27" s="188" t="str">
        <f t="array" ref="AL27">H27*(1-I27)*VLOOKUP(AT27,{'▶️ Инструкция'!C:C,'▶️ Инструкция'!AI:AI},2,false)</f>
        <v>#N/A</v>
      </c>
      <c r="AM27" s="186" t="str">
        <f t="shared" si="13"/>
        <v/>
      </c>
      <c r="AN27" s="189">
        <v>0.0</v>
      </c>
      <c r="AO27" s="189">
        <v>0.0</v>
      </c>
      <c r="AP27" s="189">
        <v>0.0</v>
      </c>
      <c r="AQ27" s="191">
        <v>1.0</v>
      </c>
      <c r="AR27" s="191">
        <v>0.0</v>
      </c>
      <c r="AS27" s="212">
        <v>0.0</v>
      </c>
      <c r="AT27" s="193" t="s">
        <v>206</v>
      </c>
      <c r="AU27" s="193" t="s">
        <v>121</v>
      </c>
      <c r="AV27" s="193" t="s">
        <v>199</v>
      </c>
      <c r="AW27" s="194">
        <f t="shared" si="14"/>
        <v>0</v>
      </c>
      <c r="AX27" s="195">
        <f t="shared" si="15"/>
        <v>0</v>
      </c>
      <c r="AY27" s="196" t="str">
        <f t="shared" si="16"/>
        <v>#N/A</v>
      </c>
      <c r="AZ27" s="213">
        <v>250.0</v>
      </c>
      <c r="BA27" s="196">
        <f t="shared" si="17"/>
        <v>0.25</v>
      </c>
      <c r="BB27" s="213">
        <f t="shared" si="18"/>
        <v>1000</v>
      </c>
      <c r="BC27" s="199" t="str">
        <f t="shared" si="19"/>
        <v>#N/A</v>
      </c>
      <c r="BD27" s="200" t="str">
        <f t="shared" si="20"/>
        <v>#N/A</v>
      </c>
      <c r="BE27" s="200">
        <f t="shared" si="21"/>
        <v>0</v>
      </c>
      <c r="BF27" s="201" t="str">
        <f t="shared" si="22"/>
        <v/>
      </c>
      <c r="BG27" s="201" t="str">
        <f t="shared" si="23"/>
        <v/>
      </c>
      <c r="BH27" s="202" t="str">
        <f t="shared" si="24"/>
        <v/>
      </c>
      <c r="BI27" s="203"/>
      <c r="BJ27" s="204">
        <f>IFERROR(__xludf.DUMMYFUNCTION("IF(AU27=data!A$5,
IF(AV27=data!A$8,
IF(T27=data!A$3,
VLOOKUP(S27,filter('🔒 Доп. информация'!D:H,'🔒 Доп. информация'!C:C=T27),4,FALSE)+VLOOKUP(S27,filter('🔒 Доп. информация'!D:H,'🔒 Доп. информация'!C:C=T27),5,FALSE)*AJ27,
IF(AND(MAX(AF27:AH27)&lt;80,SUM(A"&amp;"F27:AH27)&lt;=160,AI27&lt;20,XLOOKUP(M27,'📄 Комиссии'!C:C,'📄 Комиссии'!B:B)&lt;&gt;""Продукты""),
VLOOKUP(S27,filter('🔒 Доп. информация'!D:H,'🔒 Доп. информация'!C:C=data!$A$3),4,FALSE)+VLOOKUP(S27,filter('🔒 Доп. информация'!D:H,'🔒 Доп. информация'!C:C=data!$A$3"&amp;"),5,FALSE)*AJ27,
VLOOKUP(S27,filter('🔒 Доп. информация'!D:H,'🔒 Доп. информация'!C:C=T27),4,FALSE)*ROUNDUP(AF27*AG27*AH27*L27/(120*80*175))/L27)
)
*(AE27/2)
,)
,)*0"),0.0)</f>
        <v>0</v>
      </c>
      <c r="BK27" s="204">
        <f>IFERROR(__xludf.DUMMYFUNCTION("IF(AU27=data!A$5,
IF(AI27&lt;=1,IF(AI27&lt;=0.8,IF(AI27&lt;=0.6,IF(AI27&lt;=0.4,IF(AI27&lt;=0.2,23,26),29),30),32)*VLOOKUP(S27,filter('🔒 Доп. информация'!D:E,'🔒 Доп. информация'!C:C=T27),2,FALSE)/'🔒 Доп. информация'!$K$9,
IF(AV27=data!A$8,U27,1)*VLOOKUP(S27,filter('"&amp;"🔒 Доп. информация'!D:E,'🔒 Доп. информация'!C:C=T27),2,FALSE)+
IF(AV27=data!A$8,U27,1)*VLOOKUP(S27,filter('🔒 Доп. информация'!D:F,'🔒 Доп. информация'!C:C=T27),3,FALSE)*AJ27)
,0)"),69.0)</f>
        <v>69</v>
      </c>
      <c r="BL27" s="185" t="str">
        <f t="shared" ref="BL27:BM27" si="91">IF($D27,"🔒",)</f>
        <v/>
      </c>
      <c r="BM27" s="185" t="str">
        <f t="shared" si="91"/>
        <v/>
      </c>
      <c r="BN27" s="204">
        <f>VLOOKUP(T27,'🔒 Доп. информация'!J:P,7,false)</f>
        <v>50</v>
      </c>
      <c r="BO27" s="204">
        <f>IF(AV27=data!A$9,
(AA27+AO27+AP27+BJ27+BK27+BN27)+H27*AS27,
(BJ27+BK27+BN27)+H27*AS27
)</f>
        <v>119</v>
      </c>
      <c r="BP27" s="204">
        <f t="shared" si="26"/>
        <v>69</v>
      </c>
      <c r="BQ27" s="204">
        <f t="shared" si="27"/>
        <v>320</v>
      </c>
      <c r="BR27" s="204" t="str">
        <f t="shared" si="37"/>
        <v>#N/A</v>
      </c>
      <c r="BS27" s="204" t="str">
        <f t="array" ref="BS27">IF(VLOOKUP(AT27,{'▶️ Инструкция'!C:C,'▶️ Инструкция'!Y:Y},2,FALSE)=data!A$15,
H27*(1-I27),
(H27-BR27))
*VLOOKUP(AT27,{'▶️ Инструкция'!C:C,'▶️ Инструкция'!AD:AD},2,FALSE)/(1+VLOOKUP(AT27,{'▶️ Инструкция'!C:C,'▶️ Инструкция'!AD:AD},2,FALSE))</f>
        <v>#N/A</v>
      </c>
      <c r="BT27" s="204" t="str">
        <f t="array" ref="BT27">
IF(VLOOKUP(AT27,{'▶️ Инструкция'!C:C,'▶️ Инструкция'!Y:Y},2,FALSE)=data!A$15,
H27*(1-I27)-BS27,
(H27-BR27-BS27))
*
VLOOKUP(AT27,{'▶️ Инструкция'!C:C,'▶️ Инструкция'!R:R},2,FALSE)
+BS27</f>
        <v>#N/A</v>
      </c>
      <c r="BU27" s="204" t="str">
        <f>(G27*AR27)+if(AV27=data!A$9,AO27,AN27)+AP27+BR27+BT27</f>
        <v>#N/A</v>
      </c>
      <c r="BV27" s="204" t="str">
        <f>(G27*AR27)+if(AV27=data!A$9,AO27,AN27)+AP27+BT27+G27</f>
        <v>#N/A</v>
      </c>
      <c r="BW27" s="204" t="str">
        <f t="shared" si="28"/>
        <v>#N/A</v>
      </c>
      <c r="BX27" s="204" t="str">
        <f t="shared" si="29"/>
        <v>#N/A</v>
      </c>
    </row>
    <row r="28">
      <c r="A28" s="165" t="str">
        <f>if(D28=true,if(F28=data!A$1,data!A$10,data!A$11),)</f>
        <v/>
      </c>
      <c r="B28" s="166" t="str">
        <f t="shared" si="4"/>
        <v>FBS</v>
      </c>
      <c r="C28" s="167" t="s">
        <v>195</v>
      </c>
      <c r="D28" s="168" t="b">
        <v>0</v>
      </c>
      <c r="E28" s="169" t="s">
        <v>204</v>
      </c>
      <c r="F28" s="170" t="str">
        <f t="array" ref="F28">IF(D28=TRUE,IF(IF(BG$3=VLOOKUP(AT28,{'▶️ Инструкция'!C:C,'▶️ Инструкция'!G:G},2,FALSE),BG28,BH28)&gt;VLOOKUP(AT28,{'▶️ Инструкция'!C:C,'▶️ Инструкция'!N:N},2,FALSE),data!A$1,data!A$2),)</f>
        <v/>
      </c>
      <c r="G28" s="171">
        <v>0.0</v>
      </c>
      <c r="H28" s="172">
        <v>1000.0</v>
      </c>
      <c r="I28" s="173">
        <v>0.0</v>
      </c>
      <c r="J28" s="173">
        <v>0.0</v>
      </c>
      <c r="K28" s="174" t="str">
        <f t="shared" si="5"/>
        <v/>
      </c>
      <c r="L28" s="175">
        <v>0.0</v>
      </c>
      <c r="M28" s="176" t="s">
        <v>197</v>
      </c>
      <c r="N28" s="177">
        <f>IFERROR(__xludf.DUMMYFUNCTION("ArrayFormula(let(category,VLOOKUP($M28, {'📄 Комиссии'!$C:$C , '📄 Комиссии'!$B:$B}, 2, 0),
data,MATCH('🔒 Доп. информация'!$J$15:$J203,TRANSPOSE(SPLIT(INDEX('▶️ Инструкция'!$Q:$Q,MATCH($AT28,'▶️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commission,VLOOKUP($M28,'📄 Комиссии'!$C:$E,IF($AV28=data!A$8,2,3),0),
IF(NOT(ISBLANK($M28)),commission/100+
IFERR"&amp;"OR(VLOOKUP($AT28,{'▶️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28" s="178" t="str">
        <f t="shared" si="6"/>
        <v/>
      </c>
      <c r="Q28" s="178" t="str">
        <f t="shared" si="7"/>
        <v/>
      </c>
      <c r="S28" s="179" t="s">
        <v>192</v>
      </c>
      <c r="T28" s="180" t="s">
        <v>193</v>
      </c>
      <c r="U28" s="181">
        <v>1.0</v>
      </c>
      <c r="V28" s="182" t="str">
        <f t="shared" ref="V28:Y28" si="92">IF($D28,"🔒",)</f>
        <v/>
      </c>
      <c r="W28" s="182" t="str">
        <f t="shared" si="92"/>
        <v/>
      </c>
      <c r="X28" s="182" t="str">
        <f t="shared" si="92"/>
        <v/>
      </c>
      <c r="Y28" s="182" t="str">
        <f t="shared" si="92"/>
        <v/>
      </c>
      <c r="Z28" s="183">
        <v>0.0</v>
      </c>
      <c r="AA28" s="184">
        <f t="shared" si="31"/>
        <v>0</v>
      </c>
      <c r="AB28" s="185" t="str">
        <f t="shared" ref="AB28:AD28" si="93">IF($D28,"🔒",)</f>
        <v/>
      </c>
      <c r="AC28" s="185" t="str">
        <f t="shared" si="93"/>
        <v/>
      </c>
      <c r="AD28" s="186" t="str">
        <f t="shared" si="93"/>
        <v/>
      </c>
      <c r="AE28" s="180">
        <v>30.0</v>
      </c>
      <c r="AF28" s="187">
        <v>0.0</v>
      </c>
      <c r="AG28" s="187">
        <v>0.0</v>
      </c>
      <c r="AH28" s="187">
        <v>0.0</v>
      </c>
      <c r="AI28" s="181">
        <f t="shared" si="10"/>
        <v>0</v>
      </c>
      <c r="AJ28" s="181">
        <f t="shared" si="11"/>
        <v>0</v>
      </c>
      <c r="AK28" s="185" t="str">
        <f t="shared" si="12"/>
        <v/>
      </c>
      <c r="AL28" s="188" t="str">
        <f t="array" ref="AL28">H28*(1-I28)*VLOOKUP(AT28,{'▶️ Инструкция'!C:C,'▶️ Инструкция'!AI:AI},2,false)</f>
        <v>#N/A</v>
      </c>
      <c r="AM28" s="186" t="str">
        <f t="shared" si="13"/>
        <v/>
      </c>
      <c r="AN28" s="189">
        <v>0.0</v>
      </c>
      <c r="AO28" s="189">
        <v>0.0</v>
      </c>
      <c r="AP28" s="189">
        <v>0.0</v>
      </c>
      <c r="AQ28" s="191">
        <v>1.0</v>
      </c>
      <c r="AR28" s="191">
        <v>0.0</v>
      </c>
      <c r="AS28" s="212">
        <v>0.0</v>
      </c>
      <c r="AT28" s="193" t="s">
        <v>206</v>
      </c>
      <c r="AU28" s="193" t="s">
        <v>121</v>
      </c>
      <c r="AV28" s="193" t="s">
        <v>199</v>
      </c>
      <c r="AW28" s="194">
        <f t="shared" si="14"/>
        <v>0</v>
      </c>
      <c r="AX28" s="195">
        <f t="shared" si="15"/>
        <v>0</v>
      </c>
      <c r="AY28" s="196" t="str">
        <f t="shared" si="16"/>
        <v>#N/A</v>
      </c>
      <c r="AZ28" s="213">
        <v>250.0</v>
      </c>
      <c r="BA28" s="196">
        <f t="shared" si="17"/>
        <v>0.25</v>
      </c>
      <c r="BB28" s="213">
        <f t="shared" si="18"/>
        <v>1000</v>
      </c>
      <c r="BC28" s="199" t="str">
        <f t="shared" si="19"/>
        <v>#N/A</v>
      </c>
      <c r="BD28" s="200" t="str">
        <f t="shared" si="20"/>
        <v>#N/A</v>
      </c>
      <c r="BE28" s="200">
        <f t="shared" si="21"/>
        <v>0</v>
      </c>
      <c r="BF28" s="201" t="str">
        <f t="shared" si="22"/>
        <v/>
      </c>
      <c r="BG28" s="201" t="str">
        <f t="shared" si="23"/>
        <v/>
      </c>
      <c r="BH28" s="202" t="str">
        <f t="shared" si="24"/>
        <v/>
      </c>
      <c r="BI28" s="203"/>
      <c r="BJ28" s="204">
        <f>IFERROR(__xludf.DUMMYFUNCTION("IF(AU28=data!A$5,
IF(AV28=data!A$8,
IF(T28=data!A$3,
VLOOKUP(S28,filter('🔒 Доп. информация'!D:H,'🔒 Доп. информация'!C:C=T28),4,FALSE)+VLOOKUP(S28,filter('🔒 Доп. информация'!D:H,'🔒 Доп. информация'!C:C=T28),5,FALSE)*AJ28,
IF(AND(MAX(AF28:AH28)&lt;80,SUM(A"&amp;"F28:AH28)&lt;=160,AI28&lt;20,XLOOKUP(M28,'📄 Комиссии'!C:C,'📄 Комиссии'!B:B)&lt;&gt;""Продукты""),
VLOOKUP(S28,filter('🔒 Доп. информация'!D:H,'🔒 Доп. информация'!C:C=data!$A$3),4,FALSE)+VLOOKUP(S28,filter('🔒 Доп. информация'!D:H,'🔒 Доп. информация'!C:C=data!$A$3"&amp;"),5,FALSE)*AJ28,
VLOOKUP(S28,filter('🔒 Доп. информация'!D:H,'🔒 Доп. информация'!C:C=T28),4,FALSE)*ROUNDUP(AF28*AG28*AH28*L28/(120*80*175))/L28)
)
*(AE28/2)
,)
,)*0"),0.0)</f>
        <v>0</v>
      </c>
      <c r="BK28" s="204">
        <f>IFERROR(__xludf.DUMMYFUNCTION("IF(AU28=data!A$5,
IF(AI28&lt;=1,IF(AI28&lt;=0.8,IF(AI28&lt;=0.6,IF(AI28&lt;=0.4,IF(AI28&lt;=0.2,23,26),29),30),32)*VLOOKUP(S28,filter('🔒 Доп. информация'!D:E,'🔒 Доп. информация'!C:C=T28),2,FALSE)/'🔒 Доп. информация'!$K$9,
IF(AV28=data!A$8,U28,1)*VLOOKUP(S28,filter('"&amp;"🔒 Доп. информация'!D:E,'🔒 Доп. информация'!C:C=T28),2,FALSE)+
IF(AV28=data!A$8,U28,1)*VLOOKUP(S28,filter('🔒 Доп. информация'!D:F,'🔒 Доп. информация'!C:C=T28),3,FALSE)*AJ28)
,0)"),69.0)</f>
        <v>69</v>
      </c>
      <c r="BL28" s="185" t="str">
        <f t="shared" ref="BL28:BM28" si="94">IF($D28,"🔒",)</f>
        <v/>
      </c>
      <c r="BM28" s="185" t="str">
        <f t="shared" si="94"/>
        <v/>
      </c>
      <c r="BN28" s="204">
        <f>VLOOKUP(T28,'🔒 Доп. информация'!J:P,7,false)</f>
        <v>50</v>
      </c>
      <c r="BO28" s="204">
        <f>IF(AV28=data!A$9,
(AA28+AO28+AP28+BJ28+BK28+BN28)+H28*AS28,
(BJ28+BK28+BN28)+H28*AS28
)</f>
        <v>119</v>
      </c>
      <c r="BP28" s="204">
        <f t="shared" si="26"/>
        <v>69</v>
      </c>
      <c r="BQ28" s="204">
        <f t="shared" si="27"/>
        <v>320</v>
      </c>
      <c r="BR28" s="204" t="str">
        <f t="shared" si="37"/>
        <v>#N/A</v>
      </c>
      <c r="BS28" s="204" t="str">
        <f t="array" ref="BS28">IF(VLOOKUP(AT28,{'▶️ Инструкция'!C:C,'▶️ Инструкция'!Y:Y},2,FALSE)=data!A$15,
H28*(1-I28),
(H28-BR28))
*VLOOKUP(AT28,{'▶️ Инструкция'!C:C,'▶️ Инструкция'!AD:AD},2,FALSE)/(1+VLOOKUP(AT28,{'▶️ Инструкция'!C:C,'▶️ Инструкция'!AD:AD},2,FALSE))</f>
        <v>#N/A</v>
      </c>
      <c r="BT28" s="204" t="str">
        <f t="array" ref="BT28">
IF(VLOOKUP(AT28,{'▶️ Инструкция'!C:C,'▶️ Инструкция'!Y:Y},2,FALSE)=data!A$15,
H28*(1-I28)-BS28,
(H28-BR28-BS28))
*
VLOOKUP(AT28,{'▶️ Инструкция'!C:C,'▶️ Инструкция'!R:R},2,FALSE)
+BS28</f>
        <v>#N/A</v>
      </c>
      <c r="BU28" s="204" t="str">
        <f>(G28*AR28)+if(AV28=data!A$9,AO28,AN28)+AP28+BR28+BT28</f>
        <v>#N/A</v>
      </c>
      <c r="BV28" s="204" t="str">
        <f>(G28*AR28)+if(AV28=data!A$9,AO28,AN28)+AP28+BT28+G28</f>
        <v>#N/A</v>
      </c>
      <c r="BW28" s="204" t="str">
        <f t="shared" si="28"/>
        <v>#N/A</v>
      </c>
      <c r="BX28" s="204" t="str">
        <f t="shared" si="29"/>
        <v>#N/A</v>
      </c>
    </row>
    <row r="29">
      <c r="A29" s="165" t="str">
        <f>if(D29=true,if(F29=data!A$1,data!A$10,data!A$11),)</f>
        <v/>
      </c>
      <c r="B29" s="166" t="str">
        <f t="shared" si="4"/>
        <v>FBS</v>
      </c>
      <c r="C29" s="167" t="s">
        <v>195</v>
      </c>
      <c r="D29" s="168" t="b">
        <v>0</v>
      </c>
      <c r="E29" s="169" t="s">
        <v>204</v>
      </c>
      <c r="F29" s="170" t="str">
        <f t="array" ref="F29">IF(D29=TRUE,IF(IF(BG$3=VLOOKUP(AT29,{'▶️ Инструкция'!C:C,'▶️ Инструкция'!G:G},2,FALSE),BG29,BH29)&gt;VLOOKUP(AT29,{'▶️ Инструкция'!C:C,'▶️ Инструкция'!N:N},2,FALSE),data!A$1,data!A$2),)</f>
        <v/>
      </c>
      <c r="G29" s="171">
        <v>0.0</v>
      </c>
      <c r="H29" s="172">
        <v>1000.0</v>
      </c>
      <c r="I29" s="173">
        <v>0.0</v>
      </c>
      <c r="J29" s="173">
        <v>0.0</v>
      </c>
      <c r="K29" s="174" t="str">
        <f t="shared" si="5"/>
        <v/>
      </c>
      <c r="L29" s="175">
        <v>0.0</v>
      </c>
      <c r="M29" s="176" t="s">
        <v>197</v>
      </c>
      <c r="N29" s="177">
        <f>IFERROR(__xludf.DUMMYFUNCTION("ArrayFormula(let(category,VLOOKUP($M29, {'📄 Комиссии'!$C:$C , '📄 Комиссии'!$B:$B}, 2, 0),
data,MATCH('🔒 Доп. информация'!$J$15:$J203,TRANSPOSE(SPLIT(INDEX('▶️ Инструкция'!$Q:$Q,MATCH($AT29,'▶️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commission,VLOOKUP($M29,'📄 Комиссии'!$C:$E,IF($AV29=data!A$8,2,3),0),
IF(NOT(ISBLANK($M29)),commission/100+
IFERR"&amp;"OR(VLOOKUP($AT29,{'▶️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29" s="178" t="str">
        <f t="shared" si="6"/>
        <v/>
      </c>
      <c r="Q29" s="178" t="str">
        <f t="shared" si="7"/>
        <v/>
      </c>
      <c r="S29" s="179" t="s">
        <v>192</v>
      </c>
      <c r="T29" s="180" t="s">
        <v>193</v>
      </c>
      <c r="U29" s="181">
        <v>1.0</v>
      </c>
      <c r="V29" s="182" t="str">
        <f t="shared" ref="V29:Y29" si="95">IF($D29,"🔒",)</f>
        <v/>
      </c>
      <c r="W29" s="182" t="str">
        <f t="shared" si="95"/>
        <v/>
      </c>
      <c r="X29" s="182" t="str">
        <f t="shared" si="95"/>
        <v/>
      </c>
      <c r="Y29" s="182" t="str">
        <f t="shared" si="95"/>
        <v/>
      </c>
      <c r="Z29" s="183">
        <v>0.0</v>
      </c>
      <c r="AA29" s="184">
        <f t="shared" si="31"/>
        <v>0</v>
      </c>
      <c r="AB29" s="185" t="str">
        <f t="shared" ref="AB29:AD29" si="96">IF($D29,"🔒",)</f>
        <v/>
      </c>
      <c r="AC29" s="185" t="str">
        <f t="shared" si="96"/>
        <v/>
      </c>
      <c r="AD29" s="186" t="str">
        <f t="shared" si="96"/>
        <v/>
      </c>
      <c r="AE29" s="180">
        <v>30.0</v>
      </c>
      <c r="AF29" s="187">
        <v>0.0</v>
      </c>
      <c r="AG29" s="187">
        <v>0.0</v>
      </c>
      <c r="AH29" s="187">
        <v>0.0</v>
      </c>
      <c r="AI29" s="181">
        <f t="shared" si="10"/>
        <v>0</v>
      </c>
      <c r="AJ29" s="181">
        <f t="shared" si="11"/>
        <v>0</v>
      </c>
      <c r="AK29" s="185" t="str">
        <f t="shared" si="12"/>
        <v/>
      </c>
      <c r="AL29" s="188" t="str">
        <f t="array" ref="AL29">H29*(1-I29)*VLOOKUP(AT29,{'▶️ Инструкция'!C:C,'▶️ Инструкция'!AI:AI},2,false)</f>
        <v>#N/A</v>
      </c>
      <c r="AM29" s="186" t="str">
        <f t="shared" si="13"/>
        <v/>
      </c>
      <c r="AN29" s="189">
        <v>0.0</v>
      </c>
      <c r="AO29" s="189">
        <v>0.0</v>
      </c>
      <c r="AP29" s="189">
        <v>0.0</v>
      </c>
      <c r="AQ29" s="191">
        <v>1.0</v>
      </c>
      <c r="AR29" s="191">
        <v>0.0</v>
      </c>
      <c r="AS29" s="212">
        <v>0.0</v>
      </c>
      <c r="AT29" s="193" t="s">
        <v>206</v>
      </c>
      <c r="AU29" s="193" t="s">
        <v>121</v>
      </c>
      <c r="AV29" s="193" t="s">
        <v>199</v>
      </c>
      <c r="AW29" s="194">
        <f t="shared" si="14"/>
        <v>0</v>
      </c>
      <c r="AX29" s="195">
        <f t="shared" si="15"/>
        <v>0</v>
      </c>
      <c r="AY29" s="196" t="str">
        <f t="shared" si="16"/>
        <v>#N/A</v>
      </c>
      <c r="AZ29" s="213">
        <v>250.0</v>
      </c>
      <c r="BA29" s="196">
        <f t="shared" si="17"/>
        <v>0.25</v>
      </c>
      <c r="BB29" s="213">
        <f t="shared" si="18"/>
        <v>1000</v>
      </c>
      <c r="BC29" s="199" t="str">
        <f t="shared" si="19"/>
        <v>#N/A</v>
      </c>
      <c r="BD29" s="200" t="str">
        <f t="shared" si="20"/>
        <v>#N/A</v>
      </c>
      <c r="BE29" s="200">
        <f t="shared" si="21"/>
        <v>0</v>
      </c>
      <c r="BF29" s="201" t="str">
        <f t="shared" si="22"/>
        <v/>
      </c>
      <c r="BG29" s="201" t="str">
        <f t="shared" si="23"/>
        <v/>
      </c>
      <c r="BH29" s="202" t="str">
        <f t="shared" si="24"/>
        <v/>
      </c>
      <c r="BI29" s="203"/>
      <c r="BJ29" s="204">
        <f>IFERROR(__xludf.DUMMYFUNCTION("IF(AU29=data!A$5,
IF(AV29=data!A$8,
IF(T29=data!A$3,
VLOOKUP(S29,filter('🔒 Доп. информация'!D:H,'🔒 Доп. информация'!C:C=T29),4,FALSE)+VLOOKUP(S29,filter('🔒 Доп. информация'!D:H,'🔒 Доп. информация'!C:C=T29),5,FALSE)*AJ29,
IF(AND(MAX(AF29:AH29)&lt;80,SUM(A"&amp;"F29:AH29)&lt;=160,AI29&lt;20,XLOOKUP(M29,'📄 Комиссии'!C:C,'📄 Комиссии'!B:B)&lt;&gt;""Продукты""),
VLOOKUP(S29,filter('🔒 Доп. информация'!D:H,'🔒 Доп. информация'!C:C=data!$A$3),4,FALSE)+VLOOKUP(S29,filter('🔒 Доп. информация'!D:H,'🔒 Доп. информация'!C:C=data!$A$3"&amp;"),5,FALSE)*AJ29,
VLOOKUP(S29,filter('🔒 Доп. информация'!D:H,'🔒 Доп. информация'!C:C=T29),4,FALSE)*ROUNDUP(AF29*AG29*AH29*L29/(120*80*175))/L29)
)
*(AE29/2)
,)
,)*0"),0.0)</f>
        <v>0</v>
      </c>
      <c r="BK29" s="204">
        <f>IFERROR(__xludf.DUMMYFUNCTION("IF(AU29=data!A$5,
IF(AI29&lt;=1,IF(AI29&lt;=0.8,IF(AI29&lt;=0.6,IF(AI29&lt;=0.4,IF(AI29&lt;=0.2,23,26),29),30),32)*VLOOKUP(S29,filter('🔒 Доп. информация'!D:E,'🔒 Доп. информация'!C:C=T29),2,FALSE)/'🔒 Доп. информация'!$K$9,
IF(AV29=data!A$8,U29,1)*VLOOKUP(S29,filter('"&amp;"🔒 Доп. информация'!D:E,'🔒 Доп. информация'!C:C=T29),2,FALSE)+
IF(AV29=data!A$8,U29,1)*VLOOKUP(S29,filter('🔒 Доп. информация'!D:F,'🔒 Доп. информация'!C:C=T29),3,FALSE)*AJ29)
,0)"),69.0)</f>
        <v>69</v>
      </c>
      <c r="BL29" s="185" t="str">
        <f t="shared" ref="BL29:BM29" si="97">IF($D29,"🔒",)</f>
        <v/>
      </c>
      <c r="BM29" s="185" t="str">
        <f t="shared" si="97"/>
        <v/>
      </c>
      <c r="BN29" s="204">
        <f>VLOOKUP(T29,'🔒 Доп. информация'!J:P,7,false)</f>
        <v>50</v>
      </c>
      <c r="BO29" s="204">
        <f>IF(AV29=data!A$9,
(AA29+AO29+AP29+BJ29+BK29+BN29)+H29*AS29,
(BJ29+BK29+BN29)+H29*AS29
)</f>
        <v>119</v>
      </c>
      <c r="BP29" s="204">
        <f t="shared" si="26"/>
        <v>69</v>
      </c>
      <c r="BQ29" s="204">
        <f t="shared" si="27"/>
        <v>320</v>
      </c>
      <c r="BR29" s="204" t="str">
        <f t="shared" si="37"/>
        <v>#N/A</v>
      </c>
      <c r="BS29" s="204" t="str">
        <f t="array" ref="BS29">IF(VLOOKUP(AT29,{'▶️ Инструкция'!C:C,'▶️ Инструкция'!Y:Y},2,FALSE)=data!A$15,
H29*(1-I29),
(H29-BR29))
*VLOOKUP(AT29,{'▶️ Инструкция'!C:C,'▶️ Инструкция'!AD:AD},2,FALSE)/(1+VLOOKUP(AT29,{'▶️ Инструкция'!C:C,'▶️ Инструкция'!AD:AD},2,FALSE))</f>
        <v>#N/A</v>
      </c>
      <c r="BT29" s="204" t="str">
        <f t="array" ref="BT29">
IF(VLOOKUP(AT29,{'▶️ Инструкция'!C:C,'▶️ Инструкция'!Y:Y},2,FALSE)=data!A$15,
H29*(1-I29)-BS29,
(H29-BR29-BS29))
*
VLOOKUP(AT29,{'▶️ Инструкция'!C:C,'▶️ Инструкция'!R:R},2,FALSE)
+BS29</f>
        <v>#N/A</v>
      </c>
      <c r="BU29" s="204" t="str">
        <f>(G29*AR29)+if(AV29=data!A$9,AO29,AN29)+AP29+BR29+BT29</f>
        <v>#N/A</v>
      </c>
      <c r="BV29" s="204" t="str">
        <f>(G29*AR29)+if(AV29=data!A$9,AO29,AN29)+AP29+BT29+G29</f>
        <v>#N/A</v>
      </c>
      <c r="BW29" s="204" t="str">
        <f t="shared" si="28"/>
        <v>#N/A</v>
      </c>
      <c r="BX29" s="204" t="str">
        <f t="shared" si="29"/>
        <v>#N/A</v>
      </c>
    </row>
    <row r="30">
      <c r="A30" s="165" t="str">
        <f>if(D30=true,if(F30=data!A$1,data!A$10,data!A$11),)</f>
        <v/>
      </c>
      <c r="B30" s="166" t="str">
        <f t="shared" si="4"/>
        <v>FBS</v>
      </c>
      <c r="C30" s="167" t="s">
        <v>195</v>
      </c>
      <c r="D30" s="168" t="b">
        <v>0</v>
      </c>
      <c r="E30" s="169" t="s">
        <v>204</v>
      </c>
      <c r="F30" s="170" t="str">
        <f t="array" ref="F30">IF(D30=TRUE,IF(IF(BG$3=VLOOKUP(AT30,{'▶️ Инструкция'!C:C,'▶️ Инструкция'!G:G},2,FALSE),BG30,BH30)&gt;VLOOKUP(AT30,{'▶️ Инструкция'!C:C,'▶️ Инструкция'!N:N},2,FALSE),data!A$1,data!A$2),)</f>
        <v/>
      </c>
      <c r="G30" s="171">
        <v>0.0</v>
      </c>
      <c r="H30" s="172">
        <v>1000.0</v>
      </c>
      <c r="I30" s="173">
        <v>0.0</v>
      </c>
      <c r="J30" s="173">
        <v>0.0</v>
      </c>
      <c r="K30" s="174" t="str">
        <f t="shared" si="5"/>
        <v/>
      </c>
      <c r="L30" s="175">
        <v>0.0</v>
      </c>
      <c r="M30" s="176" t="s">
        <v>197</v>
      </c>
      <c r="N30" s="177">
        <f>IFERROR(__xludf.DUMMYFUNCTION("ArrayFormula(let(category,VLOOKUP($M30, {'📄 Комиссии'!$C:$C , '📄 Комиссии'!$B:$B}, 2, 0),
data,MATCH('🔒 Доп. информация'!$J$15:$J203,TRANSPOSE(SPLIT(INDEX('▶️ Инструкция'!$Q:$Q,MATCH($AT30,'▶️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commission,VLOOKUP($M30,'📄 Комиссии'!$C:$E,IF($AV30=data!A$8,2,3),0),
IF(NOT(ISBLANK($M30)),commission/100+
IFERR"&amp;"OR(VLOOKUP($AT30,{'▶️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30" s="178" t="str">
        <f t="shared" si="6"/>
        <v/>
      </c>
      <c r="Q30" s="178" t="str">
        <f t="shared" si="7"/>
        <v/>
      </c>
      <c r="S30" s="179" t="s">
        <v>192</v>
      </c>
      <c r="T30" s="180" t="s">
        <v>193</v>
      </c>
      <c r="U30" s="181">
        <v>1.0</v>
      </c>
      <c r="V30" s="182" t="str">
        <f t="shared" ref="V30:Y30" si="98">IF($D30,"🔒",)</f>
        <v/>
      </c>
      <c r="W30" s="182" t="str">
        <f t="shared" si="98"/>
        <v/>
      </c>
      <c r="X30" s="182" t="str">
        <f t="shared" si="98"/>
        <v/>
      </c>
      <c r="Y30" s="182" t="str">
        <f t="shared" si="98"/>
        <v/>
      </c>
      <c r="Z30" s="183">
        <v>0.0</v>
      </c>
      <c r="AA30" s="184">
        <f t="shared" si="31"/>
        <v>0</v>
      </c>
      <c r="AB30" s="185" t="str">
        <f t="shared" ref="AB30:AD30" si="99">IF($D30,"🔒",)</f>
        <v/>
      </c>
      <c r="AC30" s="185" t="str">
        <f t="shared" si="99"/>
        <v/>
      </c>
      <c r="AD30" s="186" t="str">
        <f t="shared" si="99"/>
        <v/>
      </c>
      <c r="AE30" s="180">
        <v>30.0</v>
      </c>
      <c r="AF30" s="187">
        <v>0.0</v>
      </c>
      <c r="AG30" s="187">
        <v>0.0</v>
      </c>
      <c r="AH30" s="187">
        <v>0.0</v>
      </c>
      <c r="AI30" s="181">
        <f t="shared" si="10"/>
        <v>0</v>
      </c>
      <c r="AJ30" s="181">
        <f t="shared" si="11"/>
        <v>0</v>
      </c>
      <c r="AK30" s="185" t="str">
        <f t="shared" si="12"/>
        <v/>
      </c>
      <c r="AL30" s="188" t="str">
        <f t="array" ref="AL30">H30*(1-I30)*VLOOKUP(AT30,{'▶️ Инструкция'!C:C,'▶️ Инструкция'!AI:AI},2,false)</f>
        <v>#N/A</v>
      </c>
      <c r="AM30" s="186" t="str">
        <f t="shared" si="13"/>
        <v/>
      </c>
      <c r="AN30" s="189">
        <v>0.0</v>
      </c>
      <c r="AO30" s="189">
        <v>0.0</v>
      </c>
      <c r="AP30" s="189">
        <v>0.0</v>
      </c>
      <c r="AQ30" s="191">
        <v>1.0</v>
      </c>
      <c r="AR30" s="191">
        <v>0.0</v>
      </c>
      <c r="AS30" s="212">
        <v>0.0</v>
      </c>
      <c r="AT30" s="193" t="s">
        <v>206</v>
      </c>
      <c r="AU30" s="193" t="s">
        <v>121</v>
      </c>
      <c r="AV30" s="193" t="s">
        <v>199</v>
      </c>
      <c r="AW30" s="194">
        <f t="shared" si="14"/>
        <v>0</v>
      </c>
      <c r="AX30" s="195">
        <f t="shared" si="15"/>
        <v>0</v>
      </c>
      <c r="AY30" s="196" t="str">
        <f t="shared" si="16"/>
        <v>#N/A</v>
      </c>
      <c r="AZ30" s="213">
        <v>250.0</v>
      </c>
      <c r="BA30" s="196">
        <f t="shared" si="17"/>
        <v>0.25</v>
      </c>
      <c r="BB30" s="213">
        <f t="shared" si="18"/>
        <v>1000</v>
      </c>
      <c r="BC30" s="199" t="str">
        <f t="shared" si="19"/>
        <v>#N/A</v>
      </c>
      <c r="BD30" s="200" t="str">
        <f t="shared" si="20"/>
        <v>#N/A</v>
      </c>
      <c r="BE30" s="200">
        <f t="shared" si="21"/>
        <v>0</v>
      </c>
      <c r="BF30" s="201" t="str">
        <f t="shared" si="22"/>
        <v/>
      </c>
      <c r="BG30" s="201" t="str">
        <f t="shared" si="23"/>
        <v/>
      </c>
      <c r="BH30" s="202" t="str">
        <f t="shared" si="24"/>
        <v/>
      </c>
      <c r="BI30" s="203"/>
      <c r="BJ30" s="204">
        <f>IFERROR(__xludf.DUMMYFUNCTION("IF(AU30=data!A$5,
IF(AV30=data!A$8,
IF(T30=data!A$3,
VLOOKUP(S30,filter('🔒 Доп. информация'!D:H,'🔒 Доп. информация'!C:C=T30),4,FALSE)+VLOOKUP(S30,filter('🔒 Доп. информация'!D:H,'🔒 Доп. информация'!C:C=T30),5,FALSE)*AJ30,
IF(AND(MAX(AF30:AH30)&lt;80,SUM(A"&amp;"F30:AH30)&lt;=160,AI30&lt;20,XLOOKUP(M30,'📄 Комиссии'!C:C,'📄 Комиссии'!B:B)&lt;&gt;""Продукты""),
VLOOKUP(S30,filter('🔒 Доп. информация'!D:H,'🔒 Доп. информация'!C:C=data!$A$3),4,FALSE)+VLOOKUP(S30,filter('🔒 Доп. информация'!D:H,'🔒 Доп. информация'!C:C=data!$A$3"&amp;"),5,FALSE)*AJ30,
VLOOKUP(S30,filter('🔒 Доп. информация'!D:H,'🔒 Доп. информация'!C:C=T30),4,FALSE)*ROUNDUP(AF30*AG30*AH30*L30/(120*80*175))/L30)
)
*(AE30/2)
,)
,)*0"),0.0)</f>
        <v>0</v>
      </c>
      <c r="BK30" s="204">
        <f>IFERROR(__xludf.DUMMYFUNCTION("IF(AU30=data!A$5,
IF(AI30&lt;=1,IF(AI30&lt;=0.8,IF(AI30&lt;=0.6,IF(AI30&lt;=0.4,IF(AI30&lt;=0.2,23,26),29),30),32)*VLOOKUP(S30,filter('🔒 Доп. информация'!D:E,'🔒 Доп. информация'!C:C=T30),2,FALSE)/'🔒 Доп. информация'!$K$9,
IF(AV30=data!A$8,U30,1)*VLOOKUP(S30,filter('"&amp;"🔒 Доп. информация'!D:E,'🔒 Доп. информация'!C:C=T30),2,FALSE)+
IF(AV30=data!A$8,U30,1)*VLOOKUP(S30,filter('🔒 Доп. информация'!D:F,'🔒 Доп. информация'!C:C=T30),3,FALSE)*AJ30)
,0)"),69.0)</f>
        <v>69</v>
      </c>
      <c r="BL30" s="185" t="str">
        <f t="shared" ref="BL30:BM30" si="100">IF($D30,"🔒",)</f>
        <v/>
      </c>
      <c r="BM30" s="185" t="str">
        <f t="shared" si="100"/>
        <v/>
      </c>
      <c r="BN30" s="204">
        <f>VLOOKUP(T30,'🔒 Доп. информация'!J:P,7,false)</f>
        <v>50</v>
      </c>
      <c r="BO30" s="204">
        <f>IF(AV30=data!A$9,
(AA30+AO30+AP30+BJ30+BK30+BN30)+H30*AS30,
(BJ30+BK30+BN30)+H30*AS30
)</f>
        <v>119</v>
      </c>
      <c r="BP30" s="204">
        <f t="shared" si="26"/>
        <v>69</v>
      </c>
      <c r="BQ30" s="204">
        <f t="shared" si="27"/>
        <v>320</v>
      </c>
      <c r="BR30" s="204" t="str">
        <f t="shared" si="37"/>
        <v>#N/A</v>
      </c>
      <c r="BS30" s="204" t="str">
        <f t="array" ref="BS30">IF(VLOOKUP(AT30,{'▶️ Инструкция'!C:C,'▶️ Инструкция'!Y:Y},2,FALSE)=data!A$15,
H30*(1-I30),
(H30-BR30))
*VLOOKUP(AT30,{'▶️ Инструкция'!C:C,'▶️ Инструкция'!AD:AD},2,FALSE)/(1+VLOOKUP(AT30,{'▶️ Инструкция'!C:C,'▶️ Инструкция'!AD:AD},2,FALSE))</f>
        <v>#N/A</v>
      </c>
      <c r="BT30" s="204" t="str">
        <f t="array" ref="BT30">
IF(VLOOKUP(AT30,{'▶️ Инструкция'!C:C,'▶️ Инструкция'!Y:Y},2,FALSE)=data!A$15,
H30*(1-I30)-BS30,
(H30-BR30-BS30))
*
VLOOKUP(AT30,{'▶️ Инструкция'!C:C,'▶️ Инструкция'!R:R},2,FALSE)
+BS30</f>
        <v>#N/A</v>
      </c>
      <c r="BU30" s="204" t="str">
        <f>(G30*AR30)+if(AV30=data!A$9,AO30,AN30)+AP30+BR30+BT30</f>
        <v>#N/A</v>
      </c>
      <c r="BV30" s="204" t="str">
        <f>(G30*AR30)+if(AV30=data!A$9,AO30,AN30)+AP30+BT30+G30</f>
        <v>#N/A</v>
      </c>
      <c r="BW30" s="204" t="str">
        <f t="shared" si="28"/>
        <v>#N/A</v>
      </c>
      <c r="BX30" s="204" t="str">
        <f t="shared" si="29"/>
        <v>#N/A</v>
      </c>
    </row>
    <row r="31">
      <c r="A31" s="165" t="str">
        <f>if(D31=true,if(F31=data!A$1,data!A$10,data!A$11),)</f>
        <v/>
      </c>
      <c r="B31" s="166" t="str">
        <f t="shared" si="4"/>
        <v>FBS</v>
      </c>
      <c r="C31" s="167" t="s">
        <v>195</v>
      </c>
      <c r="D31" s="168" t="b">
        <v>0</v>
      </c>
      <c r="E31" s="169" t="s">
        <v>204</v>
      </c>
      <c r="F31" s="170" t="str">
        <f t="array" ref="F31">IF(D31=TRUE,IF(IF(BG$3=VLOOKUP(AT31,{'▶️ Инструкция'!C:C,'▶️ Инструкция'!G:G},2,FALSE),BG31,BH31)&gt;VLOOKUP(AT31,{'▶️ Инструкция'!C:C,'▶️ Инструкция'!N:N},2,FALSE),data!A$1,data!A$2),)</f>
        <v/>
      </c>
      <c r="G31" s="171">
        <v>0.0</v>
      </c>
      <c r="H31" s="172">
        <v>1000.0</v>
      </c>
      <c r="I31" s="173">
        <v>0.0</v>
      </c>
      <c r="J31" s="173">
        <v>0.0</v>
      </c>
      <c r="K31" s="174" t="str">
        <f t="shared" si="5"/>
        <v/>
      </c>
      <c r="L31" s="175">
        <v>0.0</v>
      </c>
      <c r="M31" s="176" t="s">
        <v>197</v>
      </c>
      <c r="N31" s="177">
        <f>IFERROR(__xludf.DUMMYFUNCTION("ArrayFormula(let(category,VLOOKUP($M31, {'📄 Комиссии'!$C:$C , '📄 Комиссии'!$B:$B}, 2, 0),
data,MATCH('🔒 Доп. информация'!$J$15:$J203,TRANSPOSE(SPLIT(INDEX('▶️ Инструкция'!$Q:$Q,MATCH($AT31,'▶️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commission,VLOOKUP($M31,'📄 Комиссии'!$C:$E,IF($AV31=data!A$8,2,3),0),
IF(NOT(ISBLANK($M31)),commission/100+
IFERR"&amp;"OR(VLOOKUP($AT31,{'▶️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31" s="178" t="str">
        <f t="shared" si="6"/>
        <v/>
      </c>
      <c r="Q31" s="178" t="str">
        <f t="shared" si="7"/>
        <v/>
      </c>
      <c r="S31" s="179" t="s">
        <v>192</v>
      </c>
      <c r="T31" s="180" t="s">
        <v>193</v>
      </c>
      <c r="U31" s="181">
        <v>1.0</v>
      </c>
      <c r="V31" s="182" t="str">
        <f t="shared" ref="V31:Y31" si="101">IF($D31,"🔒",)</f>
        <v/>
      </c>
      <c r="W31" s="182" t="str">
        <f t="shared" si="101"/>
        <v/>
      </c>
      <c r="X31" s="182" t="str">
        <f t="shared" si="101"/>
        <v/>
      </c>
      <c r="Y31" s="182" t="str">
        <f t="shared" si="101"/>
        <v/>
      </c>
      <c r="Z31" s="183">
        <v>0.0</v>
      </c>
      <c r="AA31" s="184">
        <f t="shared" si="31"/>
        <v>0</v>
      </c>
      <c r="AB31" s="185" t="str">
        <f t="shared" ref="AB31:AD31" si="102">IF($D31,"🔒",)</f>
        <v/>
      </c>
      <c r="AC31" s="185" t="str">
        <f t="shared" si="102"/>
        <v/>
      </c>
      <c r="AD31" s="186" t="str">
        <f t="shared" si="102"/>
        <v/>
      </c>
      <c r="AE31" s="180">
        <v>30.0</v>
      </c>
      <c r="AF31" s="187">
        <v>0.0</v>
      </c>
      <c r="AG31" s="187">
        <v>0.0</v>
      </c>
      <c r="AH31" s="187">
        <v>0.0</v>
      </c>
      <c r="AI31" s="181">
        <f t="shared" si="10"/>
        <v>0</v>
      </c>
      <c r="AJ31" s="181">
        <f t="shared" si="11"/>
        <v>0</v>
      </c>
      <c r="AK31" s="185" t="str">
        <f t="shared" si="12"/>
        <v/>
      </c>
      <c r="AL31" s="188" t="str">
        <f t="array" ref="AL31">H31*(1-I31)*VLOOKUP(AT31,{'▶️ Инструкция'!C:C,'▶️ Инструкция'!AI:AI},2,false)</f>
        <v>#N/A</v>
      </c>
      <c r="AM31" s="186" t="str">
        <f t="shared" si="13"/>
        <v/>
      </c>
      <c r="AN31" s="189">
        <v>0.0</v>
      </c>
      <c r="AO31" s="189">
        <v>0.0</v>
      </c>
      <c r="AP31" s="189">
        <v>0.0</v>
      </c>
      <c r="AQ31" s="191">
        <v>1.0</v>
      </c>
      <c r="AR31" s="191">
        <v>0.0</v>
      </c>
      <c r="AS31" s="212">
        <v>0.0</v>
      </c>
      <c r="AT31" s="193" t="s">
        <v>206</v>
      </c>
      <c r="AU31" s="193" t="s">
        <v>121</v>
      </c>
      <c r="AV31" s="193" t="s">
        <v>199</v>
      </c>
      <c r="AW31" s="194">
        <f t="shared" si="14"/>
        <v>0</v>
      </c>
      <c r="AX31" s="195">
        <f t="shared" si="15"/>
        <v>0</v>
      </c>
      <c r="AY31" s="196" t="str">
        <f t="shared" si="16"/>
        <v>#N/A</v>
      </c>
      <c r="AZ31" s="213">
        <v>250.0</v>
      </c>
      <c r="BA31" s="196">
        <f t="shared" si="17"/>
        <v>0.25</v>
      </c>
      <c r="BB31" s="213">
        <f t="shared" si="18"/>
        <v>1000</v>
      </c>
      <c r="BC31" s="199" t="str">
        <f t="shared" si="19"/>
        <v>#N/A</v>
      </c>
      <c r="BD31" s="200" t="str">
        <f t="shared" si="20"/>
        <v>#N/A</v>
      </c>
      <c r="BE31" s="200">
        <f t="shared" si="21"/>
        <v>0</v>
      </c>
      <c r="BF31" s="201" t="str">
        <f t="shared" si="22"/>
        <v/>
      </c>
      <c r="BG31" s="201" t="str">
        <f t="shared" si="23"/>
        <v/>
      </c>
      <c r="BH31" s="202" t="str">
        <f t="shared" si="24"/>
        <v/>
      </c>
      <c r="BI31" s="203"/>
      <c r="BJ31" s="204">
        <f>IFERROR(__xludf.DUMMYFUNCTION("IF(AU31=data!A$5,
IF(AV31=data!A$8,
IF(T31=data!A$3,
VLOOKUP(S31,filter('🔒 Доп. информация'!D:H,'🔒 Доп. информация'!C:C=T31),4,FALSE)+VLOOKUP(S31,filter('🔒 Доп. информация'!D:H,'🔒 Доп. информация'!C:C=T31),5,FALSE)*AJ31,
IF(AND(MAX(AF31:AH31)&lt;80,SUM(A"&amp;"F31:AH31)&lt;=160,AI31&lt;20,XLOOKUP(M31,'📄 Комиссии'!C:C,'📄 Комиссии'!B:B)&lt;&gt;""Продукты""),
VLOOKUP(S31,filter('🔒 Доп. информация'!D:H,'🔒 Доп. информация'!C:C=data!$A$3),4,FALSE)+VLOOKUP(S31,filter('🔒 Доп. информация'!D:H,'🔒 Доп. информация'!C:C=data!$A$3"&amp;"),5,FALSE)*AJ31,
VLOOKUP(S31,filter('🔒 Доп. информация'!D:H,'🔒 Доп. информация'!C:C=T31),4,FALSE)*ROUNDUP(AF31*AG31*AH31*L31/(120*80*175))/L31)
)
*(AE31/2)
,)
,)*0"),0.0)</f>
        <v>0</v>
      </c>
      <c r="BK31" s="204">
        <f>IFERROR(__xludf.DUMMYFUNCTION("IF(AU31=data!A$5,
IF(AI31&lt;=1,IF(AI31&lt;=0.8,IF(AI31&lt;=0.6,IF(AI31&lt;=0.4,IF(AI31&lt;=0.2,23,26),29),30),32)*VLOOKUP(S31,filter('🔒 Доп. информация'!D:E,'🔒 Доп. информация'!C:C=T31),2,FALSE)/'🔒 Доп. информация'!$K$9,
IF(AV31=data!A$8,U31,1)*VLOOKUP(S31,filter('"&amp;"🔒 Доп. информация'!D:E,'🔒 Доп. информация'!C:C=T31),2,FALSE)+
IF(AV31=data!A$8,U31,1)*VLOOKUP(S31,filter('🔒 Доп. информация'!D:F,'🔒 Доп. информация'!C:C=T31),3,FALSE)*AJ31)
,0)"),69.0)</f>
        <v>69</v>
      </c>
      <c r="BL31" s="185" t="str">
        <f t="shared" ref="BL31:BM31" si="103">IF($D31,"🔒",)</f>
        <v/>
      </c>
      <c r="BM31" s="185" t="str">
        <f t="shared" si="103"/>
        <v/>
      </c>
      <c r="BN31" s="204">
        <f>VLOOKUP(T31,'🔒 Доп. информация'!J:P,7,false)</f>
        <v>50</v>
      </c>
      <c r="BO31" s="204">
        <f>IF(AV31=data!A$9,
(AA31+AO31+AP31+BJ31+BK31+BN31)+H31*AS31,
(BJ31+BK31+BN31)+H31*AS31
)</f>
        <v>119</v>
      </c>
      <c r="BP31" s="204">
        <f t="shared" si="26"/>
        <v>69</v>
      </c>
      <c r="BQ31" s="204">
        <f t="shared" si="27"/>
        <v>320</v>
      </c>
      <c r="BR31" s="204" t="str">
        <f t="shared" si="37"/>
        <v>#N/A</v>
      </c>
      <c r="BS31" s="204" t="str">
        <f t="array" ref="BS31">IF(VLOOKUP(AT31,{'▶️ Инструкция'!C:C,'▶️ Инструкция'!Y:Y},2,FALSE)=data!A$15,
H31*(1-I31),
(H31-BR31))
*VLOOKUP(AT31,{'▶️ Инструкция'!C:C,'▶️ Инструкция'!AD:AD},2,FALSE)/(1+VLOOKUP(AT31,{'▶️ Инструкция'!C:C,'▶️ Инструкция'!AD:AD},2,FALSE))</f>
        <v>#N/A</v>
      </c>
      <c r="BT31" s="204" t="str">
        <f t="array" ref="BT31">
IF(VLOOKUP(AT31,{'▶️ Инструкция'!C:C,'▶️ Инструкция'!Y:Y},2,FALSE)=data!A$15,
H31*(1-I31)-BS31,
(H31-BR31-BS31))
*
VLOOKUP(AT31,{'▶️ Инструкция'!C:C,'▶️ Инструкция'!R:R},2,FALSE)
+BS31</f>
        <v>#N/A</v>
      </c>
      <c r="BU31" s="204" t="str">
        <f>(G31*AR31)+if(AV31=data!A$9,AO31,AN31)+AP31+BR31+BT31</f>
        <v>#N/A</v>
      </c>
      <c r="BV31" s="204" t="str">
        <f>(G31*AR31)+if(AV31=data!A$9,AO31,AN31)+AP31+BT31+G31</f>
        <v>#N/A</v>
      </c>
      <c r="BW31" s="204" t="str">
        <f t="shared" si="28"/>
        <v>#N/A</v>
      </c>
      <c r="BX31" s="204" t="str">
        <f t="shared" si="29"/>
        <v>#N/A</v>
      </c>
    </row>
    <row r="32">
      <c r="A32" s="165" t="str">
        <f>if(D32=true,if(F32=data!A$1,data!A$10,data!A$11),)</f>
        <v/>
      </c>
      <c r="B32" s="166" t="str">
        <f t="shared" si="4"/>
        <v>FBS</v>
      </c>
      <c r="C32" s="167" t="s">
        <v>195</v>
      </c>
      <c r="D32" s="168" t="b">
        <v>0</v>
      </c>
      <c r="E32" s="169" t="s">
        <v>204</v>
      </c>
      <c r="F32" s="170" t="str">
        <f t="array" ref="F32">IF(D32=TRUE,IF(IF(BG$3=VLOOKUP(AT32,{'▶️ Инструкция'!C:C,'▶️ Инструкция'!G:G},2,FALSE),BG32,BH32)&gt;VLOOKUP(AT32,{'▶️ Инструкция'!C:C,'▶️ Инструкция'!N:N},2,FALSE),data!A$1,data!A$2),)</f>
        <v/>
      </c>
      <c r="G32" s="171">
        <v>0.0</v>
      </c>
      <c r="H32" s="172">
        <v>1000.0</v>
      </c>
      <c r="I32" s="173">
        <v>0.0</v>
      </c>
      <c r="J32" s="173">
        <v>0.0</v>
      </c>
      <c r="K32" s="174" t="str">
        <f t="shared" si="5"/>
        <v/>
      </c>
      <c r="L32" s="175">
        <v>0.0</v>
      </c>
      <c r="M32" s="176" t="s">
        <v>197</v>
      </c>
      <c r="N32" s="177">
        <f>IFERROR(__xludf.DUMMYFUNCTION("ArrayFormula(let(category,VLOOKUP($M32, {'📄 Комиссии'!$C:$C , '📄 Комиссии'!$B:$B}, 2, 0),
data,MATCH('🔒 Доп. информация'!$J$15:$J203,TRANSPOSE(SPLIT(INDEX('▶️ Инструкция'!$Q:$Q,MATCH($AT32,'▶️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commission,VLOOKUP($M32,'📄 Комиссии'!$C:$E,IF($AV32=data!A$8,2,3),0),
IF(NOT(ISBLANK($M32)),commission/100+
IFERR"&amp;"OR(VLOOKUP($AT32,{'▶️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32" s="178" t="str">
        <f t="shared" si="6"/>
        <v/>
      </c>
      <c r="Q32" s="178" t="str">
        <f t="shared" si="7"/>
        <v/>
      </c>
      <c r="S32" s="179" t="s">
        <v>192</v>
      </c>
      <c r="T32" s="180" t="s">
        <v>193</v>
      </c>
      <c r="U32" s="181">
        <v>1.0</v>
      </c>
      <c r="V32" s="182" t="str">
        <f t="shared" ref="V32:Y32" si="104">IF($D32,"🔒",)</f>
        <v/>
      </c>
      <c r="W32" s="182" t="str">
        <f t="shared" si="104"/>
        <v/>
      </c>
      <c r="X32" s="182" t="str">
        <f t="shared" si="104"/>
        <v/>
      </c>
      <c r="Y32" s="182" t="str">
        <f t="shared" si="104"/>
        <v/>
      </c>
      <c r="Z32" s="183">
        <v>0.0</v>
      </c>
      <c r="AA32" s="184">
        <f t="shared" si="31"/>
        <v>0</v>
      </c>
      <c r="AB32" s="185" t="str">
        <f t="shared" ref="AB32:AD32" si="105">IF($D32,"🔒",)</f>
        <v/>
      </c>
      <c r="AC32" s="185" t="str">
        <f t="shared" si="105"/>
        <v/>
      </c>
      <c r="AD32" s="186" t="str">
        <f t="shared" si="105"/>
        <v/>
      </c>
      <c r="AE32" s="180">
        <v>30.0</v>
      </c>
      <c r="AF32" s="187">
        <v>0.0</v>
      </c>
      <c r="AG32" s="187">
        <v>0.0</v>
      </c>
      <c r="AH32" s="187">
        <v>0.0</v>
      </c>
      <c r="AI32" s="181">
        <f t="shared" si="10"/>
        <v>0</v>
      </c>
      <c r="AJ32" s="181">
        <f t="shared" si="11"/>
        <v>0</v>
      </c>
      <c r="AK32" s="185" t="str">
        <f t="shared" si="12"/>
        <v/>
      </c>
      <c r="AL32" s="188" t="str">
        <f t="array" ref="AL32">H32*(1-I32)*VLOOKUP(AT32,{'▶️ Инструкция'!C:C,'▶️ Инструкция'!AI:AI},2,false)</f>
        <v>#N/A</v>
      </c>
      <c r="AM32" s="186" t="str">
        <f t="shared" si="13"/>
        <v/>
      </c>
      <c r="AN32" s="189">
        <v>0.0</v>
      </c>
      <c r="AO32" s="189">
        <v>0.0</v>
      </c>
      <c r="AP32" s="189">
        <v>0.0</v>
      </c>
      <c r="AQ32" s="191">
        <v>1.0</v>
      </c>
      <c r="AR32" s="191">
        <v>0.0</v>
      </c>
      <c r="AS32" s="212">
        <v>0.0</v>
      </c>
      <c r="AT32" s="193" t="s">
        <v>206</v>
      </c>
      <c r="AU32" s="193" t="s">
        <v>121</v>
      </c>
      <c r="AV32" s="193" t="s">
        <v>199</v>
      </c>
      <c r="AW32" s="194">
        <f t="shared" si="14"/>
        <v>0</v>
      </c>
      <c r="AX32" s="195">
        <f t="shared" si="15"/>
        <v>0</v>
      </c>
      <c r="AY32" s="196" t="str">
        <f t="shared" si="16"/>
        <v>#N/A</v>
      </c>
      <c r="AZ32" s="213">
        <v>250.0</v>
      </c>
      <c r="BA32" s="196">
        <f t="shared" si="17"/>
        <v>0.25</v>
      </c>
      <c r="BB32" s="213">
        <f t="shared" si="18"/>
        <v>1000</v>
      </c>
      <c r="BC32" s="199" t="str">
        <f t="shared" si="19"/>
        <v>#N/A</v>
      </c>
      <c r="BD32" s="200" t="str">
        <f t="shared" si="20"/>
        <v>#N/A</v>
      </c>
      <c r="BE32" s="200">
        <f t="shared" si="21"/>
        <v>0</v>
      </c>
      <c r="BF32" s="201" t="str">
        <f t="shared" si="22"/>
        <v/>
      </c>
      <c r="BG32" s="201" t="str">
        <f t="shared" si="23"/>
        <v/>
      </c>
      <c r="BH32" s="202" t="str">
        <f t="shared" si="24"/>
        <v/>
      </c>
      <c r="BI32" s="203"/>
      <c r="BJ32" s="204">
        <f>IFERROR(__xludf.DUMMYFUNCTION("IF(AU32=data!A$5,
IF(AV32=data!A$8,
IF(T32=data!A$3,
VLOOKUP(S32,filter('🔒 Доп. информация'!D:H,'🔒 Доп. информация'!C:C=T32),4,FALSE)+VLOOKUP(S32,filter('🔒 Доп. информация'!D:H,'🔒 Доп. информация'!C:C=T32),5,FALSE)*AJ32,
IF(AND(MAX(AF32:AH32)&lt;80,SUM(A"&amp;"F32:AH32)&lt;=160,AI32&lt;20,XLOOKUP(M32,'📄 Комиссии'!C:C,'📄 Комиссии'!B:B)&lt;&gt;""Продукты""),
VLOOKUP(S32,filter('🔒 Доп. информация'!D:H,'🔒 Доп. информация'!C:C=data!$A$3),4,FALSE)+VLOOKUP(S32,filter('🔒 Доп. информация'!D:H,'🔒 Доп. информация'!C:C=data!$A$3"&amp;"),5,FALSE)*AJ32,
VLOOKUP(S32,filter('🔒 Доп. информация'!D:H,'🔒 Доп. информация'!C:C=T32),4,FALSE)*ROUNDUP(AF32*AG32*AH32*L32/(120*80*175))/L32)
)
*(AE32/2)
,)
,)*0"),0.0)</f>
        <v>0</v>
      </c>
      <c r="BK32" s="204">
        <f>IFERROR(__xludf.DUMMYFUNCTION("IF(AU32=data!A$5,
IF(AI32&lt;=1,IF(AI32&lt;=0.8,IF(AI32&lt;=0.6,IF(AI32&lt;=0.4,IF(AI32&lt;=0.2,23,26),29),30),32)*VLOOKUP(S32,filter('🔒 Доп. информация'!D:E,'🔒 Доп. информация'!C:C=T32),2,FALSE)/'🔒 Доп. информация'!$K$9,
IF(AV32=data!A$8,U32,1)*VLOOKUP(S32,filter('"&amp;"🔒 Доп. информация'!D:E,'🔒 Доп. информация'!C:C=T32),2,FALSE)+
IF(AV32=data!A$8,U32,1)*VLOOKUP(S32,filter('🔒 Доп. информация'!D:F,'🔒 Доп. информация'!C:C=T32),3,FALSE)*AJ32)
,0)"),69.0)</f>
        <v>69</v>
      </c>
      <c r="BL32" s="185" t="str">
        <f t="shared" ref="BL32:BM32" si="106">IF($D32,"🔒",)</f>
        <v/>
      </c>
      <c r="BM32" s="185" t="str">
        <f t="shared" si="106"/>
        <v/>
      </c>
      <c r="BN32" s="204">
        <f>VLOOKUP(T32,'🔒 Доп. информация'!J:P,7,false)</f>
        <v>50</v>
      </c>
      <c r="BO32" s="204">
        <f>IF(AV32=data!A$9,
(AA32+AO32+AP32+BJ32+BK32+BN32)+H32*AS32,
(BJ32+BK32+BN32)+H32*AS32
)</f>
        <v>119</v>
      </c>
      <c r="BP32" s="204">
        <f t="shared" si="26"/>
        <v>69</v>
      </c>
      <c r="BQ32" s="204">
        <f t="shared" si="27"/>
        <v>320</v>
      </c>
      <c r="BR32" s="204" t="str">
        <f t="shared" si="37"/>
        <v>#N/A</v>
      </c>
      <c r="BS32" s="204" t="str">
        <f t="array" ref="BS32">IF(VLOOKUP(AT32,{'▶️ Инструкция'!C:C,'▶️ Инструкция'!Y:Y},2,FALSE)=data!A$15,
H32*(1-I32),
(H32-BR32))
*VLOOKUP(AT32,{'▶️ Инструкция'!C:C,'▶️ Инструкция'!AD:AD},2,FALSE)/(1+VLOOKUP(AT32,{'▶️ Инструкция'!C:C,'▶️ Инструкция'!AD:AD},2,FALSE))</f>
        <v>#N/A</v>
      </c>
      <c r="BT32" s="204" t="str">
        <f t="array" ref="BT32">
IF(VLOOKUP(AT32,{'▶️ Инструкция'!C:C,'▶️ Инструкция'!Y:Y},2,FALSE)=data!A$15,
H32*(1-I32)-BS32,
(H32-BR32-BS32))
*
VLOOKUP(AT32,{'▶️ Инструкция'!C:C,'▶️ Инструкция'!R:R},2,FALSE)
+BS32</f>
        <v>#N/A</v>
      </c>
      <c r="BU32" s="204" t="str">
        <f>(G32*AR32)+if(AV32=data!A$9,AO32,AN32)+AP32+BR32+BT32</f>
        <v>#N/A</v>
      </c>
      <c r="BV32" s="204" t="str">
        <f>(G32*AR32)+if(AV32=data!A$9,AO32,AN32)+AP32+BT32+G32</f>
        <v>#N/A</v>
      </c>
      <c r="BW32" s="204" t="str">
        <f t="shared" si="28"/>
        <v>#N/A</v>
      </c>
      <c r="BX32" s="204" t="str">
        <f t="shared" si="29"/>
        <v>#N/A</v>
      </c>
    </row>
    <row r="33">
      <c r="A33" s="165" t="str">
        <f>if(D33=true,if(F33=data!A$1,data!A$10,data!A$11),)</f>
        <v/>
      </c>
      <c r="B33" s="166" t="str">
        <f t="shared" si="4"/>
        <v>FBS</v>
      </c>
      <c r="C33" s="167" t="s">
        <v>195</v>
      </c>
      <c r="D33" s="168" t="b">
        <v>0</v>
      </c>
      <c r="E33" s="169" t="s">
        <v>204</v>
      </c>
      <c r="F33" s="170" t="str">
        <f t="array" ref="F33">IF(D33=TRUE,IF(IF(BG$3=VLOOKUP(AT33,{'▶️ Инструкция'!C:C,'▶️ Инструкция'!G:G},2,FALSE),BG33,BH33)&gt;VLOOKUP(AT33,{'▶️ Инструкция'!C:C,'▶️ Инструкция'!N:N},2,FALSE),data!A$1,data!A$2),)</f>
        <v/>
      </c>
      <c r="G33" s="171">
        <v>0.0</v>
      </c>
      <c r="H33" s="172">
        <v>1000.0</v>
      </c>
      <c r="I33" s="173">
        <v>0.0</v>
      </c>
      <c r="J33" s="173">
        <v>0.0</v>
      </c>
      <c r="K33" s="174" t="str">
        <f t="shared" si="5"/>
        <v/>
      </c>
      <c r="L33" s="175">
        <v>0.0</v>
      </c>
      <c r="M33" s="176" t="s">
        <v>197</v>
      </c>
      <c r="N33" s="177">
        <f>IFERROR(__xludf.DUMMYFUNCTION("ArrayFormula(let(category,VLOOKUP($M33, {'📄 Комиссии'!$C:$C , '📄 Комиссии'!$B:$B}, 2, 0),
data,MATCH('🔒 Доп. информация'!$J$15:$J203,TRANSPOSE(SPLIT(INDEX('▶️ Инструкция'!$Q:$Q,MATCH($AT33,'▶️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commission,VLOOKUP($M33,'📄 Комиссии'!$C:$E,IF($AV33=data!A$8,2,3),0),
IF(NOT(ISBLANK($M33)),commission/100+
IFERR"&amp;"OR(VLOOKUP($AT33,{'▶️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33" s="178" t="str">
        <f t="shared" si="6"/>
        <v/>
      </c>
      <c r="Q33" s="178" t="str">
        <f t="shared" si="7"/>
        <v/>
      </c>
      <c r="S33" s="179" t="s">
        <v>192</v>
      </c>
      <c r="T33" s="180" t="s">
        <v>193</v>
      </c>
      <c r="U33" s="181">
        <v>1.0</v>
      </c>
      <c r="V33" s="182" t="str">
        <f t="shared" ref="V33:Y33" si="107">IF($D33,"🔒",)</f>
        <v/>
      </c>
      <c r="W33" s="182" t="str">
        <f t="shared" si="107"/>
        <v/>
      </c>
      <c r="X33" s="182" t="str">
        <f t="shared" si="107"/>
        <v/>
      </c>
      <c r="Y33" s="182" t="str">
        <f t="shared" si="107"/>
        <v/>
      </c>
      <c r="Z33" s="183">
        <v>0.0</v>
      </c>
      <c r="AA33" s="184">
        <f t="shared" si="31"/>
        <v>0</v>
      </c>
      <c r="AB33" s="185" t="str">
        <f t="shared" ref="AB33:AD33" si="108">IF($D33,"🔒",)</f>
        <v/>
      </c>
      <c r="AC33" s="185" t="str">
        <f t="shared" si="108"/>
        <v/>
      </c>
      <c r="AD33" s="186" t="str">
        <f t="shared" si="108"/>
        <v/>
      </c>
      <c r="AE33" s="180">
        <v>30.0</v>
      </c>
      <c r="AF33" s="187">
        <v>0.0</v>
      </c>
      <c r="AG33" s="187">
        <v>0.0</v>
      </c>
      <c r="AH33" s="187">
        <v>0.0</v>
      </c>
      <c r="AI33" s="181">
        <f t="shared" si="10"/>
        <v>0</v>
      </c>
      <c r="AJ33" s="181">
        <f t="shared" si="11"/>
        <v>0</v>
      </c>
      <c r="AK33" s="185" t="str">
        <f t="shared" si="12"/>
        <v/>
      </c>
      <c r="AL33" s="188" t="str">
        <f t="array" ref="AL33">H33*(1-I33)*VLOOKUP(AT33,{'▶️ Инструкция'!C:C,'▶️ Инструкция'!AI:AI},2,false)</f>
        <v>#N/A</v>
      </c>
      <c r="AM33" s="186" t="str">
        <f t="shared" si="13"/>
        <v/>
      </c>
      <c r="AN33" s="189">
        <v>0.0</v>
      </c>
      <c r="AO33" s="189">
        <v>0.0</v>
      </c>
      <c r="AP33" s="189">
        <v>0.0</v>
      </c>
      <c r="AQ33" s="191">
        <v>1.0</v>
      </c>
      <c r="AR33" s="191">
        <v>0.0</v>
      </c>
      <c r="AS33" s="212">
        <v>0.0</v>
      </c>
      <c r="AT33" s="193" t="s">
        <v>206</v>
      </c>
      <c r="AU33" s="193" t="s">
        <v>121</v>
      </c>
      <c r="AV33" s="193" t="s">
        <v>199</v>
      </c>
      <c r="AW33" s="194">
        <f t="shared" si="14"/>
        <v>0</v>
      </c>
      <c r="AX33" s="195">
        <f t="shared" si="15"/>
        <v>0</v>
      </c>
      <c r="AY33" s="196" t="str">
        <f t="shared" si="16"/>
        <v>#N/A</v>
      </c>
      <c r="AZ33" s="213">
        <v>250.0</v>
      </c>
      <c r="BA33" s="196">
        <f t="shared" si="17"/>
        <v>0.25</v>
      </c>
      <c r="BB33" s="213">
        <f t="shared" si="18"/>
        <v>1000</v>
      </c>
      <c r="BC33" s="199" t="str">
        <f t="shared" si="19"/>
        <v>#N/A</v>
      </c>
      <c r="BD33" s="200" t="str">
        <f t="shared" si="20"/>
        <v>#N/A</v>
      </c>
      <c r="BE33" s="200">
        <f t="shared" si="21"/>
        <v>0</v>
      </c>
      <c r="BF33" s="201" t="str">
        <f t="shared" si="22"/>
        <v/>
      </c>
      <c r="BG33" s="201" t="str">
        <f t="shared" si="23"/>
        <v/>
      </c>
      <c r="BH33" s="202" t="str">
        <f t="shared" si="24"/>
        <v/>
      </c>
      <c r="BI33" s="203"/>
      <c r="BJ33" s="204">
        <f>IFERROR(__xludf.DUMMYFUNCTION("IF(AU33=data!A$5,
IF(AV33=data!A$8,
IF(T33=data!A$3,
VLOOKUP(S33,filter('🔒 Доп. информация'!D:H,'🔒 Доп. информация'!C:C=T33),4,FALSE)+VLOOKUP(S33,filter('🔒 Доп. информация'!D:H,'🔒 Доп. информация'!C:C=T33),5,FALSE)*AJ33,
IF(AND(MAX(AF33:AH33)&lt;80,SUM(A"&amp;"F33:AH33)&lt;=160,AI33&lt;20,XLOOKUP(M33,'📄 Комиссии'!C:C,'📄 Комиссии'!B:B)&lt;&gt;""Продукты""),
VLOOKUP(S33,filter('🔒 Доп. информация'!D:H,'🔒 Доп. информация'!C:C=data!$A$3),4,FALSE)+VLOOKUP(S33,filter('🔒 Доп. информация'!D:H,'🔒 Доп. информация'!C:C=data!$A$3"&amp;"),5,FALSE)*AJ33,
VLOOKUP(S33,filter('🔒 Доп. информация'!D:H,'🔒 Доп. информация'!C:C=T33),4,FALSE)*ROUNDUP(AF33*AG33*AH33*L33/(120*80*175))/L33)
)
*(AE33/2)
,)
,)*0"),0.0)</f>
        <v>0</v>
      </c>
      <c r="BK33" s="204">
        <f>IFERROR(__xludf.DUMMYFUNCTION("IF(AU33=data!A$5,
IF(AI33&lt;=1,IF(AI33&lt;=0.8,IF(AI33&lt;=0.6,IF(AI33&lt;=0.4,IF(AI33&lt;=0.2,23,26),29),30),32)*VLOOKUP(S33,filter('🔒 Доп. информация'!D:E,'🔒 Доп. информация'!C:C=T33),2,FALSE)/'🔒 Доп. информация'!$K$9,
IF(AV33=data!A$8,U33,1)*VLOOKUP(S33,filter('"&amp;"🔒 Доп. информация'!D:E,'🔒 Доп. информация'!C:C=T33),2,FALSE)+
IF(AV33=data!A$8,U33,1)*VLOOKUP(S33,filter('🔒 Доп. информация'!D:F,'🔒 Доп. информация'!C:C=T33),3,FALSE)*AJ33)
,0)"),69.0)</f>
        <v>69</v>
      </c>
      <c r="BL33" s="185" t="str">
        <f t="shared" ref="BL33:BM33" si="109">IF($D33,"🔒",)</f>
        <v/>
      </c>
      <c r="BM33" s="185" t="str">
        <f t="shared" si="109"/>
        <v/>
      </c>
      <c r="BN33" s="204">
        <f>VLOOKUP(T33,'🔒 Доп. информация'!J:P,7,false)</f>
        <v>50</v>
      </c>
      <c r="BO33" s="204">
        <f>IF(AV33=data!A$9,
(AA33+AO33+AP33+BJ33+BK33+BN33)+H33*AS33,
(BJ33+BK33+BN33)+H33*AS33
)</f>
        <v>119</v>
      </c>
      <c r="BP33" s="204">
        <f t="shared" si="26"/>
        <v>69</v>
      </c>
      <c r="BQ33" s="204">
        <f t="shared" si="27"/>
        <v>320</v>
      </c>
      <c r="BR33" s="204" t="str">
        <f t="shared" si="37"/>
        <v>#N/A</v>
      </c>
      <c r="BS33" s="204" t="str">
        <f t="array" ref="BS33">IF(VLOOKUP(AT33,{'▶️ Инструкция'!C:C,'▶️ Инструкция'!Y:Y},2,FALSE)=data!A$15,
H33*(1-I33),
(H33-BR33))
*VLOOKUP(AT33,{'▶️ Инструкция'!C:C,'▶️ Инструкция'!AD:AD},2,FALSE)/(1+VLOOKUP(AT33,{'▶️ Инструкция'!C:C,'▶️ Инструкция'!AD:AD},2,FALSE))</f>
        <v>#N/A</v>
      </c>
      <c r="BT33" s="204" t="str">
        <f t="array" ref="BT33">
IF(VLOOKUP(AT33,{'▶️ Инструкция'!C:C,'▶️ Инструкция'!Y:Y},2,FALSE)=data!A$15,
H33*(1-I33)-BS33,
(H33-BR33-BS33))
*
VLOOKUP(AT33,{'▶️ Инструкция'!C:C,'▶️ Инструкция'!R:R},2,FALSE)
+BS33</f>
        <v>#N/A</v>
      </c>
      <c r="BU33" s="204" t="str">
        <f>(G33*AR33)+if(AV33=data!A$9,AO33,AN33)+AP33+BR33+BT33</f>
        <v>#N/A</v>
      </c>
      <c r="BV33" s="204" t="str">
        <f>(G33*AR33)+if(AV33=data!A$9,AO33,AN33)+AP33+BT33+G33</f>
        <v>#N/A</v>
      </c>
      <c r="BW33" s="204" t="str">
        <f t="shared" si="28"/>
        <v>#N/A</v>
      </c>
      <c r="BX33" s="204" t="str">
        <f t="shared" si="29"/>
        <v>#N/A</v>
      </c>
    </row>
    <row r="34">
      <c r="A34" s="165" t="str">
        <f>if(D34=true,if(F34=data!A$1,data!A$10,data!A$11),)</f>
        <v/>
      </c>
      <c r="B34" s="166" t="str">
        <f t="shared" si="4"/>
        <v>FBS</v>
      </c>
      <c r="C34" s="167" t="s">
        <v>195</v>
      </c>
      <c r="D34" s="168" t="b">
        <v>0</v>
      </c>
      <c r="E34" s="169" t="s">
        <v>204</v>
      </c>
      <c r="F34" s="170" t="str">
        <f t="array" ref="F34">IF(D34=TRUE,IF(IF(BG$3=VLOOKUP(AT34,{'▶️ Инструкция'!C:C,'▶️ Инструкция'!G:G},2,FALSE),BG34,BH34)&gt;VLOOKUP(AT34,{'▶️ Инструкция'!C:C,'▶️ Инструкция'!N:N},2,FALSE),data!A$1,data!A$2),)</f>
        <v/>
      </c>
      <c r="G34" s="171">
        <v>0.0</v>
      </c>
      <c r="H34" s="172">
        <v>1000.0</v>
      </c>
      <c r="I34" s="173">
        <v>0.0</v>
      </c>
      <c r="J34" s="173">
        <v>0.0</v>
      </c>
      <c r="K34" s="174" t="str">
        <f t="shared" si="5"/>
        <v/>
      </c>
      <c r="L34" s="175">
        <v>0.0</v>
      </c>
      <c r="M34" s="176" t="s">
        <v>197</v>
      </c>
      <c r="N34" s="177">
        <f>IFERROR(__xludf.DUMMYFUNCTION("ArrayFormula(let(category,VLOOKUP($M34, {'📄 Комиссии'!$C:$C , '📄 Комиссии'!$B:$B}, 2, 0),
data,MATCH('🔒 Доп. информация'!$J$15:$J203,TRANSPOSE(SPLIT(INDEX('▶️ Инструкция'!$Q:$Q,MATCH($AT34,'▶️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commission,VLOOKUP($M34,'📄 Комиссии'!$C:$E,IF($AV34=data!A$8,2,3),0),
IF(NOT(ISBLANK($M34)),commission/100+
IFERR"&amp;"OR(VLOOKUP($AT34,{'▶️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34" s="178" t="str">
        <f t="shared" si="6"/>
        <v/>
      </c>
      <c r="Q34" s="178" t="str">
        <f t="shared" si="7"/>
        <v/>
      </c>
      <c r="S34" s="179" t="s">
        <v>192</v>
      </c>
      <c r="T34" s="180" t="s">
        <v>193</v>
      </c>
      <c r="U34" s="181">
        <v>1.0</v>
      </c>
      <c r="V34" s="182" t="str">
        <f t="shared" ref="V34:Y34" si="110">IF($D34,"🔒",)</f>
        <v/>
      </c>
      <c r="W34" s="182" t="str">
        <f t="shared" si="110"/>
        <v/>
      </c>
      <c r="X34" s="182" t="str">
        <f t="shared" si="110"/>
        <v/>
      </c>
      <c r="Y34" s="182" t="str">
        <f t="shared" si="110"/>
        <v/>
      </c>
      <c r="Z34" s="183">
        <v>0.0</v>
      </c>
      <c r="AA34" s="184">
        <f t="shared" si="31"/>
        <v>0</v>
      </c>
      <c r="AB34" s="185" t="str">
        <f t="shared" ref="AB34:AD34" si="111">IF($D34,"🔒",)</f>
        <v/>
      </c>
      <c r="AC34" s="185" t="str">
        <f t="shared" si="111"/>
        <v/>
      </c>
      <c r="AD34" s="186" t="str">
        <f t="shared" si="111"/>
        <v/>
      </c>
      <c r="AE34" s="180">
        <v>30.0</v>
      </c>
      <c r="AF34" s="187">
        <v>0.0</v>
      </c>
      <c r="AG34" s="187">
        <v>0.0</v>
      </c>
      <c r="AH34" s="187">
        <v>0.0</v>
      </c>
      <c r="AI34" s="181">
        <f t="shared" si="10"/>
        <v>0</v>
      </c>
      <c r="AJ34" s="181">
        <f t="shared" si="11"/>
        <v>0</v>
      </c>
      <c r="AK34" s="185" t="str">
        <f t="shared" si="12"/>
        <v/>
      </c>
      <c r="AL34" s="188" t="str">
        <f t="array" ref="AL34">H34*(1-I34)*VLOOKUP(AT34,{'▶️ Инструкция'!C:C,'▶️ Инструкция'!AI:AI},2,false)</f>
        <v>#N/A</v>
      </c>
      <c r="AM34" s="186" t="str">
        <f t="shared" si="13"/>
        <v/>
      </c>
      <c r="AN34" s="189">
        <v>0.0</v>
      </c>
      <c r="AO34" s="189">
        <v>0.0</v>
      </c>
      <c r="AP34" s="189">
        <v>0.0</v>
      </c>
      <c r="AQ34" s="191">
        <v>1.0</v>
      </c>
      <c r="AR34" s="191">
        <v>0.0</v>
      </c>
      <c r="AS34" s="212">
        <v>0.0</v>
      </c>
      <c r="AT34" s="193" t="s">
        <v>206</v>
      </c>
      <c r="AU34" s="193" t="s">
        <v>121</v>
      </c>
      <c r="AV34" s="193" t="s">
        <v>199</v>
      </c>
      <c r="AW34" s="194">
        <f t="shared" si="14"/>
        <v>0</v>
      </c>
      <c r="AX34" s="195">
        <f t="shared" si="15"/>
        <v>0</v>
      </c>
      <c r="AY34" s="196" t="str">
        <f t="shared" si="16"/>
        <v>#N/A</v>
      </c>
      <c r="AZ34" s="213">
        <v>250.0</v>
      </c>
      <c r="BA34" s="196">
        <f t="shared" si="17"/>
        <v>0.25</v>
      </c>
      <c r="BB34" s="213">
        <f t="shared" si="18"/>
        <v>1000</v>
      </c>
      <c r="BC34" s="199" t="str">
        <f t="shared" si="19"/>
        <v>#N/A</v>
      </c>
      <c r="BD34" s="200" t="str">
        <f t="shared" si="20"/>
        <v>#N/A</v>
      </c>
      <c r="BE34" s="200">
        <f t="shared" si="21"/>
        <v>0</v>
      </c>
      <c r="BF34" s="201" t="str">
        <f t="shared" si="22"/>
        <v/>
      </c>
      <c r="BG34" s="201" t="str">
        <f t="shared" si="23"/>
        <v/>
      </c>
      <c r="BH34" s="202" t="str">
        <f t="shared" si="24"/>
        <v/>
      </c>
      <c r="BI34" s="203"/>
      <c r="BJ34" s="204">
        <f>IFERROR(__xludf.DUMMYFUNCTION("IF(AU34=data!A$5,
IF(AV34=data!A$8,
IF(T34=data!A$3,
VLOOKUP(S34,filter('🔒 Доп. информация'!D:H,'🔒 Доп. информация'!C:C=T34),4,FALSE)+VLOOKUP(S34,filter('🔒 Доп. информация'!D:H,'🔒 Доп. информация'!C:C=T34),5,FALSE)*AJ34,
IF(AND(MAX(AF34:AH34)&lt;80,SUM(A"&amp;"F34:AH34)&lt;=160,AI34&lt;20,XLOOKUP(M34,'📄 Комиссии'!C:C,'📄 Комиссии'!B:B)&lt;&gt;""Продукты""),
VLOOKUP(S34,filter('🔒 Доп. информация'!D:H,'🔒 Доп. информация'!C:C=data!$A$3),4,FALSE)+VLOOKUP(S34,filter('🔒 Доп. информация'!D:H,'🔒 Доп. информация'!C:C=data!$A$3"&amp;"),5,FALSE)*AJ34,
VLOOKUP(S34,filter('🔒 Доп. информация'!D:H,'🔒 Доп. информация'!C:C=T34),4,FALSE)*ROUNDUP(AF34*AG34*AH34*L34/(120*80*175))/L34)
)
*(AE34/2)
,)
,)*0"),0.0)</f>
        <v>0</v>
      </c>
      <c r="BK34" s="204">
        <f>IFERROR(__xludf.DUMMYFUNCTION("IF(AU34=data!A$5,
IF(AI34&lt;=1,IF(AI34&lt;=0.8,IF(AI34&lt;=0.6,IF(AI34&lt;=0.4,IF(AI34&lt;=0.2,23,26),29),30),32)*VLOOKUP(S34,filter('🔒 Доп. информация'!D:E,'🔒 Доп. информация'!C:C=T34),2,FALSE)/'🔒 Доп. информация'!$K$9,
IF(AV34=data!A$8,U34,1)*VLOOKUP(S34,filter('"&amp;"🔒 Доп. информация'!D:E,'🔒 Доп. информация'!C:C=T34),2,FALSE)+
IF(AV34=data!A$8,U34,1)*VLOOKUP(S34,filter('🔒 Доп. информация'!D:F,'🔒 Доп. информация'!C:C=T34),3,FALSE)*AJ34)
,0)"),69.0)</f>
        <v>69</v>
      </c>
      <c r="BL34" s="185" t="str">
        <f t="shared" ref="BL34:BM34" si="112">IF($D34,"🔒",)</f>
        <v/>
      </c>
      <c r="BM34" s="185" t="str">
        <f t="shared" si="112"/>
        <v/>
      </c>
      <c r="BN34" s="204">
        <f>VLOOKUP(T34,'🔒 Доп. информация'!J:P,7,false)</f>
        <v>50</v>
      </c>
      <c r="BO34" s="204">
        <f>IF(AV34=data!A$9,
(AA34+AO34+AP34+BJ34+BK34+BN34)+H34*AS34,
(BJ34+BK34+BN34)+H34*AS34
)</f>
        <v>119</v>
      </c>
      <c r="BP34" s="204">
        <f t="shared" si="26"/>
        <v>69</v>
      </c>
      <c r="BQ34" s="204">
        <f t="shared" si="27"/>
        <v>320</v>
      </c>
      <c r="BR34" s="204" t="str">
        <f t="shared" si="37"/>
        <v>#N/A</v>
      </c>
      <c r="BS34" s="204" t="str">
        <f t="array" ref="BS34">IF(VLOOKUP(AT34,{'▶️ Инструкция'!C:C,'▶️ Инструкция'!Y:Y},2,FALSE)=data!A$15,
H34*(1-I34),
(H34-BR34))
*VLOOKUP(AT34,{'▶️ Инструкция'!C:C,'▶️ Инструкция'!AD:AD},2,FALSE)/(1+VLOOKUP(AT34,{'▶️ Инструкция'!C:C,'▶️ Инструкция'!AD:AD},2,FALSE))</f>
        <v>#N/A</v>
      </c>
      <c r="BT34" s="204" t="str">
        <f t="array" ref="BT34">
IF(VLOOKUP(AT34,{'▶️ Инструкция'!C:C,'▶️ Инструкция'!Y:Y},2,FALSE)=data!A$15,
H34*(1-I34)-BS34,
(H34-BR34-BS34))
*
VLOOKUP(AT34,{'▶️ Инструкция'!C:C,'▶️ Инструкция'!R:R},2,FALSE)
+BS34</f>
        <v>#N/A</v>
      </c>
      <c r="BU34" s="204" t="str">
        <f>(G34*AR34)+if(AV34=data!A$9,AO34,AN34)+AP34+BR34+BT34</f>
        <v>#N/A</v>
      </c>
      <c r="BV34" s="204" t="str">
        <f>(G34*AR34)+if(AV34=data!A$9,AO34,AN34)+AP34+BT34+G34</f>
        <v>#N/A</v>
      </c>
      <c r="BW34" s="204" t="str">
        <f t="shared" si="28"/>
        <v>#N/A</v>
      </c>
      <c r="BX34" s="204" t="str">
        <f t="shared" si="29"/>
        <v>#N/A</v>
      </c>
    </row>
    <row r="35">
      <c r="A35" s="165" t="str">
        <f>if(D35=true,if(F35=data!A$1,data!A$10,data!A$11),)</f>
        <v/>
      </c>
      <c r="B35" s="166" t="str">
        <f t="shared" si="4"/>
        <v>FBS</v>
      </c>
      <c r="C35" s="167" t="s">
        <v>195</v>
      </c>
      <c r="D35" s="168" t="b">
        <v>0</v>
      </c>
      <c r="E35" s="169" t="s">
        <v>204</v>
      </c>
      <c r="F35" s="170" t="str">
        <f t="array" ref="F35">IF(D35=TRUE,IF(IF(BG$3=VLOOKUP(AT35,{'▶️ Инструкция'!C:C,'▶️ Инструкция'!G:G},2,FALSE),BG35,BH35)&gt;VLOOKUP(AT35,{'▶️ Инструкция'!C:C,'▶️ Инструкция'!N:N},2,FALSE),data!A$1,data!A$2),)</f>
        <v/>
      </c>
      <c r="G35" s="171">
        <v>0.0</v>
      </c>
      <c r="H35" s="172">
        <v>1000.0</v>
      </c>
      <c r="I35" s="173">
        <v>0.0</v>
      </c>
      <c r="J35" s="173">
        <v>0.0</v>
      </c>
      <c r="K35" s="174" t="str">
        <f t="shared" si="5"/>
        <v/>
      </c>
      <c r="L35" s="175">
        <v>0.0</v>
      </c>
      <c r="M35" s="176" t="s">
        <v>197</v>
      </c>
      <c r="N35" s="177">
        <f>IFERROR(__xludf.DUMMYFUNCTION("ArrayFormula(let(category,VLOOKUP($M35, {'📄 Комиссии'!$C:$C , '📄 Комиссии'!$B:$B}, 2, 0),
data,MATCH('🔒 Доп. информация'!$J$15:$J203,TRANSPOSE(SPLIT(INDEX('▶️ Инструкция'!$Q:$Q,MATCH($AT35,'▶️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commission,VLOOKUP($M35,'📄 Комиссии'!$C:$E,IF($AV35=data!A$8,2,3),0),
IF(NOT(ISBLANK($M35)),commission/100+
IFERR"&amp;"OR(VLOOKUP($AT35,{'▶️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35" s="178" t="str">
        <f t="shared" si="6"/>
        <v/>
      </c>
      <c r="Q35" s="178" t="str">
        <f t="shared" si="7"/>
        <v/>
      </c>
      <c r="S35" s="179" t="s">
        <v>192</v>
      </c>
      <c r="T35" s="180" t="s">
        <v>193</v>
      </c>
      <c r="U35" s="181">
        <v>1.0</v>
      </c>
      <c r="V35" s="182" t="str">
        <f t="shared" ref="V35:Y35" si="113">IF($D35,"🔒",)</f>
        <v/>
      </c>
      <c r="W35" s="182" t="str">
        <f t="shared" si="113"/>
        <v/>
      </c>
      <c r="X35" s="182" t="str">
        <f t="shared" si="113"/>
        <v/>
      </c>
      <c r="Y35" s="182" t="str">
        <f t="shared" si="113"/>
        <v/>
      </c>
      <c r="Z35" s="183">
        <v>0.0</v>
      </c>
      <c r="AA35" s="184">
        <f t="shared" si="31"/>
        <v>0</v>
      </c>
      <c r="AB35" s="185" t="str">
        <f t="shared" ref="AB35:AD35" si="114">IF($D35,"🔒",)</f>
        <v/>
      </c>
      <c r="AC35" s="185" t="str">
        <f t="shared" si="114"/>
        <v/>
      </c>
      <c r="AD35" s="186" t="str">
        <f t="shared" si="114"/>
        <v/>
      </c>
      <c r="AE35" s="180">
        <v>30.0</v>
      </c>
      <c r="AF35" s="187">
        <v>0.0</v>
      </c>
      <c r="AG35" s="187">
        <v>0.0</v>
      </c>
      <c r="AH35" s="187">
        <v>0.0</v>
      </c>
      <c r="AI35" s="181">
        <f t="shared" si="10"/>
        <v>0</v>
      </c>
      <c r="AJ35" s="181">
        <f t="shared" si="11"/>
        <v>0</v>
      </c>
      <c r="AK35" s="185" t="str">
        <f t="shared" si="12"/>
        <v/>
      </c>
      <c r="AL35" s="188" t="str">
        <f t="array" ref="AL35">H35*(1-I35)*VLOOKUP(AT35,{'▶️ Инструкция'!C:C,'▶️ Инструкция'!AI:AI},2,false)</f>
        <v>#N/A</v>
      </c>
      <c r="AM35" s="186" t="str">
        <f t="shared" si="13"/>
        <v/>
      </c>
      <c r="AN35" s="189">
        <v>0.0</v>
      </c>
      <c r="AO35" s="189">
        <v>0.0</v>
      </c>
      <c r="AP35" s="189">
        <v>0.0</v>
      </c>
      <c r="AQ35" s="191">
        <v>1.0</v>
      </c>
      <c r="AR35" s="191">
        <v>0.0</v>
      </c>
      <c r="AS35" s="212">
        <v>0.0</v>
      </c>
      <c r="AT35" s="193" t="s">
        <v>206</v>
      </c>
      <c r="AU35" s="193" t="s">
        <v>121</v>
      </c>
      <c r="AV35" s="193" t="s">
        <v>199</v>
      </c>
      <c r="AW35" s="194">
        <f t="shared" si="14"/>
        <v>0</v>
      </c>
      <c r="AX35" s="195">
        <f t="shared" si="15"/>
        <v>0</v>
      </c>
      <c r="AY35" s="196" t="str">
        <f t="shared" si="16"/>
        <v>#N/A</v>
      </c>
      <c r="AZ35" s="213">
        <v>250.0</v>
      </c>
      <c r="BA35" s="196">
        <f t="shared" si="17"/>
        <v>0.25</v>
      </c>
      <c r="BB35" s="213">
        <f t="shared" si="18"/>
        <v>1000</v>
      </c>
      <c r="BC35" s="199" t="str">
        <f t="shared" si="19"/>
        <v>#N/A</v>
      </c>
      <c r="BD35" s="200" t="str">
        <f t="shared" si="20"/>
        <v>#N/A</v>
      </c>
      <c r="BE35" s="200">
        <f t="shared" si="21"/>
        <v>0</v>
      </c>
      <c r="BF35" s="201" t="str">
        <f t="shared" si="22"/>
        <v/>
      </c>
      <c r="BG35" s="201" t="str">
        <f t="shared" si="23"/>
        <v/>
      </c>
      <c r="BH35" s="202" t="str">
        <f t="shared" si="24"/>
        <v/>
      </c>
      <c r="BI35" s="203"/>
      <c r="BJ35" s="204">
        <f>IFERROR(__xludf.DUMMYFUNCTION("IF(AU35=data!A$5,
IF(AV35=data!A$8,
IF(T35=data!A$3,
VLOOKUP(S35,filter('🔒 Доп. информация'!D:H,'🔒 Доп. информация'!C:C=T35),4,FALSE)+VLOOKUP(S35,filter('🔒 Доп. информация'!D:H,'🔒 Доп. информация'!C:C=T35),5,FALSE)*AJ35,
IF(AND(MAX(AF35:AH35)&lt;80,SUM(A"&amp;"F35:AH35)&lt;=160,AI35&lt;20,XLOOKUP(M35,'📄 Комиссии'!C:C,'📄 Комиссии'!B:B)&lt;&gt;""Продукты""),
VLOOKUP(S35,filter('🔒 Доп. информация'!D:H,'🔒 Доп. информация'!C:C=data!$A$3),4,FALSE)+VLOOKUP(S35,filter('🔒 Доп. информация'!D:H,'🔒 Доп. информация'!C:C=data!$A$3"&amp;"),5,FALSE)*AJ35,
VLOOKUP(S35,filter('🔒 Доп. информация'!D:H,'🔒 Доп. информация'!C:C=T35),4,FALSE)*ROUNDUP(AF35*AG35*AH35*L35/(120*80*175))/L35)
)
*(AE35/2)
,)
,)*0"),0.0)</f>
        <v>0</v>
      </c>
      <c r="BK35" s="204">
        <f>IFERROR(__xludf.DUMMYFUNCTION("IF(AU35=data!A$5,
IF(AI35&lt;=1,IF(AI35&lt;=0.8,IF(AI35&lt;=0.6,IF(AI35&lt;=0.4,IF(AI35&lt;=0.2,23,26),29),30),32)*VLOOKUP(S35,filter('🔒 Доп. информация'!D:E,'🔒 Доп. информация'!C:C=T35),2,FALSE)/'🔒 Доп. информация'!$K$9,
IF(AV35=data!A$8,U35,1)*VLOOKUP(S35,filter('"&amp;"🔒 Доп. информация'!D:E,'🔒 Доп. информация'!C:C=T35),2,FALSE)+
IF(AV35=data!A$8,U35,1)*VLOOKUP(S35,filter('🔒 Доп. информация'!D:F,'🔒 Доп. информация'!C:C=T35),3,FALSE)*AJ35)
,0)"),69.0)</f>
        <v>69</v>
      </c>
      <c r="BL35" s="185" t="str">
        <f t="shared" ref="BL35:BM35" si="115">IF($D35,"🔒",)</f>
        <v/>
      </c>
      <c r="BM35" s="185" t="str">
        <f t="shared" si="115"/>
        <v/>
      </c>
      <c r="BN35" s="204">
        <f>VLOOKUP(T35,'🔒 Доп. информация'!J:P,7,false)</f>
        <v>50</v>
      </c>
      <c r="BO35" s="204">
        <f>IF(AV35=data!A$9,
(AA35+AO35+AP35+BJ35+BK35+BN35)+H35*AS35,
(BJ35+BK35+BN35)+H35*AS35
)</f>
        <v>119</v>
      </c>
      <c r="BP35" s="204">
        <f t="shared" si="26"/>
        <v>69</v>
      </c>
      <c r="BQ35" s="204">
        <f t="shared" si="27"/>
        <v>320</v>
      </c>
      <c r="BR35" s="204" t="str">
        <f t="shared" si="37"/>
        <v>#N/A</v>
      </c>
      <c r="BS35" s="204" t="str">
        <f t="array" ref="BS35">IF(VLOOKUP(AT35,{'▶️ Инструкция'!C:C,'▶️ Инструкция'!Y:Y},2,FALSE)=data!A$15,
H35*(1-I35),
(H35-BR35))
*VLOOKUP(AT35,{'▶️ Инструкция'!C:C,'▶️ Инструкция'!AD:AD},2,FALSE)/(1+VLOOKUP(AT35,{'▶️ Инструкция'!C:C,'▶️ Инструкция'!AD:AD},2,FALSE))</f>
        <v>#N/A</v>
      </c>
      <c r="BT35" s="204" t="str">
        <f t="array" ref="BT35">
IF(VLOOKUP(AT35,{'▶️ Инструкция'!C:C,'▶️ Инструкция'!Y:Y},2,FALSE)=data!A$15,
H35*(1-I35)-BS35,
(H35-BR35-BS35))
*
VLOOKUP(AT35,{'▶️ Инструкция'!C:C,'▶️ Инструкция'!R:R},2,FALSE)
+BS35</f>
        <v>#N/A</v>
      </c>
      <c r="BU35" s="204" t="str">
        <f>(G35*AR35)+if(AV35=data!A$9,AO35,AN35)+AP35+BR35+BT35</f>
        <v>#N/A</v>
      </c>
      <c r="BV35" s="204" t="str">
        <f>(G35*AR35)+if(AV35=data!A$9,AO35,AN35)+AP35+BT35+G35</f>
        <v>#N/A</v>
      </c>
      <c r="BW35" s="204" t="str">
        <f t="shared" si="28"/>
        <v>#N/A</v>
      </c>
      <c r="BX35" s="204" t="str">
        <f t="shared" si="29"/>
        <v>#N/A</v>
      </c>
    </row>
    <row r="36">
      <c r="A36" s="165" t="str">
        <f>if(D36=true,if(F36=data!A$1,data!A$10,data!A$11),)</f>
        <v/>
      </c>
      <c r="B36" s="166" t="str">
        <f t="shared" si="4"/>
        <v>FBS</v>
      </c>
      <c r="C36" s="167" t="s">
        <v>195</v>
      </c>
      <c r="D36" s="168" t="b">
        <v>0</v>
      </c>
      <c r="E36" s="169" t="s">
        <v>204</v>
      </c>
      <c r="F36" s="170" t="str">
        <f t="array" ref="F36">IF(D36=TRUE,IF(IF(BG$3=VLOOKUP(AT36,{'▶️ Инструкция'!C:C,'▶️ Инструкция'!G:G},2,FALSE),BG36,BH36)&gt;VLOOKUP(AT36,{'▶️ Инструкция'!C:C,'▶️ Инструкция'!N:N},2,FALSE),data!A$1,data!A$2),)</f>
        <v/>
      </c>
      <c r="G36" s="171">
        <v>0.0</v>
      </c>
      <c r="H36" s="172">
        <v>1000.0</v>
      </c>
      <c r="I36" s="173">
        <v>0.0</v>
      </c>
      <c r="J36" s="173">
        <v>0.0</v>
      </c>
      <c r="K36" s="174" t="str">
        <f t="shared" si="5"/>
        <v/>
      </c>
      <c r="L36" s="175">
        <v>0.0</v>
      </c>
      <c r="M36" s="176" t="s">
        <v>197</v>
      </c>
      <c r="N36" s="177">
        <f>IFERROR(__xludf.DUMMYFUNCTION("ArrayFormula(let(category,VLOOKUP($M36, {'📄 Комиссии'!$C:$C , '📄 Комиссии'!$B:$B}, 2, 0),
data,MATCH('🔒 Доп. информация'!$J$15:$J203,TRANSPOSE(SPLIT(INDEX('▶️ Инструкция'!$Q:$Q,MATCH($AT36,'▶️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commission,VLOOKUP($M36,'📄 Комиссии'!$C:$E,IF($AV36=data!A$8,2,3),0),
IF(NOT(ISBLANK($M36)),commission/100+
IFERR"&amp;"OR(VLOOKUP($AT36,{'▶️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36" s="178" t="str">
        <f t="shared" si="6"/>
        <v/>
      </c>
      <c r="Q36" s="178" t="str">
        <f t="shared" si="7"/>
        <v/>
      </c>
      <c r="S36" s="179" t="s">
        <v>192</v>
      </c>
      <c r="T36" s="180" t="s">
        <v>193</v>
      </c>
      <c r="U36" s="181">
        <v>1.0</v>
      </c>
      <c r="V36" s="182" t="str">
        <f t="shared" ref="V36:Y36" si="116">IF($D36,"🔒",)</f>
        <v/>
      </c>
      <c r="W36" s="182" t="str">
        <f t="shared" si="116"/>
        <v/>
      </c>
      <c r="X36" s="182" t="str">
        <f t="shared" si="116"/>
        <v/>
      </c>
      <c r="Y36" s="182" t="str">
        <f t="shared" si="116"/>
        <v/>
      </c>
      <c r="Z36" s="183">
        <v>0.0</v>
      </c>
      <c r="AA36" s="184">
        <f t="shared" si="31"/>
        <v>0</v>
      </c>
      <c r="AB36" s="185" t="str">
        <f t="shared" ref="AB36:AD36" si="117">IF($D36,"🔒",)</f>
        <v/>
      </c>
      <c r="AC36" s="185" t="str">
        <f t="shared" si="117"/>
        <v/>
      </c>
      <c r="AD36" s="186" t="str">
        <f t="shared" si="117"/>
        <v/>
      </c>
      <c r="AE36" s="180">
        <v>30.0</v>
      </c>
      <c r="AF36" s="187">
        <v>0.0</v>
      </c>
      <c r="AG36" s="187">
        <v>0.0</v>
      </c>
      <c r="AH36" s="187">
        <v>0.0</v>
      </c>
      <c r="AI36" s="181">
        <f t="shared" si="10"/>
        <v>0</v>
      </c>
      <c r="AJ36" s="181">
        <f t="shared" si="11"/>
        <v>0</v>
      </c>
      <c r="AK36" s="185" t="str">
        <f t="shared" si="12"/>
        <v/>
      </c>
      <c r="AL36" s="188" t="str">
        <f t="array" ref="AL36">H36*(1-I36)*VLOOKUP(AT36,{'▶️ Инструкция'!C:C,'▶️ Инструкция'!AI:AI},2,false)</f>
        <v>#N/A</v>
      </c>
      <c r="AM36" s="186" t="str">
        <f t="shared" si="13"/>
        <v/>
      </c>
      <c r="AN36" s="189">
        <v>0.0</v>
      </c>
      <c r="AO36" s="189">
        <v>0.0</v>
      </c>
      <c r="AP36" s="189">
        <v>0.0</v>
      </c>
      <c r="AQ36" s="191">
        <v>1.0</v>
      </c>
      <c r="AR36" s="191">
        <v>0.0</v>
      </c>
      <c r="AS36" s="212">
        <v>0.0</v>
      </c>
      <c r="AT36" s="193" t="s">
        <v>206</v>
      </c>
      <c r="AU36" s="193" t="s">
        <v>121</v>
      </c>
      <c r="AV36" s="193" t="s">
        <v>199</v>
      </c>
      <c r="AW36" s="194">
        <f t="shared" si="14"/>
        <v>0</v>
      </c>
      <c r="AX36" s="195">
        <f t="shared" si="15"/>
        <v>0</v>
      </c>
      <c r="AY36" s="196" t="str">
        <f t="shared" si="16"/>
        <v>#N/A</v>
      </c>
      <c r="AZ36" s="213">
        <v>250.0</v>
      </c>
      <c r="BA36" s="196">
        <f t="shared" si="17"/>
        <v>0.25</v>
      </c>
      <c r="BB36" s="213">
        <f t="shared" si="18"/>
        <v>1000</v>
      </c>
      <c r="BC36" s="199" t="str">
        <f t="shared" si="19"/>
        <v>#N/A</v>
      </c>
      <c r="BD36" s="200" t="str">
        <f t="shared" si="20"/>
        <v>#N/A</v>
      </c>
      <c r="BE36" s="200">
        <f t="shared" si="21"/>
        <v>0</v>
      </c>
      <c r="BF36" s="201" t="str">
        <f t="shared" si="22"/>
        <v/>
      </c>
      <c r="BG36" s="201" t="str">
        <f t="shared" si="23"/>
        <v/>
      </c>
      <c r="BH36" s="202" t="str">
        <f t="shared" si="24"/>
        <v/>
      </c>
      <c r="BI36" s="203"/>
      <c r="BJ36" s="204">
        <f>IFERROR(__xludf.DUMMYFUNCTION("IF(AU36=data!A$5,
IF(AV36=data!A$8,
IF(T36=data!A$3,
VLOOKUP(S36,filter('🔒 Доп. информация'!D:H,'🔒 Доп. информация'!C:C=T36),4,FALSE)+VLOOKUP(S36,filter('🔒 Доп. информация'!D:H,'🔒 Доп. информация'!C:C=T36),5,FALSE)*AJ36,
IF(AND(MAX(AF36:AH36)&lt;80,SUM(A"&amp;"F36:AH36)&lt;=160,AI36&lt;20,XLOOKUP(M36,'📄 Комиссии'!C:C,'📄 Комиссии'!B:B)&lt;&gt;""Продукты""),
VLOOKUP(S36,filter('🔒 Доп. информация'!D:H,'🔒 Доп. информация'!C:C=data!$A$3),4,FALSE)+VLOOKUP(S36,filter('🔒 Доп. информация'!D:H,'🔒 Доп. информация'!C:C=data!$A$3"&amp;"),5,FALSE)*AJ36,
VLOOKUP(S36,filter('🔒 Доп. информация'!D:H,'🔒 Доп. информация'!C:C=T36),4,FALSE)*ROUNDUP(AF36*AG36*AH36*L36/(120*80*175))/L36)
)
*(AE36/2)
,)
,)*0"),0.0)</f>
        <v>0</v>
      </c>
      <c r="BK36" s="204">
        <f>IFERROR(__xludf.DUMMYFUNCTION("IF(AU36=data!A$5,
IF(AI36&lt;=1,IF(AI36&lt;=0.8,IF(AI36&lt;=0.6,IF(AI36&lt;=0.4,IF(AI36&lt;=0.2,23,26),29),30),32)*VLOOKUP(S36,filter('🔒 Доп. информация'!D:E,'🔒 Доп. информация'!C:C=T36),2,FALSE)/'🔒 Доп. информация'!$K$9,
IF(AV36=data!A$8,U36,1)*VLOOKUP(S36,filter('"&amp;"🔒 Доп. информация'!D:E,'🔒 Доп. информация'!C:C=T36),2,FALSE)+
IF(AV36=data!A$8,U36,1)*VLOOKUP(S36,filter('🔒 Доп. информация'!D:F,'🔒 Доп. информация'!C:C=T36),3,FALSE)*AJ36)
,0)"),69.0)</f>
        <v>69</v>
      </c>
      <c r="BL36" s="185" t="str">
        <f t="shared" ref="BL36:BM36" si="118">IF($D36,"🔒",)</f>
        <v/>
      </c>
      <c r="BM36" s="185" t="str">
        <f t="shared" si="118"/>
        <v/>
      </c>
      <c r="BN36" s="204">
        <f>VLOOKUP(T36,'🔒 Доп. информация'!J:P,7,false)</f>
        <v>50</v>
      </c>
      <c r="BO36" s="204">
        <f>IF(AV36=data!A$9,
(AA36+AO36+AP36+BJ36+BK36+BN36)+H36*AS36,
(BJ36+BK36+BN36)+H36*AS36
)</f>
        <v>119</v>
      </c>
      <c r="BP36" s="204">
        <f t="shared" si="26"/>
        <v>69</v>
      </c>
      <c r="BQ36" s="204">
        <f t="shared" si="27"/>
        <v>320</v>
      </c>
      <c r="BR36" s="204" t="str">
        <f t="shared" si="37"/>
        <v>#N/A</v>
      </c>
      <c r="BS36" s="204" t="str">
        <f t="array" ref="BS36">IF(VLOOKUP(AT36,{'▶️ Инструкция'!C:C,'▶️ Инструкция'!Y:Y},2,FALSE)=data!A$15,
H36*(1-I36),
(H36-BR36))
*VLOOKUP(AT36,{'▶️ Инструкция'!C:C,'▶️ Инструкция'!AD:AD},2,FALSE)/(1+VLOOKUP(AT36,{'▶️ Инструкция'!C:C,'▶️ Инструкция'!AD:AD},2,FALSE))</f>
        <v>#N/A</v>
      </c>
      <c r="BT36" s="204" t="str">
        <f t="array" ref="BT36">
IF(VLOOKUP(AT36,{'▶️ Инструкция'!C:C,'▶️ Инструкция'!Y:Y},2,FALSE)=data!A$15,
H36*(1-I36)-BS36,
(H36-BR36-BS36))
*
VLOOKUP(AT36,{'▶️ Инструкция'!C:C,'▶️ Инструкция'!R:R},2,FALSE)
+BS36</f>
        <v>#N/A</v>
      </c>
      <c r="BU36" s="204" t="str">
        <f>(G36*AR36)+if(AV36=data!A$9,AO36,AN36)+AP36+BR36+BT36</f>
        <v>#N/A</v>
      </c>
      <c r="BV36" s="204" t="str">
        <f>(G36*AR36)+if(AV36=data!A$9,AO36,AN36)+AP36+BT36+G36</f>
        <v>#N/A</v>
      </c>
      <c r="BW36" s="204" t="str">
        <f t="shared" si="28"/>
        <v>#N/A</v>
      </c>
      <c r="BX36" s="204" t="str">
        <f t="shared" si="29"/>
        <v>#N/A</v>
      </c>
    </row>
    <row r="37">
      <c r="A37" s="165" t="str">
        <f>if(D37=true,if(F37=data!A$1,data!A$10,data!A$11),)</f>
        <v/>
      </c>
      <c r="B37" s="166" t="str">
        <f t="shared" si="4"/>
        <v>FBS</v>
      </c>
      <c r="C37" s="167" t="s">
        <v>195</v>
      </c>
      <c r="D37" s="168" t="b">
        <v>0</v>
      </c>
      <c r="E37" s="169" t="s">
        <v>204</v>
      </c>
      <c r="F37" s="170" t="str">
        <f t="array" ref="F37">IF(D37=TRUE,IF(IF(BG$3=VLOOKUP(AT37,{'▶️ Инструкция'!C:C,'▶️ Инструкция'!G:G},2,FALSE),BG37,BH37)&gt;VLOOKUP(AT37,{'▶️ Инструкция'!C:C,'▶️ Инструкция'!N:N},2,FALSE),data!A$1,data!A$2),)</f>
        <v/>
      </c>
      <c r="G37" s="171">
        <v>0.0</v>
      </c>
      <c r="H37" s="172">
        <v>1000.0</v>
      </c>
      <c r="I37" s="173">
        <v>0.0</v>
      </c>
      <c r="J37" s="173">
        <v>0.0</v>
      </c>
      <c r="K37" s="174" t="str">
        <f t="shared" si="5"/>
        <v/>
      </c>
      <c r="L37" s="175">
        <v>0.0</v>
      </c>
      <c r="M37" s="176" t="s">
        <v>197</v>
      </c>
      <c r="N37" s="177">
        <f>IFERROR(__xludf.DUMMYFUNCTION("ArrayFormula(let(category,VLOOKUP($M37, {'📄 Комиссии'!$C:$C , '📄 Комиссии'!$B:$B}, 2, 0),
data,MATCH('🔒 Доп. информация'!$J$15:$J203,TRANSPOSE(SPLIT(INDEX('▶️ Инструкция'!$Q:$Q,MATCH($AT37,'▶️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commission,VLOOKUP($M37,'📄 Комиссии'!$C:$E,IF($AV37=data!A$8,2,3),0),
IF(NOT(ISBLANK($M37)),commission/100+
IFERR"&amp;"OR(VLOOKUP($AT37,{'▶️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37" s="178" t="str">
        <f t="shared" si="6"/>
        <v/>
      </c>
      <c r="Q37" s="178" t="str">
        <f t="shared" si="7"/>
        <v/>
      </c>
      <c r="S37" s="179" t="s">
        <v>192</v>
      </c>
      <c r="T37" s="180" t="s">
        <v>193</v>
      </c>
      <c r="U37" s="181">
        <v>1.0</v>
      </c>
      <c r="V37" s="182" t="str">
        <f t="shared" ref="V37:Y37" si="119">IF($D37,"🔒",)</f>
        <v/>
      </c>
      <c r="W37" s="182" t="str">
        <f t="shared" si="119"/>
        <v/>
      </c>
      <c r="X37" s="182" t="str">
        <f t="shared" si="119"/>
        <v/>
      </c>
      <c r="Y37" s="182" t="str">
        <f t="shared" si="119"/>
        <v/>
      </c>
      <c r="Z37" s="183">
        <v>0.0</v>
      </c>
      <c r="AA37" s="184">
        <f t="shared" si="31"/>
        <v>0</v>
      </c>
      <c r="AB37" s="185" t="str">
        <f t="shared" ref="AB37:AD37" si="120">IF($D37,"🔒",)</f>
        <v/>
      </c>
      <c r="AC37" s="185" t="str">
        <f t="shared" si="120"/>
        <v/>
      </c>
      <c r="AD37" s="186" t="str">
        <f t="shared" si="120"/>
        <v/>
      </c>
      <c r="AE37" s="180">
        <v>30.0</v>
      </c>
      <c r="AF37" s="187">
        <v>0.0</v>
      </c>
      <c r="AG37" s="187">
        <v>0.0</v>
      </c>
      <c r="AH37" s="187">
        <v>0.0</v>
      </c>
      <c r="AI37" s="181">
        <f t="shared" si="10"/>
        <v>0</v>
      </c>
      <c r="AJ37" s="181">
        <f t="shared" si="11"/>
        <v>0</v>
      </c>
      <c r="AK37" s="185" t="str">
        <f t="shared" si="12"/>
        <v/>
      </c>
      <c r="AL37" s="188" t="str">
        <f t="array" ref="AL37">H37*(1-I37)*VLOOKUP(AT37,{'▶️ Инструкция'!C:C,'▶️ Инструкция'!AI:AI},2,false)</f>
        <v>#N/A</v>
      </c>
      <c r="AM37" s="186" t="str">
        <f t="shared" si="13"/>
        <v/>
      </c>
      <c r="AN37" s="189">
        <v>0.0</v>
      </c>
      <c r="AO37" s="189">
        <v>0.0</v>
      </c>
      <c r="AP37" s="189">
        <v>0.0</v>
      </c>
      <c r="AQ37" s="191">
        <v>1.0</v>
      </c>
      <c r="AR37" s="191">
        <v>0.0</v>
      </c>
      <c r="AS37" s="212">
        <v>0.0</v>
      </c>
      <c r="AT37" s="193" t="s">
        <v>206</v>
      </c>
      <c r="AU37" s="193" t="s">
        <v>121</v>
      </c>
      <c r="AV37" s="193" t="s">
        <v>199</v>
      </c>
      <c r="AW37" s="194">
        <f t="shared" si="14"/>
        <v>0</v>
      </c>
      <c r="AX37" s="195">
        <f t="shared" si="15"/>
        <v>0</v>
      </c>
      <c r="AY37" s="196" t="str">
        <f t="shared" si="16"/>
        <v>#N/A</v>
      </c>
      <c r="AZ37" s="213">
        <v>250.0</v>
      </c>
      <c r="BA37" s="196">
        <f t="shared" si="17"/>
        <v>0.25</v>
      </c>
      <c r="BB37" s="213">
        <f t="shared" si="18"/>
        <v>1000</v>
      </c>
      <c r="BC37" s="199" t="str">
        <f t="shared" si="19"/>
        <v>#N/A</v>
      </c>
      <c r="BD37" s="200" t="str">
        <f t="shared" si="20"/>
        <v>#N/A</v>
      </c>
      <c r="BE37" s="200">
        <f t="shared" si="21"/>
        <v>0</v>
      </c>
      <c r="BF37" s="201" t="str">
        <f t="shared" si="22"/>
        <v/>
      </c>
      <c r="BG37" s="201" t="str">
        <f t="shared" si="23"/>
        <v/>
      </c>
      <c r="BH37" s="202" t="str">
        <f t="shared" si="24"/>
        <v/>
      </c>
      <c r="BI37" s="203"/>
      <c r="BJ37" s="204">
        <f>IFERROR(__xludf.DUMMYFUNCTION("IF(AU37=data!A$5,
IF(AV37=data!A$8,
IF(T37=data!A$3,
VLOOKUP(S37,filter('🔒 Доп. информация'!D:H,'🔒 Доп. информация'!C:C=T37),4,FALSE)+VLOOKUP(S37,filter('🔒 Доп. информация'!D:H,'🔒 Доп. информация'!C:C=T37),5,FALSE)*AJ37,
IF(AND(MAX(AF37:AH37)&lt;80,SUM(A"&amp;"F37:AH37)&lt;=160,AI37&lt;20,XLOOKUP(M37,'📄 Комиссии'!C:C,'📄 Комиссии'!B:B)&lt;&gt;""Продукты""),
VLOOKUP(S37,filter('🔒 Доп. информация'!D:H,'🔒 Доп. информация'!C:C=data!$A$3),4,FALSE)+VLOOKUP(S37,filter('🔒 Доп. информация'!D:H,'🔒 Доп. информация'!C:C=data!$A$3"&amp;"),5,FALSE)*AJ37,
VLOOKUP(S37,filter('🔒 Доп. информация'!D:H,'🔒 Доп. информация'!C:C=T37),4,FALSE)*ROUNDUP(AF37*AG37*AH37*L37/(120*80*175))/L37)
)
*(AE37/2)
,)
,)*0"),0.0)</f>
        <v>0</v>
      </c>
      <c r="BK37" s="204">
        <f>IFERROR(__xludf.DUMMYFUNCTION("IF(AU37=data!A$5,
IF(AI37&lt;=1,IF(AI37&lt;=0.8,IF(AI37&lt;=0.6,IF(AI37&lt;=0.4,IF(AI37&lt;=0.2,23,26),29),30),32)*VLOOKUP(S37,filter('🔒 Доп. информация'!D:E,'🔒 Доп. информация'!C:C=T37),2,FALSE)/'🔒 Доп. информация'!$K$9,
IF(AV37=data!A$8,U37,1)*VLOOKUP(S37,filter('"&amp;"🔒 Доп. информация'!D:E,'🔒 Доп. информация'!C:C=T37),2,FALSE)+
IF(AV37=data!A$8,U37,1)*VLOOKUP(S37,filter('🔒 Доп. информация'!D:F,'🔒 Доп. информация'!C:C=T37),3,FALSE)*AJ37)
,0)"),69.0)</f>
        <v>69</v>
      </c>
      <c r="BL37" s="185" t="str">
        <f t="shared" ref="BL37:BM37" si="121">IF($D37,"🔒",)</f>
        <v/>
      </c>
      <c r="BM37" s="185" t="str">
        <f t="shared" si="121"/>
        <v/>
      </c>
      <c r="BN37" s="204">
        <f>VLOOKUP(T37,'🔒 Доп. информация'!J:P,7,false)</f>
        <v>50</v>
      </c>
      <c r="BO37" s="204">
        <f>IF(AV37=data!A$9,
(AA37+AO37+AP37+BJ37+BK37+BN37)+H37*AS37,
(BJ37+BK37+BN37)+H37*AS37
)</f>
        <v>119</v>
      </c>
      <c r="BP37" s="204">
        <f t="shared" si="26"/>
        <v>69</v>
      </c>
      <c r="BQ37" s="204">
        <f t="shared" si="27"/>
        <v>320</v>
      </c>
      <c r="BR37" s="204" t="str">
        <f t="shared" si="37"/>
        <v>#N/A</v>
      </c>
      <c r="BS37" s="204" t="str">
        <f t="array" ref="BS37">IF(VLOOKUP(AT37,{'▶️ Инструкция'!C:C,'▶️ Инструкция'!Y:Y},2,FALSE)=data!A$15,
H37*(1-I37),
(H37-BR37))
*VLOOKUP(AT37,{'▶️ Инструкция'!C:C,'▶️ Инструкция'!AD:AD},2,FALSE)/(1+VLOOKUP(AT37,{'▶️ Инструкция'!C:C,'▶️ Инструкция'!AD:AD},2,FALSE))</f>
        <v>#N/A</v>
      </c>
      <c r="BT37" s="204" t="str">
        <f t="array" ref="BT37">
IF(VLOOKUP(AT37,{'▶️ Инструкция'!C:C,'▶️ Инструкция'!Y:Y},2,FALSE)=data!A$15,
H37*(1-I37)-BS37,
(H37-BR37-BS37))
*
VLOOKUP(AT37,{'▶️ Инструкция'!C:C,'▶️ Инструкция'!R:R},2,FALSE)
+BS37</f>
        <v>#N/A</v>
      </c>
      <c r="BU37" s="204" t="str">
        <f>(G37*AR37)+if(AV37=data!A$9,AO37,AN37)+AP37+BR37+BT37</f>
        <v>#N/A</v>
      </c>
      <c r="BV37" s="204" t="str">
        <f>(G37*AR37)+if(AV37=data!A$9,AO37,AN37)+AP37+BT37+G37</f>
        <v>#N/A</v>
      </c>
      <c r="BW37" s="204" t="str">
        <f t="shared" si="28"/>
        <v>#N/A</v>
      </c>
      <c r="BX37" s="204" t="str">
        <f t="shared" si="29"/>
        <v>#N/A</v>
      </c>
    </row>
    <row r="38">
      <c r="A38" s="165" t="str">
        <f>if(D38=true,if(F38=data!A$1,data!A$10,data!A$11),)</f>
        <v/>
      </c>
      <c r="B38" s="166" t="str">
        <f t="shared" si="4"/>
        <v>FBS</v>
      </c>
      <c r="C38" s="167" t="s">
        <v>195</v>
      </c>
      <c r="D38" s="168" t="b">
        <v>0</v>
      </c>
      <c r="E38" s="169" t="s">
        <v>204</v>
      </c>
      <c r="F38" s="170" t="str">
        <f t="array" ref="F38">IF(D38=TRUE,IF(IF(BG$3=VLOOKUP(AT38,{'▶️ Инструкция'!C:C,'▶️ Инструкция'!G:G},2,FALSE),BG38,BH38)&gt;VLOOKUP(AT38,{'▶️ Инструкция'!C:C,'▶️ Инструкция'!N:N},2,FALSE),data!A$1,data!A$2),)</f>
        <v/>
      </c>
      <c r="G38" s="171">
        <v>0.0</v>
      </c>
      <c r="H38" s="172">
        <v>1000.0</v>
      </c>
      <c r="I38" s="173">
        <v>0.0</v>
      </c>
      <c r="J38" s="173">
        <v>0.0</v>
      </c>
      <c r="K38" s="174" t="str">
        <f t="shared" si="5"/>
        <v/>
      </c>
      <c r="L38" s="175">
        <v>0.0</v>
      </c>
      <c r="M38" s="176" t="s">
        <v>197</v>
      </c>
      <c r="N38" s="177">
        <f>IFERROR(__xludf.DUMMYFUNCTION("ArrayFormula(let(category,VLOOKUP($M38, {'📄 Комиссии'!$C:$C , '📄 Комиссии'!$B:$B}, 2, 0),
data,MATCH('🔒 Доп. информация'!$J$15:$J203,TRANSPOSE(SPLIT(INDEX('▶️ Инструкция'!$Q:$Q,MATCH($AT38,'▶️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commission,VLOOKUP($M38,'📄 Комиссии'!$C:$E,IF($AV38=data!A$8,2,3),0),
IF(NOT(ISBLANK($M38)),commission/100+
IFERR"&amp;"OR(VLOOKUP($AT38,{'▶️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38" s="178" t="str">
        <f t="shared" si="6"/>
        <v/>
      </c>
      <c r="Q38" s="178" t="str">
        <f t="shared" si="7"/>
        <v/>
      </c>
      <c r="S38" s="179" t="s">
        <v>192</v>
      </c>
      <c r="T38" s="180" t="s">
        <v>193</v>
      </c>
      <c r="U38" s="181">
        <v>1.0</v>
      </c>
      <c r="V38" s="182" t="str">
        <f t="shared" ref="V38:Y38" si="122">IF($D38,"🔒",)</f>
        <v/>
      </c>
      <c r="W38" s="182" t="str">
        <f t="shared" si="122"/>
        <v/>
      </c>
      <c r="X38" s="182" t="str">
        <f t="shared" si="122"/>
        <v/>
      </c>
      <c r="Y38" s="182" t="str">
        <f t="shared" si="122"/>
        <v/>
      </c>
      <c r="Z38" s="183">
        <v>0.0</v>
      </c>
      <c r="AA38" s="184">
        <f t="shared" si="31"/>
        <v>0</v>
      </c>
      <c r="AB38" s="185" t="str">
        <f t="shared" ref="AB38:AD38" si="123">IF($D38,"🔒",)</f>
        <v/>
      </c>
      <c r="AC38" s="185" t="str">
        <f t="shared" si="123"/>
        <v/>
      </c>
      <c r="AD38" s="186" t="str">
        <f t="shared" si="123"/>
        <v/>
      </c>
      <c r="AE38" s="180">
        <v>30.0</v>
      </c>
      <c r="AF38" s="187">
        <v>0.0</v>
      </c>
      <c r="AG38" s="187">
        <v>0.0</v>
      </c>
      <c r="AH38" s="187">
        <v>0.0</v>
      </c>
      <c r="AI38" s="181">
        <f t="shared" si="10"/>
        <v>0</v>
      </c>
      <c r="AJ38" s="181">
        <f t="shared" si="11"/>
        <v>0</v>
      </c>
      <c r="AK38" s="185" t="str">
        <f t="shared" si="12"/>
        <v/>
      </c>
      <c r="AL38" s="188" t="str">
        <f t="array" ref="AL38">H38*(1-I38)*VLOOKUP(AT38,{'▶️ Инструкция'!C:C,'▶️ Инструкция'!AI:AI},2,false)</f>
        <v>#N/A</v>
      </c>
      <c r="AM38" s="186" t="str">
        <f t="shared" si="13"/>
        <v/>
      </c>
      <c r="AN38" s="189">
        <v>0.0</v>
      </c>
      <c r="AO38" s="189">
        <v>0.0</v>
      </c>
      <c r="AP38" s="189">
        <v>0.0</v>
      </c>
      <c r="AQ38" s="191">
        <v>1.0</v>
      </c>
      <c r="AR38" s="191">
        <v>0.0</v>
      </c>
      <c r="AS38" s="212">
        <v>0.0</v>
      </c>
      <c r="AT38" s="193" t="s">
        <v>206</v>
      </c>
      <c r="AU38" s="193" t="s">
        <v>121</v>
      </c>
      <c r="AV38" s="193" t="s">
        <v>199</v>
      </c>
      <c r="AW38" s="194">
        <f t="shared" si="14"/>
        <v>0</v>
      </c>
      <c r="AX38" s="195">
        <f t="shared" si="15"/>
        <v>0</v>
      </c>
      <c r="AY38" s="196" t="str">
        <f t="shared" si="16"/>
        <v>#N/A</v>
      </c>
      <c r="AZ38" s="213">
        <v>250.0</v>
      </c>
      <c r="BA38" s="196">
        <f t="shared" si="17"/>
        <v>0.25</v>
      </c>
      <c r="BB38" s="213">
        <f t="shared" si="18"/>
        <v>1000</v>
      </c>
      <c r="BC38" s="199" t="str">
        <f t="shared" si="19"/>
        <v>#N/A</v>
      </c>
      <c r="BD38" s="200" t="str">
        <f t="shared" si="20"/>
        <v>#N/A</v>
      </c>
      <c r="BE38" s="200">
        <f t="shared" si="21"/>
        <v>0</v>
      </c>
      <c r="BF38" s="201" t="str">
        <f t="shared" si="22"/>
        <v/>
      </c>
      <c r="BG38" s="201" t="str">
        <f t="shared" si="23"/>
        <v/>
      </c>
      <c r="BH38" s="202" t="str">
        <f t="shared" si="24"/>
        <v/>
      </c>
      <c r="BI38" s="203"/>
      <c r="BJ38" s="204">
        <f>IFERROR(__xludf.DUMMYFUNCTION("IF(AU38=data!A$5,
IF(AV38=data!A$8,
IF(T38=data!A$3,
VLOOKUP(S38,filter('🔒 Доп. информация'!D:H,'🔒 Доп. информация'!C:C=T38),4,FALSE)+VLOOKUP(S38,filter('🔒 Доп. информация'!D:H,'🔒 Доп. информация'!C:C=T38),5,FALSE)*AJ38,
IF(AND(MAX(AF38:AH38)&lt;80,SUM(A"&amp;"F38:AH38)&lt;=160,AI38&lt;20,XLOOKUP(M38,'📄 Комиссии'!C:C,'📄 Комиссии'!B:B)&lt;&gt;""Продукты""),
VLOOKUP(S38,filter('🔒 Доп. информация'!D:H,'🔒 Доп. информация'!C:C=data!$A$3),4,FALSE)+VLOOKUP(S38,filter('🔒 Доп. информация'!D:H,'🔒 Доп. информация'!C:C=data!$A$3"&amp;"),5,FALSE)*AJ38,
VLOOKUP(S38,filter('🔒 Доп. информация'!D:H,'🔒 Доп. информация'!C:C=T38),4,FALSE)*ROUNDUP(AF38*AG38*AH38*L38/(120*80*175))/L38)
)
*(AE38/2)
,)
,)*0"),0.0)</f>
        <v>0</v>
      </c>
      <c r="BK38" s="204">
        <f>IFERROR(__xludf.DUMMYFUNCTION("IF(AU38=data!A$5,
IF(AI38&lt;=1,IF(AI38&lt;=0.8,IF(AI38&lt;=0.6,IF(AI38&lt;=0.4,IF(AI38&lt;=0.2,23,26),29),30),32)*VLOOKUP(S38,filter('🔒 Доп. информация'!D:E,'🔒 Доп. информация'!C:C=T38),2,FALSE)/'🔒 Доп. информация'!$K$9,
IF(AV38=data!A$8,U38,1)*VLOOKUP(S38,filter('"&amp;"🔒 Доп. информация'!D:E,'🔒 Доп. информация'!C:C=T38),2,FALSE)+
IF(AV38=data!A$8,U38,1)*VLOOKUP(S38,filter('🔒 Доп. информация'!D:F,'🔒 Доп. информация'!C:C=T38),3,FALSE)*AJ38)
,0)"),69.0)</f>
        <v>69</v>
      </c>
      <c r="BL38" s="185" t="str">
        <f t="shared" ref="BL38:BM38" si="124">IF($D38,"🔒",)</f>
        <v/>
      </c>
      <c r="BM38" s="185" t="str">
        <f t="shared" si="124"/>
        <v/>
      </c>
      <c r="BN38" s="204">
        <f>VLOOKUP(T38,'🔒 Доп. информация'!J:P,7,false)</f>
        <v>50</v>
      </c>
      <c r="BO38" s="204">
        <f>IF(AV38=data!A$9,
(AA38+AO38+AP38+BJ38+BK38+BN38)+H38*AS38,
(BJ38+BK38+BN38)+H38*AS38
)</f>
        <v>119</v>
      </c>
      <c r="BP38" s="204">
        <f t="shared" si="26"/>
        <v>69</v>
      </c>
      <c r="BQ38" s="204">
        <f t="shared" si="27"/>
        <v>320</v>
      </c>
      <c r="BR38" s="204" t="str">
        <f t="shared" si="37"/>
        <v>#N/A</v>
      </c>
      <c r="BS38" s="204" t="str">
        <f t="array" ref="BS38">IF(VLOOKUP(AT38,{'▶️ Инструкция'!C:C,'▶️ Инструкция'!Y:Y},2,FALSE)=data!A$15,
H38*(1-I38),
(H38-BR38))
*VLOOKUP(AT38,{'▶️ Инструкция'!C:C,'▶️ Инструкция'!AD:AD},2,FALSE)/(1+VLOOKUP(AT38,{'▶️ Инструкция'!C:C,'▶️ Инструкция'!AD:AD},2,FALSE))</f>
        <v>#N/A</v>
      </c>
      <c r="BT38" s="204" t="str">
        <f t="array" ref="BT38">
IF(VLOOKUP(AT38,{'▶️ Инструкция'!C:C,'▶️ Инструкция'!Y:Y},2,FALSE)=data!A$15,
H38*(1-I38)-BS38,
(H38-BR38-BS38))
*
VLOOKUP(AT38,{'▶️ Инструкция'!C:C,'▶️ Инструкция'!R:R},2,FALSE)
+BS38</f>
        <v>#N/A</v>
      </c>
      <c r="BU38" s="204" t="str">
        <f>(G38*AR38)+if(AV38=data!A$9,AO38,AN38)+AP38+BR38+BT38</f>
        <v>#N/A</v>
      </c>
      <c r="BV38" s="204" t="str">
        <f>(G38*AR38)+if(AV38=data!A$9,AO38,AN38)+AP38+BT38+G38</f>
        <v>#N/A</v>
      </c>
      <c r="BW38" s="204" t="str">
        <f t="shared" si="28"/>
        <v>#N/A</v>
      </c>
      <c r="BX38" s="204" t="str">
        <f t="shared" si="29"/>
        <v>#N/A</v>
      </c>
    </row>
    <row r="39">
      <c r="A39" s="165" t="str">
        <f>if(D39=true,if(F39=data!A$1,data!A$10,data!A$11),)</f>
        <v/>
      </c>
      <c r="B39" s="166" t="str">
        <f t="shared" si="4"/>
        <v>FBS</v>
      </c>
      <c r="C39" s="167" t="s">
        <v>195</v>
      </c>
      <c r="D39" s="168" t="b">
        <v>0</v>
      </c>
      <c r="E39" s="169" t="s">
        <v>204</v>
      </c>
      <c r="F39" s="170" t="str">
        <f t="array" ref="F39">IF(D39=TRUE,IF(IF(BG$3=VLOOKUP(AT39,{'▶️ Инструкция'!C:C,'▶️ Инструкция'!G:G},2,FALSE),BG39,BH39)&gt;VLOOKUP(AT39,{'▶️ Инструкция'!C:C,'▶️ Инструкция'!N:N},2,FALSE),data!A$1,data!A$2),)</f>
        <v/>
      </c>
      <c r="G39" s="171">
        <v>0.0</v>
      </c>
      <c r="H39" s="172">
        <v>1000.0</v>
      </c>
      <c r="I39" s="173">
        <v>0.0</v>
      </c>
      <c r="J39" s="173">
        <v>0.0</v>
      </c>
      <c r="K39" s="174" t="str">
        <f t="shared" si="5"/>
        <v/>
      </c>
      <c r="L39" s="175">
        <v>0.0</v>
      </c>
      <c r="M39" s="176" t="s">
        <v>197</v>
      </c>
      <c r="N39" s="177">
        <f>IFERROR(__xludf.DUMMYFUNCTION("ArrayFormula(let(category,VLOOKUP($M39, {'📄 Комиссии'!$C:$C , '📄 Комиссии'!$B:$B}, 2, 0),
data,MATCH('🔒 Доп. информация'!$J$15:$J203,TRANSPOSE(SPLIT(INDEX('▶️ Инструкция'!$Q:$Q,MATCH($AT39,'▶️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commission,VLOOKUP($M39,'📄 Комиссии'!$C:$E,IF($AV39=data!A$8,2,3),0),
IF(NOT(ISBLANK($M39)),commission/100+
IFERR"&amp;"OR(VLOOKUP($AT39,{'▶️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39" s="178" t="str">
        <f t="shared" si="6"/>
        <v/>
      </c>
      <c r="Q39" s="178" t="str">
        <f t="shared" si="7"/>
        <v/>
      </c>
      <c r="S39" s="179" t="s">
        <v>192</v>
      </c>
      <c r="T39" s="180" t="s">
        <v>193</v>
      </c>
      <c r="U39" s="181">
        <v>1.0</v>
      </c>
      <c r="V39" s="182" t="str">
        <f t="shared" ref="V39:Y39" si="125">IF($D39,"🔒",)</f>
        <v/>
      </c>
      <c r="W39" s="182" t="str">
        <f t="shared" si="125"/>
        <v/>
      </c>
      <c r="X39" s="182" t="str">
        <f t="shared" si="125"/>
        <v/>
      </c>
      <c r="Y39" s="182" t="str">
        <f t="shared" si="125"/>
        <v/>
      </c>
      <c r="Z39" s="183">
        <v>0.0</v>
      </c>
      <c r="AA39" s="184">
        <f t="shared" si="31"/>
        <v>0</v>
      </c>
      <c r="AB39" s="185" t="str">
        <f t="shared" ref="AB39:AD39" si="126">IF($D39,"🔒",)</f>
        <v/>
      </c>
      <c r="AC39" s="185" t="str">
        <f t="shared" si="126"/>
        <v/>
      </c>
      <c r="AD39" s="186" t="str">
        <f t="shared" si="126"/>
        <v/>
      </c>
      <c r="AE39" s="180">
        <v>30.0</v>
      </c>
      <c r="AF39" s="187">
        <v>0.0</v>
      </c>
      <c r="AG39" s="187">
        <v>0.0</v>
      </c>
      <c r="AH39" s="187">
        <v>0.0</v>
      </c>
      <c r="AI39" s="181">
        <f t="shared" si="10"/>
        <v>0</v>
      </c>
      <c r="AJ39" s="181">
        <f t="shared" si="11"/>
        <v>0</v>
      </c>
      <c r="AK39" s="185" t="str">
        <f t="shared" si="12"/>
        <v/>
      </c>
      <c r="AL39" s="188" t="str">
        <f t="array" ref="AL39">H39*(1-I39)*VLOOKUP(AT39,{'▶️ Инструкция'!C:C,'▶️ Инструкция'!AI:AI},2,false)</f>
        <v>#N/A</v>
      </c>
      <c r="AM39" s="186" t="str">
        <f t="shared" si="13"/>
        <v/>
      </c>
      <c r="AN39" s="189">
        <v>0.0</v>
      </c>
      <c r="AO39" s="189">
        <v>0.0</v>
      </c>
      <c r="AP39" s="189">
        <v>0.0</v>
      </c>
      <c r="AQ39" s="191">
        <v>1.0</v>
      </c>
      <c r="AR39" s="191">
        <v>0.0</v>
      </c>
      <c r="AS39" s="212">
        <v>0.0</v>
      </c>
      <c r="AT39" s="193" t="s">
        <v>206</v>
      </c>
      <c r="AU39" s="193" t="s">
        <v>121</v>
      </c>
      <c r="AV39" s="193" t="s">
        <v>199</v>
      </c>
      <c r="AW39" s="194">
        <f t="shared" si="14"/>
        <v>0</v>
      </c>
      <c r="AX39" s="195">
        <f t="shared" si="15"/>
        <v>0</v>
      </c>
      <c r="AY39" s="196" t="str">
        <f t="shared" si="16"/>
        <v>#N/A</v>
      </c>
      <c r="AZ39" s="213">
        <v>250.0</v>
      </c>
      <c r="BA39" s="196">
        <f t="shared" si="17"/>
        <v>0.25</v>
      </c>
      <c r="BB39" s="213">
        <f t="shared" si="18"/>
        <v>1000</v>
      </c>
      <c r="BC39" s="199" t="str">
        <f t="shared" si="19"/>
        <v>#N/A</v>
      </c>
      <c r="BD39" s="200" t="str">
        <f t="shared" si="20"/>
        <v>#N/A</v>
      </c>
      <c r="BE39" s="200">
        <f t="shared" si="21"/>
        <v>0</v>
      </c>
      <c r="BF39" s="201" t="str">
        <f t="shared" si="22"/>
        <v/>
      </c>
      <c r="BG39" s="201" t="str">
        <f t="shared" si="23"/>
        <v/>
      </c>
      <c r="BH39" s="202" t="str">
        <f t="shared" si="24"/>
        <v/>
      </c>
      <c r="BI39" s="203"/>
      <c r="BJ39" s="204">
        <f>IFERROR(__xludf.DUMMYFUNCTION("IF(AU39=data!A$5,
IF(AV39=data!A$8,
IF(T39=data!A$3,
VLOOKUP(S39,filter('🔒 Доп. информация'!D:H,'🔒 Доп. информация'!C:C=T39),4,FALSE)+VLOOKUP(S39,filter('🔒 Доп. информация'!D:H,'🔒 Доп. информация'!C:C=T39),5,FALSE)*AJ39,
IF(AND(MAX(AF39:AH39)&lt;80,SUM(A"&amp;"F39:AH39)&lt;=160,AI39&lt;20,XLOOKUP(M39,'📄 Комиссии'!C:C,'📄 Комиссии'!B:B)&lt;&gt;""Продукты""),
VLOOKUP(S39,filter('🔒 Доп. информация'!D:H,'🔒 Доп. информация'!C:C=data!$A$3),4,FALSE)+VLOOKUP(S39,filter('🔒 Доп. информация'!D:H,'🔒 Доп. информация'!C:C=data!$A$3"&amp;"),5,FALSE)*AJ39,
VLOOKUP(S39,filter('🔒 Доп. информация'!D:H,'🔒 Доп. информация'!C:C=T39),4,FALSE)*ROUNDUP(AF39*AG39*AH39*L39/(120*80*175))/L39)
)
*(AE39/2)
,)
,)*0"),0.0)</f>
        <v>0</v>
      </c>
      <c r="BK39" s="204">
        <f>IFERROR(__xludf.DUMMYFUNCTION("IF(AU39=data!A$5,
IF(AI39&lt;=1,IF(AI39&lt;=0.8,IF(AI39&lt;=0.6,IF(AI39&lt;=0.4,IF(AI39&lt;=0.2,23,26),29),30),32)*VLOOKUP(S39,filter('🔒 Доп. информация'!D:E,'🔒 Доп. информация'!C:C=T39),2,FALSE)/'🔒 Доп. информация'!$K$9,
IF(AV39=data!A$8,U39,1)*VLOOKUP(S39,filter('"&amp;"🔒 Доп. информация'!D:E,'🔒 Доп. информация'!C:C=T39),2,FALSE)+
IF(AV39=data!A$8,U39,1)*VLOOKUP(S39,filter('🔒 Доп. информация'!D:F,'🔒 Доп. информация'!C:C=T39),3,FALSE)*AJ39)
,0)"),69.0)</f>
        <v>69</v>
      </c>
      <c r="BL39" s="185" t="str">
        <f t="shared" ref="BL39:BM39" si="127">IF($D39,"🔒",)</f>
        <v/>
      </c>
      <c r="BM39" s="185" t="str">
        <f t="shared" si="127"/>
        <v/>
      </c>
      <c r="BN39" s="204">
        <f>VLOOKUP(T39,'🔒 Доп. информация'!J:P,7,false)</f>
        <v>50</v>
      </c>
      <c r="BO39" s="204">
        <f>IF(AV39=data!A$9,
(AA39+AO39+AP39+BJ39+BK39+BN39)+H39*AS39,
(BJ39+BK39+BN39)+H39*AS39
)</f>
        <v>119</v>
      </c>
      <c r="BP39" s="204">
        <f t="shared" si="26"/>
        <v>69</v>
      </c>
      <c r="BQ39" s="204">
        <f t="shared" si="27"/>
        <v>320</v>
      </c>
      <c r="BR39" s="204" t="str">
        <f t="shared" si="37"/>
        <v>#N/A</v>
      </c>
      <c r="BS39" s="204" t="str">
        <f t="array" ref="BS39">IF(VLOOKUP(AT39,{'▶️ Инструкция'!C:C,'▶️ Инструкция'!Y:Y},2,FALSE)=data!A$15,
H39*(1-I39),
(H39-BR39))
*VLOOKUP(AT39,{'▶️ Инструкция'!C:C,'▶️ Инструкция'!AD:AD},2,FALSE)/(1+VLOOKUP(AT39,{'▶️ Инструкция'!C:C,'▶️ Инструкция'!AD:AD},2,FALSE))</f>
        <v>#N/A</v>
      </c>
      <c r="BT39" s="204" t="str">
        <f t="array" ref="BT39">
IF(VLOOKUP(AT39,{'▶️ Инструкция'!C:C,'▶️ Инструкция'!Y:Y},2,FALSE)=data!A$15,
H39*(1-I39)-BS39,
(H39-BR39-BS39))
*
VLOOKUP(AT39,{'▶️ Инструкция'!C:C,'▶️ Инструкция'!R:R},2,FALSE)
+BS39</f>
        <v>#N/A</v>
      </c>
      <c r="BU39" s="204" t="str">
        <f>(G39*AR39)+if(AV39=data!A$9,AO39,AN39)+AP39+BR39+BT39</f>
        <v>#N/A</v>
      </c>
      <c r="BV39" s="204" t="str">
        <f>(G39*AR39)+if(AV39=data!A$9,AO39,AN39)+AP39+BT39+G39</f>
        <v>#N/A</v>
      </c>
      <c r="BW39" s="204" t="str">
        <f t="shared" si="28"/>
        <v>#N/A</v>
      </c>
      <c r="BX39" s="204" t="str">
        <f t="shared" si="29"/>
        <v>#N/A</v>
      </c>
    </row>
    <row r="40">
      <c r="A40" s="165" t="str">
        <f>if(D40=true,if(F40=data!A$1,data!A$10,data!A$11),)</f>
        <v/>
      </c>
      <c r="B40" s="166" t="str">
        <f t="shared" si="4"/>
        <v>FBS</v>
      </c>
      <c r="C40" s="167" t="s">
        <v>195</v>
      </c>
      <c r="D40" s="168" t="b">
        <v>0</v>
      </c>
      <c r="E40" s="169" t="s">
        <v>204</v>
      </c>
      <c r="F40" s="170" t="str">
        <f t="array" ref="F40">IF(D40=TRUE,IF(IF(BG$3=VLOOKUP(AT40,{'▶️ Инструкция'!C:C,'▶️ Инструкция'!G:G},2,FALSE),BG40,BH40)&gt;VLOOKUP(AT40,{'▶️ Инструкция'!C:C,'▶️ Инструкция'!N:N},2,FALSE),data!A$1,data!A$2),)</f>
        <v/>
      </c>
      <c r="G40" s="171">
        <v>0.0</v>
      </c>
      <c r="H40" s="172">
        <v>1000.0</v>
      </c>
      <c r="I40" s="173">
        <v>0.0</v>
      </c>
      <c r="J40" s="173">
        <v>0.0</v>
      </c>
      <c r="K40" s="174" t="str">
        <f t="shared" si="5"/>
        <v/>
      </c>
      <c r="L40" s="175">
        <v>0.0</v>
      </c>
      <c r="M40" s="176" t="s">
        <v>197</v>
      </c>
      <c r="N40" s="177">
        <f>IFERROR(__xludf.DUMMYFUNCTION("ArrayFormula(let(category,VLOOKUP($M40, {'📄 Комиссии'!$C:$C , '📄 Комиссии'!$B:$B}, 2, 0),
data,MATCH('🔒 Доп. информация'!$J$15:$J203,TRANSPOSE(SPLIT(INDEX('▶️ Инструкция'!$Q:$Q,MATCH($AT40,'▶️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commission,VLOOKUP($M40,'📄 Комиссии'!$C:$E,IF($AV40=data!A$8,2,3),0),
IF(NOT(ISBLANK($M40)),commission/100+
IFERR"&amp;"OR(VLOOKUP($AT40,{'▶️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40" s="178" t="str">
        <f t="shared" si="6"/>
        <v/>
      </c>
      <c r="Q40" s="178" t="str">
        <f t="shared" si="7"/>
        <v/>
      </c>
      <c r="S40" s="179" t="s">
        <v>192</v>
      </c>
      <c r="T40" s="180" t="s">
        <v>193</v>
      </c>
      <c r="U40" s="181">
        <v>1.0</v>
      </c>
      <c r="V40" s="182" t="str">
        <f t="shared" ref="V40:Y40" si="128">IF($D40,"🔒",)</f>
        <v/>
      </c>
      <c r="W40" s="182" t="str">
        <f t="shared" si="128"/>
        <v/>
      </c>
      <c r="X40" s="182" t="str">
        <f t="shared" si="128"/>
        <v/>
      </c>
      <c r="Y40" s="182" t="str">
        <f t="shared" si="128"/>
        <v/>
      </c>
      <c r="Z40" s="183">
        <v>0.0</v>
      </c>
      <c r="AA40" s="184">
        <f t="shared" si="31"/>
        <v>0</v>
      </c>
      <c r="AB40" s="185" t="str">
        <f t="shared" ref="AB40:AD40" si="129">IF($D40,"🔒",)</f>
        <v/>
      </c>
      <c r="AC40" s="185" t="str">
        <f t="shared" si="129"/>
        <v/>
      </c>
      <c r="AD40" s="186" t="str">
        <f t="shared" si="129"/>
        <v/>
      </c>
      <c r="AE40" s="180">
        <v>30.0</v>
      </c>
      <c r="AF40" s="187">
        <v>0.0</v>
      </c>
      <c r="AG40" s="187">
        <v>0.0</v>
      </c>
      <c r="AH40" s="187">
        <v>0.0</v>
      </c>
      <c r="AI40" s="181">
        <f t="shared" si="10"/>
        <v>0</v>
      </c>
      <c r="AJ40" s="181">
        <f t="shared" si="11"/>
        <v>0</v>
      </c>
      <c r="AK40" s="185" t="str">
        <f t="shared" si="12"/>
        <v/>
      </c>
      <c r="AL40" s="188" t="str">
        <f t="array" ref="AL40">H40*(1-I40)*VLOOKUP(AT40,{'▶️ Инструкция'!C:C,'▶️ Инструкция'!AI:AI},2,false)</f>
        <v>#N/A</v>
      </c>
      <c r="AM40" s="186" t="str">
        <f t="shared" si="13"/>
        <v/>
      </c>
      <c r="AN40" s="189">
        <v>0.0</v>
      </c>
      <c r="AO40" s="189">
        <v>0.0</v>
      </c>
      <c r="AP40" s="189">
        <v>0.0</v>
      </c>
      <c r="AQ40" s="191">
        <v>1.0</v>
      </c>
      <c r="AR40" s="191">
        <v>0.0</v>
      </c>
      <c r="AS40" s="212">
        <v>0.0</v>
      </c>
      <c r="AT40" s="193" t="s">
        <v>206</v>
      </c>
      <c r="AU40" s="193" t="s">
        <v>121</v>
      </c>
      <c r="AV40" s="193" t="s">
        <v>199</v>
      </c>
      <c r="AW40" s="194">
        <f t="shared" si="14"/>
        <v>0</v>
      </c>
      <c r="AX40" s="195">
        <f t="shared" si="15"/>
        <v>0</v>
      </c>
      <c r="AY40" s="196" t="str">
        <f t="shared" si="16"/>
        <v>#N/A</v>
      </c>
      <c r="AZ40" s="213">
        <v>250.0</v>
      </c>
      <c r="BA40" s="196">
        <f t="shared" si="17"/>
        <v>0.25</v>
      </c>
      <c r="BB40" s="213">
        <f t="shared" si="18"/>
        <v>1000</v>
      </c>
      <c r="BC40" s="199" t="str">
        <f t="shared" si="19"/>
        <v>#N/A</v>
      </c>
      <c r="BD40" s="200" t="str">
        <f t="shared" si="20"/>
        <v>#N/A</v>
      </c>
      <c r="BE40" s="200">
        <f t="shared" si="21"/>
        <v>0</v>
      </c>
      <c r="BF40" s="201" t="str">
        <f t="shared" si="22"/>
        <v/>
      </c>
      <c r="BG40" s="201" t="str">
        <f t="shared" si="23"/>
        <v/>
      </c>
      <c r="BH40" s="202" t="str">
        <f t="shared" si="24"/>
        <v/>
      </c>
      <c r="BI40" s="203"/>
      <c r="BJ40" s="204">
        <f>IFERROR(__xludf.DUMMYFUNCTION("IF(AU40=data!A$5,
IF(AV40=data!A$8,
IF(T40=data!A$3,
VLOOKUP(S40,filter('🔒 Доп. информация'!D:H,'🔒 Доп. информация'!C:C=T40),4,FALSE)+VLOOKUP(S40,filter('🔒 Доп. информация'!D:H,'🔒 Доп. информация'!C:C=T40),5,FALSE)*AJ40,
IF(AND(MAX(AF40:AH40)&lt;80,SUM(A"&amp;"F40:AH40)&lt;=160,AI40&lt;20,XLOOKUP(M40,'📄 Комиссии'!C:C,'📄 Комиссии'!B:B)&lt;&gt;""Продукты""),
VLOOKUP(S40,filter('🔒 Доп. информация'!D:H,'🔒 Доп. информация'!C:C=data!$A$3),4,FALSE)+VLOOKUP(S40,filter('🔒 Доп. информация'!D:H,'🔒 Доп. информация'!C:C=data!$A$3"&amp;"),5,FALSE)*AJ40,
VLOOKUP(S40,filter('🔒 Доп. информация'!D:H,'🔒 Доп. информация'!C:C=T40),4,FALSE)*ROUNDUP(AF40*AG40*AH40*L40/(120*80*175))/L40)
)
*(AE40/2)
,)
,)*0"),0.0)</f>
        <v>0</v>
      </c>
      <c r="BK40" s="204">
        <f>IFERROR(__xludf.DUMMYFUNCTION("IF(AU40=data!A$5,
IF(AI40&lt;=1,IF(AI40&lt;=0.8,IF(AI40&lt;=0.6,IF(AI40&lt;=0.4,IF(AI40&lt;=0.2,23,26),29),30),32)*VLOOKUP(S40,filter('🔒 Доп. информация'!D:E,'🔒 Доп. информация'!C:C=T40),2,FALSE)/'🔒 Доп. информация'!$K$9,
IF(AV40=data!A$8,U40,1)*VLOOKUP(S40,filter('"&amp;"🔒 Доп. информация'!D:E,'🔒 Доп. информация'!C:C=T40),2,FALSE)+
IF(AV40=data!A$8,U40,1)*VLOOKUP(S40,filter('🔒 Доп. информация'!D:F,'🔒 Доп. информация'!C:C=T40),3,FALSE)*AJ40)
,0)"),69.0)</f>
        <v>69</v>
      </c>
      <c r="BL40" s="185" t="str">
        <f t="shared" ref="BL40:BM40" si="130">IF($D40,"🔒",)</f>
        <v/>
      </c>
      <c r="BM40" s="185" t="str">
        <f t="shared" si="130"/>
        <v/>
      </c>
      <c r="BN40" s="204">
        <f>VLOOKUP(T40,'🔒 Доп. информация'!J:P,7,false)</f>
        <v>50</v>
      </c>
      <c r="BO40" s="204">
        <f>IF(AV40=data!A$9,
(AA40+AO40+AP40+BJ40+BK40+BN40)+H40*AS40,
(BJ40+BK40+BN40)+H40*AS40
)</f>
        <v>119</v>
      </c>
      <c r="BP40" s="204">
        <f t="shared" si="26"/>
        <v>69</v>
      </c>
      <c r="BQ40" s="204">
        <f t="shared" si="27"/>
        <v>320</v>
      </c>
      <c r="BR40" s="204" t="str">
        <f t="shared" si="37"/>
        <v>#N/A</v>
      </c>
      <c r="BS40" s="204" t="str">
        <f t="array" ref="BS40">IF(VLOOKUP(AT40,{'▶️ Инструкция'!C:C,'▶️ Инструкция'!Y:Y},2,FALSE)=data!A$15,
H40*(1-I40),
(H40-BR40))
*VLOOKUP(AT40,{'▶️ Инструкция'!C:C,'▶️ Инструкция'!AD:AD},2,FALSE)/(1+VLOOKUP(AT40,{'▶️ Инструкция'!C:C,'▶️ Инструкция'!AD:AD},2,FALSE))</f>
        <v>#N/A</v>
      </c>
      <c r="BT40" s="204" t="str">
        <f t="array" ref="BT40">
IF(VLOOKUP(AT40,{'▶️ Инструкция'!C:C,'▶️ Инструкция'!Y:Y},2,FALSE)=data!A$15,
H40*(1-I40)-BS40,
(H40-BR40-BS40))
*
VLOOKUP(AT40,{'▶️ Инструкция'!C:C,'▶️ Инструкция'!R:R},2,FALSE)
+BS40</f>
        <v>#N/A</v>
      </c>
      <c r="BU40" s="204" t="str">
        <f>(G40*AR40)+if(AV40=data!A$9,AO40,AN40)+AP40+BR40+BT40</f>
        <v>#N/A</v>
      </c>
      <c r="BV40" s="204" t="str">
        <f>(G40*AR40)+if(AV40=data!A$9,AO40,AN40)+AP40+BT40+G40</f>
        <v>#N/A</v>
      </c>
      <c r="BW40" s="204" t="str">
        <f t="shared" si="28"/>
        <v>#N/A</v>
      </c>
      <c r="BX40" s="204" t="str">
        <f t="shared" si="29"/>
        <v>#N/A</v>
      </c>
    </row>
    <row r="41">
      <c r="A41" s="165" t="str">
        <f>if(D41=true,if(F41=data!A$1,data!A$10,data!A$11),)</f>
        <v/>
      </c>
      <c r="B41" s="166" t="str">
        <f t="shared" si="4"/>
        <v>FBS</v>
      </c>
      <c r="C41" s="167" t="s">
        <v>195</v>
      </c>
      <c r="D41" s="168" t="b">
        <v>0</v>
      </c>
      <c r="E41" s="169" t="s">
        <v>204</v>
      </c>
      <c r="F41" s="170" t="str">
        <f t="array" ref="F41">IF(D41=TRUE,IF(IF(BG$3=VLOOKUP(AT41,{'▶️ Инструкция'!C:C,'▶️ Инструкция'!G:G},2,FALSE),BG41,BH41)&gt;VLOOKUP(AT41,{'▶️ Инструкция'!C:C,'▶️ Инструкция'!N:N},2,FALSE),data!A$1,data!A$2),)</f>
        <v/>
      </c>
      <c r="G41" s="171">
        <v>0.0</v>
      </c>
      <c r="H41" s="172">
        <v>1000.0</v>
      </c>
      <c r="I41" s="173">
        <v>0.0</v>
      </c>
      <c r="J41" s="173">
        <v>0.0</v>
      </c>
      <c r="K41" s="174" t="str">
        <f t="shared" si="5"/>
        <v/>
      </c>
      <c r="L41" s="175">
        <v>0.0</v>
      </c>
      <c r="M41" s="176" t="s">
        <v>197</v>
      </c>
      <c r="N41" s="177">
        <f>IFERROR(__xludf.DUMMYFUNCTION("ArrayFormula(let(category,VLOOKUP($M41, {'📄 Комиссии'!$C:$C , '📄 Комиссии'!$B:$B}, 2, 0),
data,MATCH('🔒 Доп. информация'!$J$15:$J203,TRANSPOSE(SPLIT(INDEX('▶️ Инструкция'!$Q:$Q,MATCH($AT41,'▶️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commission,VLOOKUP($M41,'📄 Комиссии'!$C:$E,IF($AV41=data!A$8,2,3),0),
IF(NOT(ISBLANK($M41)),commission/100+
IFERR"&amp;"OR(VLOOKUP($AT41,{'▶️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41" s="178" t="str">
        <f t="shared" si="6"/>
        <v/>
      </c>
      <c r="Q41" s="178" t="str">
        <f t="shared" si="7"/>
        <v/>
      </c>
      <c r="S41" s="179" t="s">
        <v>192</v>
      </c>
      <c r="T41" s="180" t="s">
        <v>193</v>
      </c>
      <c r="U41" s="181">
        <v>1.0</v>
      </c>
      <c r="V41" s="182" t="str">
        <f t="shared" ref="V41:Y41" si="131">IF($D41,"🔒",)</f>
        <v/>
      </c>
      <c r="W41" s="182" t="str">
        <f t="shared" si="131"/>
        <v/>
      </c>
      <c r="X41" s="182" t="str">
        <f t="shared" si="131"/>
        <v/>
      </c>
      <c r="Y41" s="182" t="str">
        <f t="shared" si="131"/>
        <v/>
      </c>
      <c r="Z41" s="183">
        <v>0.0</v>
      </c>
      <c r="AA41" s="184">
        <f t="shared" si="31"/>
        <v>0</v>
      </c>
      <c r="AB41" s="185" t="str">
        <f t="shared" ref="AB41:AD41" si="132">IF($D41,"🔒",)</f>
        <v/>
      </c>
      <c r="AC41" s="185" t="str">
        <f t="shared" si="132"/>
        <v/>
      </c>
      <c r="AD41" s="186" t="str">
        <f t="shared" si="132"/>
        <v/>
      </c>
      <c r="AE41" s="180">
        <v>30.0</v>
      </c>
      <c r="AF41" s="187">
        <v>0.0</v>
      </c>
      <c r="AG41" s="187">
        <v>0.0</v>
      </c>
      <c r="AH41" s="187">
        <v>0.0</v>
      </c>
      <c r="AI41" s="181">
        <f t="shared" si="10"/>
        <v>0</v>
      </c>
      <c r="AJ41" s="181">
        <f t="shared" si="11"/>
        <v>0</v>
      </c>
      <c r="AK41" s="185" t="str">
        <f t="shared" si="12"/>
        <v/>
      </c>
      <c r="AL41" s="188" t="str">
        <f t="array" ref="AL41">H41*(1-I41)*VLOOKUP(AT41,{'▶️ Инструкция'!C:C,'▶️ Инструкция'!AI:AI},2,false)</f>
        <v>#N/A</v>
      </c>
      <c r="AM41" s="186" t="str">
        <f t="shared" si="13"/>
        <v/>
      </c>
      <c r="AN41" s="189">
        <v>0.0</v>
      </c>
      <c r="AO41" s="189">
        <v>0.0</v>
      </c>
      <c r="AP41" s="189">
        <v>0.0</v>
      </c>
      <c r="AQ41" s="191">
        <v>1.0</v>
      </c>
      <c r="AR41" s="191">
        <v>0.0</v>
      </c>
      <c r="AS41" s="212">
        <v>0.0</v>
      </c>
      <c r="AT41" s="193" t="s">
        <v>206</v>
      </c>
      <c r="AU41" s="193" t="s">
        <v>121</v>
      </c>
      <c r="AV41" s="193" t="s">
        <v>199</v>
      </c>
      <c r="AW41" s="194">
        <f t="shared" si="14"/>
        <v>0</v>
      </c>
      <c r="AX41" s="195">
        <f t="shared" si="15"/>
        <v>0</v>
      </c>
      <c r="AY41" s="196" t="str">
        <f t="shared" si="16"/>
        <v>#N/A</v>
      </c>
      <c r="AZ41" s="213">
        <v>250.0</v>
      </c>
      <c r="BA41" s="196">
        <f t="shared" si="17"/>
        <v>0.25</v>
      </c>
      <c r="BB41" s="213">
        <f t="shared" si="18"/>
        <v>1000</v>
      </c>
      <c r="BC41" s="199" t="str">
        <f t="shared" si="19"/>
        <v>#N/A</v>
      </c>
      <c r="BD41" s="200" t="str">
        <f t="shared" si="20"/>
        <v>#N/A</v>
      </c>
      <c r="BE41" s="200">
        <f t="shared" si="21"/>
        <v>0</v>
      </c>
      <c r="BF41" s="201" t="str">
        <f t="shared" si="22"/>
        <v/>
      </c>
      <c r="BG41" s="201" t="str">
        <f t="shared" si="23"/>
        <v/>
      </c>
      <c r="BH41" s="202" t="str">
        <f t="shared" si="24"/>
        <v/>
      </c>
      <c r="BI41" s="203"/>
      <c r="BJ41" s="204">
        <f>IFERROR(__xludf.DUMMYFUNCTION("IF(AU41=data!A$5,
IF(AV41=data!A$8,
IF(T41=data!A$3,
VLOOKUP(S41,filter('🔒 Доп. информация'!D:H,'🔒 Доп. информация'!C:C=T41),4,FALSE)+VLOOKUP(S41,filter('🔒 Доп. информация'!D:H,'🔒 Доп. информация'!C:C=T41),5,FALSE)*AJ41,
IF(AND(MAX(AF41:AH41)&lt;80,SUM(A"&amp;"F41:AH41)&lt;=160,AI41&lt;20,XLOOKUP(M41,'📄 Комиссии'!C:C,'📄 Комиссии'!B:B)&lt;&gt;""Продукты""),
VLOOKUP(S41,filter('🔒 Доп. информация'!D:H,'🔒 Доп. информация'!C:C=data!$A$3),4,FALSE)+VLOOKUP(S41,filter('🔒 Доп. информация'!D:H,'🔒 Доп. информация'!C:C=data!$A$3"&amp;"),5,FALSE)*AJ41,
VLOOKUP(S41,filter('🔒 Доп. информация'!D:H,'🔒 Доп. информация'!C:C=T41),4,FALSE)*ROUNDUP(AF41*AG41*AH41*L41/(120*80*175))/L41)
)
*(AE41/2)
,)
,)*0"),0.0)</f>
        <v>0</v>
      </c>
      <c r="BK41" s="204">
        <f>IFERROR(__xludf.DUMMYFUNCTION("IF(AU41=data!A$5,
IF(AI41&lt;=1,IF(AI41&lt;=0.8,IF(AI41&lt;=0.6,IF(AI41&lt;=0.4,IF(AI41&lt;=0.2,23,26),29),30),32)*VLOOKUP(S41,filter('🔒 Доп. информация'!D:E,'🔒 Доп. информация'!C:C=T41),2,FALSE)/'🔒 Доп. информация'!$K$9,
IF(AV41=data!A$8,U41,1)*VLOOKUP(S41,filter('"&amp;"🔒 Доп. информация'!D:E,'🔒 Доп. информация'!C:C=T41),2,FALSE)+
IF(AV41=data!A$8,U41,1)*VLOOKUP(S41,filter('🔒 Доп. информация'!D:F,'🔒 Доп. информация'!C:C=T41),3,FALSE)*AJ41)
,0)"),69.0)</f>
        <v>69</v>
      </c>
      <c r="BL41" s="185" t="str">
        <f t="shared" ref="BL41:BM41" si="133">IF($D41,"🔒",)</f>
        <v/>
      </c>
      <c r="BM41" s="185" t="str">
        <f t="shared" si="133"/>
        <v/>
      </c>
      <c r="BN41" s="204">
        <f>VLOOKUP(T41,'🔒 Доп. информация'!J:P,7,false)</f>
        <v>50</v>
      </c>
      <c r="BO41" s="204">
        <f>IF(AV41=data!A$9,
(AA41+AO41+AP41+BJ41+BK41+BN41)+H41*AS41,
(BJ41+BK41+BN41)+H41*AS41
)</f>
        <v>119</v>
      </c>
      <c r="BP41" s="204">
        <f t="shared" si="26"/>
        <v>69</v>
      </c>
      <c r="BQ41" s="204">
        <f t="shared" si="27"/>
        <v>320</v>
      </c>
      <c r="BR41" s="204" t="str">
        <f t="shared" si="37"/>
        <v>#N/A</v>
      </c>
      <c r="BS41" s="204" t="str">
        <f t="array" ref="BS41">IF(VLOOKUP(AT41,{'▶️ Инструкция'!C:C,'▶️ Инструкция'!Y:Y},2,FALSE)=data!A$15,
H41*(1-I41),
(H41-BR41))
*VLOOKUP(AT41,{'▶️ Инструкция'!C:C,'▶️ Инструкция'!AD:AD},2,FALSE)/(1+VLOOKUP(AT41,{'▶️ Инструкция'!C:C,'▶️ Инструкция'!AD:AD},2,FALSE))</f>
        <v>#N/A</v>
      </c>
      <c r="BT41" s="204" t="str">
        <f t="array" ref="BT41">
IF(VLOOKUP(AT41,{'▶️ Инструкция'!C:C,'▶️ Инструкция'!Y:Y},2,FALSE)=data!A$15,
H41*(1-I41)-BS41,
(H41-BR41-BS41))
*
VLOOKUP(AT41,{'▶️ Инструкция'!C:C,'▶️ Инструкция'!R:R},2,FALSE)
+BS41</f>
        <v>#N/A</v>
      </c>
      <c r="BU41" s="204" t="str">
        <f>(G41*AR41)+if(AV41=data!A$9,AO41,AN41)+AP41+BR41+BT41</f>
        <v>#N/A</v>
      </c>
      <c r="BV41" s="204" t="str">
        <f>(G41*AR41)+if(AV41=data!A$9,AO41,AN41)+AP41+BT41+G41</f>
        <v>#N/A</v>
      </c>
      <c r="BW41" s="204" t="str">
        <f t="shared" si="28"/>
        <v>#N/A</v>
      </c>
      <c r="BX41" s="204" t="str">
        <f t="shared" si="29"/>
        <v>#N/A</v>
      </c>
    </row>
    <row r="42">
      <c r="A42" s="165" t="str">
        <f>if(D42=true,if(F42=data!A$1,data!A$10,data!A$11),)</f>
        <v/>
      </c>
      <c r="B42" s="166" t="str">
        <f t="shared" si="4"/>
        <v>FBS</v>
      </c>
      <c r="C42" s="167" t="s">
        <v>195</v>
      </c>
      <c r="D42" s="168" t="b">
        <v>0</v>
      </c>
      <c r="E42" s="169" t="s">
        <v>204</v>
      </c>
      <c r="F42" s="170" t="str">
        <f t="array" ref="F42">IF(D42=TRUE,IF(IF(BG$3=VLOOKUP(AT42,{'▶️ Инструкция'!C:C,'▶️ Инструкция'!G:G},2,FALSE),BG42,BH42)&gt;VLOOKUP(AT42,{'▶️ Инструкция'!C:C,'▶️ Инструкция'!N:N},2,FALSE),data!A$1,data!A$2),)</f>
        <v/>
      </c>
      <c r="G42" s="171">
        <v>0.0</v>
      </c>
      <c r="H42" s="172">
        <v>1000.0</v>
      </c>
      <c r="I42" s="173">
        <v>0.0</v>
      </c>
      <c r="J42" s="173">
        <v>0.0</v>
      </c>
      <c r="K42" s="174" t="str">
        <f t="shared" si="5"/>
        <v/>
      </c>
      <c r="L42" s="175">
        <v>0.0</v>
      </c>
      <c r="M42" s="176" t="s">
        <v>197</v>
      </c>
      <c r="N42" s="177">
        <f>IFERROR(__xludf.DUMMYFUNCTION("ArrayFormula(let(category,VLOOKUP($M42, {'📄 Комиссии'!$C:$C , '📄 Комиссии'!$B:$B}, 2, 0),
data,MATCH('🔒 Доп. информация'!$J$15:$J203,TRANSPOSE(SPLIT(INDEX('▶️ Инструкция'!$Q:$Q,MATCH($AT42,'▶️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commission,VLOOKUP($M42,'📄 Комиссии'!$C:$E,IF($AV42=data!A$8,2,3),0),
IF(NOT(ISBLANK($M42)),commission/100+
IFERR"&amp;"OR(VLOOKUP($AT42,{'▶️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42" s="178" t="str">
        <f t="shared" si="6"/>
        <v/>
      </c>
      <c r="Q42" s="178" t="str">
        <f t="shared" si="7"/>
        <v/>
      </c>
      <c r="S42" s="179" t="s">
        <v>192</v>
      </c>
      <c r="T42" s="180" t="s">
        <v>193</v>
      </c>
      <c r="U42" s="181">
        <v>1.0</v>
      </c>
      <c r="V42" s="182" t="str">
        <f t="shared" ref="V42:Y42" si="134">IF($D42,"🔒",)</f>
        <v/>
      </c>
      <c r="W42" s="182" t="str">
        <f t="shared" si="134"/>
        <v/>
      </c>
      <c r="X42" s="182" t="str">
        <f t="shared" si="134"/>
        <v/>
      </c>
      <c r="Y42" s="182" t="str">
        <f t="shared" si="134"/>
        <v/>
      </c>
      <c r="Z42" s="183">
        <v>0.0</v>
      </c>
      <c r="AA42" s="184">
        <f t="shared" si="31"/>
        <v>0</v>
      </c>
      <c r="AB42" s="185" t="str">
        <f t="shared" ref="AB42:AD42" si="135">IF($D42,"🔒",)</f>
        <v/>
      </c>
      <c r="AC42" s="185" t="str">
        <f t="shared" si="135"/>
        <v/>
      </c>
      <c r="AD42" s="186" t="str">
        <f t="shared" si="135"/>
        <v/>
      </c>
      <c r="AE42" s="180">
        <v>30.0</v>
      </c>
      <c r="AF42" s="187">
        <v>0.0</v>
      </c>
      <c r="AG42" s="187">
        <v>0.0</v>
      </c>
      <c r="AH42" s="187">
        <v>0.0</v>
      </c>
      <c r="AI42" s="181">
        <f t="shared" si="10"/>
        <v>0</v>
      </c>
      <c r="AJ42" s="181">
        <f t="shared" si="11"/>
        <v>0</v>
      </c>
      <c r="AK42" s="185" t="str">
        <f t="shared" si="12"/>
        <v/>
      </c>
      <c r="AL42" s="188" t="str">
        <f t="array" ref="AL42">H42*(1-I42)*VLOOKUP(AT42,{'▶️ Инструкция'!C:C,'▶️ Инструкция'!AI:AI},2,false)</f>
        <v>#N/A</v>
      </c>
      <c r="AM42" s="186" t="str">
        <f t="shared" si="13"/>
        <v/>
      </c>
      <c r="AN42" s="189">
        <v>0.0</v>
      </c>
      <c r="AO42" s="189">
        <v>0.0</v>
      </c>
      <c r="AP42" s="189">
        <v>0.0</v>
      </c>
      <c r="AQ42" s="191">
        <v>1.0</v>
      </c>
      <c r="AR42" s="191">
        <v>0.0</v>
      </c>
      <c r="AS42" s="212">
        <v>0.0</v>
      </c>
      <c r="AT42" s="193" t="s">
        <v>206</v>
      </c>
      <c r="AU42" s="193" t="s">
        <v>121</v>
      </c>
      <c r="AV42" s="193" t="s">
        <v>199</v>
      </c>
      <c r="AW42" s="194">
        <f t="shared" si="14"/>
        <v>0</v>
      </c>
      <c r="AX42" s="195">
        <f t="shared" si="15"/>
        <v>0</v>
      </c>
      <c r="AY42" s="196" t="str">
        <f t="shared" si="16"/>
        <v>#N/A</v>
      </c>
      <c r="AZ42" s="213">
        <v>250.0</v>
      </c>
      <c r="BA42" s="196">
        <f t="shared" si="17"/>
        <v>0.25</v>
      </c>
      <c r="BB42" s="213">
        <f t="shared" si="18"/>
        <v>1000</v>
      </c>
      <c r="BC42" s="199" t="str">
        <f t="shared" si="19"/>
        <v>#N/A</v>
      </c>
      <c r="BD42" s="200" t="str">
        <f t="shared" si="20"/>
        <v>#N/A</v>
      </c>
      <c r="BE42" s="200">
        <f t="shared" si="21"/>
        <v>0</v>
      </c>
      <c r="BF42" s="201" t="str">
        <f t="shared" si="22"/>
        <v/>
      </c>
      <c r="BG42" s="201" t="str">
        <f t="shared" si="23"/>
        <v/>
      </c>
      <c r="BH42" s="202" t="str">
        <f t="shared" si="24"/>
        <v/>
      </c>
      <c r="BI42" s="203"/>
      <c r="BJ42" s="204">
        <f>IFERROR(__xludf.DUMMYFUNCTION("IF(AU42=data!A$5,
IF(AV42=data!A$8,
IF(T42=data!A$3,
VLOOKUP(S42,filter('🔒 Доп. информация'!D:H,'🔒 Доп. информация'!C:C=T42),4,FALSE)+VLOOKUP(S42,filter('🔒 Доп. информация'!D:H,'🔒 Доп. информация'!C:C=T42),5,FALSE)*AJ42,
IF(AND(MAX(AF42:AH42)&lt;80,SUM(A"&amp;"F42:AH42)&lt;=160,AI42&lt;20,XLOOKUP(M42,'📄 Комиссии'!C:C,'📄 Комиссии'!B:B)&lt;&gt;""Продукты""),
VLOOKUP(S42,filter('🔒 Доп. информация'!D:H,'🔒 Доп. информация'!C:C=data!$A$3),4,FALSE)+VLOOKUP(S42,filter('🔒 Доп. информация'!D:H,'🔒 Доп. информация'!C:C=data!$A$3"&amp;"),5,FALSE)*AJ42,
VLOOKUP(S42,filter('🔒 Доп. информация'!D:H,'🔒 Доп. информация'!C:C=T42),4,FALSE)*ROUNDUP(AF42*AG42*AH42*L42/(120*80*175))/L42)
)
*(AE42/2)
,)
,)*0"),0.0)</f>
        <v>0</v>
      </c>
      <c r="BK42" s="204">
        <f>IFERROR(__xludf.DUMMYFUNCTION("IF(AU42=data!A$5,
IF(AI42&lt;=1,IF(AI42&lt;=0.8,IF(AI42&lt;=0.6,IF(AI42&lt;=0.4,IF(AI42&lt;=0.2,23,26),29),30),32)*VLOOKUP(S42,filter('🔒 Доп. информация'!D:E,'🔒 Доп. информация'!C:C=T42),2,FALSE)/'🔒 Доп. информация'!$K$9,
IF(AV42=data!A$8,U42,1)*VLOOKUP(S42,filter('"&amp;"🔒 Доп. информация'!D:E,'🔒 Доп. информация'!C:C=T42),2,FALSE)+
IF(AV42=data!A$8,U42,1)*VLOOKUP(S42,filter('🔒 Доп. информация'!D:F,'🔒 Доп. информация'!C:C=T42),3,FALSE)*AJ42)
,0)"),69.0)</f>
        <v>69</v>
      </c>
      <c r="BL42" s="185" t="str">
        <f t="shared" ref="BL42:BM42" si="136">IF($D42,"🔒",)</f>
        <v/>
      </c>
      <c r="BM42" s="185" t="str">
        <f t="shared" si="136"/>
        <v/>
      </c>
      <c r="BN42" s="204">
        <f>VLOOKUP(T42,'🔒 Доп. информация'!J:P,7,false)</f>
        <v>50</v>
      </c>
      <c r="BO42" s="204">
        <f>IF(AV42=data!A$9,
(AA42+AO42+AP42+BJ42+BK42+BN42)+H42*AS42,
(BJ42+BK42+BN42)+H42*AS42
)</f>
        <v>119</v>
      </c>
      <c r="BP42" s="204">
        <f t="shared" si="26"/>
        <v>69</v>
      </c>
      <c r="BQ42" s="204">
        <f t="shared" si="27"/>
        <v>320</v>
      </c>
      <c r="BR42" s="204" t="str">
        <f t="shared" si="37"/>
        <v>#N/A</v>
      </c>
      <c r="BS42" s="204" t="str">
        <f t="array" ref="BS42">IF(VLOOKUP(AT42,{'▶️ Инструкция'!C:C,'▶️ Инструкция'!Y:Y},2,FALSE)=data!A$15,
H42*(1-I42),
(H42-BR42))
*VLOOKUP(AT42,{'▶️ Инструкция'!C:C,'▶️ Инструкция'!AD:AD},2,FALSE)/(1+VLOOKUP(AT42,{'▶️ Инструкция'!C:C,'▶️ Инструкция'!AD:AD},2,FALSE))</f>
        <v>#N/A</v>
      </c>
      <c r="BT42" s="204" t="str">
        <f t="array" ref="BT42">
IF(VLOOKUP(AT42,{'▶️ Инструкция'!C:C,'▶️ Инструкция'!Y:Y},2,FALSE)=data!A$15,
H42*(1-I42)-BS42,
(H42-BR42-BS42))
*
VLOOKUP(AT42,{'▶️ Инструкция'!C:C,'▶️ Инструкция'!R:R},2,FALSE)
+BS42</f>
        <v>#N/A</v>
      </c>
      <c r="BU42" s="204" t="str">
        <f>(G42*AR42)+if(AV42=data!A$9,AO42,AN42)+AP42+BR42+BT42</f>
        <v>#N/A</v>
      </c>
      <c r="BV42" s="204" t="str">
        <f>(G42*AR42)+if(AV42=data!A$9,AO42,AN42)+AP42+BT42+G42</f>
        <v>#N/A</v>
      </c>
      <c r="BW42" s="204" t="str">
        <f t="shared" si="28"/>
        <v>#N/A</v>
      </c>
      <c r="BX42" s="204" t="str">
        <f t="shared" si="29"/>
        <v>#N/A</v>
      </c>
    </row>
    <row r="43">
      <c r="A43" s="165" t="str">
        <f>if(D43=true,if(F43=data!A$1,data!A$10,data!A$11),)</f>
        <v/>
      </c>
      <c r="B43" s="166" t="str">
        <f t="shared" si="4"/>
        <v>FBS</v>
      </c>
      <c r="C43" s="167" t="s">
        <v>195</v>
      </c>
      <c r="D43" s="168" t="b">
        <v>0</v>
      </c>
      <c r="E43" s="169" t="s">
        <v>204</v>
      </c>
      <c r="F43" s="170" t="str">
        <f t="array" ref="F43">IF(D43=TRUE,IF(IF(BG$3=VLOOKUP(AT43,{'▶️ Инструкция'!C:C,'▶️ Инструкция'!G:G},2,FALSE),BG43,BH43)&gt;VLOOKUP(AT43,{'▶️ Инструкция'!C:C,'▶️ Инструкция'!N:N},2,FALSE),data!A$1,data!A$2),)</f>
        <v/>
      </c>
      <c r="G43" s="171">
        <v>0.0</v>
      </c>
      <c r="H43" s="172">
        <v>1000.0</v>
      </c>
      <c r="I43" s="173">
        <v>0.0</v>
      </c>
      <c r="J43" s="173">
        <v>0.0</v>
      </c>
      <c r="K43" s="174" t="str">
        <f t="shared" si="5"/>
        <v/>
      </c>
      <c r="L43" s="175">
        <v>0.0</v>
      </c>
      <c r="M43" s="176" t="s">
        <v>197</v>
      </c>
      <c r="N43" s="177">
        <f>IFERROR(__xludf.DUMMYFUNCTION("ArrayFormula(let(category,VLOOKUP($M43, {'📄 Комиссии'!$C:$C , '📄 Комиссии'!$B:$B}, 2, 0),
data,MATCH('🔒 Доп. информация'!$J$15:$J203,TRANSPOSE(SPLIT(INDEX('▶️ Инструкция'!$Q:$Q,MATCH($AT43,'▶️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commission,VLOOKUP($M43,'📄 Комиссии'!$C:$E,IF($AV43=data!A$8,2,3),0),
IF(NOT(ISBLANK($M43)),commission/100+
IFERR"&amp;"OR(VLOOKUP($AT43,{'▶️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43" s="178" t="str">
        <f t="shared" si="6"/>
        <v/>
      </c>
      <c r="Q43" s="178" t="str">
        <f t="shared" si="7"/>
        <v/>
      </c>
      <c r="S43" s="179" t="s">
        <v>192</v>
      </c>
      <c r="T43" s="180" t="s">
        <v>193</v>
      </c>
      <c r="U43" s="181">
        <v>1.0</v>
      </c>
      <c r="V43" s="182" t="str">
        <f t="shared" ref="V43:Y43" si="137">IF($D43,"🔒",)</f>
        <v/>
      </c>
      <c r="W43" s="182" t="str">
        <f t="shared" si="137"/>
        <v/>
      </c>
      <c r="X43" s="182" t="str">
        <f t="shared" si="137"/>
        <v/>
      </c>
      <c r="Y43" s="182" t="str">
        <f t="shared" si="137"/>
        <v/>
      </c>
      <c r="Z43" s="183">
        <v>0.0</v>
      </c>
      <c r="AA43" s="184">
        <f t="shared" si="31"/>
        <v>0</v>
      </c>
      <c r="AB43" s="185" t="str">
        <f t="shared" ref="AB43:AD43" si="138">IF($D43,"🔒",)</f>
        <v/>
      </c>
      <c r="AC43" s="185" t="str">
        <f t="shared" si="138"/>
        <v/>
      </c>
      <c r="AD43" s="186" t="str">
        <f t="shared" si="138"/>
        <v/>
      </c>
      <c r="AE43" s="180">
        <v>30.0</v>
      </c>
      <c r="AF43" s="187">
        <v>0.0</v>
      </c>
      <c r="AG43" s="187">
        <v>0.0</v>
      </c>
      <c r="AH43" s="187">
        <v>0.0</v>
      </c>
      <c r="AI43" s="181">
        <f t="shared" si="10"/>
        <v>0</v>
      </c>
      <c r="AJ43" s="181">
        <f t="shared" si="11"/>
        <v>0</v>
      </c>
      <c r="AK43" s="185" t="str">
        <f t="shared" si="12"/>
        <v/>
      </c>
      <c r="AL43" s="188" t="str">
        <f t="array" ref="AL43">H43*(1-I43)*VLOOKUP(AT43,{'▶️ Инструкция'!C:C,'▶️ Инструкция'!AI:AI},2,false)</f>
        <v>#N/A</v>
      </c>
      <c r="AM43" s="186" t="str">
        <f t="shared" si="13"/>
        <v/>
      </c>
      <c r="AN43" s="189">
        <v>0.0</v>
      </c>
      <c r="AO43" s="189">
        <v>0.0</v>
      </c>
      <c r="AP43" s="189">
        <v>0.0</v>
      </c>
      <c r="AQ43" s="191">
        <v>1.0</v>
      </c>
      <c r="AR43" s="191">
        <v>0.0</v>
      </c>
      <c r="AS43" s="212">
        <v>0.0</v>
      </c>
      <c r="AT43" s="193" t="s">
        <v>206</v>
      </c>
      <c r="AU43" s="193" t="s">
        <v>121</v>
      </c>
      <c r="AV43" s="193" t="s">
        <v>199</v>
      </c>
      <c r="AW43" s="194">
        <f t="shared" si="14"/>
        <v>0</v>
      </c>
      <c r="AX43" s="195">
        <f t="shared" si="15"/>
        <v>0</v>
      </c>
      <c r="AY43" s="196" t="str">
        <f t="shared" si="16"/>
        <v>#N/A</v>
      </c>
      <c r="AZ43" s="213">
        <v>250.0</v>
      </c>
      <c r="BA43" s="196">
        <f t="shared" si="17"/>
        <v>0.25</v>
      </c>
      <c r="BB43" s="213">
        <f t="shared" si="18"/>
        <v>1000</v>
      </c>
      <c r="BC43" s="199" t="str">
        <f t="shared" si="19"/>
        <v>#N/A</v>
      </c>
      <c r="BD43" s="200" t="str">
        <f t="shared" si="20"/>
        <v>#N/A</v>
      </c>
      <c r="BE43" s="200">
        <f t="shared" si="21"/>
        <v>0</v>
      </c>
      <c r="BF43" s="201" t="str">
        <f t="shared" si="22"/>
        <v/>
      </c>
      <c r="BG43" s="201" t="str">
        <f t="shared" si="23"/>
        <v/>
      </c>
      <c r="BH43" s="202" t="str">
        <f t="shared" si="24"/>
        <v/>
      </c>
      <c r="BI43" s="203"/>
      <c r="BJ43" s="204">
        <f>IFERROR(__xludf.DUMMYFUNCTION("IF(AU43=data!A$5,
IF(AV43=data!A$8,
IF(T43=data!A$3,
VLOOKUP(S43,filter('🔒 Доп. информация'!D:H,'🔒 Доп. информация'!C:C=T43),4,FALSE)+VLOOKUP(S43,filter('🔒 Доп. информация'!D:H,'🔒 Доп. информация'!C:C=T43),5,FALSE)*AJ43,
IF(AND(MAX(AF43:AH43)&lt;80,SUM(A"&amp;"F43:AH43)&lt;=160,AI43&lt;20,XLOOKUP(M43,'📄 Комиссии'!C:C,'📄 Комиссии'!B:B)&lt;&gt;""Продукты""),
VLOOKUP(S43,filter('🔒 Доп. информация'!D:H,'🔒 Доп. информация'!C:C=data!$A$3),4,FALSE)+VLOOKUP(S43,filter('🔒 Доп. информация'!D:H,'🔒 Доп. информация'!C:C=data!$A$3"&amp;"),5,FALSE)*AJ43,
VLOOKUP(S43,filter('🔒 Доп. информация'!D:H,'🔒 Доп. информация'!C:C=T43),4,FALSE)*ROUNDUP(AF43*AG43*AH43*L43/(120*80*175))/L43)
)
*(AE43/2)
,)
,)*0"),0.0)</f>
        <v>0</v>
      </c>
      <c r="BK43" s="204">
        <f>IFERROR(__xludf.DUMMYFUNCTION("IF(AU43=data!A$5,
IF(AI43&lt;=1,IF(AI43&lt;=0.8,IF(AI43&lt;=0.6,IF(AI43&lt;=0.4,IF(AI43&lt;=0.2,23,26),29),30),32)*VLOOKUP(S43,filter('🔒 Доп. информация'!D:E,'🔒 Доп. информация'!C:C=T43),2,FALSE)/'🔒 Доп. информация'!$K$9,
IF(AV43=data!A$8,U43,1)*VLOOKUP(S43,filter('"&amp;"🔒 Доп. информация'!D:E,'🔒 Доп. информация'!C:C=T43),2,FALSE)+
IF(AV43=data!A$8,U43,1)*VLOOKUP(S43,filter('🔒 Доп. информация'!D:F,'🔒 Доп. информация'!C:C=T43),3,FALSE)*AJ43)
,0)"),69.0)</f>
        <v>69</v>
      </c>
      <c r="BL43" s="185" t="str">
        <f t="shared" ref="BL43:BM43" si="139">IF($D43,"🔒",)</f>
        <v/>
      </c>
      <c r="BM43" s="185" t="str">
        <f t="shared" si="139"/>
        <v/>
      </c>
      <c r="BN43" s="204">
        <f>VLOOKUP(T43,'🔒 Доп. информация'!J:P,7,false)</f>
        <v>50</v>
      </c>
      <c r="BO43" s="204">
        <f>IF(AV43=data!A$9,
(AA43+AO43+AP43+BJ43+BK43+BN43)+H43*AS43,
(BJ43+BK43+BN43)+H43*AS43
)</f>
        <v>119</v>
      </c>
      <c r="BP43" s="204">
        <f t="shared" si="26"/>
        <v>69</v>
      </c>
      <c r="BQ43" s="204">
        <f t="shared" si="27"/>
        <v>320</v>
      </c>
      <c r="BR43" s="204" t="str">
        <f t="shared" si="37"/>
        <v>#N/A</v>
      </c>
      <c r="BS43" s="204" t="str">
        <f t="array" ref="BS43">IF(VLOOKUP(AT43,{'▶️ Инструкция'!C:C,'▶️ Инструкция'!Y:Y},2,FALSE)=data!A$15,
H43*(1-I43),
(H43-BR43))
*VLOOKUP(AT43,{'▶️ Инструкция'!C:C,'▶️ Инструкция'!AD:AD},2,FALSE)/(1+VLOOKUP(AT43,{'▶️ Инструкция'!C:C,'▶️ Инструкция'!AD:AD},2,FALSE))</f>
        <v>#N/A</v>
      </c>
      <c r="BT43" s="204" t="str">
        <f t="array" ref="BT43">
IF(VLOOKUP(AT43,{'▶️ Инструкция'!C:C,'▶️ Инструкция'!Y:Y},2,FALSE)=data!A$15,
H43*(1-I43)-BS43,
(H43-BR43-BS43))
*
VLOOKUP(AT43,{'▶️ Инструкция'!C:C,'▶️ Инструкция'!R:R},2,FALSE)
+BS43</f>
        <v>#N/A</v>
      </c>
      <c r="BU43" s="204" t="str">
        <f>(G43*AR43)+if(AV43=data!A$9,AO43,AN43)+AP43+BR43+BT43</f>
        <v>#N/A</v>
      </c>
      <c r="BV43" s="204" t="str">
        <f>(G43*AR43)+if(AV43=data!A$9,AO43,AN43)+AP43+BT43+G43</f>
        <v>#N/A</v>
      </c>
      <c r="BW43" s="204" t="str">
        <f t="shared" si="28"/>
        <v>#N/A</v>
      </c>
      <c r="BX43" s="204" t="str">
        <f t="shared" si="29"/>
        <v>#N/A</v>
      </c>
    </row>
    <row r="44">
      <c r="A44" s="165" t="str">
        <f>if(D44=true,if(F44=data!A$1,data!A$10,data!A$11),)</f>
        <v/>
      </c>
      <c r="B44" s="166" t="str">
        <f t="shared" si="4"/>
        <v>FBS</v>
      </c>
      <c r="C44" s="167" t="s">
        <v>195</v>
      </c>
      <c r="D44" s="168" t="b">
        <v>0</v>
      </c>
      <c r="E44" s="169" t="s">
        <v>204</v>
      </c>
      <c r="F44" s="170" t="str">
        <f t="array" ref="F44">IF(D44=TRUE,IF(IF(BG$3=VLOOKUP(AT44,{'▶️ Инструкция'!C:C,'▶️ Инструкция'!G:G},2,FALSE),BG44,BH44)&gt;VLOOKUP(AT44,{'▶️ Инструкция'!C:C,'▶️ Инструкция'!N:N},2,FALSE),data!A$1,data!A$2),)</f>
        <v/>
      </c>
      <c r="G44" s="171">
        <v>0.0</v>
      </c>
      <c r="H44" s="172">
        <v>1000.0</v>
      </c>
      <c r="I44" s="173">
        <v>0.0</v>
      </c>
      <c r="J44" s="173">
        <v>0.0</v>
      </c>
      <c r="K44" s="174" t="str">
        <f t="shared" si="5"/>
        <v/>
      </c>
      <c r="L44" s="175">
        <v>0.0</v>
      </c>
      <c r="M44" s="176" t="s">
        <v>197</v>
      </c>
      <c r="N44" s="177">
        <f>IFERROR(__xludf.DUMMYFUNCTION("ArrayFormula(let(category,VLOOKUP($M44, {'📄 Комиссии'!$C:$C , '📄 Комиссии'!$B:$B}, 2, 0),
data,MATCH('🔒 Доп. информация'!$J$15:$J203,TRANSPOSE(SPLIT(INDEX('▶️ Инструкция'!$Q:$Q,MATCH($AT44,'▶️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commission,VLOOKUP($M44,'📄 Комиссии'!$C:$E,IF($AV44=data!A$8,2,3),0),
IF(NOT(ISBLANK($M44)),commission/100+
IFERR"&amp;"OR(VLOOKUP($AT44,{'▶️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44" s="178" t="str">
        <f t="shared" si="6"/>
        <v/>
      </c>
      <c r="Q44" s="178" t="str">
        <f t="shared" si="7"/>
        <v/>
      </c>
      <c r="S44" s="179" t="s">
        <v>192</v>
      </c>
      <c r="T44" s="180" t="s">
        <v>193</v>
      </c>
      <c r="U44" s="181">
        <v>1.0</v>
      </c>
      <c r="V44" s="182" t="str">
        <f t="shared" ref="V44:Y44" si="140">IF($D44,"🔒",)</f>
        <v/>
      </c>
      <c r="W44" s="182" t="str">
        <f t="shared" si="140"/>
        <v/>
      </c>
      <c r="X44" s="182" t="str">
        <f t="shared" si="140"/>
        <v/>
      </c>
      <c r="Y44" s="182" t="str">
        <f t="shared" si="140"/>
        <v/>
      </c>
      <c r="Z44" s="183">
        <v>0.0</v>
      </c>
      <c r="AA44" s="184">
        <f t="shared" si="31"/>
        <v>0</v>
      </c>
      <c r="AB44" s="185" t="str">
        <f t="shared" ref="AB44:AD44" si="141">IF($D44,"🔒",)</f>
        <v/>
      </c>
      <c r="AC44" s="185" t="str">
        <f t="shared" si="141"/>
        <v/>
      </c>
      <c r="AD44" s="186" t="str">
        <f t="shared" si="141"/>
        <v/>
      </c>
      <c r="AE44" s="180">
        <v>30.0</v>
      </c>
      <c r="AF44" s="187">
        <v>0.0</v>
      </c>
      <c r="AG44" s="187">
        <v>0.0</v>
      </c>
      <c r="AH44" s="187">
        <v>0.0</v>
      </c>
      <c r="AI44" s="181">
        <f t="shared" si="10"/>
        <v>0</v>
      </c>
      <c r="AJ44" s="181">
        <f t="shared" si="11"/>
        <v>0</v>
      </c>
      <c r="AK44" s="185" t="str">
        <f t="shared" si="12"/>
        <v/>
      </c>
      <c r="AL44" s="188" t="str">
        <f t="array" ref="AL44">H44*(1-I44)*VLOOKUP(AT44,{'▶️ Инструкция'!C:C,'▶️ Инструкция'!AI:AI},2,false)</f>
        <v>#N/A</v>
      </c>
      <c r="AM44" s="186" t="str">
        <f t="shared" si="13"/>
        <v/>
      </c>
      <c r="AN44" s="189">
        <v>0.0</v>
      </c>
      <c r="AO44" s="189">
        <v>0.0</v>
      </c>
      <c r="AP44" s="189">
        <v>0.0</v>
      </c>
      <c r="AQ44" s="191">
        <v>1.0</v>
      </c>
      <c r="AR44" s="191">
        <v>0.0</v>
      </c>
      <c r="AS44" s="212">
        <v>0.0</v>
      </c>
      <c r="AT44" s="193" t="s">
        <v>206</v>
      </c>
      <c r="AU44" s="193" t="s">
        <v>121</v>
      </c>
      <c r="AV44" s="193" t="s">
        <v>199</v>
      </c>
      <c r="AW44" s="194">
        <f t="shared" si="14"/>
        <v>0</v>
      </c>
      <c r="AX44" s="195">
        <f t="shared" si="15"/>
        <v>0</v>
      </c>
      <c r="AY44" s="196" t="str">
        <f t="shared" si="16"/>
        <v>#N/A</v>
      </c>
      <c r="AZ44" s="213">
        <v>250.0</v>
      </c>
      <c r="BA44" s="196">
        <f t="shared" si="17"/>
        <v>0.25</v>
      </c>
      <c r="BB44" s="213">
        <f t="shared" si="18"/>
        <v>1000</v>
      </c>
      <c r="BC44" s="199" t="str">
        <f t="shared" si="19"/>
        <v>#N/A</v>
      </c>
      <c r="BD44" s="200" t="str">
        <f t="shared" si="20"/>
        <v>#N/A</v>
      </c>
      <c r="BE44" s="200">
        <f t="shared" si="21"/>
        <v>0</v>
      </c>
      <c r="BF44" s="201" t="str">
        <f t="shared" si="22"/>
        <v/>
      </c>
      <c r="BG44" s="201" t="str">
        <f t="shared" si="23"/>
        <v/>
      </c>
      <c r="BH44" s="202" t="str">
        <f t="shared" si="24"/>
        <v/>
      </c>
      <c r="BI44" s="203"/>
      <c r="BJ44" s="204">
        <f>IFERROR(__xludf.DUMMYFUNCTION("IF(AU44=data!A$5,
IF(AV44=data!A$8,
IF(T44=data!A$3,
VLOOKUP(S44,filter('🔒 Доп. информация'!D:H,'🔒 Доп. информация'!C:C=T44),4,FALSE)+VLOOKUP(S44,filter('🔒 Доп. информация'!D:H,'🔒 Доп. информация'!C:C=T44),5,FALSE)*AJ44,
IF(AND(MAX(AF44:AH44)&lt;80,SUM(A"&amp;"F44:AH44)&lt;=160,AI44&lt;20,XLOOKUP(M44,'📄 Комиссии'!C:C,'📄 Комиссии'!B:B)&lt;&gt;""Продукты""),
VLOOKUP(S44,filter('🔒 Доп. информация'!D:H,'🔒 Доп. информация'!C:C=data!$A$3),4,FALSE)+VLOOKUP(S44,filter('🔒 Доп. информация'!D:H,'🔒 Доп. информация'!C:C=data!$A$3"&amp;"),5,FALSE)*AJ44,
VLOOKUP(S44,filter('🔒 Доп. информация'!D:H,'🔒 Доп. информация'!C:C=T44),4,FALSE)*ROUNDUP(AF44*AG44*AH44*L44/(120*80*175))/L44)
)
*(AE44/2)
,)
,)*0"),0.0)</f>
        <v>0</v>
      </c>
      <c r="BK44" s="204">
        <f>IFERROR(__xludf.DUMMYFUNCTION("IF(AU44=data!A$5,
IF(AI44&lt;=1,IF(AI44&lt;=0.8,IF(AI44&lt;=0.6,IF(AI44&lt;=0.4,IF(AI44&lt;=0.2,23,26),29),30),32)*VLOOKUP(S44,filter('🔒 Доп. информация'!D:E,'🔒 Доп. информация'!C:C=T44),2,FALSE)/'🔒 Доп. информация'!$K$9,
IF(AV44=data!A$8,U44,1)*VLOOKUP(S44,filter('"&amp;"🔒 Доп. информация'!D:E,'🔒 Доп. информация'!C:C=T44),2,FALSE)+
IF(AV44=data!A$8,U44,1)*VLOOKUP(S44,filter('🔒 Доп. информация'!D:F,'🔒 Доп. информация'!C:C=T44),3,FALSE)*AJ44)
,0)"),69.0)</f>
        <v>69</v>
      </c>
      <c r="BL44" s="185" t="str">
        <f t="shared" ref="BL44:BM44" si="142">IF($D44,"🔒",)</f>
        <v/>
      </c>
      <c r="BM44" s="185" t="str">
        <f t="shared" si="142"/>
        <v/>
      </c>
      <c r="BN44" s="204">
        <f>VLOOKUP(T44,'🔒 Доп. информация'!J:P,7,false)</f>
        <v>50</v>
      </c>
      <c r="BO44" s="204">
        <f>IF(AV44=data!A$9,
(AA44+AO44+AP44+BJ44+BK44+BN44)+H44*AS44,
(BJ44+BK44+BN44)+H44*AS44
)</f>
        <v>119</v>
      </c>
      <c r="BP44" s="204">
        <f t="shared" si="26"/>
        <v>69</v>
      </c>
      <c r="BQ44" s="204">
        <f t="shared" si="27"/>
        <v>320</v>
      </c>
      <c r="BR44" s="204" t="str">
        <f t="shared" si="37"/>
        <v>#N/A</v>
      </c>
      <c r="BS44" s="204" t="str">
        <f t="array" ref="BS44">IF(VLOOKUP(AT44,{'▶️ Инструкция'!C:C,'▶️ Инструкция'!Y:Y},2,FALSE)=data!A$15,
H44*(1-I44),
(H44-BR44))
*VLOOKUP(AT44,{'▶️ Инструкция'!C:C,'▶️ Инструкция'!AD:AD},2,FALSE)/(1+VLOOKUP(AT44,{'▶️ Инструкция'!C:C,'▶️ Инструкция'!AD:AD},2,FALSE))</f>
        <v>#N/A</v>
      </c>
      <c r="BT44" s="204" t="str">
        <f t="array" ref="BT44">
IF(VLOOKUP(AT44,{'▶️ Инструкция'!C:C,'▶️ Инструкция'!Y:Y},2,FALSE)=data!A$15,
H44*(1-I44)-BS44,
(H44-BR44-BS44))
*
VLOOKUP(AT44,{'▶️ Инструкция'!C:C,'▶️ Инструкция'!R:R},2,FALSE)
+BS44</f>
        <v>#N/A</v>
      </c>
      <c r="BU44" s="204" t="str">
        <f>(G44*AR44)+if(AV44=data!A$9,AO44,AN44)+AP44+BR44+BT44</f>
        <v>#N/A</v>
      </c>
      <c r="BV44" s="204" t="str">
        <f>(G44*AR44)+if(AV44=data!A$9,AO44,AN44)+AP44+BT44+G44</f>
        <v>#N/A</v>
      </c>
      <c r="BW44" s="204" t="str">
        <f t="shared" si="28"/>
        <v>#N/A</v>
      </c>
      <c r="BX44" s="204" t="str">
        <f t="shared" si="29"/>
        <v>#N/A</v>
      </c>
    </row>
    <row r="45">
      <c r="A45" s="165" t="str">
        <f>if(D45=true,if(F45=data!A$1,data!A$10,data!A$11),)</f>
        <v/>
      </c>
      <c r="B45" s="166" t="str">
        <f t="shared" si="4"/>
        <v>FBS</v>
      </c>
      <c r="C45" s="167" t="s">
        <v>195</v>
      </c>
      <c r="D45" s="168" t="b">
        <v>0</v>
      </c>
      <c r="E45" s="169" t="s">
        <v>204</v>
      </c>
      <c r="F45" s="170" t="str">
        <f t="array" ref="F45">IF(D45=TRUE,IF(IF(BG$3=VLOOKUP(AT45,{'▶️ Инструкция'!C:C,'▶️ Инструкция'!G:G},2,FALSE),BG45,BH45)&gt;VLOOKUP(AT45,{'▶️ Инструкция'!C:C,'▶️ Инструкция'!N:N},2,FALSE),data!A$1,data!A$2),)</f>
        <v/>
      </c>
      <c r="G45" s="171">
        <v>0.0</v>
      </c>
      <c r="H45" s="172">
        <v>1000.0</v>
      </c>
      <c r="I45" s="173">
        <v>0.0</v>
      </c>
      <c r="J45" s="173">
        <v>0.0</v>
      </c>
      <c r="K45" s="174" t="str">
        <f t="shared" si="5"/>
        <v/>
      </c>
      <c r="L45" s="175">
        <v>0.0</v>
      </c>
      <c r="M45" s="176" t="s">
        <v>197</v>
      </c>
      <c r="N45" s="177">
        <f>IFERROR(__xludf.DUMMYFUNCTION("ArrayFormula(let(category,VLOOKUP($M45, {'📄 Комиссии'!$C:$C , '📄 Комиссии'!$B:$B}, 2, 0),
data,MATCH('🔒 Доп. информация'!$J$15:$J203,TRANSPOSE(SPLIT(INDEX('▶️ Инструкция'!$Q:$Q,MATCH($AT45,'▶️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commission,VLOOKUP($M45,'📄 Комиссии'!$C:$E,IF($AV45=data!A$8,2,3),0),
IF(NOT(ISBLANK($M45)),commission/100+
IFERR"&amp;"OR(VLOOKUP($AT45,{'▶️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45" s="178" t="str">
        <f t="shared" si="6"/>
        <v/>
      </c>
      <c r="Q45" s="178" t="str">
        <f t="shared" si="7"/>
        <v/>
      </c>
      <c r="S45" s="179" t="s">
        <v>192</v>
      </c>
      <c r="T45" s="180" t="s">
        <v>193</v>
      </c>
      <c r="U45" s="181">
        <v>1.0</v>
      </c>
      <c r="V45" s="182" t="str">
        <f t="shared" ref="V45:Y45" si="143">IF($D45,"🔒",)</f>
        <v/>
      </c>
      <c r="W45" s="182" t="str">
        <f t="shared" si="143"/>
        <v/>
      </c>
      <c r="X45" s="182" t="str">
        <f t="shared" si="143"/>
        <v/>
      </c>
      <c r="Y45" s="182" t="str">
        <f t="shared" si="143"/>
        <v/>
      </c>
      <c r="Z45" s="183">
        <v>0.0</v>
      </c>
      <c r="AA45" s="184">
        <f t="shared" si="31"/>
        <v>0</v>
      </c>
      <c r="AB45" s="185" t="str">
        <f t="shared" ref="AB45:AD45" si="144">IF($D45,"🔒",)</f>
        <v/>
      </c>
      <c r="AC45" s="185" t="str">
        <f t="shared" si="144"/>
        <v/>
      </c>
      <c r="AD45" s="186" t="str">
        <f t="shared" si="144"/>
        <v/>
      </c>
      <c r="AE45" s="180">
        <v>30.0</v>
      </c>
      <c r="AF45" s="187">
        <v>0.0</v>
      </c>
      <c r="AG45" s="187">
        <v>0.0</v>
      </c>
      <c r="AH45" s="187">
        <v>0.0</v>
      </c>
      <c r="AI45" s="181">
        <f t="shared" si="10"/>
        <v>0</v>
      </c>
      <c r="AJ45" s="181">
        <f t="shared" si="11"/>
        <v>0</v>
      </c>
      <c r="AK45" s="185" t="str">
        <f t="shared" si="12"/>
        <v/>
      </c>
      <c r="AL45" s="188" t="str">
        <f t="array" ref="AL45">H45*(1-I45)*VLOOKUP(AT45,{'▶️ Инструкция'!C:C,'▶️ Инструкция'!AI:AI},2,false)</f>
        <v>#N/A</v>
      </c>
      <c r="AM45" s="186" t="str">
        <f t="shared" si="13"/>
        <v/>
      </c>
      <c r="AN45" s="189">
        <v>0.0</v>
      </c>
      <c r="AO45" s="189">
        <v>0.0</v>
      </c>
      <c r="AP45" s="189">
        <v>0.0</v>
      </c>
      <c r="AQ45" s="191">
        <v>1.0</v>
      </c>
      <c r="AR45" s="191">
        <v>0.0</v>
      </c>
      <c r="AS45" s="212">
        <v>0.0</v>
      </c>
      <c r="AT45" s="193" t="s">
        <v>206</v>
      </c>
      <c r="AU45" s="193" t="s">
        <v>121</v>
      </c>
      <c r="AV45" s="193" t="s">
        <v>199</v>
      </c>
      <c r="AW45" s="194">
        <f t="shared" si="14"/>
        <v>0</v>
      </c>
      <c r="AX45" s="195">
        <f t="shared" si="15"/>
        <v>0</v>
      </c>
      <c r="AY45" s="196" t="str">
        <f t="shared" si="16"/>
        <v>#N/A</v>
      </c>
      <c r="AZ45" s="213">
        <v>250.0</v>
      </c>
      <c r="BA45" s="196">
        <f t="shared" si="17"/>
        <v>0.25</v>
      </c>
      <c r="BB45" s="213">
        <f t="shared" si="18"/>
        <v>1000</v>
      </c>
      <c r="BC45" s="199" t="str">
        <f t="shared" si="19"/>
        <v>#N/A</v>
      </c>
      <c r="BD45" s="200" t="str">
        <f t="shared" si="20"/>
        <v>#N/A</v>
      </c>
      <c r="BE45" s="200">
        <f t="shared" si="21"/>
        <v>0</v>
      </c>
      <c r="BF45" s="201" t="str">
        <f t="shared" si="22"/>
        <v/>
      </c>
      <c r="BG45" s="201" t="str">
        <f t="shared" si="23"/>
        <v/>
      </c>
      <c r="BH45" s="202" t="str">
        <f t="shared" si="24"/>
        <v/>
      </c>
      <c r="BI45" s="203"/>
      <c r="BJ45" s="204">
        <f>IFERROR(__xludf.DUMMYFUNCTION("IF(AU45=data!A$5,
IF(AV45=data!A$8,
IF(T45=data!A$3,
VLOOKUP(S45,filter('🔒 Доп. информация'!D:H,'🔒 Доп. информация'!C:C=T45),4,FALSE)+VLOOKUP(S45,filter('🔒 Доп. информация'!D:H,'🔒 Доп. информация'!C:C=T45),5,FALSE)*AJ45,
IF(AND(MAX(AF45:AH45)&lt;80,SUM(A"&amp;"F45:AH45)&lt;=160,AI45&lt;20,XLOOKUP(M45,'📄 Комиссии'!C:C,'📄 Комиссии'!B:B)&lt;&gt;""Продукты""),
VLOOKUP(S45,filter('🔒 Доп. информация'!D:H,'🔒 Доп. информация'!C:C=data!$A$3),4,FALSE)+VLOOKUP(S45,filter('🔒 Доп. информация'!D:H,'🔒 Доп. информация'!C:C=data!$A$3"&amp;"),5,FALSE)*AJ45,
VLOOKUP(S45,filter('🔒 Доп. информация'!D:H,'🔒 Доп. информация'!C:C=T45),4,FALSE)*ROUNDUP(AF45*AG45*AH45*L45/(120*80*175))/L45)
)
*(AE45/2)
,)
,)*0"),0.0)</f>
        <v>0</v>
      </c>
      <c r="BK45" s="204">
        <f>IFERROR(__xludf.DUMMYFUNCTION("IF(AU45=data!A$5,
IF(AI45&lt;=1,IF(AI45&lt;=0.8,IF(AI45&lt;=0.6,IF(AI45&lt;=0.4,IF(AI45&lt;=0.2,23,26),29),30),32)*VLOOKUP(S45,filter('🔒 Доп. информация'!D:E,'🔒 Доп. информация'!C:C=T45),2,FALSE)/'🔒 Доп. информация'!$K$9,
IF(AV45=data!A$8,U45,1)*VLOOKUP(S45,filter('"&amp;"🔒 Доп. информация'!D:E,'🔒 Доп. информация'!C:C=T45),2,FALSE)+
IF(AV45=data!A$8,U45,1)*VLOOKUP(S45,filter('🔒 Доп. информация'!D:F,'🔒 Доп. информация'!C:C=T45),3,FALSE)*AJ45)
,0)"),69.0)</f>
        <v>69</v>
      </c>
      <c r="BL45" s="185" t="str">
        <f t="shared" ref="BL45:BM45" si="145">IF($D45,"🔒",)</f>
        <v/>
      </c>
      <c r="BM45" s="185" t="str">
        <f t="shared" si="145"/>
        <v/>
      </c>
      <c r="BN45" s="204">
        <f>VLOOKUP(T45,'🔒 Доп. информация'!J:P,7,false)</f>
        <v>50</v>
      </c>
      <c r="BO45" s="204">
        <f>IF(AV45=data!A$9,
(AA45+AO45+AP45+BJ45+BK45+BN45)+H45*AS45,
(BJ45+BK45+BN45)+H45*AS45
)</f>
        <v>119</v>
      </c>
      <c r="BP45" s="204">
        <f t="shared" si="26"/>
        <v>69</v>
      </c>
      <c r="BQ45" s="204">
        <f t="shared" si="27"/>
        <v>320</v>
      </c>
      <c r="BR45" s="204" t="str">
        <f t="shared" si="37"/>
        <v>#N/A</v>
      </c>
      <c r="BS45" s="204" t="str">
        <f t="array" ref="BS45">IF(VLOOKUP(AT45,{'▶️ Инструкция'!C:C,'▶️ Инструкция'!Y:Y},2,FALSE)=data!A$15,
H45*(1-I45),
(H45-BR45))
*VLOOKUP(AT45,{'▶️ Инструкция'!C:C,'▶️ Инструкция'!AD:AD},2,FALSE)/(1+VLOOKUP(AT45,{'▶️ Инструкция'!C:C,'▶️ Инструкция'!AD:AD},2,FALSE))</f>
        <v>#N/A</v>
      </c>
      <c r="BT45" s="204" t="str">
        <f t="array" ref="BT45">
IF(VLOOKUP(AT45,{'▶️ Инструкция'!C:C,'▶️ Инструкция'!Y:Y},2,FALSE)=data!A$15,
H45*(1-I45)-BS45,
(H45-BR45-BS45))
*
VLOOKUP(AT45,{'▶️ Инструкция'!C:C,'▶️ Инструкция'!R:R},2,FALSE)
+BS45</f>
        <v>#N/A</v>
      </c>
      <c r="BU45" s="204" t="str">
        <f>(G45*AR45)+if(AV45=data!A$9,AO45,AN45)+AP45+BR45+BT45</f>
        <v>#N/A</v>
      </c>
      <c r="BV45" s="204" t="str">
        <f>(G45*AR45)+if(AV45=data!A$9,AO45,AN45)+AP45+BT45+G45</f>
        <v>#N/A</v>
      </c>
      <c r="BW45" s="204" t="str">
        <f t="shared" si="28"/>
        <v>#N/A</v>
      </c>
      <c r="BX45" s="204" t="str">
        <f t="shared" si="29"/>
        <v>#N/A</v>
      </c>
    </row>
    <row r="46">
      <c r="A46" s="165" t="str">
        <f>if(D46=true,if(F46=data!A$1,data!A$10,data!A$11),)</f>
        <v/>
      </c>
      <c r="B46" s="166" t="str">
        <f t="shared" si="4"/>
        <v>FBS</v>
      </c>
      <c r="C46" s="167" t="s">
        <v>195</v>
      </c>
      <c r="D46" s="168" t="b">
        <v>0</v>
      </c>
      <c r="E46" s="169" t="s">
        <v>204</v>
      </c>
      <c r="F46" s="170" t="str">
        <f t="array" ref="F46">IF(D46=TRUE,IF(IF(BG$3=VLOOKUP(AT46,{'▶️ Инструкция'!C:C,'▶️ Инструкция'!G:G},2,FALSE),BG46,BH46)&gt;VLOOKUP(AT46,{'▶️ Инструкция'!C:C,'▶️ Инструкция'!N:N},2,FALSE),data!A$1,data!A$2),)</f>
        <v/>
      </c>
      <c r="G46" s="171">
        <v>0.0</v>
      </c>
      <c r="H46" s="172">
        <v>1000.0</v>
      </c>
      <c r="I46" s="173">
        <v>0.0</v>
      </c>
      <c r="J46" s="173">
        <v>0.0</v>
      </c>
      <c r="K46" s="174" t="str">
        <f t="shared" si="5"/>
        <v/>
      </c>
      <c r="L46" s="175">
        <v>0.0</v>
      </c>
      <c r="M46" s="176" t="s">
        <v>197</v>
      </c>
      <c r="N46" s="177">
        <f>IFERROR(__xludf.DUMMYFUNCTION("ArrayFormula(let(category,VLOOKUP($M46, {'📄 Комиссии'!$C:$C , '📄 Комиссии'!$B:$B}, 2, 0),
data,MATCH('🔒 Доп. информация'!$J$15:$J203,TRANSPOSE(SPLIT(INDEX('▶️ Инструкция'!$Q:$Q,MATCH($AT46,'▶️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commission,VLOOKUP($M46,'📄 Комиссии'!$C:$E,IF($AV46=data!A$8,2,3),0),
IF(NOT(ISBLANK($M46)),commission/100+
IFERR"&amp;"OR(VLOOKUP($AT46,{'▶️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46" s="178" t="str">
        <f t="shared" si="6"/>
        <v/>
      </c>
      <c r="Q46" s="178" t="str">
        <f t="shared" si="7"/>
        <v/>
      </c>
      <c r="S46" s="179" t="s">
        <v>192</v>
      </c>
      <c r="T46" s="180" t="s">
        <v>193</v>
      </c>
      <c r="U46" s="181">
        <v>1.0</v>
      </c>
      <c r="V46" s="182" t="str">
        <f t="shared" ref="V46:Y46" si="146">IF($D46,"🔒",)</f>
        <v/>
      </c>
      <c r="W46" s="182" t="str">
        <f t="shared" si="146"/>
        <v/>
      </c>
      <c r="X46" s="182" t="str">
        <f t="shared" si="146"/>
        <v/>
      </c>
      <c r="Y46" s="182" t="str">
        <f t="shared" si="146"/>
        <v/>
      </c>
      <c r="Z46" s="183">
        <v>0.0</v>
      </c>
      <c r="AA46" s="184">
        <f t="shared" si="31"/>
        <v>0</v>
      </c>
      <c r="AB46" s="185" t="str">
        <f t="shared" ref="AB46:AD46" si="147">IF($D46,"🔒",)</f>
        <v/>
      </c>
      <c r="AC46" s="185" t="str">
        <f t="shared" si="147"/>
        <v/>
      </c>
      <c r="AD46" s="186" t="str">
        <f t="shared" si="147"/>
        <v/>
      </c>
      <c r="AE46" s="180">
        <v>30.0</v>
      </c>
      <c r="AF46" s="187">
        <v>0.0</v>
      </c>
      <c r="AG46" s="187">
        <v>0.0</v>
      </c>
      <c r="AH46" s="187">
        <v>0.0</v>
      </c>
      <c r="AI46" s="181">
        <f t="shared" si="10"/>
        <v>0</v>
      </c>
      <c r="AJ46" s="181">
        <f t="shared" si="11"/>
        <v>0</v>
      </c>
      <c r="AK46" s="185" t="str">
        <f t="shared" si="12"/>
        <v/>
      </c>
      <c r="AL46" s="188" t="str">
        <f t="array" ref="AL46">H46*(1-I46)*VLOOKUP(AT46,{'▶️ Инструкция'!C:C,'▶️ Инструкция'!AI:AI},2,false)</f>
        <v>#N/A</v>
      </c>
      <c r="AM46" s="186" t="str">
        <f t="shared" si="13"/>
        <v/>
      </c>
      <c r="AN46" s="189">
        <v>0.0</v>
      </c>
      <c r="AO46" s="189">
        <v>0.0</v>
      </c>
      <c r="AP46" s="189">
        <v>0.0</v>
      </c>
      <c r="AQ46" s="191">
        <v>1.0</v>
      </c>
      <c r="AR46" s="191">
        <v>0.0</v>
      </c>
      <c r="AS46" s="212">
        <v>0.0</v>
      </c>
      <c r="AT46" s="193" t="s">
        <v>206</v>
      </c>
      <c r="AU46" s="193" t="s">
        <v>121</v>
      </c>
      <c r="AV46" s="193" t="s">
        <v>199</v>
      </c>
      <c r="AW46" s="194">
        <f t="shared" si="14"/>
        <v>0</v>
      </c>
      <c r="AX46" s="195">
        <f t="shared" si="15"/>
        <v>0</v>
      </c>
      <c r="AY46" s="196" t="str">
        <f t="shared" si="16"/>
        <v>#N/A</v>
      </c>
      <c r="AZ46" s="213">
        <v>250.0</v>
      </c>
      <c r="BA46" s="196">
        <f t="shared" si="17"/>
        <v>0.25</v>
      </c>
      <c r="BB46" s="213">
        <f t="shared" si="18"/>
        <v>1000</v>
      </c>
      <c r="BC46" s="199" t="str">
        <f t="shared" si="19"/>
        <v>#N/A</v>
      </c>
      <c r="BD46" s="200" t="str">
        <f t="shared" si="20"/>
        <v>#N/A</v>
      </c>
      <c r="BE46" s="200">
        <f t="shared" si="21"/>
        <v>0</v>
      </c>
      <c r="BF46" s="201" t="str">
        <f t="shared" si="22"/>
        <v/>
      </c>
      <c r="BG46" s="201" t="str">
        <f t="shared" si="23"/>
        <v/>
      </c>
      <c r="BH46" s="202" t="str">
        <f t="shared" si="24"/>
        <v/>
      </c>
      <c r="BI46" s="203"/>
      <c r="BJ46" s="204">
        <f>IFERROR(__xludf.DUMMYFUNCTION("IF(AU46=data!A$5,
IF(AV46=data!A$8,
IF(T46=data!A$3,
VLOOKUP(S46,filter('🔒 Доп. информация'!D:H,'🔒 Доп. информация'!C:C=T46),4,FALSE)+VLOOKUP(S46,filter('🔒 Доп. информация'!D:H,'🔒 Доп. информация'!C:C=T46),5,FALSE)*AJ46,
IF(AND(MAX(AF46:AH46)&lt;80,SUM(A"&amp;"F46:AH46)&lt;=160,AI46&lt;20,XLOOKUP(M46,'📄 Комиссии'!C:C,'📄 Комиссии'!B:B)&lt;&gt;""Продукты""),
VLOOKUP(S46,filter('🔒 Доп. информация'!D:H,'🔒 Доп. информация'!C:C=data!$A$3),4,FALSE)+VLOOKUP(S46,filter('🔒 Доп. информация'!D:H,'🔒 Доп. информация'!C:C=data!$A$3"&amp;"),5,FALSE)*AJ46,
VLOOKUP(S46,filter('🔒 Доп. информация'!D:H,'🔒 Доп. информация'!C:C=T46),4,FALSE)*ROUNDUP(AF46*AG46*AH46*L46/(120*80*175))/L46)
)
*(AE46/2)
,)
,)*0"),0.0)</f>
        <v>0</v>
      </c>
      <c r="BK46" s="204">
        <f>IFERROR(__xludf.DUMMYFUNCTION("IF(AU46=data!A$5,
IF(AI46&lt;=1,IF(AI46&lt;=0.8,IF(AI46&lt;=0.6,IF(AI46&lt;=0.4,IF(AI46&lt;=0.2,23,26),29),30),32)*VLOOKUP(S46,filter('🔒 Доп. информация'!D:E,'🔒 Доп. информация'!C:C=T46),2,FALSE)/'🔒 Доп. информация'!$K$9,
IF(AV46=data!A$8,U46,1)*VLOOKUP(S46,filter('"&amp;"🔒 Доп. информация'!D:E,'🔒 Доп. информация'!C:C=T46),2,FALSE)+
IF(AV46=data!A$8,U46,1)*VLOOKUP(S46,filter('🔒 Доп. информация'!D:F,'🔒 Доп. информация'!C:C=T46),3,FALSE)*AJ46)
,0)"),69.0)</f>
        <v>69</v>
      </c>
      <c r="BL46" s="185" t="str">
        <f t="shared" ref="BL46:BM46" si="148">IF($D46,"🔒",)</f>
        <v/>
      </c>
      <c r="BM46" s="185" t="str">
        <f t="shared" si="148"/>
        <v/>
      </c>
      <c r="BN46" s="204">
        <f>VLOOKUP(T46,'🔒 Доп. информация'!J:P,7,false)</f>
        <v>50</v>
      </c>
      <c r="BO46" s="204">
        <f>IF(AV46=data!A$9,
(AA46+AO46+AP46+BJ46+BK46+BN46)+H46*AS46,
(BJ46+BK46+BN46)+H46*AS46
)</f>
        <v>119</v>
      </c>
      <c r="BP46" s="204">
        <f t="shared" si="26"/>
        <v>69</v>
      </c>
      <c r="BQ46" s="204">
        <f t="shared" si="27"/>
        <v>320</v>
      </c>
      <c r="BR46" s="204" t="str">
        <f t="shared" si="37"/>
        <v>#N/A</v>
      </c>
      <c r="BS46" s="204" t="str">
        <f t="array" ref="BS46">IF(VLOOKUP(AT46,{'▶️ Инструкция'!C:C,'▶️ Инструкция'!Y:Y},2,FALSE)=data!A$15,
H46*(1-I46),
(H46-BR46))
*VLOOKUP(AT46,{'▶️ Инструкция'!C:C,'▶️ Инструкция'!AD:AD},2,FALSE)/(1+VLOOKUP(AT46,{'▶️ Инструкция'!C:C,'▶️ Инструкция'!AD:AD},2,FALSE))</f>
        <v>#N/A</v>
      </c>
      <c r="BT46" s="204" t="str">
        <f t="array" ref="BT46">
IF(VLOOKUP(AT46,{'▶️ Инструкция'!C:C,'▶️ Инструкция'!Y:Y},2,FALSE)=data!A$15,
H46*(1-I46)-BS46,
(H46-BR46-BS46))
*
VLOOKUP(AT46,{'▶️ Инструкция'!C:C,'▶️ Инструкция'!R:R},2,FALSE)
+BS46</f>
        <v>#N/A</v>
      </c>
      <c r="BU46" s="204" t="str">
        <f>(G46*AR46)+if(AV46=data!A$9,AO46,AN46)+AP46+BR46+BT46</f>
        <v>#N/A</v>
      </c>
      <c r="BV46" s="204" t="str">
        <f>(G46*AR46)+if(AV46=data!A$9,AO46,AN46)+AP46+BT46+G46</f>
        <v>#N/A</v>
      </c>
      <c r="BW46" s="204" t="str">
        <f t="shared" si="28"/>
        <v>#N/A</v>
      </c>
      <c r="BX46" s="204" t="str">
        <f t="shared" si="29"/>
        <v>#N/A</v>
      </c>
    </row>
    <row r="47">
      <c r="A47" s="165" t="str">
        <f>if(D47=true,if(F47=data!A$1,data!A$10,data!A$11),)</f>
        <v/>
      </c>
      <c r="B47" s="166" t="str">
        <f t="shared" si="4"/>
        <v>FBS</v>
      </c>
      <c r="C47" s="167" t="s">
        <v>195</v>
      </c>
      <c r="D47" s="168" t="b">
        <v>0</v>
      </c>
      <c r="E47" s="169" t="s">
        <v>204</v>
      </c>
      <c r="F47" s="170" t="str">
        <f t="array" ref="F47">IF(D47=TRUE,IF(IF(BG$3=VLOOKUP(AT47,{'▶️ Инструкция'!C:C,'▶️ Инструкция'!G:G},2,FALSE),BG47,BH47)&gt;VLOOKUP(AT47,{'▶️ Инструкция'!C:C,'▶️ Инструкция'!N:N},2,FALSE),data!A$1,data!A$2),)</f>
        <v/>
      </c>
      <c r="G47" s="171">
        <v>0.0</v>
      </c>
      <c r="H47" s="172">
        <v>1000.0</v>
      </c>
      <c r="I47" s="173">
        <v>0.0</v>
      </c>
      <c r="J47" s="173">
        <v>0.0</v>
      </c>
      <c r="K47" s="174" t="str">
        <f t="shared" si="5"/>
        <v/>
      </c>
      <c r="L47" s="175">
        <v>0.0</v>
      </c>
      <c r="M47" s="176" t="s">
        <v>197</v>
      </c>
      <c r="N47" s="177">
        <f>IFERROR(__xludf.DUMMYFUNCTION("ArrayFormula(let(category,VLOOKUP($M47, {'📄 Комиссии'!$C:$C , '📄 Комиссии'!$B:$B}, 2, 0),
data,MATCH('🔒 Доп. информация'!$J$15:$J203,TRANSPOSE(SPLIT(INDEX('▶️ Инструкция'!$Q:$Q,MATCH($AT47,'▶️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commission,VLOOKUP($M47,'📄 Комиссии'!$C:$E,IF($AV47=data!A$8,2,3),0),
IF(NOT(ISBLANK($M47)),commission/100+
IFERR"&amp;"OR(VLOOKUP($AT47,{'▶️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47" s="178" t="str">
        <f t="shared" si="6"/>
        <v/>
      </c>
      <c r="Q47" s="178" t="str">
        <f t="shared" si="7"/>
        <v/>
      </c>
      <c r="S47" s="179" t="s">
        <v>192</v>
      </c>
      <c r="T47" s="180" t="s">
        <v>193</v>
      </c>
      <c r="U47" s="181">
        <v>1.0</v>
      </c>
      <c r="V47" s="182" t="str">
        <f t="shared" ref="V47:Y47" si="149">IF($D47,"🔒",)</f>
        <v/>
      </c>
      <c r="W47" s="182" t="str">
        <f t="shared" si="149"/>
        <v/>
      </c>
      <c r="X47" s="182" t="str">
        <f t="shared" si="149"/>
        <v/>
      </c>
      <c r="Y47" s="182" t="str">
        <f t="shared" si="149"/>
        <v/>
      </c>
      <c r="Z47" s="183">
        <v>0.0</v>
      </c>
      <c r="AA47" s="184">
        <f t="shared" si="31"/>
        <v>0</v>
      </c>
      <c r="AB47" s="185" t="str">
        <f t="shared" ref="AB47:AD47" si="150">IF($D47,"🔒",)</f>
        <v/>
      </c>
      <c r="AC47" s="185" t="str">
        <f t="shared" si="150"/>
        <v/>
      </c>
      <c r="AD47" s="186" t="str">
        <f t="shared" si="150"/>
        <v/>
      </c>
      <c r="AE47" s="180">
        <v>30.0</v>
      </c>
      <c r="AF47" s="187">
        <v>0.0</v>
      </c>
      <c r="AG47" s="187">
        <v>0.0</v>
      </c>
      <c r="AH47" s="187">
        <v>0.0</v>
      </c>
      <c r="AI47" s="181">
        <f t="shared" si="10"/>
        <v>0</v>
      </c>
      <c r="AJ47" s="181">
        <f t="shared" si="11"/>
        <v>0</v>
      </c>
      <c r="AK47" s="185" t="str">
        <f t="shared" si="12"/>
        <v/>
      </c>
      <c r="AL47" s="188" t="str">
        <f t="array" ref="AL47">H47*(1-I47)*VLOOKUP(AT47,{'▶️ Инструкция'!C:C,'▶️ Инструкция'!AI:AI},2,false)</f>
        <v>#N/A</v>
      </c>
      <c r="AM47" s="186" t="str">
        <f t="shared" si="13"/>
        <v/>
      </c>
      <c r="AN47" s="189">
        <v>0.0</v>
      </c>
      <c r="AO47" s="189">
        <v>0.0</v>
      </c>
      <c r="AP47" s="189">
        <v>0.0</v>
      </c>
      <c r="AQ47" s="191">
        <v>1.0</v>
      </c>
      <c r="AR47" s="191">
        <v>0.0</v>
      </c>
      <c r="AS47" s="212">
        <v>0.0</v>
      </c>
      <c r="AT47" s="193" t="s">
        <v>206</v>
      </c>
      <c r="AU47" s="193" t="s">
        <v>121</v>
      </c>
      <c r="AV47" s="193" t="s">
        <v>199</v>
      </c>
      <c r="AW47" s="194">
        <f t="shared" si="14"/>
        <v>0</v>
      </c>
      <c r="AX47" s="195">
        <f t="shared" si="15"/>
        <v>0</v>
      </c>
      <c r="AY47" s="196" t="str">
        <f t="shared" si="16"/>
        <v>#N/A</v>
      </c>
      <c r="AZ47" s="213">
        <v>250.0</v>
      </c>
      <c r="BA47" s="196">
        <f t="shared" si="17"/>
        <v>0.25</v>
      </c>
      <c r="BB47" s="213">
        <f t="shared" si="18"/>
        <v>1000</v>
      </c>
      <c r="BC47" s="199" t="str">
        <f t="shared" si="19"/>
        <v>#N/A</v>
      </c>
      <c r="BD47" s="200" t="str">
        <f t="shared" si="20"/>
        <v>#N/A</v>
      </c>
      <c r="BE47" s="200">
        <f t="shared" si="21"/>
        <v>0</v>
      </c>
      <c r="BF47" s="201" t="str">
        <f t="shared" si="22"/>
        <v/>
      </c>
      <c r="BG47" s="201" t="str">
        <f t="shared" si="23"/>
        <v/>
      </c>
      <c r="BH47" s="202" t="str">
        <f t="shared" si="24"/>
        <v/>
      </c>
      <c r="BI47" s="203"/>
      <c r="BJ47" s="204">
        <f>IFERROR(__xludf.DUMMYFUNCTION("IF(AU47=data!A$5,
IF(AV47=data!A$8,
IF(T47=data!A$3,
VLOOKUP(S47,filter('🔒 Доп. информация'!D:H,'🔒 Доп. информация'!C:C=T47),4,FALSE)+VLOOKUP(S47,filter('🔒 Доп. информация'!D:H,'🔒 Доп. информация'!C:C=T47),5,FALSE)*AJ47,
IF(AND(MAX(AF47:AH47)&lt;80,SUM(A"&amp;"F47:AH47)&lt;=160,AI47&lt;20,XLOOKUP(M47,'📄 Комиссии'!C:C,'📄 Комиссии'!B:B)&lt;&gt;""Продукты""),
VLOOKUP(S47,filter('🔒 Доп. информация'!D:H,'🔒 Доп. информация'!C:C=data!$A$3),4,FALSE)+VLOOKUP(S47,filter('🔒 Доп. информация'!D:H,'🔒 Доп. информация'!C:C=data!$A$3"&amp;"),5,FALSE)*AJ47,
VLOOKUP(S47,filter('🔒 Доп. информация'!D:H,'🔒 Доп. информация'!C:C=T47),4,FALSE)*ROUNDUP(AF47*AG47*AH47*L47/(120*80*175))/L47)
)
*(AE47/2)
,)
,)*0"),0.0)</f>
        <v>0</v>
      </c>
      <c r="BK47" s="204">
        <f>IFERROR(__xludf.DUMMYFUNCTION("IF(AU47=data!A$5,
IF(AI47&lt;=1,IF(AI47&lt;=0.8,IF(AI47&lt;=0.6,IF(AI47&lt;=0.4,IF(AI47&lt;=0.2,23,26),29),30),32)*VLOOKUP(S47,filter('🔒 Доп. информация'!D:E,'🔒 Доп. информация'!C:C=T47),2,FALSE)/'🔒 Доп. информация'!$K$9,
IF(AV47=data!A$8,U47,1)*VLOOKUP(S47,filter('"&amp;"🔒 Доп. информация'!D:E,'🔒 Доп. информация'!C:C=T47),2,FALSE)+
IF(AV47=data!A$8,U47,1)*VLOOKUP(S47,filter('🔒 Доп. информация'!D:F,'🔒 Доп. информация'!C:C=T47),3,FALSE)*AJ47)
,0)"),69.0)</f>
        <v>69</v>
      </c>
      <c r="BL47" s="185" t="str">
        <f t="shared" ref="BL47:BM47" si="151">IF($D47,"🔒",)</f>
        <v/>
      </c>
      <c r="BM47" s="185" t="str">
        <f t="shared" si="151"/>
        <v/>
      </c>
      <c r="BN47" s="204">
        <f>VLOOKUP(T47,'🔒 Доп. информация'!J:P,7,false)</f>
        <v>50</v>
      </c>
      <c r="BO47" s="204">
        <f>IF(AV47=data!A$9,
(AA47+AO47+AP47+BJ47+BK47+BN47)+H47*AS47,
(BJ47+BK47+BN47)+H47*AS47
)</f>
        <v>119</v>
      </c>
      <c r="BP47" s="204">
        <f t="shared" si="26"/>
        <v>69</v>
      </c>
      <c r="BQ47" s="204">
        <f t="shared" si="27"/>
        <v>320</v>
      </c>
      <c r="BR47" s="204" t="str">
        <f t="shared" si="37"/>
        <v>#N/A</v>
      </c>
      <c r="BS47" s="204" t="str">
        <f t="array" ref="BS47">IF(VLOOKUP(AT47,{'▶️ Инструкция'!C:C,'▶️ Инструкция'!Y:Y},2,FALSE)=data!A$15,
H47*(1-I47),
(H47-BR47))
*VLOOKUP(AT47,{'▶️ Инструкция'!C:C,'▶️ Инструкция'!AD:AD},2,FALSE)/(1+VLOOKUP(AT47,{'▶️ Инструкция'!C:C,'▶️ Инструкция'!AD:AD},2,FALSE))</f>
        <v>#N/A</v>
      </c>
      <c r="BT47" s="204" t="str">
        <f t="array" ref="BT47">
IF(VLOOKUP(AT47,{'▶️ Инструкция'!C:C,'▶️ Инструкция'!Y:Y},2,FALSE)=data!A$15,
H47*(1-I47)-BS47,
(H47-BR47-BS47))
*
VLOOKUP(AT47,{'▶️ Инструкция'!C:C,'▶️ Инструкция'!R:R},2,FALSE)
+BS47</f>
        <v>#N/A</v>
      </c>
      <c r="BU47" s="204" t="str">
        <f>(G47*AR47)+if(AV47=data!A$9,AO47,AN47)+AP47+BR47+BT47</f>
        <v>#N/A</v>
      </c>
      <c r="BV47" s="204" t="str">
        <f>(G47*AR47)+if(AV47=data!A$9,AO47,AN47)+AP47+BT47+G47</f>
        <v>#N/A</v>
      </c>
      <c r="BW47" s="204" t="str">
        <f t="shared" si="28"/>
        <v>#N/A</v>
      </c>
      <c r="BX47" s="204" t="str">
        <f t="shared" si="29"/>
        <v>#N/A</v>
      </c>
    </row>
    <row r="48">
      <c r="A48" s="165" t="str">
        <f>if(D48=true,if(F48=data!A$1,data!A$10,data!A$11),)</f>
        <v/>
      </c>
      <c r="B48" s="166" t="str">
        <f t="shared" si="4"/>
        <v>FBS</v>
      </c>
      <c r="C48" s="167" t="s">
        <v>195</v>
      </c>
      <c r="D48" s="168" t="b">
        <v>0</v>
      </c>
      <c r="E48" s="169" t="s">
        <v>204</v>
      </c>
      <c r="F48" s="170" t="str">
        <f t="array" ref="F48">IF(D48=TRUE,IF(IF(BG$3=VLOOKUP(AT48,{'▶️ Инструкция'!C:C,'▶️ Инструкция'!G:G},2,FALSE),BG48,BH48)&gt;VLOOKUP(AT48,{'▶️ Инструкция'!C:C,'▶️ Инструкция'!N:N},2,FALSE),data!A$1,data!A$2),)</f>
        <v/>
      </c>
      <c r="G48" s="171">
        <v>0.0</v>
      </c>
      <c r="H48" s="172">
        <v>1000.0</v>
      </c>
      <c r="I48" s="173">
        <v>0.0</v>
      </c>
      <c r="J48" s="173">
        <v>0.0</v>
      </c>
      <c r="K48" s="174" t="str">
        <f t="shared" si="5"/>
        <v/>
      </c>
      <c r="L48" s="175">
        <v>0.0</v>
      </c>
      <c r="M48" s="176" t="s">
        <v>197</v>
      </c>
      <c r="N48" s="177">
        <f>IFERROR(__xludf.DUMMYFUNCTION("ArrayFormula(let(category,VLOOKUP($M48, {'📄 Комиссии'!$C:$C , '📄 Комиссии'!$B:$B}, 2, 0),
data,MATCH('🔒 Доп. информация'!$J$15:$J203,TRANSPOSE(SPLIT(INDEX('▶️ Инструкция'!$Q:$Q,MATCH($AT48,'▶️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commission,VLOOKUP($M48,'📄 Комиссии'!$C:$E,IF($AV48=data!A$8,2,3),0),
IF(NOT(ISBLANK($M48)),commission/100+
IFERR"&amp;"OR(VLOOKUP($AT48,{'▶️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48" s="178" t="str">
        <f t="shared" si="6"/>
        <v/>
      </c>
      <c r="Q48" s="178" t="str">
        <f t="shared" si="7"/>
        <v/>
      </c>
      <c r="S48" s="179" t="s">
        <v>192</v>
      </c>
      <c r="T48" s="180" t="s">
        <v>193</v>
      </c>
      <c r="U48" s="181">
        <v>1.0</v>
      </c>
      <c r="V48" s="182" t="str">
        <f t="shared" ref="V48:Y48" si="152">IF($D48,"🔒",)</f>
        <v/>
      </c>
      <c r="W48" s="182" t="str">
        <f t="shared" si="152"/>
        <v/>
      </c>
      <c r="X48" s="182" t="str">
        <f t="shared" si="152"/>
        <v/>
      </c>
      <c r="Y48" s="182" t="str">
        <f t="shared" si="152"/>
        <v/>
      </c>
      <c r="Z48" s="183">
        <v>0.0</v>
      </c>
      <c r="AA48" s="184">
        <f t="shared" si="31"/>
        <v>0</v>
      </c>
      <c r="AB48" s="185" t="str">
        <f t="shared" ref="AB48:AD48" si="153">IF($D48,"🔒",)</f>
        <v/>
      </c>
      <c r="AC48" s="185" t="str">
        <f t="shared" si="153"/>
        <v/>
      </c>
      <c r="AD48" s="186" t="str">
        <f t="shared" si="153"/>
        <v/>
      </c>
      <c r="AE48" s="180">
        <v>30.0</v>
      </c>
      <c r="AF48" s="187">
        <v>0.0</v>
      </c>
      <c r="AG48" s="187">
        <v>0.0</v>
      </c>
      <c r="AH48" s="187">
        <v>0.0</v>
      </c>
      <c r="AI48" s="181">
        <f t="shared" si="10"/>
        <v>0</v>
      </c>
      <c r="AJ48" s="181">
        <f t="shared" si="11"/>
        <v>0</v>
      </c>
      <c r="AK48" s="185" t="str">
        <f t="shared" si="12"/>
        <v/>
      </c>
      <c r="AL48" s="188" t="str">
        <f t="array" ref="AL48">H48*(1-I48)*VLOOKUP(AT48,{'▶️ Инструкция'!C:C,'▶️ Инструкция'!AI:AI},2,false)</f>
        <v>#N/A</v>
      </c>
      <c r="AM48" s="186" t="str">
        <f t="shared" si="13"/>
        <v/>
      </c>
      <c r="AN48" s="189">
        <v>0.0</v>
      </c>
      <c r="AO48" s="189">
        <v>0.0</v>
      </c>
      <c r="AP48" s="189">
        <v>0.0</v>
      </c>
      <c r="AQ48" s="191">
        <v>1.0</v>
      </c>
      <c r="AR48" s="191">
        <v>0.0</v>
      </c>
      <c r="AS48" s="212">
        <v>0.0</v>
      </c>
      <c r="AT48" s="193" t="s">
        <v>206</v>
      </c>
      <c r="AU48" s="193" t="s">
        <v>121</v>
      </c>
      <c r="AV48" s="193" t="s">
        <v>199</v>
      </c>
      <c r="AW48" s="194">
        <f t="shared" si="14"/>
        <v>0</v>
      </c>
      <c r="AX48" s="195">
        <f t="shared" si="15"/>
        <v>0</v>
      </c>
      <c r="AY48" s="196" t="str">
        <f t="shared" si="16"/>
        <v>#N/A</v>
      </c>
      <c r="AZ48" s="213">
        <v>250.0</v>
      </c>
      <c r="BA48" s="196">
        <f t="shared" si="17"/>
        <v>0.25</v>
      </c>
      <c r="BB48" s="213">
        <f t="shared" si="18"/>
        <v>1000</v>
      </c>
      <c r="BC48" s="199" t="str">
        <f t="shared" si="19"/>
        <v>#N/A</v>
      </c>
      <c r="BD48" s="200" t="str">
        <f t="shared" si="20"/>
        <v>#N/A</v>
      </c>
      <c r="BE48" s="200">
        <f t="shared" si="21"/>
        <v>0</v>
      </c>
      <c r="BF48" s="201" t="str">
        <f t="shared" si="22"/>
        <v/>
      </c>
      <c r="BG48" s="201" t="str">
        <f t="shared" si="23"/>
        <v/>
      </c>
      <c r="BH48" s="202" t="str">
        <f t="shared" si="24"/>
        <v/>
      </c>
      <c r="BI48" s="203"/>
      <c r="BJ48" s="204">
        <f>IFERROR(__xludf.DUMMYFUNCTION("IF(AU48=data!A$5,
IF(AV48=data!A$8,
IF(T48=data!A$3,
VLOOKUP(S48,filter('🔒 Доп. информация'!D:H,'🔒 Доп. информация'!C:C=T48),4,FALSE)+VLOOKUP(S48,filter('🔒 Доп. информация'!D:H,'🔒 Доп. информация'!C:C=T48),5,FALSE)*AJ48,
IF(AND(MAX(AF48:AH48)&lt;80,SUM(A"&amp;"F48:AH48)&lt;=160,AI48&lt;20,XLOOKUP(M48,'📄 Комиссии'!C:C,'📄 Комиссии'!B:B)&lt;&gt;""Продукты""),
VLOOKUP(S48,filter('🔒 Доп. информация'!D:H,'🔒 Доп. информация'!C:C=data!$A$3),4,FALSE)+VLOOKUP(S48,filter('🔒 Доп. информация'!D:H,'🔒 Доп. информация'!C:C=data!$A$3"&amp;"),5,FALSE)*AJ48,
VLOOKUP(S48,filter('🔒 Доп. информация'!D:H,'🔒 Доп. информация'!C:C=T48),4,FALSE)*ROUNDUP(AF48*AG48*AH48*L48/(120*80*175))/L48)
)
*(AE48/2)
,)
,)*0"),0.0)</f>
        <v>0</v>
      </c>
      <c r="BK48" s="204">
        <f>IFERROR(__xludf.DUMMYFUNCTION("IF(AU48=data!A$5,
IF(AI48&lt;=1,IF(AI48&lt;=0.8,IF(AI48&lt;=0.6,IF(AI48&lt;=0.4,IF(AI48&lt;=0.2,23,26),29),30),32)*VLOOKUP(S48,filter('🔒 Доп. информация'!D:E,'🔒 Доп. информация'!C:C=T48),2,FALSE)/'🔒 Доп. информация'!$K$9,
IF(AV48=data!A$8,U48,1)*VLOOKUP(S48,filter('"&amp;"🔒 Доп. информация'!D:E,'🔒 Доп. информация'!C:C=T48),2,FALSE)+
IF(AV48=data!A$8,U48,1)*VLOOKUP(S48,filter('🔒 Доп. информация'!D:F,'🔒 Доп. информация'!C:C=T48),3,FALSE)*AJ48)
,0)"),69.0)</f>
        <v>69</v>
      </c>
      <c r="BL48" s="185" t="str">
        <f t="shared" ref="BL48:BM48" si="154">IF($D48,"🔒",)</f>
        <v/>
      </c>
      <c r="BM48" s="185" t="str">
        <f t="shared" si="154"/>
        <v/>
      </c>
      <c r="BN48" s="204">
        <f>VLOOKUP(T48,'🔒 Доп. информация'!J:P,7,false)</f>
        <v>50</v>
      </c>
      <c r="BO48" s="204">
        <f>IF(AV48=data!A$9,
(AA48+AO48+AP48+BJ48+BK48+BN48)+H48*AS48,
(BJ48+BK48+BN48)+H48*AS48
)</f>
        <v>119</v>
      </c>
      <c r="BP48" s="204">
        <f t="shared" si="26"/>
        <v>69</v>
      </c>
      <c r="BQ48" s="204">
        <f t="shared" si="27"/>
        <v>320</v>
      </c>
      <c r="BR48" s="204" t="str">
        <f t="shared" si="37"/>
        <v>#N/A</v>
      </c>
      <c r="BS48" s="204" t="str">
        <f t="array" ref="BS48">IF(VLOOKUP(AT48,{'▶️ Инструкция'!C:C,'▶️ Инструкция'!Y:Y},2,FALSE)=data!A$15,
H48*(1-I48),
(H48-BR48))
*VLOOKUP(AT48,{'▶️ Инструкция'!C:C,'▶️ Инструкция'!AD:AD},2,FALSE)/(1+VLOOKUP(AT48,{'▶️ Инструкция'!C:C,'▶️ Инструкция'!AD:AD},2,FALSE))</f>
        <v>#N/A</v>
      </c>
      <c r="BT48" s="204" t="str">
        <f t="array" ref="BT48">
IF(VLOOKUP(AT48,{'▶️ Инструкция'!C:C,'▶️ Инструкция'!Y:Y},2,FALSE)=data!A$15,
H48*(1-I48)-BS48,
(H48-BR48-BS48))
*
VLOOKUP(AT48,{'▶️ Инструкция'!C:C,'▶️ Инструкция'!R:R},2,FALSE)
+BS48</f>
        <v>#N/A</v>
      </c>
      <c r="BU48" s="204" t="str">
        <f>(G48*AR48)+if(AV48=data!A$9,AO48,AN48)+AP48+BR48+BT48</f>
        <v>#N/A</v>
      </c>
      <c r="BV48" s="204" t="str">
        <f>(G48*AR48)+if(AV48=data!A$9,AO48,AN48)+AP48+BT48+G48</f>
        <v>#N/A</v>
      </c>
      <c r="BW48" s="204" t="str">
        <f t="shared" si="28"/>
        <v>#N/A</v>
      </c>
      <c r="BX48" s="204" t="str">
        <f t="shared" si="29"/>
        <v>#N/A</v>
      </c>
    </row>
    <row r="49">
      <c r="A49" s="165" t="str">
        <f>if(D49=true,if(F49=data!A$1,data!A$10,data!A$11),)</f>
        <v/>
      </c>
      <c r="B49" s="166" t="str">
        <f t="shared" si="4"/>
        <v>FBS</v>
      </c>
      <c r="C49" s="167" t="s">
        <v>195</v>
      </c>
      <c r="D49" s="168" t="b">
        <v>0</v>
      </c>
      <c r="E49" s="169" t="s">
        <v>204</v>
      </c>
      <c r="F49" s="170" t="str">
        <f t="array" ref="F49">IF(D49=TRUE,IF(IF(BG$3=VLOOKUP(AT49,{'▶️ Инструкция'!C:C,'▶️ Инструкция'!G:G},2,FALSE),BG49,BH49)&gt;VLOOKUP(AT49,{'▶️ Инструкция'!C:C,'▶️ Инструкция'!N:N},2,FALSE),data!A$1,data!A$2),)</f>
        <v/>
      </c>
      <c r="G49" s="171">
        <v>0.0</v>
      </c>
      <c r="H49" s="172">
        <v>1000.0</v>
      </c>
      <c r="I49" s="173">
        <v>0.0</v>
      </c>
      <c r="J49" s="173">
        <v>0.0</v>
      </c>
      <c r="K49" s="174" t="str">
        <f t="shared" si="5"/>
        <v/>
      </c>
      <c r="L49" s="175">
        <v>0.0</v>
      </c>
      <c r="M49" s="176" t="s">
        <v>197</v>
      </c>
      <c r="N49" s="177">
        <f>IFERROR(__xludf.DUMMYFUNCTION("ArrayFormula(let(category,VLOOKUP($M49, {'📄 Комиссии'!$C:$C , '📄 Комиссии'!$B:$B}, 2, 0),
data,MATCH('🔒 Доп. информация'!$J$15:$J203,TRANSPOSE(SPLIT(INDEX('▶️ Инструкция'!$Q:$Q,MATCH($AT49,'▶️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commission,VLOOKUP($M49,'📄 Комиссии'!$C:$E,IF($AV49=data!A$8,2,3),0),
IF(NOT(ISBLANK($M49)),commission/100+
IFERR"&amp;"OR(VLOOKUP($AT49,{'▶️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49" s="178" t="str">
        <f t="shared" si="6"/>
        <v/>
      </c>
      <c r="Q49" s="178" t="str">
        <f t="shared" si="7"/>
        <v/>
      </c>
      <c r="S49" s="179" t="s">
        <v>192</v>
      </c>
      <c r="T49" s="180" t="s">
        <v>193</v>
      </c>
      <c r="U49" s="181">
        <v>1.0</v>
      </c>
      <c r="V49" s="182" t="str">
        <f t="shared" ref="V49:Y49" si="155">IF($D49,"🔒",)</f>
        <v/>
      </c>
      <c r="W49" s="182" t="str">
        <f t="shared" si="155"/>
        <v/>
      </c>
      <c r="X49" s="182" t="str">
        <f t="shared" si="155"/>
        <v/>
      </c>
      <c r="Y49" s="182" t="str">
        <f t="shared" si="155"/>
        <v/>
      </c>
      <c r="Z49" s="183">
        <v>0.0</v>
      </c>
      <c r="AA49" s="184">
        <f t="shared" si="31"/>
        <v>0</v>
      </c>
      <c r="AB49" s="185" t="str">
        <f t="shared" ref="AB49:AD49" si="156">IF($D49,"🔒",)</f>
        <v/>
      </c>
      <c r="AC49" s="185" t="str">
        <f t="shared" si="156"/>
        <v/>
      </c>
      <c r="AD49" s="186" t="str">
        <f t="shared" si="156"/>
        <v/>
      </c>
      <c r="AE49" s="180">
        <v>30.0</v>
      </c>
      <c r="AF49" s="187">
        <v>0.0</v>
      </c>
      <c r="AG49" s="187">
        <v>0.0</v>
      </c>
      <c r="AH49" s="187">
        <v>0.0</v>
      </c>
      <c r="AI49" s="181">
        <f t="shared" si="10"/>
        <v>0</v>
      </c>
      <c r="AJ49" s="181">
        <f t="shared" si="11"/>
        <v>0</v>
      </c>
      <c r="AK49" s="185" t="str">
        <f t="shared" si="12"/>
        <v/>
      </c>
      <c r="AL49" s="188" t="str">
        <f t="array" ref="AL49">H49*(1-I49)*VLOOKUP(AT49,{'▶️ Инструкция'!C:C,'▶️ Инструкция'!AI:AI},2,false)</f>
        <v>#N/A</v>
      </c>
      <c r="AM49" s="186" t="str">
        <f t="shared" si="13"/>
        <v/>
      </c>
      <c r="AN49" s="189">
        <v>0.0</v>
      </c>
      <c r="AO49" s="189">
        <v>0.0</v>
      </c>
      <c r="AP49" s="189">
        <v>0.0</v>
      </c>
      <c r="AQ49" s="191">
        <v>1.0</v>
      </c>
      <c r="AR49" s="191">
        <v>0.0</v>
      </c>
      <c r="AS49" s="212">
        <v>0.0</v>
      </c>
      <c r="AT49" s="193" t="s">
        <v>206</v>
      </c>
      <c r="AU49" s="193" t="s">
        <v>121</v>
      </c>
      <c r="AV49" s="193" t="s">
        <v>199</v>
      </c>
      <c r="AW49" s="194">
        <f t="shared" si="14"/>
        <v>0</v>
      </c>
      <c r="AX49" s="195">
        <f t="shared" si="15"/>
        <v>0</v>
      </c>
      <c r="AY49" s="196" t="str">
        <f t="shared" si="16"/>
        <v>#N/A</v>
      </c>
      <c r="AZ49" s="213">
        <v>250.0</v>
      </c>
      <c r="BA49" s="196">
        <f t="shared" si="17"/>
        <v>0.25</v>
      </c>
      <c r="BB49" s="213">
        <f t="shared" si="18"/>
        <v>1000</v>
      </c>
      <c r="BC49" s="199" t="str">
        <f t="shared" si="19"/>
        <v>#N/A</v>
      </c>
      <c r="BD49" s="200" t="str">
        <f t="shared" si="20"/>
        <v>#N/A</v>
      </c>
      <c r="BE49" s="200">
        <f t="shared" si="21"/>
        <v>0</v>
      </c>
      <c r="BF49" s="201" t="str">
        <f t="shared" si="22"/>
        <v/>
      </c>
      <c r="BG49" s="201" t="str">
        <f t="shared" si="23"/>
        <v/>
      </c>
      <c r="BH49" s="202" t="str">
        <f t="shared" si="24"/>
        <v/>
      </c>
      <c r="BI49" s="203"/>
      <c r="BJ49" s="204">
        <f>IFERROR(__xludf.DUMMYFUNCTION("IF(AU49=data!A$5,
IF(AV49=data!A$8,
IF(T49=data!A$3,
VLOOKUP(S49,filter('🔒 Доп. информация'!D:H,'🔒 Доп. информация'!C:C=T49),4,FALSE)+VLOOKUP(S49,filter('🔒 Доп. информация'!D:H,'🔒 Доп. информация'!C:C=T49),5,FALSE)*AJ49,
IF(AND(MAX(AF49:AH49)&lt;80,SUM(A"&amp;"F49:AH49)&lt;=160,AI49&lt;20,XLOOKUP(M49,'📄 Комиссии'!C:C,'📄 Комиссии'!B:B)&lt;&gt;""Продукты""),
VLOOKUP(S49,filter('🔒 Доп. информация'!D:H,'🔒 Доп. информация'!C:C=data!$A$3),4,FALSE)+VLOOKUP(S49,filter('🔒 Доп. информация'!D:H,'🔒 Доп. информация'!C:C=data!$A$3"&amp;"),5,FALSE)*AJ49,
VLOOKUP(S49,filter('🔒 Доп. информация'!D:H,'🔒 Доп. информация'!C:C=T49),4,FALSE)*ROUNDUP(AF49*AG49*AH49*L49/(120*80*175))/L49)
)
*(AE49/2)
,)
,)*0"),0.0)</f>
        <v>0</v>
      </c>
      <c r="BK49" s="204">
        <f>IFERROR(__xludf.DUMMYFUNCTION("IF(AU49=data!A$5,
IF(AI49&lt;=1,IF(AI49&lt;=0.8,IF(AI49&lt;=0.6,IF(AI49&lt;=0.4,IF(AI49&lt;=0.2,23,26),29),30),32)*VLOOKUP(S49,filter('🔒 Доп. информация'!D:E,'🔒 Доп. информация'!C:C=T49),2,FALSE)/'🔒 Доп. информация'!$K$9,
IF(AV49=data!A$8,U49,1)*VLOOKUP(S49,filter('"&amp;"🔒 Доп. информация'!D:E,'🔒 Доп. информация'!C:C=T49),2,FALSE)+
IF(AV49=data!A$8,U49,1)*VLOOKUP(S49,filter('🔒 Доп. информация'!D:F,'🔒 Доп. информация'!C:C=T49),3,FALSE)*AJ49)
,0)"),69.0)</f>
        <v>69</v>
      </c>
      <c r="BL49" s="185" t="str">
        <f t="shared" ref="BL49:BM49" si="157">IF($D49,"🔒",)</f>
        <v/>
      </c>
      <c r="BM49" s="185" t="str">
        <f t="shared" si="157"/>
        <v/>
      </c>
      <c r="BN49" s="204">
        <f>VLOOKUP(T49,'🔒 Доп. информация'!J:P,7,false)</f>
        <v>50</v>
      </c>
      <c r="BO49" s="204">
        <f>IF(AV49=data!A$9,
(AA49+AO49+AP49+BJ49+BK49+BN49)+H49*AS49,
(BJ49+BK49+BN49)+H49*AS49
)</f>
        <v>119</v>
      </c>
      <c r="BP49" s="204">
        <f t="shared" si="26"/>
        <v>69</v>
      </c>
      <c r="BQ49" s="204">
        <f t="shared" si="27"/>
        <v>320</v>
      </c>
      <c r="BR49" s="204" t="str">
        <f t="shared" si="37"/>
        <v>#N/A</v>
      </c>
      <c r="BS49" s="204" t="str">
        <f t="array" ref="BS49">IF(VLOOKUP(AT49,{'▶️ Инструкция'!C:C,'▶️ Инструкция'!Y:Y},2,FALSE)=data!A$15,
H49*(1-I49),
(H49-BR49))
*VLOOKUP(AT49,{'▶️ Инструкция'!C:C,'▶️ Инструкция'!AD:AD},2,FALSE)/(1+VLOOKUP(AT49,{'▶️ Инструкция'!C:C,'▶️ Инструкция'!AD:AD},2,FALSE))</f>
        <v>#N/A</v>
      </c>
      <c r="BT49" s="204" t="str">
        <f t="array" ref="BT49">
IF(VLOOKUP(AT49,{'▶️ Инструкция'!C:C,'▶️ Инструкция'!Y:Y},2,FALSE)=data!A$15,
H49*(1-I49)-BS49,
(H49-BR49-BS49))
*
VLOOKUP(AT49,{'▶️ Инструкция'!C:C,'▶️ Инструкция'!R:R},2,FALSE)
+BS49</f>
        <v>#N/A</v>
      </c>
      <c r="BU49" s="204" t="str">
        <f>(G49*AR49)+if(AV49=data!A$9,AO49,AN49)+AP49+BR49+BT49</f>
        <v>#N/A</v>
      </c>
      <c r="BV49" s="204" t="str">
        <f>(G49*AR49)+if(AV49=data!A$9,AO49,AN49)+AP49+BT49+G49</f>
        <v>#N/A</v>
      </c>
      <c r="BW49" s="204" t="str">
        <f t="shared" si="28"/>
        <v>#N/A</v>
      </c>
      <c r="BX49" s="204" t="str">
        <f t="shared" si="29"/>
        <v>#N/A</v>
      </c>
    </row>
    <row r="50">
      <c r="A50" s="165" t="str">
        <f>if(D50=true,if(F50=data!A$1,data!A$10,data!A$11),)</f>
        <v/>
      </c>
      <c r="B50" s="166" t="str">
        <f t="shared" si="4"/>
        <v>FBS</v>
      </c>
      <c r="C50" s="167" t="s">
        <v>195</v>
      </c>
      <c r="D50" s="168" t="b">
        <v>0</v>
      </c>
      <c r="E50" s="169" t="s">
        <v>204</v>
      </c>
      <c r="F50" s="170" t="str">
        <f t="array" ref="F50">IF(D50=TRUE,IF(IF(BG$3=VLOOKUP(AT50,{'▶️ Инструкция'!C:C,'▶️ Инструкция'!G:G},2,FALSE),BG50,BH50)&gt;VLOOKUP(AT50,{'▶️ Инструкция'!C:C,'▶️ Инструкция'!N:N},2,FALSE),data!A$1,data!A$2),)</f>
        <v/>
      </c>
      <c r="G50" s="171">
        <v>0.0</v>
      </c>
      <c r="H50" s="172">
        <v>1000.0</v>
      </c>
      <c r="I50" s="173">
        <v>0.0</v>
      </c>
      <c r="J50" s="173">
        <v>0.0</v>
      </c>
      <c r="K50" s="174" t="str">
        <f t="shared" si="5"/>
        <v/>
      </c>
      <c r="L50" s="175">
        <v>0.0</v>
      </c>
      <c r="M50" s="176" t="s">
        <v>197</v>
      </c>
      <c r="N50" s="177">
        <f>IFERROR(__xludf.DUMMYFUNCTION("ArrayFormula(let(category,VLOOKUP($M50, {'📄 Комиссии'!$C:$C , '📄 Комиссии'!$B:$B}, 2, 0),
data,MATCH('🔒 Доп. информация'!$J$15:$J203,TRANSPOSE(SPLIT(INDEX('▶️ Инструкция'!$Q:$Q,MATCH($AT50,'▶️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commission,VLOOKUP($M50,'📄 Комиссии'!$C:$E,IF($AV50=data!A$8,2,3),0),
IF(NOT(ISBLANK($M50)),commission/100+
IFERR"&amp;"OR(VLOOKUP($AT50,{'▶️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50" s="178" t="str">
        <f t="shared" si="6"/>
        <v/>
      </c>
      <c r="Q50" s="178" t="str">
        <f t="shared" si="7"/>
        <v/>
      </c>
      <c r="S50" s="179" t="s">
        <v>192</v>
      </c>
      <c r="T50" s="180" t="s">
        <v>193</v>
      </c>
      <c r="U50" s="181">
        <v>1.0</v>
      </c>
      <c r="V50" s="182" t="str">
        <f t="shared" ref="V50:Y50" si="158">IF($D50,"🔒",)</f>
        <v/>
      </c>
      <c r="W50" s="182" t="str">
        <f t="shared" si="158"/>
        <v/>
      </c>
      <c r="X50" s="182" t="str">
        <f t="shared" si="158"/>
        <v/>
      </c>
      <c r="Y50" s="182" t="str">
        <f t="shared" si="158"/>
        <v/>
      </c>
      <c r="Z50" s="183">
        <v>0.0</v>
      </c>
      <c r="AA50" s="184">
        <f t="shared" si="31"/>
        <v>0</v>
      </c>
      <c r="AB50" s="185" t="str">
        <f t="shared" ref="AB50:AD50" si="159">IF($D50,"🔒",)</f>
        <v/>
      </c>
      <c r="AC50" s="185" t="str">
        <f t="shared" si="159"/>
        <v/>
      </c>
      <c r="AD50" s="186" t="str">
        <f t="shared" si="159"/>
        <v/>
      </c>
      <c r="AE50" s="180">
        <v>30.0</v>
      </c>
      <c r="AF50" s="187">
        <v>0.0</v>
      </c>
      <c r="AG50" s="187">
        <v>0.0</v>
      </c>
      <c r="AH50" s="187">
        <v>0.0</v>
      </c>
      <c r="AI50" s="181">
        <f t="shared" si="10"/>
        <v>0</v>
      </c>
      <c r="AJ50" s="181">
        <f t="shared" si="11"/>
        <v>0</v>
      </c>
      <c r="AK50" s="185" t="str">
        <f t="shared" si="12"/>
        <v/>
      </c>
      <c r="AL50" s="188" t="str">
        <f t="array" ref="AL50">H50*(1-I50)*VLOOKUP(AT50,{'▶️ Инструкция'!C:C,'▶️ Инструкция'!AI:AI},2,false)</f>
        <v>#N/A</v>
      </c>
      <c r="AM50" s="186" t="str">
        <f t="shared" si="13"/>
        <v/>
      </c>
      <c r="AN50" s="189">
        <v>0.0</v>
      </c>
      <c r="AO50" s="189">
        <v>0.0</v>
      </c>
      <c r="AP50" s="189">
        <v>0.0</v>
      </c>
      <c r="AQ50" s="191">
        <v>1.0</v>
      </c>
      <c r="AR50" s="191">
        <v>0.0</v>
      </c>
      <c r="AS50" s="212">
        <v>0.0</v>
      </c>
      <c r="AT50" s="193" t="s">
        <v>206</v>
      </c>
      <c r="AU50" s="193" t="s">
        <v>121</v>
      </c>
      <c r="AV50" s="193" t="s">
        <v>199</v>
      </c>
      <c r="AW50" s="194">
        <f t="shared" si="14"/>
        <v>0</v>
      </c>
      <c r="AX50" s="195">
        <f t="shared" si="15"/>
        <v>0</v>
      </c>
      <c r="AY50" s="196" t="str">
        <f t="shared" si="16"/>
        <v>#N/A</v>
      </c>
      <c r="AZ50" s="213">
        <v>250.0</v>
      </c>
      <c r="BA50" s="196">
        <f t="shared" si="17"/>
        <v>0.25</v>
      </c>
      <c r="BB50" s="213">
        <f t="shared" si="18"/>
        <v>1000</v>
      </c>
      <c r="BC50" s="199" t="str">
        <f t="shared" si="19"/>
        <v>#N/A</v>
      </c>
      <c r="BD50" s="200" t="str">
        <f t="shared" si="20"/>
        <v>#N/A</v>
      </c>
      <c r="BE50" s="200">
        <f t="shared" si="21"/>
        <v>0</v>
      </c>
      <c r="BF50" s="201" t="str">
        <f t="shared" si="22"/>
        <v/>
      </c>
      <c r="BG50" s="201" t="str">
        <f t="shared" si="23"/>
        <v/>
      </c>
      <c r="BH50" s="202" t="str">
        <f t="shared" si="24"/>
        <v/>
      </c>
      <c r="BI50" s="203"/>
      <c r="BJ50" s="204">
        <f>IFERROR(__xludf.DUMMYFUNCTION("IF(AU50=data!A$5,
IF(AV50=data!A$8,
IF(T50=data!A$3,
VLOOKUP(S50,filter('🔒 Доп. информация'!D:H,'🔒 Доп. информация'!C:C=T50),4,FALSE)+VLOOKUP(S50,filter('🔒 Доп. информация'!D:H,'🔒 Доп. информация'!C:C=T50),5,FALSE)*AJ50,
IF(AND(MAX(AF50:AH50)&lt;80,SUM(A"&amp;"F50:AH50)&lt;=160,AI50&lt;20,XLOOKUP(M50,'📄 Комиссии'!C:C,'📄 Комиссии'!B:B)&lt;&gt;""Продукты""),
VLOOKUP(S50,filter('🔒 Доп. информация'!D:H,'🔒 Доп. информация'!C:C=data!$A$3),4,FALSE)+VLOOKUP(S50,filter('🔒 Доп. информация'!D:H,'🔒 Доп. информация'!C:C=data!$A$3"&amp;"),5,FALSE)*AJ50,
VLOOKUP(S50,filter('🔒 Доп. информация'!D:H,'🔒 Доп. информация'!C:C=T50),4,FALSE)*ROUNDUP(AF50*AG50*AH50*L50/(120*80*175))/L50)
)
*(AE50/2)
,)
,)*0"),0.0)</f>
        <v>0</v>
      </c>
      <c r="BK50" s="204">
        <f>IFERROR(__xludf.DUMMYFUNCTION("IF(AU50=data!A$5,
IF(AI50&lt;=1,IF(AI50&lt;=0.8,IF(AI50&lt;=0.6,IF(AI50&lt;=0.4,IF(AI50&lt;=0.2,23,26),29),30),32)*VLOOKUP(S50,filter('🔒 Доп. информация'!D:E,'🔒 Доп. информация'!C:C=T50),2,FALSE)/'🔒 Доп. информация'!$K$9,
IF(AV50=data!A$8,U50,1)*VLOOKUP(S50,filter('"&amp;"🔒 Доп. информация'!D:E,'🔒 Доп. информация'!C:C=T50),2,FALSE)+
IF(AV50=data!A$8,U50,1)*VLOOKUP(S50,filter('🔒 Доп. информация'!D:F,'🔒 Доп. информация'!C:C=T50),3,FALSE)*AJ50)
,0)"),69.0)</f>
        <v>69</v>
      </c>
      <c r="BL50" s="185" t="str">
        <f t="shared" ref="BL50:BM50" si="160">IF($D50,"🔒",)</f>
        <v/>
      </c>
      <c r="BM50" s="185" t="str">
        <f t="shared" si="160"/>
        <v/>
      </c>
      <c r="BN50" s="204">
        <f>VLOOKUP(T50,'🔒 Доп. информация'!J:P,7,false)</f>
        <v>50</v>
      </c>
      <c r="BO50" s="204">
        <f>IF(AV50=data!A$9,
(AA50+AO50+AP50+BJ50+BK50+BN50)+H50*AS50,
(BJ50+BK50+BN50)+H50*AS50
)</f>
        <v>119</v>
      </c>
      <c r="BP50" s="204">
        <f t="shared" si="26"/>
        <v>69</v>
      </c>
      <c r="BQ50" s="204">
        <f t="shared" si="27"/>
        <v>320</v>
      </c>
      <c r="BR50" s="204" t="str">
        <f t="shared" si="37"/>
        <v>#N/A</v>
      </c>
      <c r="BS50" s="204" t="str">
        <f t="array" ref="BS50">IF(VLOOKUP(AT50,{'▶️ Инструкция'!C:C,'▶️ Инструкция'!Y:Y},2,FALSE)=data!A$15,
H50*(1-I50),
(H50-BR50))
*VLOOKUP(AT50,{'▶️ Инструкция'!C:C,'▶️ Инструкция'!AD:AD},2,FALSE)/(1+VLOOKUP(AT50,{'▶️ Инструкция'!C:C,'▶️ Инструкция'!AD:AD},2,FALSE))</f>
        <v>#N/A</v>
      </c>
      <c r="BT50" s="204" t="str">
        <f t="array" ref="BT50">
IF(VLOOKUP(AT50,{'▶️ Инструкция'!C:C,'▶️ Инструкция'!Y:Y},2,FALSE)=data!A$15,
H50*(1-I50)-BS50,
(H50-BR50-BS50))
*
VLOOKUP(AT50,{'▶️ Инструкция'!C:C,'▶️ Инструкция'!R:R},2,FALSE)
+BS50</f>
        <v>#N/A</v>
      </c>
      <c r="BU50" s="204" t="str">
        <f>(G50*AR50)+if(AV50=data!A$9,AO50,AN50)+AP50+BR50+BT50</f>
        <v>#N/A</v>
      </c>
      <c r="BV50" s="204" t="str">
        <f>(G50*AR50)+if(AV50=data!A$9,AO50,AN50)+AP50+BT50+G50</f>
        <v>#N/A</v>
      </c>
      <c r="BW50" s="204" t="str">
        <f t="shared" si="28"/>
        <v>#N/A</v>
      </c>
      <c r="BX50" s="204" t="str">
        <f t="shared" si="29"/>
        <v>#N/A</v>
      </c>
    </row>
    <row r="51">
      <c r="A51" s="165" t="str">
        <f>if(D51=true,if(F51=data!A$1,data!A$10,data!A$11),)</f>
        <v/>
      </c>
      <c r="B51" s="166" t="str">
        <f t="shared" si="4"/>
        <v>FBS</v>
      </c>
      <c r="C51" s="167" t="s">
        <v>195</v>
      </c>
      <c r="D51" s="168" t="b">
        <v>0</v>
      </c>
      <c r="E51" s="169" t="s">
        <v>204</v>
      </c>
      <c r="F51" s="170" t="str">
        <f t="array" ref="F51">IF(D51=TRUE,IF(IF(BG$3=VLOOKUP(AT51,{'▶️ Инструкция'!C:C,'▶️ Инструкция'!G:G},2,FALSE),BG51,BH51)&gt;VLOOKUP(AT51,{'▶️ Инструкция'!C:C,'▶️ Инструкция'!N:N},2,FALSE),data!A$1,data!A$2),)</f>
        <v/>
      </c>
      <c r="G51" s="171">
        <v>0.0</v>
      </c>
      <c r="H51" s="172">
        <v>1000.0</v>
      </c>
      <c r="I51" s="173">
        <v>0.0</v>
      </c>
      <c r="J51" s="173">
        <v>0.0</v>
      </c>
      <c r="K51" s="174" t="str">
        <f t="shared" si="5"/>
        <v/>
      </c>
      <c r="L51" s="175">
        <v>0.0</v>
      </c>
      <c r="M51" s="176" t="s">
        <v>197</v>
      </c>
      <c r="N51" s="177">
        <f>IFERROR(__xludf.DUMMYFUNCTION("ArrayFormula(let(category,VLOOKUP($M51, {'📄 Комиссии'!$C:$C , '📄 Комиссии'!$B:$B}, 2, 0),
data,MATCH('🔒 Доп. информация'!$J$15:$J203,TRANSPOSE(SPLIT(INDEX('▶️ Инструкция'!$Q:$Q,MATCH($AT51,'▶️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commission,VLOOKUP($M51,'📄 Комиссии'!$C:$E,IF($AV51=data!A$8,2,3),0),
IF(NOT(ISBLANK($M51)),commission/100+
IFERR"&amp;"OR(VLOOKUP($AT51,{'▶️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51" s="178" t="str">
        <f t="shared" si="6"/>
        <v/>
      </c>
      <c r="Q51" s="178" t="str">
        <f t="shared" si="7"/>
        <v/>
      </c>
      <c r="S51" s="179" t="s">
        <v>192</v>
      </c>
      <c r="T51" s="180" t="s">
        <v>193</v>
      </c>
      <c r="U51" s="181">
        <v>1.0</v>
      </c>
      <c r="V51" s="182" t="str">
        <f t="shared" ref="V51:Y51" si="161">IF($D51,"🔒",)</f>
        <v/>
      </c>
      <c r="W51" s="182" t="str">
        <f t="shared" si="161"/>
        <v/>
      </c>
      <c r="X51" s="182" t="str">
        <f t="shared" si="161"/>
        <v/>
      </c>
      <c r="Y51" s="182" t="str">
        <f t="shared" si="161"/>
        <v/>
      </c>
      <c r="Z51" s="183">
        <v>0.0</v>
      </c>
      <c r="AA51" s="184">
        <f t="shared" si="31"/>
        <v>0</v>
      </c>
      <c r="AB51" s="185" t="str">
        <f t="shared" ref="AB51:AD51" si="162">IF($D51,"🔒",)</f>
        <v/>
      </c>
      <c r="AC51" s="185" t="str">
        <f t="shared" si="162"/>
        <v/>
      </c>
      <c r="AD51" s="186" t="str">
        <f t="shared" si="162"/>
        <v/>
      </c>
      <c r="AE51" s="180">
        <v>30.0</v>
      </c>
      <c r="AF51" s="187">
        <v>0.0</v>
      </c>
      <c r="AG51" s="187">
        <v>0.0</v>
      </c>
      <c r="AH51" s="187">
        <v>0.0</v>
      </c>
      <c r="AI51" s="181">
        <f t="shared" si="10"/>
        <v>0</v>
      </c>
      <c r="AJ51" s="181">
        <f t="shared" si="11"/>
        <v>0</v>
      </c>
      <c r="AK51" s="185" t="str">
        <f t="shared" si="12"/>
        <v/>
      </c>
      <c r="AL51" s="188" t="str">
        <f t="array" ref="AL51">H51*(1-I51)*VLOOKUP(AT51,{'▶️ Инструкция'!C:C,'▶️ Инструкция'!AI:AI},2,false)</f>
        <v>#N/A</v>
      </c>
      <c r="AM51" s="186" t="str">
        <f t="shared" si="13"/>
        <v/>
      </c>
      <c r="AN51" s="189">
        <v>0.0</v>
      </c>
      <c r="AO51" s="189">
        <v>0.0</v>
      </c>
      <c r="AP51" s="189">
        <v>0.0</v>
      </c>
      <c r="AQ51" s="191">
        <v>1.0</v>
      </c>
      <c r="AR51" s="191">
        <v>0.0</v>
      </c>
      <c r="AS51" s="212">
        <v>0.0</v>
      </c>
      <c r="AT51" s="193" t="s">
        <v>206</v>
      </c>
      <c r="AU51" s="193" t="s">
        <v>121</v>
      </c>
      <c r="AV51" s="193" t="s">
        <v>199</v>
      </c>
      <c r="AW51" s="194">
        <f t="shared" si="14"/>
        <v>0</v>
      </c>
      <c r="AX51" s="195">
        <f t="shared" si="15"/>
        <v>0</v>
      </c>
      <c r="AY51" s="196" t="str">
        <f t="shared" si="16"/>
        <v>#N/A</v>
      </c>
      <c r="AZ51" s="213">
        <v>250.0</v>
      </c>
      <c r="BA51" s="196">
        <f t="shared" si="17"/>
        <v>0.25</v>
      </c>
      <c r="BB51" s="213">
        <f t="shared" si="18"/>
        <v>1000</v>
      </c>
      <c r="BC51" s="199" t="str">
        <f t="shared" si="19"/>
        <v>#N/A</v>
      </c>
      <c r="BD51" s="200" t="str">
        <f t="shared" si="20"/>
        <v>#N/A</v>
      </c>
      <c r="BE51" s="200">
        <f t="shared" si="21"/>
        <v>0</v>
      </c>
      <c r="BF51" s="201" t="str">
        <f t="shared" si="22"/>
        <v/>
      </c>
      <c r="BG51" s="201" t="str">
        <f t="shared" si="23"/>
        <v/>
      </c>
      <c r="BH51" s="202" t="str">
        <f t="shared" si="24"/>
        <v/>
      </c>
      <c r="BI51" s="203"/>
      <c r="BJ51" s="204">
        <f>IFERROR(__xludf.DUMMYFUNCTION("IF(AU51=data!A$5,
IF(AV51=data!A$8,
IF(T51=data!A$3,
VLOOKUP(S51,filter('🔒 Доп. информация'!D:H,'🔒 Доп. информация'!C:C=T51),4,FALSE)+VLOOKUP(S51,filter('🔒 Доп. информация'!D:H,'🔒 Доп. информация'!C:C=T51),5,FALSE)*AJ51,
IF(AND(MAX(AF51:AH51)&lt;80,SUM(A"&amp;"F51:AH51)&lt;=160,AI51&lt;20,XLOOKUP(M51,'📄 Комиссии'!C:C,'📄 Комиссии'!B:B)&lt;&gt;""Продукты""),
VLOOKUP(S51,filter('🔒 Доп. информация'!D:H,'🔒 Доп. информация'!C:C=data!$A$3),4,FALSE)+VLOOKUP(S51,filter('🔒 Доп. информация'!D:H,'🔒 Доп. информация'!C:C=data!$A$3"&amp;"),5,FALSE)*AJ51,
VLOOKUP(S51,filter('🔒 Доп. информация'!D:H,'🔒 Доп. информация'!C:C=T51),4,FALSE)*ROUNDUP(AF51*AG51*AH51*L51/(120*80*175))/L51)
)
*(AE51/2)
,)
,)*0"),0.0)</f>
        <v>0</v>
      </c>
      <c r="BK51" s="204">
        <f>IFERROR(__xludf.DUMMYFUNCTION("IF(AU51=data!A$5,
IF(AI51&lt;=1,IF(AI51&lt;=0.8,IF(AI51&lt;=0.6,IF(AI51&lt;=0.4,IF(AI51&lt;=0.2,23,26),29),30),32)*VLOOKUP(S51,filter('🔒 Доп. информация'!D:E,'🔒 Доп. информация'!C:C=T51),2,FALSE)/'🔒 Доп. информация'!$K$9,
IF(AV51=data!A$8,U51,1)*VLOOKUP(S51,filter('"&amp;"🔒 Доп. информация'!D:E,'🔒 Доп. информация'!C:C=T51),2,FALSE)+
IF(AV51=data!A$8,U51,1)*VLOOKUP(S51,filter('🔒 Доп. информация'!D:F,'🔒 Доп. информация'!C:C=T51),3,FALSE)*AJ51)
,0)"),69.0)</f>
        <v>69</v>
      </c>
      <c r="BL51" s="185" t="str">
        <f t="shared" ref="BL51:BM51" si="163">IF($D51,"🔒",)</f>
        <v/>
      </c>
      <c r="BM51" s="185" t="str">
        <f t="shared" si="163"/>
        <v/>
      </c>
      <c r="BN51" s="204">
        <f>VLOOKUP(T51,'🔒 Доп. информация'!J:P,7,false)</f>
        <v>50</v>
      </c>
      <c r="BO51" s="204">
        <f>IF(AV51=data!A$9,
(AA51+AO51+AP51+BJ51+BK51+BN51)+H51*AS51,
(BJ51+BK51+BN51)+H51*AS51
)</f>
        <v>119</v>
      </c>
      <c r="BP51" s="204">
        <f t="shared" si="26"/>
        <v>69</v>
      </c>
      <c r="BQ51" s="204">
        <f t="shared" si="27"/>
        <v>320</v>
      </c>
      <c r="BR51" s="204" t="str">
        <f t="shared" si="37"/>
        <v>#N/A</v>
      </c>
      <c r="BS51" s="204" t="str">
        <f t="array" ref="BS51">IF(VLOOKUP(AT51,{'▶️ Инструкция'!C:C,'▶️ Инструкция'!Y:Y},2,FALSE)=data!A$15,
H51*(1-I51),
(H51-BR51))
*VLOOKUP(AT51,{'▶️ Инструкция'!C:C,'▶️ Инструкция'!AD:AD},2,FALSE)/(1+VLOOKUP(AT51,{'▶️ Инструкция'!C:C,'▶️ Инструкция'!AD:AD},2,FALSE))</f>
        <v>#N/A</v>
      </c>
      <c r="BT51" s="204" t="str">
        <f t="array" ref="BT51">
IF(VLOOKUP(AT51,{'▶️ Инструкция'!C:C,'▶️ Инструкция'!Y:Y},2,FALSE)=data!A$15,
H51*(1-I51)-BS51,
(H51-BR51-BS51))
*
VLOOKUP(AT51,{'▶️ Инструкция'!C:C,'▶️ Инструкция'!R:R},2,FALSE)
+BS51</f>
        <v>#N/A</v>
      </c>
      <c r="BU51" s="204" t="str">
        <f>(G51*AR51)+if(AV51=data!A$9,AO51,AN51)+AP51+BR51+BT51</f>
        <v>#N/A</v>
      </c>
      <c r="BV51" s="204" t="str">
        <f>(G51*AR51)+if(AV51=data!A$9,AO51,AN51)+AP51+BT51+G51</f>
        <v>#N/A</v>
      </c>
      <c r="BW51" s="204" t="str">
        <f t="shared" si="28"/>
        <v>#N/A</v>
      </c>
      <c r="BX51" s="204" t="str">
        <f t="shared" si="29"/>
        <v>#N/A</v>
      </c>
    </row>
    <row r="52">
      <c r="A52" s="165" t="str">
        <f>if(D52=true,if(F52=data!A$1,data!A$10,data!A$11),)</f>
        <v/>
      </c>
      <c r="B52" s="166" t="str">
        <f t="shared" si="4"/>
        <v>FBS</v>
      </c>
      <c r="C52" s="167" t="s">
        <v>195</v>
      </c>
      <c r="D52" s="168" t="b">
        <v>0</v>
      </c>
      <c r="E52" s="169" t="s">
        <v>204</v>
      </c>
      <c r="F52" s="170" t="str">
        <f t="array" ref="F52">IF(D52=TRUE,IF(IF(BG$3=VLOOKUP(AT52,{'▶️ Инструкция'!C:C,'▶️ Инструкция'!G:G},2,FALSE),BG52,BH52)&gt;VLOOKUP(AT52,{'▶️ Инструкция'!C:C,'▶️ Инструкция'!N:N},2,FALSE),data!A$1,data!A$2),)</f>
        <v/>
      </c>
      <c r="G52" s="171">
        <v>0.0</v>
      </c>
      <c r="H52" s="172">
        <v>1000.0</v>
      </c>
      <c r="I52" s="173">
        <v>0.0</v>
      </c>
      <c r="J52" s="173">
        <v>0.0</v>
      </c>
      <c r="K52" s="174" t="str">
        <f t="shared" si="5"/>
        <v/>
      </c>
      <c r="L52" s="175">
        <v>0.0</v>
      </c>
      <c r="M52" s="176" t="s">
        <v>197</v>
      </c>
      <c r="N52" s="177">
        <f>IFERROR(__xludf.DUMMYFUNCTION("ArrayFormula(let(category,VLOOKUP($M52, {'📄 Комиссии'!$C:$C , '📄 Комиссии'!$B:$B}, 2, 0),
data,MATCH('🔒 Доп. информация'!$J$15:$J203,TRANSPOSE(SPLIT(INDEX('▶️ Инструкция'!$Q:$Q,MATCH($AT52,'▶️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commission,VLOOKUP($M52,'📄 Комиссии'!$C:$E,IF($AV52=data!A$8,2,3),0),
IF(NOT(ISBLANK($M52)),commission/100+
IFERR"&amp;"OR(VLOOKUP($AT52,{'▶️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52" s="178" t="str">
        <f t="shared" si="6"/>
        <v/>
      </c>
      <c r="Q52" s="178" t="str">
        <f t="shared" si="7"/>
        <v/>
      </c>
      <c r="S52" s="179" t="s">
        <v>192</v>
      </c>
      <c r="T52" s="180" t="s">
        <v>193</v>
      </c>
      <c r="U52" s="181">
        <v>1.0</v>
      </c>
      <c r="V52" s="182" t="str">
        <f t="shared" ref="V52:Y52" si="164">IF($D52,"🔒",)</f>
        <v/>
      </c>
      <c r="W52" s="182" t="str">
        <f t="shared" si="164"/>
        <v/>
      </c>
      <c r="X52" s="182" t="str">
        <f t="shared" si="164"/>
        <v/>
      </c>
      <c r="Y52" s="182" t="str">
        <f t="shared" si="164"/>
        <v/>
      </c>
      <c r="Z52" s="183">
        <v>0.0</v>
      </c>
      <c r="AA52" s="184">
        <f t="shared" si="31"/>
        <v>0</v>
      </c>
      <c r="AB52" s="185" t="str">
        <f t="shared" ref="AB52:AD52" si="165">IF($D52,"🔒",)</f>
        <v/>
      </c>
      <c r="AC52" s="185" t="str">
        <f t="shared" si="165"/>
        <v/>
      </c>
      <c r="AD52" s="186" t="str">
        <f t="shared" si="165"/>
        <v/>
      </c>
      <c r="AE52" s="180">
        <v>30.0</v>
      </c>
      <c r="AF52" s="187">
        <v>0.0</v>
      </c>
      <c r="AG52" s="187">
        <v>0.0</v>
      </c>
      <c r="AH52" s="187">
        <v>0.0</v>
      </c>
      <c r="AI52" s="181">
        <f t="shared" si="10"/>
        <v>0</v>
      </c>
      <c r="AJ52" s="181">
        <f t="shared" si="11"/>
        <v>0</v>
      </c>
      <c r="AK52" s="185" t="str">
        <f t="shared" si="12"/>
        <v/>
      </c>
      <c r="AL52" s="188" t="str">
        <f t="array" ref="AL52">H52*(1-I52)*VLOOKUP(AT52,{'▶️ Инструкция'!C:C,'▶️ Инструкция'!AI:AI},2,false)</f>
        <v>#N/A</v>
      </c>
      <c r="AM52" s="186" t="str">
        <f t="shared" si="13"/>
        <v/>
      </c>
      <c r="AN52" s="189">
        <v>0.0</v>
      </c>
      <c r="AO52" s="189">
        <v>0.0</v>
      </c>
      <c r="AP52" s="189">
        <v>0.0</v>
      </c>
      <c r="AQ52" s="191">
        <v>1.0</v>
      </c>
      <c r="AR52" s="191">
        <v>0.0</v>
      </c>
      <c r="AS52" s="212">
        <v>0.0</v>
      </c>
      <c r="AT52" s="193" t="s">
        <v>206</v>
      </c>
      <c r="AU52" s="193" t="s">
        <v>121</v>
      </c>
      <c r="AV52" s="193" t="s">
        <v>199</v>
      </c>
      <c r="AW52" s="194">
        <f t="shared" si="14"/>
        <v>0</v>
      </c>
      <c r="AX52" s="195">
        <f t="shared" si="15"/>
        <v>0</v>
      </c>
      <c r="AY52" s="196" t="str">
        <f t="shared" si="16"/>
        <v>#N/A</v>
      </c>
      <c r="AZ52" s="213">
        <v>250.0</v>
      </c>
      <c r="BA52" s="196">
        <f t="shared" si="17"/>
        <v>0.25</v>
      </c>
      <c r="BB52" s="213">
        <f t="shared" si="18"/>
        <v>1000</v>
      </c>
      <c r="BC52" s="199" t="str">
        <f t="shared" si="19"/>
        <v>#N/A</v>
      </c>
      <c r="BD52" s="200" t="str">
        <f t="shared" si="20"/>
        <v>#N/A</v>
      </c>
      <c r="BE52" s="200">
        <f t="shared" si="21"/>
        <v>0</v>
      </c>
      <c r="BF52" s="201" t="str">
        <f t="shared" si="22"/>
        <v/>
      </c>
      <c r="BG52" s="201" t="str">
        <f t="shared" si="23"/>
        <v/>
      </c>
      <c r="BH52" s="202" t="str">
        <f t="shared" si="24"/>
        <v/>
      </c>
      <c r="BI52" s="203"/>
      <c r="BJ52" s="204">
        <f>IFERROR(__xludf.DUMMYFUNCTION("IF(AU52=data!A$5,
IF(AV52=data!A$8,
IF(T52=data!A$3,
VLOOKUP(S52,filter('🔒 Доп. информация'!D:H,'🔒 Доп. информация'!C:C=T52),4,FALSE)+VLOOKUP(S52,filter('🔒 Доп. информация'!D:H,'🔒 Доп. информация'!C:C=T52),5,FALSE)*AJ52,
IF(AND(MAX(AF52:AH52)&lt;80,SUM(A"&amp;"F52:AH52)&lt;=160,AI52&lt;20,XLOOKUP(M52,'📄 Комиссии'!C:C,'📄 Комиссии'!B:B)&lt;&gt;""Продукты""),
VLOOKUP(S52,filter('🔒 Доп. информация'!D:H,'🔒 Доп. информация'!C:C=data!$A$3),4,FALSE)+VLOOKUP(S52,filter('🔒 Доп. информация'!D:H,'🔒 Доп. информация'!C:C=data!$A$3"&amp;"),5,FALSE)*AJ52,
VLOOKUP(S52,filter('🔒 Доп. информация'!D:H,'🔒 Доп. информация'!C:C=T52),4,FALSE)*ROUNDUP(AF52*AG52*AH52*L52/(120*80*175))/L52)
)
*(AE52/2)
,)
,)*0"),0.0)</f>
        <v>0</v>
      </c>
      <c r="BK52" s="204">
        <f>IFERROR(__xludf.DUMMYFUNCTION("IF(AU52=data!A$5,
IF(AI52&lt;=1,IF(AI52&lt;=0.8,IF(AI52&lt;=0.6,IF(AI52&lt;=0.4,IF(AI52&lt;=0.2,23,26),29),30),32)*VLOOKUP(S52,filter('🔒 Доп. информация'!D:E,'🔒 Доп. информация'!C:C=T52),2,FALSE)/'🔒 Доп. информация'!$K$9,
IF(AV52=data!A$8,U52,1)*VLOOKUP(S52,filter('"&amp;"🔒 Доп. информация'!D:E,'🔒 Доп. информация'!C:C=T52),2,FALSE)+
IF(AV52=data!A$8,U52,1)*VLOOKUP(S52,filter('🔒 Доп. информация'!D:F,'🔒 Доп. информация'!C:C=T52),3,FALSE)*AJ52)
,0)"),69.0)</f>
        <v>69</v>
      </c>
      <c r="BL52" s="185" t="str">
        <f t="shared" ref="BL52:BM52" si="166">IF($D52,"🔒",)</f>
        <v/>
      </c>
      <c r="BM52" s="185" t="str">
        <f t="shared" si="166"/>
        <v/>
      </c>
      <c r="BN52" s="204">
        <f>VLOOKUP(T52,'🔒 Доп. информация'!J:P,7,false)</f>
        <v>50</v>
      </c>
      <c r="BO52" s="204">
        <f>IF(AV52=data!A$9,
(AA52+AO52+AP52+BJ52+BK52+BN52)+H52*AS52,
(BJ52+BK52+BN52)+H52*AS52
)</f>
        <v>119</v>
      </c>
      <c r="BP52" s="204">
        <f t="shared" si="26"/>
        <v>69</v>
      </c>
      <c r="BQ52" s="204">
        <f t="shared" si="27"/>
        <v>320</v>
      </c>
      <c r="BR52" s="204" t="str">
        <f t="shared" si="37"/>
        <v>#N/A</v>
      </c>
      <c r="BS52" s="204" t="str">
        <f t="array" ref="BS52">IF(VLOOKUP(AT52,{'▶️ Инструкция'!C:C,'▶️ Инструкция'!Y:Y},2,FALSE)=data!A$15,
H52*(1-I52),
(H52-BR52))
*VLOOKUP(AT52,{'▶️ Инструкция'!C:C,'▶️ Инструкция'!AD:AD},2,FALSE)/(1+VLOOKUP(AT52,{'▶️ Инструкция'!C:C,'▶️ Инструкция'!AD:AD},2,FALSE))</f>
        <v>#N/A</v>
      </c>
      <c r="BT52" s="204" t="str">
        <f t="array" ref="BT52">
IF(VLOOKUP(AT52,{'▶️ Инструкция'!C:C,'▶️ Инструкция'!Y:Y},2,FALSE)=data!A$15,
H52*(1-I52)-BS52,
(H52-BR52-BS52))
*
VLOOKUP(AT52,{'▶️ Инструкция'!C:C,'▶️ Инструкция'!R:R},2,FALSE)
+BS52</f>
        <v>#N/A</v>
      </c>
      <c r="BU52" s="204" t="str">
        <f>(G52*AR52)+if(AV52=data!A$9,AO52,AN52)+AP52+BR52+BT52</f>
        <v>#N/A</v>
      </c>
      <c r="BV52" s="204" t="str">
        <f>(G52*AR52)+if(AV52=data!A$9,AO52,AN52)+AP52+BT52+G52</f>
        <v>#N/A</v>
      </c>
      <c r="BW52" s="204" t="str">
        <f t="shared" si="28"/>
        <v>#N/A</v>
      </c>
      <c r="BX52" s="204" t="str">
        <f t="shared" si="29"/>
        <v>#N/A</v>
      </c>
    </row>
    <row r="53">
      <c r="A53" s="165" t="str">
        <f>if(D53=true,if(F53=data!A$1,data!A$10,data!A$11),)</f>
        <v/>
      </c>
      <c r="B53" s="166" t="str">
        <f t="shared" si="4"/>
        <v>FBS</v>
      </c>
      <c r="C53" s="167" t="s">
        <v>195</v>
      </c>
      <c r="D53" s="168" t="b">
        <v>0</v>
      </c>
      <c r="E53" s="169" t="s">
        <v>204</v>
      </c>
      <c r="F53" s="170" t="str">
        <f t="array" ref="F53">IF(D53=TRUE,IF(IF(BG$3=VLOOKUP(AT53,{'▶️ Инструкция'!C:C,'▶️ Инструкция'!G:G},2,FALSE),BG53,BH53)&gt;VLOOKUP(AT53,{'▶️ Инструкция'!C:C,'▶️ Инструкция'!N:N},2,FALSE),data!A$1,data!A$2),)</f>
        <v/>
      </c>
      <c r="G53" s="171">
        <v>0.0</v>
      </c>
      <c r="H53" s="172">
        <v>1000.0</v>
      </c>
      <c r="I53" s="173">
        <v>0.0</v>
      </c>
      <c r="J53" s="173">
        <v>0.0</v>
      </c>
      <c r="K53" s="174" t="str">
        <f t="shared" si="5"/>
        <v/>
      </c>
      <c r="L53" s="175">
        <v>0.0</v>
      </c>
      <c r="M53" s="176" t="s">
        <v>197</v>
      </c>
      <c r="N53" s="177">
        <f>IFERROR(__xludf.DUMMYFUNCTION("ArrayFormula(let(category,VLOOKUP($M53, {'📄 Комиссии'!$C:$C , '📄 Комиссии'!$B:$B}, 2, 0),
data,MATCH('🔒 Доп. информация'!$J$15:$J203,TRANSPOSE(SPLIT(INDEX('▶️ Инструкция'!$Q:$Q,MATCH($AT53,'▶️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commission,VLOOKUP($M53,'📄 Комиссии'!$C:$E,IF($AV53=data!A$8,2,3),0),
IF(NOT(ISBLANK($M53)),commission/100+
IFERR"&amp;"OR(VLOOKUP($AT53,{'▶️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53" s="178" t="str">
        <f t="shared" si="6"/>
        <v/>
      </c>
      <c r="Q53" s="178" t="str">
        <f t="shared" si="7"/>
        <v/>
      </c>
      <c r="S53" s="179" t="s">
        <v>192</v>
      </c>
      <c r="T53" s="180" t="s">
        <v>193</v>
      </c>
      <c r="U53" s="181">
        <v>1.0</v>
      </c>
      <c r="V53" s="182" t="str">
        <f t="shared" ref="V53:Y53" si="167">IF($D53,"🔒",)</f>
        <v/>
      </c>
      <c r="W53" s="182" t="str">
        <f t="shared" si="167"/>
        <v/>
      </c>
      <c r="X53" s="182" t="str">
        <f t="shared" si="167"/>
        <v/>
      </c>
      <c r="Y53" s="182" t="str">
        <f t="shared" si="167"/>
        <v/>
      </c>
      <c r="Z53" s="183">
        <v>0.0</v>
      </c>
      <c r="AA53" s="184">
        <f t="shared" si="31"/>
        <v>0</v>
      </c>
      <c r="AB53" s="185" t="str">
        <f t="shared" ref="AB53:AD53" si="168">IF($D53,"🔒",)</f>
        <v/>
      </c>
      <c r="AC53" s="185" t="str">
        <f t="shared" si="168"/>
        <v/>
      </c>
      <c r="AD53" s="186" t="str">
        <f t="shared" si="168"/>
        <v/>
      </c>
      <c r="AE53" s="180">
        <v>30.0</v>
      </c>
      <c r="AF53" s="187">
        <v>0.0</v>
      </c>
      <c r="AG53" s="187">
        <v>0.0</v>
      </c>
      <c r="AH53" s="187">
        <v>0.0</v>
      </c>
      <c r="AI53" s="181">
        <f t="shared" si="10"/>
        <v>0</v>
      </c>
      <c r="AJ53" s="181">
        <f t="shared" si="11"/>
        <v>0</v>
      </c>
      <c r="AK53" s="185" t="str">
        <f t="shared" si="12"/>
        <v/>
      </c>
      <c r="AL53" s="188" t="str">
        <f t="array" ref="AL53">H53*(1-I53)*VLOOKUP(AT53,{'▶️ Инструкция'!C:C,'▶️ Инструкция'!AI:AI},2,false)</f>
        <v>#N/A</v>
      </c>
      <c r="AM53" s="186" t="str">
        <f t="shared" si="13"/>
        <v/>
      </c>
      <c r="AN53" s="189">
        <v>0.0</v>
      </c>
      <c r="AO53" s="189">
        <v>0.0</v>
      </c>
      <c r="AP53" s="189">
        <v>0.0</v>
      </c>
      <c r="AQ53" s="191">
        <v>1.0</v>
      </c>
      <c r="AR53" s="191">
        <v>0.0</v>
      </c>
      <c r="AS53" s="212">
        <v>0.0</v>
      </c>
      <c r="AT53" s="193" t="s">
        <v>206</v>
      </c>
      <c r="AU53" s="193" t="s">
        <v>121</v>
      </c>
      <c r="AV53" s="193" t="s">
        <v>199</v>
      </c>
      <c r="AW53" s="194">
        <f t="shared" si="14"/>
        <v>0</v>
      </c>
      <c r="AX53" s="195">
        <f t="shared" si="15"/>
        <v>0</v>
      </c>
      <c r="AY53" s="196" t="str">
        <f t="shared" si="16"/>
        <v>#N/A</v>
      </c>
      <c r="AZ53" s="213">
        <v>250.0</v>
      </c>
      <c r="BA53" s="196">
        <f t="shared" si="17"/>
        <v>0.25</v>
      </c>
      <c r="BB53" s="213">
        <f t="shared" si="18"/>
        <v>1000</v>
      </c>
      <c r="BC53" s="199" t="str">
        <f t="shared" si="19"/>
        <v>#N/A</v>
      </c>
      <c r="BD53" s="200" t="str">
        <f t="shared" si="20"/>
        <v>#N/A</v>
      </c>
      <c r="BE53" s="200">
        <f t="shared" si="21"/>
        <v>0</v>
      </c>
      <c r="BF53" s="201" t="str">
        <f t="shared" si="22"/>
        <v/>
      </c>
      <c r="BG53" s="201" t="str">
        <f t="shared" si="23"/>
        <v/>
      </c>
      <c r="BH53" s="202" t="str">
        <f t="shared" si="24"/>
        <v/>
      </c>
      <c r="BI53" s="203"/>
      <c r="BJ53" s="204">
        <f>IFERROR(__xludf.DUMMYFUNCTION("IF(AU53=data!A$5,
IF(AV53=data!A$8,
IF(T53=data!A$3,
VLOOKUP(S53,filter('🔒 Доп. информация'!D:H,'🔒 Доп. информация'!C:C=T53),4,FALSE)+VLOOKUP(S53,filter('🔒 Доп. информация'!D:H,'🔒 Доп. информация'!C:C=T53),5,FALSE)*AJ53,
IF(AND(MAX(AF53:AH53)&lt;80,SUM(A"&amp;"F53:AH53)&lt;=160,AI53&lt;20,XLOOKUP(M53,'📄 Комиссии'!C:C,'📄 Комиссии'!B:B)&lt;&gt;""Продукты""),
VLOOKUP(S53,filter('🔒 Доп. информация'!D:H,'🔒 Доп. информация'!C:C=data!$A$3),4,FALSE)+VLOOKUP(S53,filter('🔒 Доп. информация'!D:H,'🔒 Доп. информация'!C:C=data!$A$3"&amp;"),5,FALSE)*AJ53,
VLOOKUP(S53,filter('🔒 Доп. информация'!D:H,'🔒 Доп. информация'!C:C=T53),4,FALSE)*ROUNDUP(AF53*AG53*AH53*L53/(120*80*175))/L53)
)
*(AE53/2)
,)
,)*0"),0.0)</f>
        <v>0</v>
      </c>
      <c r="BK53" s="204">
        <f>IFERROR(__xludf.DUMMYFUNCTION("IF(AU53=data!A$5,
IF(AI53&lt;=1,IF(AI53&lt;=0.8,IF(AI53&lt;=0.6,IF(AI53&lt;=0.4,IF(AI53&lt;=0.2,23,26),29),30),32)*VLOOKUP(S53,filter('🔒 Доп. информация'!D:E,'🔒 Доп. информация'!C:C=T53),2,FALSE)/'🔒 Доп. информация'!$K$9,
IF(AV53=data!A$8,U53,1)*VLOOKUP(S53,filter('"&amp;"🔒 Доп. информация'!D:E,'🔒 Доп. информация'!C:C=T53),2,FALSE)+
IF(AV53=data!A$8,U53,1)*VLOOKUP(S53,filter('🔒 Доп. информация'!D:F,'🔒 Доп. информация'!C:C=T53),3,FALSE)*AJ53)
,0)"),69.0)</f>
        <v>69</v>
      </c>
      <c r="BL53" s="185" t="str">
        <f t="shared" ref="BL53:BM53" si="169">IF($D53,"🔒",)</f>
        <v/>
      </c>
      <c r="BM53" s="185" t="str">
        <f t="shared" si="169"/>
        <v/>
      </c>
      <c r="BN53" s="204">
        <f>VLOOKUP(T53,'🔒 Доп. информация'!J:P,7,false)</f>
        <v>50</v>
      </c>
      <c r="BO53" s="204">
        <f>IF(AV53=data!A$9,
(AA53+AO53+AP53+BJ53+BK53+BN53)+H53*AS53,
(BJ53+BK53+BN53)+H53*AS53
)</f>
        <v>119</v>
      </c>
      <c r="BP53" s="204">
        <f t="shared" si="26"/>
        <v>69</v>
      </c>
      <c r="BQ53" s="204">
        <f t="shared" si="27"/>
        <v>320</v>
      </c>
      <c r="BR53" s="204" t="str">
        <f t="shared" si="37"/>
        <v>#N/A</v>
      </c>
      <c r="BS53" s="204" t="str">
        <f t="array" ref="BS53">IF(VLOOKUP(AT53,{'▶️ Инструкция'!C:C,'▶️ Инструкция'!Y:Y},2,FALSE)=data!A$15,
H53*(1-I53),
(H53-BR53))
*VLOOKUP(AT53,{'▶️ Инструкция'!C:C,'▶️ Инструкция'!AD:AD},2,FALSE)/(1+VLOOKUP(AT53,{'▶️ Инструкция'!C:C,'▶️ Инструкция'!AD:AD},2,FALSE))</f>
        <v>#N/A</v>
      </c>
      <c r="BT53" s="204" t="str">
        <f t="array" ref="BT53">
IF(VLOOKUP(AT53,{'▶️ Инструкция'!C:C,'▶️ Инструкция'!Y:Y},2,FALSE)=data!A$15,
H53*(1-I53)-BS53,
(H53-BR53-BS53))
*
VLOOKUP(AT53,{'▶️ Инструкция'!C:C,'▶️ Инструкция'!R:R},2,FALSE)
+BS53</f>
        <v>#N/A</v>
      </c>
      <c r="BU53" s="204" t="str">
        <f>(G53*AR53)+if(AV53=data!A$9,AO53,AN53)+AP53+BR53+BT53</f>
        <v>#N/A</v>
      </c>
      <c r="BV53" s="204" t="str">
        <f>(G53*AR53)+if(AV53=data!A$9,AO53,AN53)+AP53+BT53+G53</f>
        <v>#N/A</v>
      </c>
      <c r="BW53" s="204" t="str">
        <f t="shared" si="28"/>
        <v>#N/A</v>
      </c>
      <c r="BX53" s="204" t="str">
        <f t="shared" si="29"/>
        <v>#N/A</v>
      </c>
    </row>
    <row r="54">
      <c r="A54" s="165" t="str">
        <f>if(D54=true,if(F54=data!A$1,data!A$10,data!A$11),)</f>
        <v/>
      </c>
      <c r="B54" s="166" t="str">
        <f t="shared" si="4"/>
        <v>FBS</v>
      </c>
      <c r="C54" s="167" t="s">
        <v>195</v>
      </c>
      <c r="D54" s="168" t="b">
        <v>0</v>
      </c>
      <c r="E54" s="169" t="s">
        <v>204</v>
      </c>
      <c r="F54" s="170" t="str">
        <f t="array" ref="F54">IF(D54=TRUE,IF(IF(BG$3=VLOOKUP(AT54,{'▶️ Инструкция'!C:C,'▶️ Инструкция'!G:G},2,FALSE),BG54,BH54)&gt;VLOOKUP(AT54,{'▶️ Инструкция'!C:C,'▶️ Инструкция'!N:N},2,FALSE),data!A$1,data!A$2),)</f>
        <v/>
      </c>
      <c r="G54" s="171">
        <v>0.0</v>
      </c>
      <c r="H54" s="172">
        <v>1000.0</v>
      </c>
      <c r="I54" s="173">
        <v>0.0</v>
      </c>
      <c r="J54" s="173">
        <v>0.0</v>
      </c>
      <c r="K54" s="174" t="str">
        <f t="shared" si="5"/>
        <v/>
      </c>
      <c r="L54" s="175">
        <v>0.0</v>
      </c>
      <c r="M54" s="176" t="s">
        <v>197</v>
      </c>
      <c r="N54" s="177">
        <f>IFERROR(__xludf.DUMMYFUNCTION("ArrayFormula(let(category,VLOOKUP($M54, {'📄 Комиссии'!$C:$C , '📄 Комиссии'!$B:$B}, 2, 0),
data,MATCH('🔒 Доп. информация'!$J$15:$J203,TRANSPOSE(SPLIT(INDEX('▶️ Инструкция'!$Q:$Q,MATCH($AT54,'▶️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commission,VLOOKUP($M54,'📄 Комиссии'!$C:$E,IF($AV54=data!A$8,2,3),0),
IF(NOT(ISBLANK($M54)),commission/100+
IFERR"&amp;"OR(VLOOKUP($AT54,{'▶️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54" s="178" t="str">
        <f t="shared" si="6"/>
        <v/>
      </c>
      <c r="Q54" s="178" t="str">
        <f t="shared" si="7"/>
        <v/>
      </c>
      <c r="S54" s="179" t="s">
        <v>192</v>
      </c>
      <c r="T54" s="180" t="s">
        <v>193</v>
      </c>
      <c r="U54" s="181">
        <v>1.0</v>
      </c>
      <c r="V54" s="182" t="str">
        <f t="shared" ref="V54:Y54" si="170">IF($D54,"🔒",)</f>
        <v/>
      </c>
      <c r="W54" s="182" t="str">
        <f t="shared" si="170"/>
        <v/>
      </c>
      <c r="X54" s="182" t="str">
        <f t="shared" si="170"/>
        <v/>
      </c>
      <c r="Y54" s="182" t="str">
        <f t="shared" si="170"/>
        <v/>
      </c>
      <c r="Z54" s="183">
        <v>0.0</v>
      </c>
      <c r="AA54" s="184">
        <f t="shared" si="31"/>
        <v>0</v>
      </c>
      <c r="AB54" s="185" t="str">
        <f t="shared" ref="AB54:AD54" si="171">IF($D54,"🔒",)</f>
        <v/>
      </c>
      <c r="AC54" s="185" t="str">
        <f t="shared" si="171"/>
        <v/>
      </c>
      <c r="AD54" s="186" t="str">
        <f t="shared" si="171"/>
        <v/>
      </c>
      <c r="AE54" s="180">
        <v>30.0</v>
      </c>
      <c r="AF54" s="187">
        <v>0.0</v>
      </c>
      <c r="AG54" s="187">
        <v>0.0</v>
      </c>
      <c r="AH54" s="187">
        <v>0.0</v>
      </c>
      <c r="AI54" s="181">
        <f t="shared" si="10"/>
        <v>0</v>
      </c>
      <c r="AJ54" s="181">
        <f t="shared" si="11"/>
        <v>0</v>
      </c>
      <c r="AK54" s="185" t="str">
        <f t="shared" si="12"/>
        <v/>
      </c>
      <c r="AL54" s="188" t="str">
        <f t="array" ref="AL54">H54*(1-I54)*VLOOKUP(AT54,{'▶️ Инструкция'!C:C,'▶️ Инструкция'!AI:AI},2,false)</f>
        <v>#N/A</v>
      </c>
      <c r="AM54" s="186" t="str">
        <f t="shared" si="13"/>
        <v/>
      </c>
      <c r="AN54" s="189">
        <v>0.0</v>
      </c>
      <c r="AO54" s="189">
        <v>0.0</v>
      </c>
      <c r="AP54" s="189">
        <v>0.0</v>
      </c>
      <c r="AQ54" s="191">
        <v>1.0</v>
      </c>
      <c r="AR54" s="191">
        <v>0.0</v>
      </c>
      <c r="AS54" s="212">
        <v>0.0</v>
      </c>
      <c r="AT54" s="193" t="s">
        <v>206</v>
      </c>
      <c r="AU54" s="193" t="s">
        <v>121</v>
      </c>
      <c r="AV54" s="193" t="s">
        <v>199</v>
      </c>
      <c r="AW54" s="194">
        <f t="shared" si="14"/>
        <v>0</v>
      </c>
      <c r="AX54" s="195">
        <f t="shared" si="15"/>
        <v>0</v>
      </c>
      <c r="AY54" s="196" t="str">
        <f t="shared" si="16"/>
        <v>#N/A</v>
      </c>
      <c r="AZ54" s="213">
        <v>250.0</v>
      </c>
      <c r="BA54" s="196">
        <f t="shared" si="17"/>
        <v>0.25</v>
      </c>
      <c r="BB54" s="213">
        <f t="shared" si="18"/>
        <v>1000</v>
      </c>
      <c r="BC54" s="199" t="str">
        <f t="shared" si="19"/>
        <v>#N/A</v>
      </c>
      <c r="BD54" s="200" t="str">
        <f t="shared" si="20"/>
        <v>#N/A</v>
      </c>
      <c r="BE54" s="200">
        <f t="shared" si="21"/>
        <v>0</v>
      </c>
      <c r="BF54" s="201" t="str">
        <f t="shared" si="22"/>
        <v/>
      </c>
      <c r="BG54" s="201" t="str">
        <f t="shared" si="23"/>
        <v/>
      </c>
      <c r="BH54" s="202" t="str">
        <f t="shared" si="24"/>
        <v/>
      </c>
      <c r="BI54" s="203"/>
      <c r="BJ54" s="204">
        <f>IFERROR(__xludf.DUMMYFUNCTION("IF(AU54=data!A$5,
IF(AV54=data!A$8,
IF(T54=data!A$3,
VLOOKUP(S54,filter('🔒 Доп. информация'!D:H,'🔒 Доп. информация'!C:C=T54),4,FALSE)+VLOOKUP(S54,filter('🔒 Доп. информация'!D:H,'🔒 Доп. информация'!C:C=T54),5,FALSE)*AJ54,
IF(AND(MAX(AF54:AH54)&lt;80,SUM(A"&amp;"F54:AH54)&lt;=160,AI54&lt;20,XLOOKUP(M54,'📄 Комиссии'!C:C,'📄 Комиссии'!B:B)&lt;&gt;""Продукты""),
VLOOKUP(S54,filter('🔒 Доп. информация'!D:H,'🔒 Доп. информация'!C:C=data!$A$3),4,FALSE)+VLOOKUP(S54,filter('🔒 Доп. информация'!D:H,'🔒 Доп. информация'!C:C=data!$A$3"&amp;"),5,FALSE)*AJ54,
VLOOKUP(S54,filter('🔒 Доп. информация'!D:H,'🔒 Доп. информация'!C:C=T54),4,FALSE)*ROUNDUP(AF54*AG54*AH54*L54/(120*80*175))/L54)
)
*(AE54/2)
,)
,)*0"),0.0)</f>
        <v>0</v>
      </c>
      <c r="BK54" s="204">
        <f>IFERROR(__xludf.DUMMYFUNCTION("IF(AU54=data!A$5,
IF(AI54&lt;=1,IF(AI54&lt;=0.8,IF(AI54&lt;=0.6,IF(AI54&lt;=0.4,IF(AI54&lt;=0.2,23,26),29),30),32)*VLOOKUP(S54,filter('🔒 Доп. информация'!D:E,'🔒 Доп. информация'!C:C=T54),2,FALSE)/'🔒 Доп. информация'!$K$9,
IF(AV54=data!A$8,U54,1)*VLOOKUP(S54,filter('"&amp;"🔒 Доп. информация'!D:E,'🔒 Доп. информация'!C:C=T54),2,FALSE)+
IF(AV54=data!A$8,U54,1)*VLOOKUP(S54,filter('🔒 Доп. информация'!D:F,'🔒 Доп. информация'!C:C=T54),3,FALSE)*AJ54)
,0)"),69.0)</f>
        <v>69</v>
      </c>
      <c r="BL54" s="185" t="str">
        <f t="shared" ref="BL54:BM54" si="172">IF($D54,"🔒",)</f>
        <v/>
      </c>
      <c r="BM54" s="185" t="str">
        <f t="shared" si="172"/>
        <v/>
      </c>
      <c r="BN54" s="204">
        <f>VLOOKUP(T54,'🔒 Доп. информация'!J:P,7,false)</f>
        <v>50</v>
      </c>
      <c r="BO54" s="204">
        <f>IF(AV54=data!A$9,
(AA54+AO54+AP54+BJ54+BK54+BN54)+H54*AS54,
(BJ54+BK54+BN54)+H54*AS54
)</f>
        <v>119</v>
      </c>
      <c r="BP54" s="204">
        <f t="shared" si="26"/>
        <v>69</v>
      </c>
      <c r="BQ54" s="204">
        <f t="shared" si="27"/>
        <v>320</v>
      </c>
      <c r="BR54" s="204" t="str">
        <f t="shared" si="37"/>
        <v>#N/A</v>
      </c>
      <c r="BS54" s="204" t="str">
        <f t="array" ref="BS54">IF(VLOOKUP(AT54,{'▶️ Инструкция'!C:C,'▶️ Инструкция'!Y:Y},2,FALSE)=data!A$15,
H54*(1-I54),
(H54-BR54))
*VLOOKUP(AT54,{'▶️ Инструкция'!C:C,'▶️ Инструкция'!AD:AD},2,FALSE)/(1+VLOOKUP(AT54,{'▶️ Инструкция'!C:C,'▶️ Инструкция'!AD:AD},2,FALSE))</f>
        <v>#N/A</v>
      </c>
      <c r="BT54" s="204" t="str">
        <f t="array" ref="BT54">
IF(VLOOKUP(AT54,{'▶️ Инструкция'!C:C,'▶️ Инструкция'!Y:Y},2,FALSE)=data!A$15,
H54*(1-I54)-BS54,
(H54-BR54-BS54))
*
VLOOKUP(AT54,{'▶️ Инструкция'!C:C,'▶️ Инструкция'!R:R},2,FALSE)
+BS54</f>
        <v>#N/A</v>
      </c>
      <c r="BU54" s="204" t="str">
        <f>(G54*AR54)+if(AV54=data!A$9,AO54,AN54)+AP54+BR54+BT54</f>
        <v>#N/A</v>
      </c>
      <c r="BV54" s="204" t="str">
        <f>(G54*AR54)+if(AV54=data!A$9,AO54,AN54)+AP54+BT54+G54</f>
        <v>#N/A</v>
      </c>
      <c r="BW54" s="204" t="str">
        <f t="shared" si="28"/>
        <v>#N/A</v>
      </c>
      <c r="BX54" s="204" t="str">
        <f t="shared" si="29"/>
        <v>#N/A</v>
      </c>
    </row>
    <row r="55">
      <c r="A55" s="165" t="str">
        <f>if(D55=true,if(F55=data!A$1,data!A$10,data!A$11),)</f>
        <v/>
      </c>
      <c r="B55" s="166" t="str">
        <f t="shared" si="4"/>
        <v>FBS</v>
      </c>
      <c r="C55" s="167" t="s">
        <v>195</v>
      </c>
      <c r="D55" s="168" t="b">
        <v>0</v>
      </c>
      <c r="E55" s="169" t="s">
        <v>204</v>
      </c>
      <c r="F55" s="170" t="str">
        <f t="array" ref="F55">IF(D55=TRUE,IF(IF(BG$3=VLOOKUP(AT55,{'▶️ Инструкция'!C:C,'▶️ Инструкция'!G:G},2,FALSE),BG55,BH55)&gt;VLOOKUP(AT55,{'▶️ Инструкция'!C:C,'▶️ Инструкция'!N:N},2,FALSE),data!A$1,data!A$2),)</f>
        <v/>
      </c>
      <c r="G55" s="171">
        <v>0.0</v>
      </c>
      <c r="H55" s="172">
        <v>1000.0</v>
      </c>
      <c r="I55" s="173">
        <v>0.0</v>
      </c>
      <c r="J55" s="173">
        <v>0.0</v>
      </c>
      <c r="K55" s="174" t="str">
        <f t="shared" si="5"/>
        <v/>
      </c>
      <c r="L55" s="175">
        <v>0.0</v>
      </c>
      <c r="M55" s="176" t="s">
        <v>197</v>
      </c>
      <c r="N55" s="177">
        <f>IFERROR(__xludf.DUMMYFUNCTION("ArrayFormula(let(category,VLOOKUP($M55, {'📄 Комиссии'!$C:$C , '📄 Комиссии'!$B:$B}, 2, 0),
data,MATCH('🔒 Доп. информация'!$J$15:$J203,TRANSPOSE(SPLIT(INDEX('▶️ Инструкция'!$Q:$Q,MATCH($AT55,'▶️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commission,VLOOKUP($M55,'📄 Комиссии'!$C:$E,IF($AV55=data!A$8,2,3),0),
IF(NOT(ISBLANK($M55)),commission/100+
IFERR"&amp;"OR(VLOOKUP($AT55,{'▶️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55" s="178" t="str">
        <f t="shared" si="6"/>
        <v/>
      </c>
      <c r="Q55" s="178" t="str">
        <f t="shared" si="7"/>
        <v/>
      </c>
      <c r="S55" s="179" t="s">
        <v>192</v>
      </c>
      <c r="T55" s="180" t="s">
        <v>193</v>
      </c>
      <c r="U55" s="181">
        <v>1.0</v>
      </c>
      <c r="V55" s="182" t="str">
        <f t="shared" ref="V55:Y55" si="173">IF($D55,"🔒",)</f>
        <v/>
      </c>
      <c r="W55" s="182" t="str">
        <f t="shared" si="173"/>
        <v/>
      </c>
      <c r="X55" s="182" t="str">
        <f t="shared" si="173"/>
        <v/>
      </c>
      <c r="Y55" s="182" t="str">
        <f t="shared" si="173"/>
        <v/>
      </c>
      <c r="Z55" s="183">
        <v>0.0</v>
      </c>
      <c r="AA55" s="184">
        <f t="shared" si="31"/>
        <v>0</v>
      </c>
      <c r="AB55" s="185" t="str">
        <f t="shared" ref="AB55:AD55" si="174">IF($D55,"🔒",)</f>
        <v/>
      </c>
      <c r="AC55" s="185" t="str">
        <f t="shared" si="174"/>
        <v/>
      </c>
      <c r="AD55" s="186" t="str">
        <f t="shared" si="174"/>
        <v/>
      </c>
      <c r="AE55" s="180">
        <v>30.0</v>
      </c>
      <c r="AF55" s="187">
        <v>0.0</v>
      </c>
      <c r="AG55" s="187">
        <v>0.0</v>
      </c>
      <c r="AH55" s="187">
        <v>0.0</v>
      </c>
      <c r="AI55" s="181">
        <f t="shared" si="10"/>
        <v>0</v>
      </c>
      <c r="AJ55" s="181">
        <f t="shared" si="11"/>
        <v>0</v>
      </c>
      <c r="AK55" s="185" t="str">
        <f t="shared" si="12"/>
        <v/>
      </c>
      <c r="AL55" s="188" t="str">
        <f t="array" ref="AL55">H55*(1-I55)*VLOOKUP(AT55,{'▶️ Инструкция'!C:C,'▶️ Инструкция'!AI:AI},2,false)</f>
        <v>#N/A</v>
      </c>
      <c r="AM55" s="186" t="str">
        <f t="shared" si="13"/>
        <v/>
      </c>
      <c r="AN55" s="189">
        <v>0.0</v>
      </c>
      <c r="AO55" s="189">
        <v>0.0</v>
      </c>
      <c r="AP55" s="189">
        <v>0.0</v>
      </c>
      <c r="AQ55" s="191">
        <v>1.0</v>
      </c>
      <c r="AR55" s="191">
        <v>0.0</v>
      </c>
      <c r="AS55" s="212">
        <v>0.0</v>
      </c>
      <c r="AT55" s="193" t="s">
        <v>206</v>
      </c>
      <c r="AU55" s="193" t="s">
        <v>121</v>
      </c>
      <c r="AV55" s="193" t="s">
        <v>199</v>
      </c>
      <c r="AW55" s="194">
        <f t="shared" si="14"/>
        <v>0</v>
      </c>
      <c r="AX55" s="195">
        <f t="shared" si="15"/>
        <v>0</v>
      </c>
      <c r="AY55" s="196" t="str">
        <f t="shared" si="16"/>
        <v>#N/A</v>
      </c>
      <c r="AZ55" s="213">
        <v>250.0</v>
      </c>
      <c r="BA55" s="196">
        <f t="shared" si="17"/>
        <v>0.25</v>
      </c>
      <c r="BB55" s="213">
        <f t="shared" si="18"/>
        <v>1000</v>
      </c>
      <c r="BC55" s="199" t="str">
        <f t="shared" si="19"/>
        <v>#N/A</v>
      </c>
      <c r="BD55" s="200" t="str">
        <f t="shared" si="20"/>
        <v>#N/A</v>
      </c>
      <c r="BE55" s="200">
        <f t="shared" si="21"/>
        <v>0</v>
      </c>
      <c r="BF55" s="201" t="str">
        <f t="shared" si="22"/>
        <v/>
      </c>
      <c r="BG55" s="201" t="str">
        <f t="shared" si="23"/>
        <v/>
      </c>
      <c r="BH55" s="202" t="str">
        <f t="shared" si="24"/>
        <v/>
      </c>
      <c r="BI55" s="203"/>
      <c r="BJ55" s="204">
        <f>IFERROR(__xludf.DUMMYFUNCTION("IF(AU55=data!A$5,
IF(AV55=data!A$8,
IF(T55=data!A$3,
VLOOKUP(S55,filter('🔒 Доп. информация'!D:H,'🔒 Доп. информация'!C:C=T55),4,FALSE)+VLOOKUP(S55,filter('🔒 Доп. информация'!D:H,'🔒 Доп. информация'!C:C=T55),5,FALSE)*AJ55,
IF(AND(MAX(AF55:AH55)&lt;80,SUM(A"&amp;"F55:AH55)&lt;=160,AI55&lt;20,XLOOKUP(M55,'📄 Комиссии'!C:C,'📄 Комиссии'!B:B)&lt;&gt;""Продукты""),
VLOOKUP(S55,filter('🔒 Доп. информация'!D:H,'🔒 Доп. информация'!C:C=data!$A$3),4,FALSE)+VLOOKUP(S55,filter('🔒 Доп. информация'!D:H,'🔒 Доп. информация'!C:C=data!$A$3"&amp;"),5,FALSE)*AJ55,
VLOOKUP(S55,filter('🔒 Доп. информация'!D:H,'🔒 Доп. информация'!C:C=T55),4,FALSE)*ROUNDUP(AF55*AG55*AH55*L55/(120*80*175))/L55)
)
*(AE55/2)
,)
,)*0"),0.0)</f>
        <v>0</v>
      </c>
      <c r="BK55" s="204">
        <f>IFERROR(__xludf.DUMMYFUNCTION("IF(AU55=data!A$5,
IF(AI55&lt;=1,IF(AI55&lt;=0.8,IF(AI55&lt;=0.6,IF(AI55&lt;=0.4,IF(AI55&lt;=0.2,23,26),29),30),32)*VLOOKUP(S55,filter('🔒 Доп. информация'!D:E,'🔒 Доп. информация'!C:C=T55),2,FALSE)/'🔒 Доп. информация'!$K$9,
IF(AV55=data!A$8,U55,1)*VLOOKUP(S55,filter('"&amp;"🔒 Доп. информация'!D:E,'🔒 Доп. информация'!C:C=T55),2,FALSE)+
IF(AV55=data!A$8,U55,1)*VLOOKUP(S55,filter('🔒 Доп. информация'!D:F,'🔒 Доп. информация'!C:C=T55),3,FALSE)*AJ55)
,0)"),69.0)</f>
        <v>69</v>
      </c>
      <c r="BL55" s="185" t="str">
        <f t="shared" ref="BL55:BM55" si="175">IF($D55,"🔒",)</f>
        <v/>
      </c>
      <c r="BM55" s="185" t="str">
        <f t="shared" si="175"/>
        <v/>
      </c>
      <c r="BN55" s="204">
        <f>VLOOKUP(T55,'🔒 Доп. информация'!J:P,7,false)</f>
        <v>50</v>
      </c>
      <c r="BO55" s="204">
        <f>IF(AV55=data!A$9,
(AA55+AO55+AP55+BJ55+BK55+BN55)+H55*AS55,
(BJ55+BK55+BN55)+H55*AS55
)</f>
        <v>119</v>
      </c>
      <c r="BP55" s="204">
        <f t="shared" si="26"/>
        <v>69</v>
      </c>
      <c r="BQ55" s="204">
        <f t="shared" si="27"/>
        <v>320</v>
      </c>
      <c r="BR55" s="204" t="str">
        <f t="shared" si="37"/>
        <v>#N/A</v>
      </c>
      <c r="BS55" s="204" t="str">
        <f t="array" ref="BS55">IF(VLOOKUP(AT55,{'▶️ Инструкция'!C:C,'▶️ Инструкция'!Y:Y},2,FALSE)=data!A$15,
H55*(1-I55),
(H55-BR55))
*VLOOKUP(AT55,{'▶️ Инструкция'!C:C,'▶️ Инструкция'!AD:AD},2,FALSE)/(1+VLOOKUP(AT55,{'▶️ Инструкция'!C:C,'▶️ Инструкция'!AD:AD},2,FALSE))</f>
        <v>#N/A</v>
      </c>
      <c r="BT55" s="204" t="str">
        <f t="array" ref="BT55">
IF(VLOOKUP(AT55,{'▶️ Инструкция'!C:C,'▶️ Инструкция'!Y:Y},2,FALSE)=data!A$15,
H55*(1-I55)-BS55,
(H55-BR55-BS55))
*
VLOOKUP(AT55,{'▶️ Инструкция'!C:C,'▶️ Инструкция'!R:R},2,FALSE)
+BS55</f>
        <v>#N/A</v>
      </c>
      <c r="BU55" s="204" t="str">
        <f>(G55*AR55)+if(AV55=data!A$9,AO55,AN55)+AP55+BR55+BT55</f>
        <v>#N/A</v>
      </c>
      <c r="BV55" s="204" t="str">
        <f>(G55*AR55)+if(AV55=data!A$9,AO55,AN55)+AP55+BT55+G55</f>
        <v>#N/A</v>
      </c>
      <c r="BW55" s="204" t="str">
        <f t="shared" si="28"/>
        <v>#N/A</v>
      </c>
      <c r="BX55" s="204" t="str">
        <f t="shared" si="29"/>
        <v>#N/A</v>
      </c>
    </row>
    <row r="56">
      <c r="A56" s="165" t="str">
        <f>if(D56=true,if(F56=data!A$1,data!A$10,data!A$11),)</f>
        <v/>
      </c>
      <c r="B56" s="166" t="str">
        <f t="shared" si="4"/>
        <v>FBS</v>
      </c>
      <c r="C56" s="167" t="s">
        <v>195</v>
      </c>
      <c r="D56" s="168" t="b">
        <v>0</v>
      </c>
      <c r="E56" s="169" t="s">
        <v>204</v>
      </c>
      <c r="F56" s="170" t="str">
        <f t="array" ref="F56">IF(D56=TRUE,IF(IF(BG$3=VLOOKUP(AT56,{'▶️ Инструкция'!C:C,'▶️ Инструкция'!G:G},2,FALSE),BG56,BH56)&gt;VLOOKUP(AT56,{'▶️ Инструкция'!C:C,'▶️ Инструкция'!N:N},2,FALSE),data!A$1,data!A$2),)</f>
        <v/>
      </c>
      <c r="G56" s="171">
        <v>0.0</v>
      </c>
      <c r="H56" s="172">
        <v>1000.0</v>
      </c>
      <c r="I56" s="173">
        <v>0.0</v>
      </c>
      <c r="J56" s="173">
        <v>0.0</v>
      </c>
      <c r="K56" s="174" t="str">
        <f t="shared" si="5"/>
        <v/>
      </c>
      <c r="L56" s="175">
        <v>0.0</v>
      </c>
      <c r="M56" s="176" t="s">
        <v>197</v>
      </c>
      <c r="N56" s="177">
        <f>IFERROR(__xludf.DUMMYFUNCTION("ArrayFormula(let(category,VLOOKUP($M56, {'📄 Комиссии'!$C:$C , '📄 Комиссии'!$B:$B}, 2, 0),
data,MATCH('🔒 Доп. информация'!$J$15:$J203,TRANSPOSE(SPLIT(INDEX('▶️ Инструкция'!$Q:$Q,MATCH($AT56,'▶️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commission,VLOOKUP($M56,'📄 Комиссии'!$C:$E,IF($AV56=data!A$8,2,3),0),
IF(NOT(ISBLANK($M56)),commission/100+
IFERR"&amp;"OR(VLOOKUP($AT56,{'▶️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56" s="178" t="str">
        <f t="shared" si="6"/>
        <v/>
      </c>
      <c r="Q56" s="178" t="str">
        <f t="shared" si="7"/>
        <v/>
      </c>
      <c r="S56" s="179" t="s">
        <v>192</v>
      </c>
      <c r="T56" s="180" t="s">
        <v>193</v>
      </c>
      <c r="U56" s="181">
        <v>1.0</v>
      </c>
      <c r="V56" s="182" t="str">
        <f t="shared" ref="V56:Y56" si="176">IF($D56,"🔒",)</f>
        <v/>
      </c>
      <c r="W56" s="182" t="str">
        <f t="shared" si="176"/>
        <v/>
      </c>
      <c r="X56" s="182" t="str">
        <f t="shared" si="176"/>
        <v/>
      </c>
      <c r="Y56" s="182" t="str">
        <f t="shared" si="176"/>
        <v/>
      </c>
      <c r="Z56" s="183">
        <v>0.0</v>
      </c>
      <c r="AA56" s="184">
        <f t="shared" si="31"/>
        <v>0</v>
      </c>
      <c r="AB56" s="185" t="str">
        <f t="shared" ref="AB56:AD56" si="177">IF($D56,"🔒",)</f>
        <v/>
      </c>
      <c r="AC56" s="185" t="str">
        <f t="shared" si="177"/>
        <v/>
      </c>
      <c r="AD56" s="186" t="str">
        <f t="shared" si="177"/>
        <v/>
      </c>
      <c r="AE56" s="180">
        <v>30.0</v>
      </c>
      <c r="AF56" s="187">
        <v>0.0</v>
      </c>
      <c r="AG56" s="187">
        <v>0.0</v>
      </c>
      <c r="AH56" s="187">
        <v>0.0</v>
      </c>
      <c r="AI56" s="181">
        <f t="shared" si="10"/>
        <v>0</v>
      </c>
      <c r="AJ56" s="181">
        <f t="shared" si="11"/>
        <v>0</v>
      </c>
      <c r="AK56" s="185" t="str">
        <f t="shared" si="12"/>
        <v/>
      </c>
      <c r="AL56" s="188" t="str">
        <f t="array" ref="AL56">H56*(1-I56)*VLOOKUP(AT56,{'▶️ Инструкция'!C:C,'▶️ Инструкция'!AI:AI},2,false)</f>
        <v>#N/A</v>
      </c>
      <c r="AM56" s="186" t="str">
        <f t="shared" si="13"/>
        <v/>
      </c>
      <c r="AN56" s="189">
        <v>0.0</v>
      </c>
      <c r="AO56" s="189">
        <v>0.0</v>
      </c>
      <c r="AP56" s="189">
        <v>0.0</v>
      </c>
      <c r="AQ56" s="191">
        <v>1.0</v>
      </c>
      <c r="AR56" s="191">
        <v>0.0</v>
      </c>
      <c r="AS56" s="212">
        <v>0.0</v>
      </c>
      <c r="AT56" s="193" t="s">
        <v>206</v>
      </c>
      <c r="AU56" s="193" t="s">
        <v>121</v>
      </c>
      <c r="AV56" s="193" t="s">
        <v>199</v>
      </c>
      <c r="AW56" s="194">
        <f t="shared" si="14"/>
        <v>0</v>
      </c>
      <c r="AX56" s="195">
        <f t="shared" si="15"/>
        <v>0</v>
      </c>
      <c r="AY56" s="196" t="str">
        <f t="shared" si="16"/>
        <v>#N/A</v>
      </c>
      <c r="AZ56" s="213">
        <v>250.0</v>
      </c>
      <c r="BA56" s="196">
        <f t="shared" si="17"/>
        <v>0.25</v>
      </c>
      <c r="BB56" s="213">
        <f t="shared" si="18"/>
        <v>1000</v>
      </c>
      <c r="BC56" s="199" t="str">
        <f t="shared" si="19"/>
        <v>#N/A</v>
      </c>
      <c r="BD56" s="200" t="str">
        <f t="shared" si="20"/>
        <v>#N/A</v>
      </c>
      <c r="BE56" s="200">
        <f t="shared" si="21"/>
        <v>0</v>
      </c>
      <c r="BF56" s="201" t="str">
        <f t="shared" si="22"/>
        <v/>
      </c>
      <c r="BG56" s="201" t="str">
        <f t="shared" si="23"/>
        <v/>
      </c>
      <c r="BH56" s="202" t="str">
        <f t="shared" si="24"/>
        <v/>
      </c>
      <c r="BI56" s="203"/>
      <c r="BJ56" s="204">
        <f>IFERROR(__xludf.DUMMYFUNCTION("IF(AU56=data!A$5,
IF(AV56=data!A$8,
IF(T56=data!A$3,
VLOOKUP(S56,filter('🔒 Доп. информация'!D:H,'🔒 Доп. информация'!C:C=T56),4,FALSE)+VLOOKUP(S56,filter('🔒 Доп. информация'!D:H,'🔒 Доп. информация'!C:C=T56),5,FALSE)*AJ56,
IF(AND(MAX(AF56:AH56)&lt;80,SUM(A"&amp;"F56:AH56)&lt;=160,AI56&lt;20,XLOOKUP(M56,'📄 Комиссии'!C:C,'📄 Комиссии'!B:B)&lt;&gt;""Продукты""),
VLOOKUP(S56,filter('🔒 Доп. информация'!D:H,'🔒 Доп. информация'!C:C=data!$A$3),4,FALSE)+VLOOKUP(S56,filter('🔒 Доп. информация'!D:H,'🔒 Доп. информация'!C:C=data!$A$3"&amp;"),5,FALSE)*AJ56,
VLOOKUP(S56,filter('🔒 Доп. информация'!D:H,'🔒 Доп. информация'!C:C=T56),4,FALSE)*ROUNDUP(AF56*AG56*AH56*L56/(120*80*175))/L56)
)
*(AE56/2)
,)
,)*0"),0.0)</f>
        <v>0</v>
      </c>
      <c r="BK56" s="204">
        <f>IFERROR(__xludf.DUMMYFUNCTION("IF(AU56=data!A$5,
IF(AI56&lt;=1,IF(AI56&lt;=0.8,IF(AI56&lt;=0.6,IF(AI56&lt;=0.4,IF(AI56&lt;=0.2,23,26),29),30),32)*VLOOKUP(S56,filter('🔒 Доп. информация'!D:E,'🔒 Доп. информация'!C:C=T56),2,FALSE)/'🔒 Доп. информация'!$K$9,
IF(AV56=data!A$8,U56,1)*VLOOKUP(S56,filter('"&amp;"🔒 Доп. информация'!D:E,'🔒 Доп. информация'!C:C=T56),2,FALSE)+
IF(AV56=data!A$8,U56,1)*VLOOKUP(S56,filter('🔒 Доп. информация'!D:F,'🔒 Доп. информация'!C:C=T56),3,FALSE)*AJ56)
,0)"),69.0)</f>
        <v>69</v>
      </c>
      <c r="BL56" s="185" t="str">
        <f t="shared" ref="BL56:BM56" si="178">IF($D56,"🔒",)</f>
        <v/>
      </c>
      <c r="BM56" s="185" t="str">
        <f t="shared" si="178"/>
        <v/>
      </c>
      <c r="BN56" s="204">
        <f>VLOOKUP(T56,'🔒 Доп. информация'!J:P,7,false)</f>
        <v>50</v>
      </c>
      <c r="BO56" s="204">
        <f>IF(AV56=data!A$9,
(AA56+AO56+AP56+BJ56+BK56+BN56)+H56*AS56,
(BJ56+BK56+BN56)+H56*AS56
)</f>
        <v>119</v>
      </c>
      <c r="BP56" s="204">
        <f t="shared" si="26"/>
        <v>69</v>
      </c>
      <c r="BQ56" s="204">
        <f t="shared" si="27"/>
        <v>320</v>
      </c>
      <c r="BR56" s="204" t="str">
        <f t="shared" si="37"/>
        <v>#N/A</v>
      </c>
      <c r="BS56" s="204" t="str">
        <f t="array" ref="BS56">IF(VLOOKUP(AT56,{'▶️ Инструкция'!C:C,'▶️ Инструкция'!Y:Y},2,FALSE)=data!A$15,
H56*(1-I56),
(H56-BR56))
*VLOOKUP(AT56,{'▶️ Инструкция'!C:C,'▶️ Инструкция'!AD:AD},2,FALSE)/(1+VLOOKUP(AT56,{'▶️ Инструкция'!C:C,'▶️ Инструкция'!AD:AD},2,FALSE))</f>
        <v>#N/A</v>
      </c>
      <c r="BT56" s="204" t="str">
        <f t="array" ref="BT56">
IF(VLOOKUP(AT56,{'▶️ Инструкция'!C:C,'▶️ Инструкция'!Y:Y},2,FALSE)=data!A$15,
H56*(1-I56)-BS56,
(H56-BR56-BS56))
*
VLOOKUP(AT56,{'▶️ Инструкция'!C:C,'▶️ Инструкция'!R:R},2,FALSE)
+BS56</f>
        <v>#N/A</v>
      </c>
      <c r="BU56" s="204" t="str">
        <f>(G56*AR56)+if(AV56=data!A$9,AO56,AN56)+AP56+BR56+BT56</f>
        <v>#N/A</v>
      </c>
      <c r="BV56" s="204" t="str">
        <f>(G56*AR56)+if(AV56=data!A$9,AO56,AN56)+AP56+BT56+G56</f>
        <v>#N/A</v>
      </c>
      <c r="BW56" s="204" t="str">
        <f t="shared" si="28"/>
        <v>#N/A</v>
      </c>
      <c r="BX56" s="204" t="str">
        <f t="shared" si="29"/>
        <v>#N/A</v>
      </c>
    </row>
    <row r="57">
      <c r="A57" s="165" t="str">
        <f>if(D57=true,if(F57=data!A$1,data!A$10,data!A$11),)</f>
        <v/>
      </c>
      <c r="B57" s="166" t="str">
        <f t="shared" si="4"/>
        <v>FBS</v>
      </c>
      <c r="C57" s="167" t="s">
        <v>195</v>
      </c>
      <c r="D57" s="168" t="b">
        <v>0</v>
      </c>
      <c r="E57" s="169" t="s">
        <v>204</v>
      </c>
      <c r="F57" s="170" t="str">
        <f t="array" ref="F57">IF(D57=TRUE,IF(IF(BG$3=VLOOKUP(AT57,{'▶️ Инструкция'!C:C,'▶️ Инструкция'!G:G},2,FALSE),BG57,BH57)&gt;VLOOKUP(AT57,{'▶️ Инструкция'!C:C,'▶️ Инструкция'!N:N},2,FALSE),data!A$1,data!A$2),)</f>
        <v/>
      </c>
      <c r="G57" s="171">
        <v>0.0</v>
      </c>
      <c r="H57" s="172">
        <v>1000.0</v>
      </c>
      <c r="I57" s="173">
        <v>0.0</v>
      </c>
      <c r="J57" s="173">
        <v>0.0</v>
      </c>
      <c r="K57" s="174" t="str">
        <f t="shared" si="5"/>
        <v/>
      </c>
      <c r="L57" s="175">
        <v>0.0</v>
      </c>
      <c r="M57" s="176" t="s">
        <v>197</v>
      </c>
      <c r="N57" s="177">
        <f>IFERROR(__xludf.DUMMYFUNCTION("ArrayFormula(let(category,VLOOKUP($M57, {'📄 Комиссии'!$C:$C , '📄 Комиссии'!$B:$B}, 2, 0),
data,MATCH('🔒 Доп. информация'!$J$15:$J203,TRANSPOSE(SPLIT(INDEX('▶️ Инструкция'!$Q:$Q,MATCH($AT57,'▶️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commission,VLOOKUP($M57,'📄 Комиссии'!$C:$E,IF($AV57=data!A$8,2,3),0),
IF(NOT(ISBLANK($M57)),commission/100+
IFERR"&amp;"OR(VLOOKUP($AT57,{'▶️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57" s="178" t="str">
        <f t="shared" si="6"/>
        <v/>
      </c>
      <c r="Q57" s="178" t="str">
        <f t="shared" si="7"/>
        <v/>
      </c>
      <c r="S57" s="179" t="s">
        <v>192</v>
      </c>
      <c r="T57" s="180" t="s">
        <v>193</v>
      </c>
      <c r="U57" s="181">
        <v>1.0</v>
      </c>
      <c r="V57" s="182" t="str">
        <f t="shared" ref="V57:Y57" si="179">IF($D57,"🔒",)</f>
        <v/>
      </c>
      <c r="W57" s="182" t="str">
        <f t="shared" si="179"/>
        <v/>
      </c>
      <c r="X57" s="182" t="str">
        <f t="shared" si="179"/>
        <v/>
      </c>
      <c r="Y57" s="182" t="str">
        <f t="shared" si="179"/>
        <v/>
      </c>
      <c r="Z57" s="183">
        <v>0.0</v>
      </c>
      <c r="AA57" s="184">
        <f t="shared" si="31"/>
        <v>0</v>
      </c>
      <c r="AB57" s="185" t="str">
        <f t="shared" ref="AB57:AD57" si="180">IF($D57,"🔒",)</f>
        <v/>
      </c>
      <c r="AC57" s="185" t="str">
        <f t="shared" si="180"/>
        <v/>
      </c>
      <c r="AD57" s="186" t="str">
        <f t="shared" si="180"/>
        <v/>
      </c>
      <c r="AE57" s="180">
        <v>30.0</v>
      </c>
      <c r="AF57" s="187">
        <v>0.0</v>
      </c>
      <c r="AG57" s="187">
        <v>0.0</v>
      </c>
      <c r="AH57" s="187">
        <v>0.0</v>
      </c>
      <c r="AI57" s="181">
        <f t="shared" si="10"/>
        <v>0</v>
      </c>
      <c r="AJ57" s="181">
        <f t="shared" si="11"/>
        <v>0</v>
      </c>
      <c r="AK57" s="185" t="str">
        <f t="shared" si="12"/>
        <v/>
      </c>
      <c r="AL57" s="188" t="str">
        <f t="array" ref="AL57">H57*(1-I57)*VLOOKUP(AT57,{'▶️ Инструкция'!C:C,'▶️ Инструкция'!AI:AI},2,false)</f>
        <v>#N/A</v>
      </c>
      <c r="AM57" s="186" t="str">
        <f t="shared" si="13"/>
        <v/>
      </c>
      <c r="AN57" s="189">
        <v>0.0</v>
      </c>
      <c r="AO57" s="189">
        <v>0.0</v>
      </c>
      <c r="AP57" s="189">
        <v>0.0</v>
      </c>
      <c r="AQ57" s="191">
        <v>1.0</v>
      </c>
      <c r="AR57" s="191">
        <v>0.0</v>
      </c>
      <c r="AS57" s="212">
        <v>0.0</v>
      </c>
      <c r="AT57" s="193" t="s">
        <v>206</v>
      </c>
      <c r="AU57" s="193" t="s">
        <v>121</v>
      </c>
      <c r="AV57" s="193" t="s">
        <v>199</v>
      </c>
      <c r="AW57" s="194">
        <f t="shared" si="14"/>
        <v>0</v>
      </c>
      <c r="AX57" s="195">
        <f t="shared" si="15"/>
        <v>0</v>
      </c>
      <c r="AY57" s="196" t="str">
        <f t="shared" si="16"/>
        <v>#N/A</v>
      </c>
      <c r="AZ57" s="213">
        <v>250.0</v>
      </c>
      <c r="BA57" s="196">
        <f t="shared" si="17"/>
        <v>0.25</v>
      </c>
      <c r="BB57" s="213">
        <f t="shared" si="18"/>
        <v>1000</v>
      </c>
      <c r="BC57" s="199" t="str">
        <f t="shared" si="19"/>
        <v>#N/A</v>
      </c>
      <c r="BD57" s="200" t="str">
        <f t="shared" si="20"/>
        <v>#N/A</v>
      </c>
      <c r="BE57" s="200">
        <f t="shared" si="21"/>
        <v>0</v>
      </c>
      <c r="BF57" s="201" t="str">
        <f t="shared" si="22"/>
        <v/>
      </c>
      <c r="BG57" s="201" t="str">
        <f t="shared" si="23"/>
        <v/>
      </c>
      <c r="BH57" s="202" t="str">
        <f t="shared" si="24"/>
        <v/>
      </c>
      <c r="BI57" s="203"/>
      <c r="BJ57" s="204">
        <f>IFERROR(__xludf.DUMMYFUNCTION("IF(AU57=data!A$5,
IF(AV57=data!A$8,
IF(T57=data!A$3,
VLOOKUP(S57,filter('🔒 Доп. информация'!D:H,'🔒 Доп. информация'!C:C=T57),4,FALSE)+VLOOKUP(S57,filter('🔒 Доп. информация'!D:H,'🔒 Доп. информация'!C:C=T57),5,FALSE)*AJ57,
IF(AND(MAX(AF57:AH57)&lt;80,SUM(A"&amp;"F57:AH57)&lt;=160,AI57&lt;20,XLOOKUP(M57,'📄 Комиссии'!C:C,'📄 Комиссии'!B:B)&lt;&gt;""Продукты""),
VLOOKUP(S57,filter('🔒 Доп. информация'!D:H,'🔒 Доп. информация'!C:C=data!$A$3),4,FALSE)+VLOOKUP(S57,filter('🔒 Доп. информация'!D:H,'🔒 Доп. информация'!C:C=data!$A$3"&amp;"),5,FALSE)*AJ57,
VLOOKUP(S57,filter('🔒 Доп. информация'!D:H,'🔒 Доп. информация'!C:C=T57),4,FALSE)*ROUNDUP(AF57*AG57*AH57*L57/(120*80*175))/L57)
)
*(AE57/2)
,)
,)*0"),0.0)</f>
        <v>0</v>
      </c>
      <c r="BK57" s="204">
        <f>IFERROR(__xludf.DUMMYFUNCTION("IF(AU57=data!A$5,
IF(AI57&lt;=1,IF(AI57&lt;=0.8,IF(AI57&lt;=0.6,IF(AI57&lt;=0.4,IF(AI57&lt;=0.2,23,26),29),30),32)*VLOOKUP(S57,filter('🔒 Доп. информация'!D:E,'🔒 Доп. информация'!C:C=T57),2,FALSE)/'🔒 Доп. информация'!$K$9,
IF(AV57=data!A$8,U57,1)*VLOOKUP(S57,filter('"&amp;"🔒 Доп. информация'!D:E,'🔒 Доп. информация'!C:C=T57),2,FALSE)+
IF(AV57=data!A$8,U57,1)*VLOOKUP(S57,filter('🔒 Доп. информация'!D:F,'🔒 Доп. информация'!C:C=T57),3,FALSE)*AJ57)
,0)"),69.0)</f>
        <v>69</v>
      </c>
      <c r="BL57" s="185" t="str">
        <f t="shared" ref="BL57:BM57" si="181">IF($D57,"🔒",)</f>
        <v/>
      </c>
      <c r="BM57" s="185" t="str">
        <f t="shared" si="181"/>
        <v/>
      </c>
      <c r="BN57" s="204">
        <f>VLOOKUP(T57,'🔒 Доп. информация'!J:P,7,false)</f>
        <v>50</v>
      </c>
      <c r="BO57" s="204">
        <f>IF(AV57=data!A$9,
(AA57+AO57+AP57+BJ57+BK57+BN57)+H57*AS57,
(BJ57+BK57+BN57)+H57*AS57
)</f>
        <v>119</v>
      </c>
      <c r="BP57" s="204">
        <f t="shared" si="26"/>
        <v>69</v>
      </c>
      <c r="BQ57" s="204">
        <f t="shared" si="27"/>
        <v>320</v>
      </c>
      <c r="BR57" s="204" t="str">
        <f t="shared" si="37"/>
        <v>#N/A</v>
      </c>
      <c r="BS57" s="204" t="str">
        <f t="array" ref="BS57">IF(VLOOKUP(AT57,{'▶️ Инструкция'!C:C,'▶️ Инструкция'!Y:Y},2,FALSE)=data!A$15,
H57*(1-I57),
(H57-BR57))
*VLOOKUP(AT57,{'▶️ Инструкция'!C:C,'▶️ Инструкция'!AD:AD},2,FALSE)/(1+VLOOKUP(AT57,{'▶️ Инструкция'!C:C,'▶️ Инструкция'!AD:AD},2,FALSE))</f>
        <v>#N/A</v>
      </c>
      <c r="BT57" s="204" t="str">
        <f t="array" ref="BT57">
IF(VLOOKUP(AT57,{'▶️ Инструкция'!C:C,'▶️ Инструкция'!Y:Y},2,FALSE)=data!A$15,
H57*(1-I57)-BS57,
(H57-BR57-BS57))
*
VLOOKUP(AT57,{'▶️ Инструкция'!C:C,'▶️ Инструкция'!R:R},2,FALSE)
+BS57</f>
        <v>#N/A</v>
      </c>
      <c r="BU57" s="204" t="str">
        <f>(G57*AR57)+if(AV57=data!A$9,AO57,AN57)+AP57+BR57+BT57</f>
        <v>#N/A</v>
      </c>
      <c r="BV57" s="204" t="str">
        <f>(G57*AR57)+if(AV57=data!A$9,AO57,AN57)+AP57+BT57+G57</f>
        <v>#N/A</v>
      </c>
      <c r="BW57" s="204" t="str">
        <f t="shared" si="28"/>
        <v>#N/A</v>
      </c>
      <c r="BX57" s="204" t="str">
        <f t="shared" si="29"/>
        <v>#N/A</v>
      </c>
    </row>
    <row r="58">
      <c r="A58" s="165" t="str">
        <f>if(D58=true,if(F58=data!A$1,data!A$10,data!A$11),)</f>
        <v/>
      </c>
      <c r="B58" s="166" t="str">
        <f t="shared" si="4"/>
        <v>FBS</v>
      </c>
      <c r="C58" s="167" t="s">
        <v>195</v>
      </c>
      <c r="D58" s="168" t="b">
        <v>0</v>
      </c>
      <c r="E58" s="169" t="s">
        <v>204</v>
      </c>
      <c r="F58" s="170" t="str">
        <f t="array" ref="F58">IF(D58=TRUE,IF(IF(BG$3=VLOOKUP(AT58,{'▶️ Инструкция'!C:C,'▶️ Инструкция'!G:G},2,FALSE),BG58,BH58)&gt;VLOOKUP(AT58,{'▶️ Инструкция'!C:C,'▶️ Инструкция'!N:N},2,FALSE),data!A$1,data!A$2),)</f>
        <v/>
      </c>
      <c r="G58" s="171">
        <v>0.0</v>
      </c>
      <c r="H58" s="172">
        <v>1000.0</v>
      </c>
      <c r="I58" s="173">
        <v>0.0</v>
      </c>
      <c r="J58" s="173">
        <v>0.0</v>
      </c>
      <c r="K58" s="174" t="str">
        <f t="shared" si="5"/>
        <v/>
      </c>
      <c r="L58" s="175">
        <v>0.0</v>
      </c>
      <c r="M58" s="176" t="s">
        <v>197</v>
      </c>
      <c r="N58" s="177">
        <f>IFERROR(__xludf.DUMMYFUNCTION("ArrayFormula(let(category,VLOOKUP($M58, {'📄 Комиссии'!$C:$C , '📄 Комиссии'!$B:$B}, 2, 0),
data,MATCH('🔒 Доп. информация'!$J$15:$J203,TRANSPOSE(SPLIT(INDEX('▶️ Инструкция'!$Q:$Q,MATCH($AT58,'▶️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commission,VLOOKUP($M58,'📄 Комиссии'!$C:$E,IF($AV58=data!A$8,2,3),0),
IF(NOT(ISBLANK($M58)),commission/100+
IFERR"&amp;"OR(VLOOKUP($AT58,{'▶️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58" s="178" t="str">
        <f t="shared" si="6"/>
        <v/>
      </c>
      <c r="Q58" s="178" t="str">
        <f t="shared" si="7"/>
        <v/>
      </c>
      <c r="S58" s="179" t="s">
        <v>192</v>
      </c>
      <c r="T58" s="180" t="s">
        <v>193</v>
      </c>
      <c r="U58" s="181">
        <v>1.0</v>
      </c>
      <c r="V58" s="182" t="str">
        <f t="shared" ref="V58:Y58" si="182">IF($D58,"🔒",)</f>
        <v/>
      </c>
      <c r="W58" s="182" t="str">
        <f t="shared" si="182"/>
        <v/>
      </c>
      <c r="X58" s="182" t="str">
        <f t="shared" si="182"/>
        <v/>
      </c>
      <c r="Y58" s="182" t="str">
        <f t="shared" si="182"/>
        <v/>
      </c>
      <c r="Z58" s="183">
        <v>0.0</v>
      </c>
      <c r="AA58" s="184">
        <f t="shared" si="31"/>
        <v>0</v>
      </c>
      <c r="AB58" s="185" t="str">
        <f t="shared" ref="AB58:AD58" si="183">IF($D58,"🔒",)</f>
        <v/>
      </c>
      <c r="AC58" s="185" t="str">
        <f t="shared" si="183"/>
        <v/>
      </c>
      <c r="AD58" s="186" t="str">
        <f t="shared" si="183"/>
        <v/>
      </c>
      <c r="AE58" s="180">
        <v>30.0</v>
      </c>
      <c r="AF58" s="187">
        <v>0.0</v>
      </c>
      <c r="AG58" s="187">
        <v>0.0</v>
      </c>
      <c r="AH58" s="187">
        <v>0.0</v>
      </c>
      <c r="AI58" s="181">
        <f t="shared" si="10"/>
        <v>0</v>
      </c>
      <c r="AJ58" s="181">
        <f t="shared" si="11"/>
        <v>0</v>
      </c>
      <c r="AK58" s="185" t="str">
        <f t="shared" si="12"/>
        <v/>
      </c>
      <c r="AL58" s="188" t="str">
        <f t="array" ref="AL58">H58*(1-I58)*VLOOKUP(AT58,{'▶️ Инструкция'!C:C,'▶️ Инструкция'!AI:AI},2,false)</f>
        <v>#N/A</v>
      </c>
      <c r="AM58" s="186" t="str">
        <f t="shared" si="13"/>
        <v/>
      </c>
      <c r="AN58" s="189">
        <v>0.0</v>
      </c>
      <c r="AO58" s="189">
        <v>0.0</v>
      </c>
      <c r="AP58" s="189">
        <v>0.0</v>
      </c>
      <c r="AQ58" s="191">
        <v>1.0</v>
      </c>
      <c r="AR58" s="191">
        <v>0.0</v>
      </c>
      <c r="AS58" s="212">
        <v>0.0</v>
      </c>
      <c r="AT58" s="193" t="s">
        <v>206</v>
      </c>
      <c r="AU58" s="193" t="s">
        <v>121</v>
      </c>
      <c r="AV58" s="193" t="s">
        <v>199</v>
      </c>
      <c r="AW58" s="194">
        <f t="shared" si="14"/>
        <v>0</v>
      </c>
      <c r="AX58" s="195">
        <f t="shared" si="15"/>
        <v>0</v>
      </c>
      <c r="AY58" s="196" t="str">
        <f t="shared" si="16"/>
        <v>#N/A</v>
      </c>
      <c r="AZ58" s="213">
        <v>250.0</v>
      </c>
      <c r="BA58" s="196">
        <f t="shared" si="17"/>
        <v>0.25</v>
      </c>
      <c r="BB58" s="213">
        <f t="shared" si="18"/>
        <v>1000</v>
      </c>
      <c r="BC58" s="199" t="str">
        <f t="shared" si="19"/>
        <v>#N/A</v>
      </c>
      <c r="BD58" s="200" t="str">
        <f t="shared" si="20"/>
        <v>#N/A</v>
      </c>
      <c r="BE58" s="200">
        <f t="shared" si="21"/>
        <v>0</v>
      </c>
      <c r="BF58" s="201" t="str">
        <f t="shared" si="22"/>
        <v/>
      </c>
      <c r="BG58" s="201" t="str">
        <f t="shared" si="23"/>
        <v/>
      </c>
      <c r="BH58" s="202" t="str">
        <f t="shared" si="24"/>
        <v/>
      </c>
      <c r="BI58" s="203"/>
      <c r="BJ58" s="204">
        <f>IFERROR(__xludf.DUMMYFUNCTION("IF(AU58=data!A$5,
IF(AV58=data!A$8,
IF(T58=data!A$3,
VLOOKUP(S58,filter('🔒 Доп. информация'!D:H,'🔒 Доп. информация'!C:C=T58),4,FALSE)+VLOOKUP(S58,filter('🔒 Доп. информация'!D:H,'🔒 Доп. информация'!C:C=T58),5,FALSE)*AJ58,
IF(AND(MAX(AF58:AH58)&lt;80,SUM(A"&amp;"F58:AH58)&lt;=160,AI58&lt;20,XLOOKUP(M58,'📄 Комиссии'!C:C,'📄 Комиссии'!B:B)&lt;&gt;""Продукты""),
VLOOKUP(S58,filter('🔒 Доп. информация'!D:H,'🔒 Доп. информация'!C:C=data!$A$3),4,FALSE)+VLOOKUP(S58,filter('🔒 Доп. информация'!D:H,'🔒 Доп. информация'!C:C=data!$A$3"&amp;"),5,FALSE)*AJ58,
VLOOKUP(S58,filter('🔒 Доп. информация'!D:H,'🔒 Доп. информация'!C:C=T58),4,FALSE)*ROUNDUP(AF58*AG58*AH58*L58/(120*80*175))/L58)
)
*(AE58/2)
,)
,)*0"),0.0)</f>
        <v>0</v>
      </c>
      <c r="BK58" s="204">
        <f>IFERROR(__xludf.DUMMYFUNCTION("IF(AU58=data!A$5,
IF(AI58&lt;=1,IF(AI58&lt;=0.8,IF(AI58&lt;=0.6,IF(AI58&lt;=0.4,IF(AI58&lt;=0.2,23,26),29),30),32)*VLOOKUP(S58,filter('🔒 Доп. информация'!D:E,'🔒 Доп. информация'!C:C=T58),2,FALSE)/'🔒 Доп. информация'!$K$9,
IF(AV58=data!A$8,U58,1)*VLOOKUP(S58,filter('"&amp;"🔒 Доп. информация'!D:E,'🔒 Доп. информация'!C:C=T58),2,FALSE)+
IF(AV58=data!A$8,U58,1)*VLOOKUP(S58,filter('🔒 Доп. информация'!D:F,'🔒 Доп. информация'!C:C=T58),3,FALSE)*AJ58)
,0)"),69.0)</f>
        <v>69</v>
      </c>
      <c r="BL58" s="185" t="str">
        <f t="shared" ref="BL58:BM58" si="184">IF($D58,"🔒",)</f>
        <v/>
      </c>
      <c r="BM58" s="185" t="str">
        <f t="shared" si="184"/>
        <v/>
      </c>
      <c r="BN58" s="204">
        <f>VLOOKUP(T58,'🔒 Доп. информация'!J:P,7,false)</f>
        <v>50</v>
      </c>
      <c r="BO58" s="204">
        <f>IF(AV58=data!A$9,
(AA58+AO58+AP58+BJ58+BK58+BN58)+H58*AS58,
(BJ58+BK58+BN58)+H58*AS58
)</f>
        <v>119</v>
      </c>
      <c r="BP58" s="204">
        <f t="shared" si="26"/>
        <v>69</v>
      </c>
      <c r="BQ58" s="204">
        <f t="shared" si="27"/>
        <v>320</v>
      </c>
      <c r="BR58" s="204" t="str">
        <f t="shared" si="37"/>
        <v>#N/A</v>
      </c>
      <c r="BS58" s="204" t="str">
        <f t="array" ref="BS58">IF(VLOOKUP(AT58,{'▶️ Инструкция'!C:C,'▶️ Инструкция'!Y:Y},2,FALSE)=data!A$15,
H58*(1-I58),
(H58-BR58))
*VLOOKUP(AT58,{'▶️ Инструкция'!C:C,'▶️ Инструкция'!AD:AD},2,FALSE)/(1+VLOOKUP(AT58,{'▶️ Инструкция'!C:C,'▶️ Инструкция'!AD:AD},2,FALSE))</f>
        <v>#N/A</v>
      </c>
      <c r="BT58" s="204" t="str">
        <f t="array" ref="BT58">
IF(VLOOKUP(AT58,{'▶️ Инструкция'!C:C,'▶️ Инструкция'!Y:Y},2,FALSE)=data!A$15,
H58*(1-I58)-BS58,
(H58-BR58-BS58))
*
VLOOKUP(AT58,{'▶️ Инструкция'!C:C,'▶️ Инструкция'!R:R},2,FALSE)
+BS58</f>
        <v>#N/A</v>
      </c>
      <c r="BU58" s="204" t="str">
        <f>(G58*AR58)+if(AV58=data!A$9,AO58,AN58)+AP58+BR58+BT58</f>
        <v>#N/A</v>
      </c>
      <c r="BV58" s="204" t="str">
        <f>(G58*AR58)+if(AV58=data!A$9,AO58,AN58)+AP58+BT58+G58</f>
        <v>#N/A</v>
      </c>
      <c r="BW58" s="204" t="str">
        <f t="shared" si="28"/>
        <v>#N/A</v>
      </c>
      <c r="BX58" s="204" t="str">
        <f t="shared" si="29"/>
        <v>#N/A</v>
      </c>
    </row>
    <row r="59">
      <c r="A59" s="165" t="str">
        <f>if(D59=true,if(F59=data!A$1,data!A$10,data!A$11),)</f>
        <v/>
      </c>
      <c r="B59" s="166" t="str">
        <f t="shared" si="4"/>
        <v>FBS</v>
      </c>
      <c r="C59" s="167" t="s">
        <v>195</v>
      </c>
      <c r="D59" s="168" t="b">
        <v>0</v>
      </c>
      <c r="E59" s="169" t="s">
        <v>204</v>
      </c>
      <c r="F59" s="170" t="str">
        <f t="array" ref="F59">IF(D59=TRUE,IF(IF(BG$3=VLOOKUP(AT59,{'▶️ Инструкция'!C:C,'▶️ Инструкция'!G:G},2,FALSE),BG59,BH59)&gt;VLOOKUP(AT59,{'▶️ Инструкция'!C:C,'▶️ Инструкция'!N:N},2,FALSE),data!A$1,data!A$2),)</f>
        <v/>
      </c>
      <c r="G59" s="171">
        <v>0.0</v>
      </c>
      <c r="H59" s="172">
        <v>1000.0</v>
      </c>
      <c r="I59" s="173">
        <v>0.0</v>
      </c>
      <c r="J59" s="173">
        <v>0.0</v>
      </c>
      <c r="K59" s="174" t="str">
        <f t="shared" si="5"/>
        <v/>
      </c>
      <c r="L59" s="175">
        <v>0.0</v>
      </c>
      <c r="M59" s="176" t="s">
        <v>197</v>
      </c>
      <c r="N59" s="177">
        <f>IFERROR(__xludf.DUMMYFUNCTION("ArrayFormula(let(category,VLOOKUP($M59, {'📄 Комиссии'!$C:$C , '📄 Комиссии'!$B:$B}, 2, 0),
data,MATCH('🔒 Доп. информация'!$J$15:$J203,TRANSPOSE(SPLIT(INDEX('▶️ Инструкция'!$Q:$Q,MATCH($AT59,'▶️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commission,VLOOKUP($M59,'📄 Комиссии'!$C:$E,IF($AV59=data!A$8,2,3),0),
IF(NOT(ISBLANK($M59)),commission/100+
IFERR"&amp;"OR(VLOOKUP($AT59,{'▶️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59" s="178" t="str">
        <f t="shared" si="6"/>
        <v/>
      </c>
      <c r="Q59" s="178" t="str">
        <f t="shared" si="7"/>
        <v/>
      </c>
      <c r="S59" s="179" t="s">
        <v>192</v>
      </c>
      <c r="T59" s="180" t="s">
        <v>193</v>
      </c>
      <c r="U59" s="181">
        <v>1.0</v>
      </c>
      <c r="V59" s="182" t="str">
        <f t="shared" ref="V59:Y59" si="185">IF($D59,"🔒",)</f>
        <v/>
      </c>
      <c r="W59" s="182" t="str">
        <f t="shared" si="185"/>
        <v/>
      </c>
      <c r="X59" s="182" t="str">
        <f t="shared" si="185"/>
        <v/>
      </c>
      <c r="Y59" s="182" t="str">
        <f t="shared" si="185"/>
        <v/>
      </c>
      <c r="Z59" s="183">
        <v>0.0</v>
      </c>
      <c r="AA59" s="184">
        <f t="shared" si="31"/>
        <v>0</v>
      </c>
      <c r="AB59" s="185" t="str">
        <f t="shared" ref="AB59:AD59" si="186">IF($D59,"🔒",)</f>
        <v/>
      </c>
      <c r="AC59" s="185" t="str">
        <f t="shared" si="186"/>
        <v/>
      </c>
      <c r="AD59" s="186" t="str">
        <f t="shared" si="186"/>
        <v/>
      </c>
      <c r="AE59" s="180">
        <v>30.0</v>
      </c>
      <c r="AF59" s="187">
        <v>0.0</v>
      </c>
      <c r="AG59" s="187">
        <v>0.0</v>
      </c>
      <c r="AH59" s="187">
        <v>0.0</v>
      </c>
      <c r="AI59" s="181">
        <f t="shared" si="10"/>
        <v>0</v>
      </c>
      <c r="AJ59" s="181">
        <f t="shared" si="11"/>
        <v>0</v>
      </c>
      <c r="AK59" s="185" t="str">
        <f t="shared" si="12"/>
        <v/>
      </c>
      <c r="AL59" s="188" t="str">
        <f t="array" ref="AL59">H59*(1-I59)*VLOOKUP(AT59,{'▶️ Инструкция'!C:C,'▶️ Инструкция'!AI:AI},2,false)</f>
        <v>#N/A</v>
      </c>
      <c r="AM59" s="186" t="str">
        <f t="shared" si="13"/>
        <v/>
      </c>
      <c r="AN59" s="189">
        <v>0.0</v>
      </c>
      <c r="AO59" s="189">
        <v>0.0</v>
      </c>
      <c r="AP59" s="189">
        <v>0.0</v>
      </c>
      <c r="AQ59" s="191">
        <v>1.0</v>
      </c>
      <c r="AR59" s="191">
        <v>0.0</v>
      </c>
      <c r="AS59" s="212">
        <v>0.0</v>
      </c>
      <c r="AT59" s="193" t="s">
        <v>206</v>
      </c>
      <c r="AU59" s="193" t="s">
        <v>121</v>
      </c>
      <c r="AV59" s="193" t="s">
        <v>199</v>
      </c>
      <c r="AW59" s="194">
        <f t="shared" si="14"/>
        <v>0</v>
      </c>
      <c r="AX59" s="195">
        <f t="shared" si="15"/>
        <v>0</v>
      </c>
      <c r="AY59" s="196" t="str">
        <f t="shared" si="16"/>
        <v>#N/A</v>
      </c>
      <c r="AZ59" s="213">
        <v>250.0</v>
      </c>
      <c r="BA59" s="196">
        <f t="shared" si="17"/>
        <v>0.25</v>
      </c>
      <c r="BB59" s="213">
        <f t="shared" si="18"/>
        <v>1000</v>
      </c>
      <c r="BC59" s="199" t="str">
        <f t="shared" si="19"/>
        <v>#N/A</v>
      </c>
      <c r="BD59" s="200" t="str">
        <f t="shared" si="20"/>
        <v>#N/A</v>
      </c>
      <c r="BE59" s="200">
        <f t="shared" si="21"/>
        <v>0</v>
      </c>
      <c r="BF59" s="201" t="str">
        <f t="shared" si="22"/>
        <v/>
      </c>
      <c r="BG59" s="201" t="str">
        <f t="shared" si="23"/>
        <v/>
      </c>
      <c r="BH59" s="202" t="str">
        <f t="shared" si="24"/>
        <v/>
      </c>
      <c r="BI59" s="203"/>
      <c r="BJ59" s="204">
        <f>IFERROR(__xludf.DUMMYFUNCTION("IF(AU59=data!A$5,
IF(AV59=data!A$8,
IF(T59=data!A$3,
VLOOKUP(S59,filter('🔒 Доп. информация'!D:H,'🔒 Доп. информация'!C:C=T59),4,FALSE)+VLOOKUP(S59,filter('🔒 Доп. информация'!D:H,'🔒 Доп. информация'!C:C=T59),5,FALSE)*AJ59,
IF(AND(MAX(AF59:AH59)&lt;80,SUM(A"&amp;"F59:AH59)&lt;=160,AI59&lt;20,XLOOKUP(M59,'📄 Комиссии'!C:C,'📄 Комиссии'!B:B)&lt;&gt;""Продукты""),
VLOOKUP(S59,filter('🔒 Доп. информация'!D:H,'🔒 Доп. информация'!C:C=data!$A$3),4,FALSE)+VLOOKUP(S59,filter('🔒 Доп. информация'!D:H,'🔒 Доп. информация'!C:C=data!$A$3"&amp;"),5,FALSE)*AJ59,
VLOOKUP(S59,filter('🔒 Доп. информация'!D:H,'🔒 Доп. информация'!C:C=T59),4,FALSE)*ROUNDUP(AF59*AG59*AH59*L59/(120*80*175))/L59)
)
*(AE59/2)
,)
,)*0"),0.0)</f>
        <v>0</v>
      </c>
      <c r="BK59" s="204">
        <f>IFERROR(__xludf.DUMMYFUNCTION("IF(AU59=data!A$5,
IF(AI59&lt;=1,IF(AI59&lt;=0.8,IF(AI59&lt;=0.6,IF(AI59&lt;=0.4,IF(AI59&lt;=0.2,23,26),29),30),32)*VLOOKUP(S59,filter('🔒 Доп. информация'!D:E,'🔒 Доп. информация'!C:C=T59),2,FALSE)/'🔒 Доп. информация'!$K$9,
IF(AV59=data!A$8,U59,1)*VLOOKUP(S59,filter('"&amp;"🔒 Доп. информация'!D:E,'🔒 Доп. информация'!C:C=T59),2,FALSE)+
IF(AV59=data!A$8,U59,1)*VLOOKUP(S59,filter('🔒 Доп. информация'!D:F,'🔒 Доп. информация'!C:C=T59),3,FALSE)*AJ59)
,0)"),69.0)</f>
        <v>69</v>
      </c>
      <c r="BL59" s="185" t="str">
        <f t="shared" ref="BL59:BM59" si="187">IF($D59,"🔒",)</f>
        <v/>
      </c>
      <c r="BM59" s="185" t="str">
        <f t="shared" si="187"/>
        <v/>
      </c>
      <c r="BN59" s="204">
        <f>VLOOKUP(T59,'🔒 Доп. информация'!J:P,7,false)</f>
        <v>50</v>
      </c>
      <c r="BO59" s="204">
        <f>IF(AV59=data!A$9,
(AA59+AO59+AP59+BJ59+BK59+BN59)+H59*AS59,
(BJ59+BK59+BN59)+H59*AS59
)</f>
        <v>119</v>
      </c>
      <c r="BP59" s="204">
        <f t="shared" si="26"/>
        <v>69</v>
      </c>
      <c r="BQ59" s="204">
        <f t="shared" si="27"/>
        <v>320</v>
      </c>
      <c r="BR59" s="204" t="str">
        <f t="shared" si="37"/>
        <v>#N/A</v>
      </c>
      <c r="BS59" s="204" t="str">
        <f t="array" ref="BS59">IF(VLOOKUP(AT59,{'▶️ Инструкция'!C:C,'▶️ Инструкция'!Y:Y},2,FALSE)=data!A$15,
H59*(1-I59),
(H59-BR59))
*VLOOKUP(AT59,{'▶️ Инструкция'!C:C,'▶️ Инструкция'!AD:AD},2,FALSE)/(1+VLOOKUP(AT59,{'▶️ Инструкция'!C:C,'▶️ Инструкция'!AD:AD},2,FALSE))</f>
        <v>#N/A</v>
      </c>
      <c r="BT59" s="204" t="str">
        <f t="array" ref="BT59">
IF(VLOOKUP(AT59,{'▶️ Инструкция'!C:C,'▶️ Инструкция'!Y:Y},2,FALSE)=data!A$15,
H59*(1-I59)-BS59,
(H59-BR59-BS59))
*
VLOOKUP(AT59,{'▶️ Инструкция'!C:C,'▶️ Инструкция'!R:R},2,FALSE)
+BS59</f>
        <v>#N/A</v>
      </c>
      <c r="BU59" s="204" t="str">
        <f>(G59*AR59)+if(AV59=data!A$9,AO59,AN59)+AP59+BR59+BT59</f>
        <v>#N/A</v>
      </c>
      <c r="BV59" s="204" t="str">
        <f>(G59*AR59)+if(AV59=data!A$9,AO59,AN59)+AP59+BT59+G59</f>
        <v>#N/A</v>
      </c>
      <c r="BW59" s="204" t="str">
        <f t="shared" si="28"/>
        <v>#N/A</v>
      </c>
      <c r="BX59" s="204" t="str">
        <f t="shared" si="29"/>
        <v>#N/A</v>
      </c>
    </row>
    <row r="60">
      <c r="A60" s="165" t="str">
        <f>if(D60=true,if(F60=data!A$1,data!A$10,data!A$11),)</f>
        <v/>
      </c>
      <c r="B60" s="166" t="str">
        <f t="shared" si="4"/>
        <v>FBS</v>
      </c>
      <c r="C60" s="167" t="s">
        <v>195</v>
      </c>
      <c r="D60" s="168" t="b">
        <v>0</v>
      </c>
      <c r="E60" s="169" t="s">
        <v>204</v>
      </c>
      <c r="F60" s="170" t="str">
        <f t="array" ref="F60">IF(D60=TRUE,IF(IF(BG$3=VLOOKUP(AT60,{'▶️ Инструкция'!C:C,'▶️ Инструкция'!G:G},2,FALSE),BG60,BH60)&gt;VLOOKUP(AT60,{'▶️ Инструкция'!C:C,'▶️ Инструкция'!N:N},2,FALSE),data!A$1,data!A$2),)</f>
        <v/>
      </c>
      <c r="G60" s="171">
        <v>0.0</v>
      </c>
      <c r="H60" s="172">
        <v>1000.0</v>
      </c>
      <c r="I60" s="173">
        <v>0.0</v>
      </c>
      <c r="J60" s="173">
        <v>0.0</v>
      </c>
      <c r="K60" s="174" t="str">
        <f t="shared" si="5"/>
        <v/>
      </c>
      <c r="L60" s="175">
        <v>0.0</v>
      </c>
      <c r="M60" s="176" t="s">
        <v>197</v>
      </c>
      <c r="N60" s="177">
        <f>IFERROR(__xludf.DUMMYFUNCTION("ArrayFormula(let(category,VLOOKUP($M60, {'📄 Комиссии'!$C:$C , '📄 Комиссии'!$B:$B}, 2, 0),
data,MATCH('🔒 Доп. информация'!$J$15:$J203,TRANSPOSE(SPLIT(INDEX('▶️ Инструкция'!$Q:$Q,MATCH($AT60,'▶️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commission,VLOOKUP($M60,'📄 Комиссии'!$C:$E,IF($AV60=data!A$8,2,3),0),
IF(NOT(ISBLANK($M60)),commission/100+
IFERR"&amp;"OR(VLOOKUP($AT60,{'▶️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60" s="178" t="str">
        <f t="shared" si="6"/>
        <v/>
      </c>
      <c r="Q60" s="178" t="str">
        <f t="shared" si="7"/>
        <v/>
      </c>
      <c r="S60" s="179" t="s">
        <v>192</v>
      </c>
      <c r="T60" s="180" t="s">
        <v>193</v>
      </c>
      <c r="U60" s="181">
        <v>1.0</v>
      </c>
      <c r="V60" s="182" t="str">
        <f t="shared" ref="V60:Y60" si="188">IF($D60,"🔒",)</f>
        <v/>
      </c>
      <c r="W60" s="182" t="str">
        <f t="shared" si="188"/>
        <v/>
      </c>
      <c r="X60" s="182" t="str">
        <f t="shared" si="188"/>
        <v/>
      </c>
      <c r="Y60" s="182" t="str">
        <f t="shared" si="188"/>
        <v/>
      </c>
      <c r="Z60" s="183">
        <v>0.0</v>
      </c>
      <c r="AA60" s="184">
        <f t="shared" si="31"/>
        <v>0</v>
      </c>
      <c r="AB60" s="185" t="str">
        <f t="shared" ref="AB60:AD60" si="189">IF($D60,"🔒",)</f>
        <v/>
      </c>
      <c r="AC60" s="185" t="str">
        <f t="shared" si="189"/>
        <v/>
      </c>
      <c r="AD60" s="186" t="str">
        <f t="shared" si="189"/>
        <v/>
      </c>
      <c r="AE60" s="180">
        <v>30.0</v>
      </c>
      <c r="AF60" s="187">
        <v>0.0</v>
      </c>
      <c r="AG60" s="187">
        <v>0.0</v>
      </c>
      <c r="AH60" s="187">
        <v>0.0</v>
      </c>
      <c r="AI60" s="181">
        <f t="shared" si="10"/>
        <v>0</v>
      </c>
      <c r="AJ60" s="181">
        <f t="shared" si="11"/>
        <v>0</v>
      </c>
      <c r="AK60" s="185" t="str">
        <f t="shared" si="12"/>
        <v/>
      </c>
      <c r="AL60" s="188" t="str">
        <f t="array" ref="AL60">H60*(1-I60)*VLOOKUP(AT60,{'▶️ Инструкция'!C:C,'▶️ Инструкция'!AI:AI},2,false)</f>
        <v>#N/A</v>
      </c>
      <c r="AM60" s="186" t="str">
        <f t="shared" si="13"/>
        <v/>
      </c>
      <c r="AN60" s="189">
        <v>0.0</v>
      </c>
      <c r="AO60" s="189">
        <v>0.0</v>
      </c>
      <c r="AP60" s="189">
        <v>0.0</v>
      </c>
      <c r="AQ60" s="191">
        <v>1.0</v>
      </c>
      <c r="AR60" s="191">
        <v>0.0</v>
      </c>
      <c r="AS60" s="212">
        <v>0.0</v>
      </c>
      <c r="AT60" s="193" t="s">
        <v>206</v>
      </c>
      <c r="AU60" s="193" t="s">
        <v>121</v>
      </c>
      <c r="AV60" s="193" t="s">
        <v>199</v>
      </c>
      <c r="AW60" s="194">
        <f t="shared" si="14"/>
        <v>0</v>
      </c>
      <c r="AX60" s="195">
        <f t="shared" si="15"/>
        <v>0</v>
      </c>
      <c r="AY60" s="196" t="str">
        <f t="shared" si="16"/>
        <v>#N/A</v>
      </c>
      <c r="AZ60" s="213">
        <v>250.0</v>
      </c>
      <c r="BA60" s="196">
        <f t="shared" si="17"/>
        <v>0.25</v>
      </c>
      <c r="BB60" s="213">
        <f t="shared" si="18"/>
        <v>1000</v>
      </c>
      <c r="BC60" s="199" t="str">
        <f t="shared" si="19"/>
        <v>#N/A</v>
      </c>
      <c r="BD60" s="200" t="str">
        <f t="shared" si="20"/>
        <v>#N/A</v>
      </c>
      <c r="BE60" s="200">
        <f t="shared" si="21"/>
        <v>0</v>
      </c>
      <c r="BF60" s="201" t="str">
        <f t="shared" si="22"/>
        <v/>
      </c>
      <c r="BG60" s="201" t="str">
        <f t="shared" si="23"/>
        <v/>
      </c>
      <c r="BH60" s="202" t="str">
        <f t="shared" si="24"/>
        <v/>
      </c>
      <c r="BI60" s="203"/>
      <c r="BJ60" s="204">
        <f>IFERROR(__xludf.DUMMYFUNCTION("IF(AU60=data!A$5,
IF(AV60=data!A$8,
IF(T60=data!A$3,
VLOOKUP(S60,filter('🔒 Доп. информация'!D:H,'🔒 Доп. информация'!C:C=T60),4,FALSE)+VLOOKUP(S60,filter('🔒 Доп. информация'!D:H,'🔒 Доп. информация'!C:C=T60),5,FALSE)*AJ60,
IF(AND(MAX(AF60:AH60)&lt;80,SUM(A"&amp;"F60:AH60)&lt;=160,AI60&lt;20,XLOOKUP(M60,'📄 Комиссии'!C:C,'📄 Комиссии'!B:B)&lt;&gt;""Продукты""),
VLOOKUP(S60,filter('🔒 Доп. информация'!D:H,'🔒 Доп. информация'!C:C=data!$A$3),4,FALSE)+VLOOKUP(S60,filter('🔒 Доп. информация'!D:H,'🔒 Доп. информация'!C:C=data!$A$3"&amp;"),5,FALSE)*AJ60,
VLOOKUP(S60,filter('🔒 Доп. информация'!D:H,'🔒 Доп. информация'!C:C=T60),4,FALSE)*ROUNDUP(AF60*AG60*AH60*L60/(120*80*175))/L60)
)
*(AE60/2)
,)
,)*0"),0.0)</f>
        <v>0</v>
      </c>
      <c r="BK60" s="204">
        <f>IFERROR(__xludf.DUMMYFUNCTION("IF(AU60=data!A$5,
IF(AI60&lt;=1,IF(AI60&lt;=0.8,IF(AI60&lt;=0.6,IF(AI60&lt;=0.4,IF(AI60&lt;=0.2,23,26),29),30),32)*VLOOKUP(S60,filter('🔒 Доп. информация'!D:E,'🔒 Доп. информация'!C:C=T60),2,FALSE)/'🔒 Доп. информация'!$K$9,
IF(AV60=data!A$8,U60,1)*VLOOKUP(S60,filter('"&amp;"🔒 Доп. информация'!D:E,'🔒 Доп. информация'!C:C=T60),2,FALSE)+
IF(AV60=data!A$8,U60,1)*VLOOKUP(S60,filter('🔒 Доп. информация'!D:F,'🔒 Доп. информация'!C:C=T60),3,FALSE)*AJ60)
,0)"),69.0)</f>
        <v>69</v>
      </c>
      <c r="BL60" s="185" t="str">
        <f t="shared" ref="BL60:BM60" si="190">IF($D60,"🔒",)</f>
        <v/>
      </c>
      <c r="BM60" s="185" t="str">
        <f t="shared" si="190"/>
        <v/>
      </c>
      <c r="BN60" s="204">
        <f>VLOOKUP(T60,'🔒 Доп. информация'!J:P,7,false)</f>
        <v>50</v>
      </c>
      <c r="BO60" s="204">
        <f>IF(AV60=data!A$9,
(AA60+AO60+AP60+BJ60+BK60+BN60)+H60*AS60,
(BJ60+BK60+BN60)+H60*AS60
)</f>
        <v>119</v>
      </c>
      <c r="BP60" s="204">
        <f t="shared" si="26"/>
        <v>69</v>
      </c>
      <c r="BQ60" s="204">
        <f t="shared" si="27"/>
        <v>320</v>
      </c>
      <c r="BR60" s="204" t="str">
        <f t="shared" si="37"/>
        <v>#N/A</v>
      </c>
      <c r="BS60" s="204" t="str">
        <f t="array" ref="BS60">IF(VLOOKUP(AT60,{'▶️ Инструкция'!C:C,'▶️ Инструкция'!Y:Y},2,FALSE)=data!A$15,
H60*(1-I60),
(H60-BR60))
*VLOOKUP(AT60,{'▶️ Инструкция'!C:C,'▶️ Инструкция'!AD:AD},2,FALSE)/(1+VLOOKUP(AT60,{'▶️ Инструкция'!C:C,'▶️ Инструкция'!AD:AD},2,FALSE))</f>
        <v>#N/A</v>
      </c>
      <c r="BT60" s="204" t="str">
        <f t="array" ref="BT60">
IF(VLOOKUP(AT60,{'▶️ Инструкция'!C:C,'▶️ Инструкция'!Y:Y},2,FALSE)=data!A$15,
H60*(1-I60)-BS60,
(H60-BR60-BS60))
*
VLOOKUP(AT60,{'▶️ Инструкция'!C:C,'▶️ Инструкция'!R:R},2,FALSE)
+BS60</f>
        <v>#N/A</v>
      </c>
      <c r="BU60" s="204" t="str">
        <f>(G60*AR60)+if(AV60=data!A$9,AO60,AN60)+AP60+BR60+BT60</f>
        <v>#N/A</v>
      </c>
      <c r="BV60" s="204" t="str">
        <f>(G60*AR60)+if(AV60=data!A$9,AO60,AN60)+AP60+BT60+G60</f>
        <v>#N/A</v>
      </c>
      <c r="BW60" s="204" t="str">
        <f t="shared" si="28"/>
        <v>#N/A</v>
      </c>
      <c r="BX60" s="204" t="str">
        <f t="shared" si="29"/>
        <v>#N/A</v>
      </c>
    </row>
    <row r="61">
      <c r="A61" s="165" t="str">
        <f>if(D61=true,if(F61=data!A$1,data!A$10,data!A$11),)</f>
        <v/>
      </c>
      <c r="B61" s="166" t="str">
        <f t="shared" si="4"/>
        <v>FBS</v>
      </c>
      <c r="C61" s="167" t="s">
        <v>195</v>
      </c>
      <c r="D61" s="168" t="b">
        <v>0</v>
      </c>
      <c r="E61" s="169" t="s">
        <v>204</v>
      </c>
      <c r="F61" s="170" t="str">
        <f t="array" ref="F61">IF(D61=TRUE,IF(IF(BG$3=VLOOKUP(AT61,{'▶️ Инструкция'!C:C,'▶️ Инструкция'!G:G},2,FALSE),BG61,BH61)&gt;VLOOKUP(AT61,{'▶️ Инструкция'!C:C,'▶️ Инструкция'!N:N},2,FALSE),data!A$1,data!A$2),)</f>
        <v/>
      </c>
      <c r="G61" s="171">
        <v>0.0</v>
      </c>
      <c r="H61" s="172">
        <v>1000.0</v>
      </c>
      <c r="I61" s="173">
        <v>0.0</v>
      </c>
      <c r="J61" s="173">
        <v>0.0</v>
      </c>
      <c r="K61" s="174" t="str">
        <f t="shared" si="5"/>
        <v/>
      </c>
      <c r="L61" s="175">
        <v>0.0</v>
      </c>
      <c r="M61" s="176" t="s">
        <v>197</v>
      </c>
      <c r="N61" s="177">
        <f>IFERROR(__xludf.DUMMYFUNCTION("ArrayFormula(let(category,VLOOKUP($M61, {'📄 Комиссии'!$C:$C , '📄 Комиссии'!$B:$B}, 2, 0),
data,MATCH('🔒 Доп. информация'!$J$15:$J203,TRANSPOSE(SPLIT(INDEX('▶️ Инструкция'!$Q:$Q,MATCH($AT61,'▶️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commission,VLOOKUP($M61,'📄 Комиссии'!$C:$E,IF($AV61=data!A$8,2,3),0),
IF(NOT(ISBLANK($M61)),commission/100+
IFERR"&amp;"OR(VLOOKUP($AT61,{'▶️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61" s="178" t="str">
        <f t="shared" si="6"/>
        <v/>
      </c>
      <c r="Q61" s="178" t="str">
        <f t="shared" si="7"/>
        <v/>
      </c>
      <c r="S61" s="179" t="s">
        <v>192</v>
      </c>
      <c r="T61" s="180" t="s">
        <v>193</v>
      </c>
      <c r="U61" s="181">
        <v>1.0</v>
      </c>
      <c r="V61" s="182" t="str">
        <f t="shared" ref="V61:Y61" si="191">IF($D61,"🔒",)</f>
        <v/>
      </c>
      <c r="W61" s="182" t="str">
        <f t="shared" si="191"/>
        <v/>
      </c>
      <c r="X61" s="182" t="str">
        <f t="shared" si="191"/>
        <v/>
      </c>
      <c r="Y61" s="182" t="str">
        <f t="shared" si="191"/>
        <v/>
      </c>
      <c r="Z61" s="183">
        <v>0.0</v>
      </c>
      <c r="AA61" s="184">
        <f t="shared" si="31"/>
        <v>0</v>
      </c>
      <c r="AB61" s="185" t="str">
        <f t="shared" ref="AB61:AD61" si="192">IF($D61,"🔒",)</f>
        <v/>
      </c>
      <c r="AC61" s="185" t="str">
        <f t="shared" si="192"/>
        <v/>
      </c>
      <c r="AD61" s="186" t="str">
        <f t="shared" si="192"/>
        <v/>
      </c>
      <c r="AE61" s="180">
        <v>30.0</v>
      </c>
      <c r="AF61" s="187">
        <v>0.0</v>
      </c>
      <c r="AG61" s="187">
        <v>0.0</v>
      </c>
      <c r="AH61" s="187">
        <v>0.0</v>
      </c>
      <c r="AI61" s="181">
        <f t="shared" si="10"/>
        <v>0</v>
      </c>
      <c r="AJ61" s="181">
        <f t="shared" si="11"/>
        <v>0</v>
      </c>
      <c r="AK61" s="185" t="str">
        <f t="shared" si="12"/>
        <v/>
      </c>
      <c r="AL61" s="188" t="str">
        <f t="array" ref="AL61">H61*(1-I61)*VLOOKUP(AT61,{'▶️ Инструкция'!C:C,'▶️ Инструкция'!AI:AI},2,false)</f>
        <v>#N/A</v>
      </c>
      <c r="AM61" s="186" t="str">
        <f t="shared" si="13"/>
        <v/>
      </c>
      <c r="AN61" s="189">
        <v>0.0</v>
      </c>
      <c r="AO61" s="189">
        <v>0.0</v>
      </c>
      <c r="AP61" s="189">
        <v>0.0</v>
      </c>
      <c r="AQ61" s="191">
        <v>1.0</v>
      </c>
      <c r="AR61" s="191">
        <v>0.0</v>
      </c>
      <c r="AS61" s="212">
        <v>0.0</v>
      </c>
      <c r="AT61" s="193" t="s">
        <v>206</v>
      </c>
      <c r="AU61" s="193" t="s">
        <v>121</v>
      </c>
      <c r="AV61" s="193" t="s">
        <v>199</v>
      </c>
      <c r="AW61" s="194">
        <f t="shared" si="14"/>
        <v>0</v>
      </c>
      <c r="AX61" s="195">
        <f t="shared" si="15"/>
        <v>0</v>
      </c>
      <c r="AY61" s="196" t="str">
        <f t="shared" si="16"/>
        <v>#N/A</v>
      </c>
      <c r="AZ61" s="213">
        <v>250.0</v>
      </c>
      <c r="BA61" s="196">
        <f t="shared" si="17"/>
        <v>0.25</v>
      </c>
      <c r="BB61" s="213">
        <f t="shared" si="18"/>
        <v>1000</v>
      </c>
      <c r="BC61" s="199" t="str">
        <f t="shared" si="19"/>
        <v>#N/A</v>
      </c>
      <c r="BD61" s="200" t="str">
        <f t="shared" si="20"/>
        <v>#N/A</v>
      </c>
      <c r="BE61" s="200">
        <f t="shared" si="21"/>
        <v>0</v>
      </c>
      <c r="BF61" s="201" t="str">
        <f t="shared" si="22"/>
        <v/>
      </c>
      <c r="BG61" s="201" t="str">
        <f t="shared" si="23"/>
        <v/>
      </c>
      <c r="BH61" s="202" t="str">
        <f t="shared" si="24"/>
        <v/>
      </c>
      <c r="BI61" s="203"/>
      <c r="BJ61" s="204">
        <f>IFERROR(__xludf.DUMMYFUNCTION("IF(AU61=data!A$5,
IF(AV61=data!A$8,
IF(T61=data!A$3,
VLOOKUP(S61,filter('🔒 Доп. информация'!D:H,'🔒 Доп. информация'!C:C=T61),4,FALSE)+VLOOKUP(S61,filter('🔒 Доп. информация'!D:H,'🔒 Доп. информация'!C:C=T61),5,FALSE)*AJ61,
IF(AND(MAX(AF61:AH61)&lt;80,SUM(A"&amp;"F61:AH61)&lt;=160,AI61&lt;20,XLOOKUP(M61,'📄 Комиссии'!C:C,'📄 Комиссии'!B:B)&lt;&gt;""Продукты""),
VLOOKUP(S61,filter('🔒 Доп. информация'!D:H,'🔒 Доп. информация'!C:C=data!$A$3),4,FALSE)+VLOOKUP(S61,filter('🔒 Доп. информация'!D:H,'🔒 Доп. информация'!C:C=data!$A$3"&amp;"),5,FALSE)*AJ61,
VLOOKUP(S61,filter('🔒 Доп. информация'!D:H,'🔒 Доп. информация'!C:C=T61),4,FALSE)*ROUNDUP(AF61*AG61*AH61*L61/(120*80*175))/L61)
)
*(AE61/2)
,)
,)*0"),0.0)</f>
        <v>0</v>
      </c>
      <c r="BK61" s="204">
        <f>IFERROR(__xludf.DUMMYFUNCTION("IF(AU61=data!A$5,
IF(AI61&lt;=1,IF(AI61&lt;=0.8,IF(AI61&lt;=0.6,IF(AI61&lt;=0.4,IF(AI61&lt;=0.2,23,26),29),30),32)*VLOOKUP(S61,filter('🔒 Доп. информация'!D:E,'🔒 Доп. информация'!C:C=T61),2,FALSE)/'🔒 Доп. информация'!$K$9,
IF(AV61=data!A$8,U61,1)*VLOOKUP(S61,filter('"&amp;"🔒 Доп. информация'!D:E,'🔒 Доп. информация'!C:C=T61),2,FALSE)+
IF(AV61=data!A$8,U61,1)*VLOOKUP(S61,filter('🔒 Доп. информация'!D:F,'🔒 Доп. информация'!C:C=T61),3,FALSE)*AJ61)
,0)"),69.0)</f>
        <v>69</v>
      </c>
      <c r="BL61" s="185" t="str">
        <f t="shared" ref="BL61:BM61" si="193">IF($D61,"🔒",)</f>
        <v/>
      </c>
      <c r="BM61" s="185" t="str">
        <f t="shared" si="193"/>
        <v/>
      </c>
      <c r="BN61" s="204">
        <f>VLOOKUP(T61,'🔒 Доп. информация'!J:P,7,false)</f>
        <v>50</v>
      </c>
      <c r="BO61" s="204">
        <f>IF(AV61=data!A$9,
(AA61+AO61+AP61+BJ61+BK61+BN61)+H61*AS61,
(BJ61+BK61+BN61)+H61*AS61
)</f>
        <v>119</v>
      </c>
      <c r="BP61" s="204">
        <f t="shared" si="26"/>
        <v>69</v>
      </c>
      <c r="BQ61" s="204">
        <f t="shared" si="27"/>
        <v>320</v>
      </c>
      <c r="BR61" s="204" t="str">
        <f t="shared" si="37"/>
        <v>#N/A</v>
      </c>
      <c r="BS61" s="204" t="str">
        <f t="array" ref="BS61">IF(VLOOKUP(AT61,{'▶️ Инструкция'!C:C,'▶️ Инструкция'!Y:Y},2,FALSE)=data!A$15,
H61*(1-I61),
(H61-BR61))
*VLOOKUP(AT61,{'▶️ Инструкция'!C:C,'▶️ Инструкция'!AD:AD},2,FALSE)/(1+VLOOKUP(AT61,{'▶️ Инструкция'!C:C,'▶️ Инструкция'!AD:AD},2,FALSE))</f>
        <v>#N/A</v>
      </c>
      <c r="BT61" s="204" t="str">
        <f t="array" ref="BT61">
IF(VLOOKUP(AT61,{'▶️ Инструкция'!C:C,'▶️ Инструкция'!Y:Y},2,FALSE)=data!A$15,
H61*(1-I61)-BS61,
(H61-BR61-BS61))
*
VLOOKUP(AT61,{'▶️ Инструкция'!C:C,'▶️ Инструкция'!R:R},2,FALSE)
+BS61</f>
        <v>#N/A</v>
      </c>
      <c r="BU61" s="204" t="str">
        <f>(G61*AR61)+if(AV61=data!A$9,AO61,AN61)+AP61+BR61+BT61</f>
        <v>#N/A</v>
      </c>
      <c r="BV61" s="204" t="str">
        <f>(G61*AR61)+if(AV61=data!A$9,AO61,AN61)+AP61+BT61+G61</f>
        <v>#N/A</v>
      </c>
      <c r="BW61" s="204" t="str">
        <f t="shared" si="28"/>
        <v>#N/A</v>
      </c>
      <c r="BX61" s="204" t="str">
        <f t="shared" si="29"/>
        <v>#N/A</v>
      </c>
    </row>
    <row r="62">
      <c r="A62" s="165" t="str">
        <f>if(D62=true,if(F62=data!A$1,data!A$10,data!A$11),)</f>
        <v/>
      </c>
      <c r="B62" s="166" t="str">
        <f t="shared" si="4"/>
        <v>FBS</v>
      </c>
      <c r="C62" s="167" t="s">
        <v>195</v>
      </c>
      <c r="D62" s="168" t="b">
        <v>0</v>
      </c>
      <c r="E62" s="169" t="s">
        <v>204</v>
      </c>
      <c r="F62" s="170" t="str">
        <f t="array" ref="F62">IF(D62=TRUE,IF(IF(BG$3=VLOOKUP(AT62,{'▶️ Инструкция'!C:C,'▶️ Инструкция'!G:G},2,FALSE),BG62,BH62)&gt;VLOOKUP(AT62,{'▶️ Инструкция'!C:C,'▶️ Инструкция'!N:N},2,FALSE),data!A$1,data!A$2),)</f>
        <v/>
      </c>
      <c r="G62" s="171">
        <v>0.0</v>
      </c>
      <c r="H62" s="172">
        <v>1000.0</v>
      </c>
      <c r="I62" s="173">
        <v>0.0</v>
      </c>
      <c r="J62" s="173">
        <v>0.0</v>
      </c>
      <c r="K62" s="174" t="str">
        <f t="shared" si="5"/>
        <v/>
      </c>
      <c r="L62" s="175">
        <v>0.0</v>
      </c>
      <c r="M62" s="176" t="s">
        <v>197</v>
      </c>
      <c r="N62" s="177">
        <f>IFERROR(__xludf.DUMMYFUNCTION("ArrayFormula(let(category,VLOOKUP($M62, {'📄 Комиссии'!$C:$C , '📄 Комиссии'!$B:$B}, 2, 0),
data,MATCH('🔒 Доп. информация'!$J$15:$J203,TRANSPOSE(SPLIT(INDEX('▶️ Инструкция'!$Q:$Q,MATCH($AT62,'▶️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commission,VLOOKUP($M62,'📄 Комиссии'!$C:$E,IF($AV62=data!A$8,2,3),0),
IF(NOT(ISBLANK($M62)),commission/100+
IFERR"&amp;"OR(VLOOKUP($AT62,{'▶️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62" s="178" t="str">
        <f t="shared" si="6"/>
        <v/>
      </c>
      <c r="Q62" s="178" t="str">
        <f t="shared" si="7"/>
        <v/>
      </c>
      <c r="S62" s="179" t="s">
        <v>192</v>
      </c>
      <c r="T62" s="180" t="s">
        <v>193</v>
      </c>
      <c r="U62" s="181">
        <v>1.0</v>
      </c>
      <c r="V62" s="182" t="str">
        <f t="shared" ref="V62:Y62" si="194">IF($D62,"🔒",)</f>
        <v/>
      </c>
      <c r="W62" s="182" t="str">
        <f t="shared" si="194"/>
        <v/>
      </c>
      <c r="X62" s="182" t="str">
        <f t="shared" si="194"/>
        <v/>
      </c>
      <c r="Y62" s="182" t="str">
        <f t="shared" si="194"/>
        <v/>
      </c>
      <c r="Z62" s="183">
        <v>0.0</v>
      </c>
      <c r="AA62" s="184">
        <f t="shared" si="31"/>
        <v>0</v>
      </c>
      <c r="AB62" s="185" t="str">
        <f t="shared" ref="AB62:AD62" si="195">IF($D62,"🔒",)</f>
        <v/>
      </c>
      <c r="AC62" s="185" t="str">
        <f t="shared" si="195"/>
        <v/>
      </c>
      <c r="AD62" s="186" t="str">
        <f t="shared" si="195"/>
        <v/>
      </c>
      <c r="AE62" s="180">
        <v>30.0</v>
      </c>
      <c r="AF62" s="187">
        <v>0.0</v>
      </c>
      <c r="AG62" s="187">
        <v>0.0</v>
      </c>
      <c r="AH62" s="187">
        <v>0.0</v>
      </c>
      <c r="AI62" s="181">
        <f t="shared" si="10"/>
        <v>0</v>
      </c>
      <c r="AJ62" s="181">
        <f t="shared" si="11"/>
        <v>0</v>
      </c>
      <c r="AK62" s="185" t="str">
        <f t="shared" si="12"/>
        <v/>
      </c>
      <c r="AL62" s="188" t="str">
        <f t="array" ref="AL62">H62*(1-I62)*VLOOKUP(AT62,{'▶️ Инструкция'!C:C,'▶️ Инструкция'!AI:AI},2,false)</f>
        <v>#N/A</v>
      </c>
      <c r="AM62" s="186" t="str">
        <f t="shared" si="13"/>
        <v/>
      </c>
      <c r="AN62" s="189">
        <v>0.0</v>
      </c>
      <c r="AO62" s="189">
        <v>0.0</v>
      </c>
      <c r="AP62" s="189">
        <v>0.0</v>
      </c>
      <c r="AQ62" s="191">
        <v>1.0</v>
      </c>
      <c r="AR62" s="191">
        <v>0.0</v>
      </c>
      <c r="AS62" s="212">
        <v>0.0</v>
      </c>
      <c r="AT62" s="193" t="s">
        <v>206</v>
      </c>
      <c r="AU62" s="193" t="s">
        <v>121</v>
      </c>
      <c r="AV62" s="193" t="s">
        <v>199</v>
      </c>
      <c r="AW62" s="194">
        <f t="shared" si="14"/>
        <v>0</v>
      </c>
      <c r="AX62" s="195">
        <f t="shared" si="15"/>
        <v>0</v>
      </c>
      <c r="AY62" s="196" t="str">
        <f t="shared" si="16"/>
        <v>#N/A</v>
      </c>
      <c r="AZ62" s="213">
        <v>250.0</v>
      </c>
      <c r="BA62" s="196">
        <f t="shared" si="17"/>
        <v>0.25</v>
      </c>
      <c r="BB62" s="213">
        <f t="shared" si="18"/>
        <v>1000</v>
      </c>
      <c r="BC62" s="199" t="str">
        <f t="shared" si="19"/>
        <v>#N/A</v>
      </c>
      <c r="BD62" s="200" t="str">
        <f t="shared" si="20"/>
        <v>#N/A</v>
      </c>
      <c r="BE62" s="200">
        <f t="shared" si="21"/>
        <v>0</v>
      </c>
      <c r="BF62" s="201" t="str">
        <f t="shared" si="22"/>
        <v/>
      </c>
      <c r="BG62" s="201" t="str">
        <f t="shared" si="23"/>
        <v/>
      </c>
      <c r="BH62" s="202" t="str">
        <f t="shared" si="24"/>
        <v/>
      </c>
      <c r="BI62" s="203"/>
      <c r="BJ62" s="204">
        <f>IFERROR(__xludf.DUMMYFUNCTION("IF(AU62=data!A$5,
IF(AV62=data!A$8,
IF(T62=data!A$3,
VLOOKUP(S62,filter('🔒 Доп. информация'!D:H,'🔒 Доп. информация'!C:C=T62),4,FALSE)+VLOOKUP(S62,filter('🔒 Доп. информация'!D:H,'🔒 Доп. информация'!C:C=T62),5,FALSE)*AJ62,
IF(AND(MAX(AF62:AH62)&lt;80,SUM(A"&amp;"F62:AH62)&lt;=160,AI62&lt;20,XLOOKUP(M62,'📄 Комиссии'!C:C,'📄 Комиссии'!B:B)&lt;&gt;""Продукты""),
VLOOKUP(S62,filter('🔒 Доп. информация'!D:H,'🔒 Доп. информация'!C:C=data!$A$3),4,FALSE)+VLOOKUP(S62,filter('🔒 Доп. информация'!D:H,'🔒 Доп. информация'!C:C=data!$A$3"&amp;"),5,FALSE)*AJ62,
VLOOKUP(S62,filter('🔒 Доп. информация'!D:H,'🔒 Доп. информация'!C:C=T62),4,FALSE)*ROUNDUP(AF62*AG62*AH62*L62/(120*80*175))/L62)
)
*(AE62/2)
,)
,)*0"),0.0)</f>
        <v>0</v>
      </c>
      <c r="BK62" s="204">
        <f>IFERROR(__xludf.DUMMYFUNCTION("IF(AU62=data!A$5,
IF(AI62&lt;=1,IF(AI62&lt;=0.8,IF(AI62&lt;=0.6,IF(AI62&lt;=0.4,IF(AI62&lt;=0.2,23,26),29),30),32)*VLOOKUP(S62,filter('🔒 Доп. информация'!D:E,'🔒 Доп. информация'!C:C=T62),2,FALSE)/'🔒 Доп. информация'!$K$9,
IF(AV62=data!A$8,U62,1)*VLOOKUP(S62,filter('"&amp;"🔒 Доп. информация'!D:E,'🔒 Доп. информация'!C:C=T62),2,FALSE)+
IF(AV62=data!A$8,U62,1)*VLOOKUP(S62,filter('🔒 Доп. информация'!D:F,'🔒 Доп. информация'!C:C=T62),3,FALSE)*AJ62)
,0)"),69.0)</f>
        <v>69</v>
      </c>
      <c r="BL62" s="185" t="str">
        <f t="shared" ref="BL62:BM62" si="196">IF($D62,"🔒",)</f>
        <v/>
      </c>
      <c r="BM62" s="185" t="str">
        <f t="shared" si="196"/>
        <v/>
      </c>
      <c r="BN62" s="204">
        <f>VLOOKUP(T62,'🔒 Доп. информация'!J:P,7,false)</f>
        <v>50</v>
      </c>
      <c r="BO62" s="204">
        <f>IF(AV62=data!A$9,
(AA62+AO62+AP62+BJ62+BK62+BN62)+H62*AS62,
(BJ62+BK62+BN62)+H62*AS62
)</f>
        <v>119</v>
      </c>
      <c r="BP62" s="204">
        <f t="shared" si="26"/>
        <v>69</v>
      </c>
      <c r="BQ62" s="204">
        <f t="shared" si="27"/>
        <v>320</v>
      </c>
      <c r="BR62" s="204" t="str">
        <f t="shared" si="37"/>
        <v>#N/A</v>
      </c>
      <c r="BS62" s="204" t="str">
        <f t="array" ref="BS62">IF(VLOOKUP(AT62,{'▶️ Инструкция'!C:C,'▶️ Инструкция'!Y:Y},2,FALSE)=data!A$15,
H62*(1-I62),
(H62-BR62))
*VLOOKUP(AT62,{'▶️ Инструкция'!C:C,'▶️ Инструкция'!AD:AD},2,FALSE)/(1+VLOOKUP(AT62,{'▶️ Инструкция'!C:C,'▶️ Инструкция'!AD:AD},2,FALSE))</f>
        <v>#N/A</v>
      </c>
      <c r="BT62" s="204" t="str">
        <f t="array" ref="BT62">
IF(VLOOKUP(AT62,{'▶️ Инструкция'!C:C,'▶️ Инструкция'!Y:Y},2,FALSE)=data!A$15,
H62*(1-I62)-BS62,
(H62-BR62-BS62))
*
VLOOKUP(AT62,{'▶️ Инструкция'!C:C,'▶️ Инструкция'!R:R},2,FALSE)
+BS62</f>
        <v>#N/A</v>
      </c>
      <c r="BU62" s="204" t="str">
        <f>(G62*AR62)+if(AV62=data!A$9,AO62,AN62)+AP62+BR62+BT62</f>
        <v>#N/A</v>
      </c>
      <c r="BV62" s="204" t="str">
        <f>(G62*AR62)+if(AV62=data!A$9,AO62,AN62)+AP62+BT62+G62</f>
        <v>#N/A</v>
      </c>
      <c r="BW62" s="204" t="str">
        <f t="shared" si="28"/>
        <v>#N/A</v>
      </c>
      <c r="BX62" s="204" t="str">
        <f t="shared" si="29"/>
        <v>#N/A</v>
      </c>
    </row>
    <row r="63">
      <c r="A63" s="165" t="str">
        <f>if(D63=true,if(F63=data!A$1,data!A$10,data!A$11),)</f>
        <v/>
      </c>
      <c r="B63" s="166" t="str">
        <f t="shared" si="4"/>
        <v>FBS</v>
      </c>
      <c r="C63" s="167" t="s">
        <v>195</v>
      </c>
      <c r="D63" s="168" t="b">
        <v>0</v>
      </c>
      <c r="E63" s="169" t="s">
        <v>204</v>
      </c>
      <c r="F63" s="170" t="str">
        <f t="array" ref="F63">IF(D63=TRUE,IF(IF(BG$3=VLOOKUP(AT63,{'▶️ Инструкция'!C:C,'▶️ Инструкция'!G:G},2,FALSE),BG63,BH63)&gt;VLOOKUP(AT63,{'▶️ Инструкция'!C:C,'▶️ Инструкция'!N:N},2,FALSE),data!A$1,data!A$2),)</f>
        <v/>
      </c>
      <c r="G63" s="171">
        <v>0.0</v>
      </c>
      <c r="H63" s="172">
        <v>1000.0</v>
      </c>
      <c r="I63" s="173">
        <v>0.0</v>
      </c>
      <c r="J63" s="173">
        <v>0.0</v>
      </c>
      <c r="K63" s="174" t="str">
        <f t="shared" si="5"/>
        <v/>
      </c>
      <c r="L63" s="175">
        <v>0.0</v>
      </c>
      <c r="M63" s="176" t="s">
        <v>197</v>
      </c>
      <c r="N63" s="177">
        <f>IFERROR(__xludf.DUMMYFUNCTION("ArrayFormula(let(category,VLOOKUP($M63, {'📄 Комиссии'!$C:$C , '📄 Комиссии'!$B:$B}, 2, 0),
data,MATCH('🔒 Доп. информация'!$J$15:$J203,TRANSPOSE(SPLIT(INDEX('▶️ Инструкция'!$Q:$Q,MATCH($AT63,'▶️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commission,VLOOKUP($M63,'📄 Комиссии'!$C:$E,IF($AV63=data!A$8,2,3),0),
IF(NOT(ISBLANK($M63)),commission/100+
IFERR"&amp;"OR(VLOOKUP($AT63,{'▶️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63" s="178" t="str">
        <f t="shared" si="6"/>
        <v/>
      </c>
      <c r="Q63" s="178" t="str">
        <f t="shared" si="7"/>
        <v/>
      </c>
      <c r="S63" s="179" t="s">
        <v>192</v>
      </c>
      <c r="T63" s="180" t="s">
        <v>193</v>
      </c>
      <c r="U63" s="181">
        <v>1.0</v>
      </c>
      <c r="V63" s="182" t="str">
        <f t="shared" ref="V63:Y63" si="197">IF($D63,"🔒",)</f>
        <v/>
      </c>
      <c r="W63" s="182" t="str">
        <f t="shared" si="197"/>
        <v/>
      </c>
      <c r="X63" s="182" t="str">
        <f t="shared" si="197"/>
        <v/>
      </c>
      <c r="Y63" s="182" t="str">
        <f t="shared" si="197"/>
        <v/>
      </c>
      <c r="Z63" s="183">
        <v>0.0</v>
      </c>
      <c r="AA63" s="184">
        <f t="shared" si="31"/>
        <v>0</v>
      </c>
      <c r="AB63" s="185" t="str">
        <f t="shared" ref="AB63:AD63" si="198">IF($D63,"🔒",)</f>
        <v/>
      </c>
      <c r="AC63" s="185" t="str">
        <f t="shared" si="198"/>
        <v/>
      </c>
      <c r="AD63" s="186" t="str">
        <f t="shared" si="198"/>
        <v/>
      </c>
      <c r="AE63" s="180">
        <v>30.0</v>
      </c>
      <c r="AF63" s="187">
        <v>0.0</v>
      </c>
      <c r="AG63" s="187">
        <v>0.0</v>
      </c>
      <c r="AH63" s="187">
        <v>0.0</v>
      </c>
      <c r="AI63" s="181">
        <f t="shared" si="10"/>
        <v>0</v>
      </c>
      <c r="AJ63" s="181">
        <f t="shared" si="11"/>
        <v>0</v>
      </c>
      <c r="AK63" s="185" t="str">
        <f t="shared" si="12"/>
        <v/>
      </c>
      <c r="AL63" s="188" t="str">
        <f t="array" ref="AL63">H63*(1-I63)*VLOOKUP(AT63,{'▶️ Инструкция'!C:C,'▶️ Инструкция'!AI:AI},2,false)</f>
        <v>#N/A</v>
      </c>
      <c r="AM63" s="186" t="str">
        <f t="shared" si="13"/>
        <v/>
      </c>
      <c r="AN63" s="189">
        <v>0.0</v>
      </c>
      <c r="AO63" s="189">
        <v>0.0</v>
      </c>
      <c r="AP63" s="189">
        <v>0.0</v>
      </c>
      <c r="AQ63" s="191">
        <v>1.0</v>
      </c>
      <c r="AR63" s="191">
        <v>0.0</v>
      </c>
      <c r="AS63" s="212">
        <v>0.0</v>
      </c>
      <c r="AT63" s="193" t="s">
        <v>206</v>
      </c>
      <c r="AU63" s="193" t="s">
        <v>121</v>
      </c>
      <c r="AV63" s="193" t="s">
        <v>199</v>
      </c>
      <c r="AW63" s="194">
        <f t="shared" si="14"/>
        <v>0</v>
      </c>
      <c r="AX63" s="195">
        <f t="shared" si="15"/>
        <v>0</v>
      </c>
      <c r="AY63" s="196" t="str">
        <f t="shared" si="16"/>
        <v>#N/A</v>
      </c>
      <c r="AZ63" s="213">
        <v>250.0</v>
      </c>
      <c r="BA63" s="196">
        <f t="shared" si="17"/>
        <v>0.25</v>
      </c>
      <c r="BB63" s="213">
        <f t="shared" si="18"/>
        <v>1000</v>
      </c>
      <c r="BC63" s="199" t="str">
        <f t="shared" si="19"/>
        <v>#N/A</v>
      </c>
      <c r="BD63" s="200" t="str">
        <f t="shared" si="20"/>
        <v>#N/A</v>
      </c>
      <c r="BE63" s="200">
        <f t="shared" si="21"/>
        <v>0</v>
      </c>
      <c r="BF63" s="201" t="str">
        <f t="shared" si="22"/>
        <v/>
      </c>
      <c r="BG63" s="201" t="str">
        <f t="shared" si="23"/>
        <v/>
      </c>
      <c r="BH63" s="202" t="str">
        <f t="shared" si="24"/>
        <v/>
      </c>
      <c r="BI63" s="203"/>
      <c r="BJ63" s="204">
        <f>IFERROR(__xludf.DUMMYFUNCTION("IF(AU63=data!A$5,
IF(AV63=data!A$8,
IF(T63=data!A$3,
VLOOKUP(S63,filter('🔒 Доп. информация'!D:H,'🔒 Доп. информация'!C:C=T63),4,FALSE)+VLOOKUP(S63,filter('🔒 Доп. информация'!D:H,'🔒 Доп. информация'!C:C=T63),5,FALSE)*AJ63,
IF(AND(MAX(AF63:AH63)&lt;80,SUM(A"&amp;"F63:AH63)&lt;=160,AI63&lt;20,XLOOKUP(M63,'📄 Комиссии'!C:C,'📄 Комиссии'!B:B)&lt;&gt;""Продукты""),
VLOOKUP(S63,filter('🔒 Доп. информация'!D:H,'🔒 Доп. информация'!C:C=data!$A$3),4,FALSE)+VLOOKUP(S63,filter('🔒 Доп. информация'!D:H,'🔒 Доп. информация'!C:C=data!$A$3"&amp;"),5,FALSE)*AJ63,
VLOOKUP(S63,filter('🔒 Доп. информация'!D:H,'🔒 Доп. информация'!C:C=T63),4,FALSE)*ROUNDUP(AF63*AG63*AH63*L63/(120*80*175))/L63)
)
*(AE63/2)
,)
,)*0"),0.0)</f>
        <v>0</v>
      </c>
      <c r="BK63" s="204">
        <f>IFERROR(__xludf.DUMMYFUNCTION("IF(AU63=data!A$5,
IF(AI63&lt;=1,IF(AI63&lt;=0.8,IF(AI63&lt;=0.6,IF(AI63&lt;=0.4,IF(AI63&lt;=0.2,23,26),29),30),32)*VLOOKUP(S63,filter('🔒 Доп. информация'!D:E,'🔒 Доп. информация'!C:C=T63),2,FALSE)/'🔒 Доп. информация'!$K$9,
IF(AV63=data!A$8,U63,1)*VLOOKUP(S63,filter('"&amp;"🔒 Доп. информация'!D:E,'🔒 Доп. информация'!C:C=T63),2,FALSE)+
IF(AV63=data!A$8,U63,1)*VLOOKUP(S63,filter('🔒 Доп. информация'!D:F,'🔒 Доп. информация'!C:C=T63),3,FALSE)*AJ63)
,0)"),69.0)</f>
        <v>69</v>
      </c>
      <c r="BL63" s="185" t="str">
        <f t="shared" ref="BL63:BM63" si="199">IF($D63,"🔒",)</f>
        <v/>
      </c>
      <c r="BM63" s="185" t="str">
        <f t="shared" si="199"/>
        <v/>
      </c>
      <c r="BN63" s="204">
        <f>VLOOKUP(T63,'🔒 Доп. информация'!J:P,7,false)</f>
        <v>50</v>
      </c>
      <c r="BO63" s="204">
        <f>IF(AV63=data!A$9,
(AA63+AO63+AP63+BJ63+BK63+BN63)+H63*AS63,
(BJ63+BK63+BN63)+H63*AS63
)</f>
        <v>119</v>
      </c>
      <c r="BP63" s="204">
        <f t="shared" si="26"/>
        <v>69</v>
      </c>
      <c r="BQ63" s="204">
        <f t="shared" si="27"/>
        <v>320</v>
      </c>
      <c r="BR63" s="204" t="str">
        <f t="shared" si="37"/>
        <v>#N/A</v>
      </c>
      <c r="BS63" s="204" t="str">
        <f t="array" ref="BS63">IF(VLOOKUP(AT63,{'▶️ Инструкция'!C:C,'▶️ Инструкция'!Y:Y},2,FALSE)=data!A$15,
H63*(1-I63),
(H63-BR63))
*VLOOKUP(AT63,{'▶️ Инструкция'!C:C,'▶️ Инструкция'!AD:AD},2,FALSE)/(1+VLOOKUP(AT63,{'▶️ Инструкция'!C:C,'▶️ Инструкция'!AD:AD},2,FALSE))</f>
        <v>#N/A</v>
      </c>
      <c r="BT63" s="204" t="str">
        <f t="array" ref="BT63">
IF(VLOOKUP(AT63,{'▶️ Инструкция'!C:C,'▶️ Инструкция'!Y:Y},2,FALSE)=data!A$15,
H63*(1-I63)-BS63,
(H63-BR63-BS63))
*
VLOOKUP(AT63,{'▶️ Инструкция'!C:C,'▶️ Инструкция'!R:R},2,FALSE)
+BS63</f>
        <v>#N/A</v>
      </c>
      <c r="BU63" s="204" t="str">
        <f>(G63*AR63)+if(AV63=data!A$9,AO63,AN63)+AP63+BR63+BT63</f>
        <v>#N/A</v>
      </c>
      <c r="BV63" s="204" t="str">
        <f>(G63*AR63)+if(AV63=data!A$9,AO63,AN63)+AP63+BT63+G63</f>
        <v>#N/A</v>
      </c>
      <c r="BW63" s="204" t="str">
        <f t="shared" si="28"/>
        <v>#N/A</v>
      </c>
      <c r="BX63" s="204" t="str">
        <f t="shared" si="29"/>
        <v>#N/A</v>
      </c>
    </row>
    <row r="64">
      <c r="A64" s="165" t="str">
        <f>if(D64=true,if(F64=data!A$1,data!A$10,data!A$11),)</f>
        <v/>
      </c>
      <c r="B64" s="166" t="str">
        <f t="shared" si="4"/>
        <v>FBS</v>
      </c>
      <c r="C64" s="167" t="s">
        <v>195</v>
      </c>
      <c r="D64" s="168" t="b">
        <v>0</v>
      </c>
      <c r="E64" s="169" t="s">
        <v>204</v>
      </c>
      <c r="F64" s="170" t="str">
        <f t="array" ref="F64">IF(D64=TRUE,IF(IF(BG$3=VLOOKUP(AT64,{'▶️ Инструкция'!C:C,'▶️ Инструкция'!G:G},2,FALSE),BG64,BH64)&gt;VLOOKUP(AT64,{'▶️ Инструкция'!C:C,'▶️ Инструкция'!N:N},2,FALSE),data!A$1,data!A$2),)</f>
        <v/>
      </c>
      <c r="G64" s="171">
        <v>0.0</v>
      </c>
      <c r="H64" s="172">
        <v>1000.0</v>
      </c>
      <c r="I64" s="173">
        <v>0.0</v>
      </c>
      <c r="J64" s="173">
        <v>0.0</v>
      </c>
      <c r="K64" s="174" t="str">
        <f t="shared" si="5"/>
        <v/>
      </c>
      <c r="L64" s="175">
        <v>0.0</v>
      </c>
      <c r="M64" s="176" t="s">
        <v>197</v>
      </c>
      <c r="N64" s="177">
        <f>IFERROR(__xludf.DUMMYFUNCTION("ArrayFormula(let(category,VLOOKUP($M64, {'📄 Комиссии'!$C:$C , '📄 Комиссии'!$B:$B}, 2, 0),
data,MATCH('🔒 Доп. информация'!$J$15:$J203,TRANSPOSE(SPLIT(INDEX('▶️ Инструкция'!$Q:$Q,MATCH($AT64,'▶️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commission,VLOOKUP($M64,'📄 Комиссии'!$C:$E,IF($AV64=data!A$8,2,3),0),
IF(NOT(ISBLANK($M64)),commission/100+
IFERR"&amp;"OR(VLOOKUP($AT64,{'▶️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64" s="178" t="str">
        <f t="shared" si="6"/>
        <v/>
      </c>
      <c r="Q64" s="178" t="str">
        <f t="shared" si="7"/>
        <v/>
      </c>
      <c r="S64" s="179" t="s">
        <v>192</v>
      </c>
      <c r="T64" s="180" t="s">
        <v>193</v>
      </c>
      <c r="U64" s="181">
        <v>1.0</v>
      </c>
      <c r="V64" s="182" t="str">
        <f t="shared" ref="V64:Y64" si="200">IF($D64,"🔒",)</f>
        <v/>
      </c>
      <c r="W64" s="182" t="str">
        <f t="shared" si="200"/>
        <v/>
      </c>
      <c r="X64" s="182" t="str">
        <f t="shared" si="200"/>
        <v/>
      </c>
      <c r="Y64" s="182" t="str">
        <f t="shared" si="200"/>
        <v/>
      </c>
      <c r="Z64" s="183">
        <v>0.0</v>
      </c>
      <c r="AA64" s="184">
        <f t="shared" si="31"/>
        <v>0</v>
      </c>
      <c r="AB64" s="185" t="str">
        <f t="shared" ref="AB64:AD64" si="201">IF($D64,"🔒",)</f>
        <v/>
      </c>
      <c r="AC64" s="185" t="str">
        <f t="shared" si="201"/>
        <v/>
      </c>
      <c r="AD64" s="186" t="str">
        <f t="shared" si="201"/>
        <v/>
      </c>
      <c r="AE64" s="180">
        <v>30.0</v>
      </c>
      <c r="AF64" s="187">
        <v>0.0</v>
      </c>
      <c r="AG64" s="187">
        <v>0.0</v>
      </c>
      <c r="AH64" s="187">
        <v>0.0</v>
      </c>
      <c r="AI64" s="181">
        <f t="shared" si="10"/>
        <v>0</v>
      </c>
      <c r="AJ64" s="181">
        <f t="shared" si="11"/>
        <v>0</v>
      </c>
      <c r="AK64" s="185" t="str">
        <f t="shared" si="12"/>
        <v/>
      </c>
      <c r="AL64" s="188" t="str">
        <f t="array" ref="AL64">H64*(1-I64)*VLOOKUP(AT64,{'▶️ Инструкция'!C:C,'▶️ Инструкция'!AI:AI},2,false)</f>
        <v>#N/A</v>
      </c>
      <c r="AM64" s="186" t="str">
        <f t="shared" si="13"/>
        <v/>
      </c>
      <c r="AN64" s="189">
        <v>0.0</v>
      </c>
      <c r="AO64" s="189">
        <v>0.0</v>
      </c>
      <c r="AP64" s="189">
        <v>0.0</v>
      </c>
      <c r="AQ64" s="191">
        <v>1.0</v>
      </c>
      <c r="AR64" s="191">
        <v>0.0</v>
      </c>
      <c r="AS64" s="212">
        <v>0.0</v>
      </c>
      <c r="AT64" s="193" t="s">
        <v>206</v>
      </c>
      <c r="AU64" s="193" t="s">
        <v>121</v>
      </c>
      <c r="AV64" s="193" t="s">
        <v>199</v>
      </c>
      <c r="AW64" s="194">
        <f t="shared" si="14"/>
        <v>0</v>
      </c>
      <c r="AX64" s="195">
        <f t="shared" si="15"/>
        <v>0</v>
      </c>
      <c r="AY64" s="196" t="str">
        <f t="shared" si="16"/>
        <v>#N/A</v>
      </c>
      <c r="AZ64" s="213">
        <v>250.0</v>
      </c>
      <c r="BA64" s="196">
        <f t="shared" si="17"/>
        <v>0.25</v>
      </c>
      <c r="BB64" s="213">
        <f t="shared" si="18"/>
        <v>1000</v>
      </c>
      <c r="BC64" s="199" t="str">
        <f t="shared" si="19"/>
        <v>#N/A</v>
      </c>
      <c r="BD64" s="200" t="str">
        <f t="shared" si="20"/>
        <v>#N/A</v>
      </c>
      <c r="BE64" s="200">
        <f t="shared" si="21"/>
        <v>0</v>
      </c>
      <c r="BF64" s="201" t="str">
        <f t="shared" si="22"/>
        <v/>
      </c>
      <c r="BG64" s="201" t="str">
        <f t="shared" si="23"/>
        <v/>
      </c>
      <c r="BH64" s="202" t="str">
        <f t="shared" si="24"/>
        <v/>
      </c>
      <c r="BI64" s="203"/>
      <c r="BJ64" s="204">
        <f>IFERROR(__xludf.DUMMYFUNCTION("IF(AU64=data!A$5,
IF(AV64=data!A$8,
IF(T64=data!A$3,
VLOOKUP(S64,filter('🔒 Доп. информация'!D:H,'🔒 Доп. информация'!C:C=T64),4,FALSE)+VLOOKUP(S64,filter('🔒 Доп. информация'!D:H,'🔒 Доп. информация'!C:C=T64),5,FALSE)*AJ64,
IF(AND(MAX(AF64:AH64)&lt;80,SUM(A"&amp;"F64:AH64)&lt;=160,AI64&lt;20,XLOOKUP(M64,'📄 Комиссии'!C:C,'📄 Комиссии'!B:B)&lt;&gt;""Продукты""),
VLOOKUP(S64,filter('🔒 Доп. информация'!D:H,'🔒 Доп. информация'!C:C=data!$A$3),4,FALSE)+VLOOKUP(S64,filter('🔒 Доп. информация'!D:H,'🔒 Доп. информация'!C:C=data!$A$3"&amp;"),5,FALSE)*AJ64,
VLOOKUP(S64,filter('🔒 Доп. информация'!D:H,'🔒 Доп. информация'!C:C=T64),4,FALSE)*ROUNDUP(AF64*AG64*AH64*L64/(120*80*175))/L64)
)
*(AE64/2)
,)
,)*0"),0.0)</f>
        <v>0</v>
      </c>
      <c r="BK64" s="204">
        <f>IFERROR(__xludf.DUMMYFUNCTION("IF(AU64=data!A$5,
IF(AI64&lt;=1,IF(AI64&lt;=0.8,IF(AI64&lt;=0.6,IF(AI64&lt;=0.4,IF(AI64&lt;=0.2,23,26),29),30),32)*VLOOKUP(S64,filter('🔒 Доп. информация'!D:E,'🔒 Доп. информация'!C:C=T64),2,FALSE)/'🔒 Доп. информация'!$K$9,
IF(AV64=data!A$8,U64,1)*VLOOKUP(S64,filter('"&amp;"🔒 Доп. информация'!D:E,'🔒 Доп. информация'!C:C=T64),2,FALSE)+
IF(AV64=data!A$8,U64,1)*VLOOKUP(S64,filter('🔒 Доп. информация'!D:F,'🔒 Доп. информация'!C:C=T64),3,FALSE)*AJ64)
,0)"),69.0)</f>
        <v>69</v>
      </c>
      <c r="BL64" s="185" t="str">
        <f t="shared" ref="BL64:BM64" si="202">IF($D64,"🔒",)</f>
        <v/>
      </c>
      <c r="BM64" s="185" t="str">
        <f t="shared" si="202"/>
        <v/>
      </c>
      <c r="BN64" s="204">
        <f>VLOOKUP(T64,'🔒 Доп. информация'!J:P,7,false)</f>
        <v>50</v>
      </c>
      <c r="BO64" s="204">
        <f>IF(AV64=data!A$9,
(AA64+AO64+AP64+BJ64+BK64+BN64)+H64*AS64,
(BJ64+BK64+BN64)+H64*AS64
)</f>
        <v>119</v>
      </c>
      <c r="BP64" s="204">
        <f t="shared" si="26"/>
        <v>69</v>
      </c>
      <c r="BQ64" s="204">
        <f t="shared" si="27"/>
        <v>320</v>
      </c>
      <c r="BR64" s="204" t="str">
        <f t="shared" si="37"/>
        <v>#N/A</v>
      </c>
      <c r="BS64" s="204" t="str">
        <f t="array" ref="BS64">IF(VLOOKUP(AT64,{'▶️ Инструкция'!C:C,'▶️ Инструкция'!Y:Y},2,FALSE)=data!A$15,
H64*(1-I64),
(H64-BR64))
*VLOOKUP(AT64,{'▶️ Инструкция'!C:C,'▶️ Инструкция'!AD:AD},2,FALSE)/(1+VLOOKUP(AT64,{'▶️ Инструкция'!C:C,'▶️ Инструкция'!AD:AD},2,FALSE))</f>
        <v>#N/A</v>
      </c>
      <c r="BT64" s="204" t="str">
        <f t="array" ref="BT64">
IF(VLOOKUP(AT64,{'▶️ Инструкция'!C:C,'▶️ Инструкция'!Y:Y},2,FALSE)=data!A$15,
H64*(1-I64)-BS64,
(H64-BR64-BS64))
*
VLOOKUP(AT64,{'▶️ Инструкция'!C:C,'▶️ Инструкция'!R:R},2,FALSE)
+BS64</f>
        <v>#N/A</v>
      </c>
      <c r="BU64" s="204" t="str">
        <f>(G64*AR64)+if(AV64=data!A$9,AO64,AN64)+AP64+BR64+BT64</f>
        <v>#N/A</v>
      </c>
      <c r="BV64" s="204" t="str">
        <f>(G64*AR64)+if(AV64=data!A$9,AO64,AN64)+AP64+BT64+G64</f>
        <v>#N/A</v>
      </c>
      <c r="BW64" s="204" t="str">
        <f t="shared" si="28"/>
        <v>#N/A</v>
      </c>
      <c r="BX64" s="204" t="str">
        <f t="shared" si="29"/>
        <v>#N/A</v>
      </c>
    </row>
    <row r="65">
      <c r="A65" s="165" t="str">
        <f>if(D65=true,if(F65=data!A$1,data!A$10,data!A$11),)</f>
        <v/>
      </c>
      <c r="B65" s="166" t="str">
        <f t="shared" si="4"/>
        <v>FBS</v>
      </c>
      <c r="C65" s="167" t="s">
        <v>195</v>
      </c>
      <c r="D65" s="168" t="b">
        <v>0</v>
      </c>
      <c r="E65" s="169" t="s">
        <v>204</v>
      </c>
      <c r="F65" s="170" t="str">
        <f t="array" ref="F65">IF(D65=TRUE,IF(IF(BG$3=VLOOKUP(AT65,{'▶️ Инструкция'!C:C,'▶️ Инструкция'!G:G},2,FALSE),BG65,BH65)&gt;VLOOKUP(AT65,{'▶️ Инструкция'!C:C,'▶️ Инструкция'!N:N},2,FALSE),data!A$1,data!A$2),)</f>
        <v/>
      </c>
      <c r="G65" s="171">
        <v>0.0</v>
      </c>
      <c r="H65" s="172">
        <v>1000.0</v>
      </c>
      <c r="I65" s="173">
        <v>0.0</v>
      </c>
      <c r="J65" s="173">
        <v>0.0</v>
      </c>
      <c r="K65" s="174" t="str">
        <f t="shared" si="5"/>
        <v/>
      </c>
      <c r="L65" s="175">
        <v>0.0</v>
      </c>
      <c r="M65" s="176" t="s">
        <v>197</v>
      </c>
      <c r="N65" s="177">
        <f>IFERROR(__xludf.DUMMYFUNCTION("ArrayFormula(let(category,VLOOKUP($M65, {'📄 Комиссии'!$C:$C , '📄 Комиссии'!$B:$B}, 2, 0),
data,MATCH('🔒 Доп. информация'!$J$15:$J203,TRANSPOSE(SPLIT(INDEX('▶️ Инструкция'!$Q:$Q,MATCH($AT65,'▶️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commission,VLOOKUP($M65,'📄 Комиссии'!$C:$E,IF($AV65=data!A$8,2,3),0),
IF(NOT(ISBLANK($M65)),commission/100+
IFERR"&amp;"OR(VLOOKUP($AT65,{'▶️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65" s="178" t="str">
        <f t="shared" si="6"/>
        <v/>
      </c>
      <c r="Q65" s="178" t="str">
        <f t="shared" si="7"/>
        <v/>
      </c>
      <c r="S65" s="179" t="s">
        <v>192</v>
      </c>
      <c r="T65" s="180" t="s">
        <v>193</v>
      </c>
      <c r="U65" s="181">
        <v>1.0</v>
      </c>
      <c r="V65" s="182" t="str">
        <f t="shared" ref="V65:Y65" si="203">IF($D65,"🔒",)</f>
        <v/>
      </c>
      <c r="W65" s="182" t="str">
        <f t="shared" si="203"/>
        <v/>
      </c>
      <c r="X65" s="182" t="str">
        <f t="shared" si="203"/>
        <v/>
      </c>
      <c r="Y65" s="182" t="str">
        <f t="shared" si="203"/>
        <v/>
      </c>
      <c r="Z65" s="183">
        <v>0.0</v>
      </c>
      <c r="AA65" s="184">
        <f t="shared" si="31"/>
        <v>0</v>
      </c>
      <c r="AB65" s="185" t="str">
        <f t="shared" ref="AB65:AD65" si="204">IF($D65,"🔒",)</f>
        <v/>
      </c>
      <c r="AC65" s="185" t="str">
        <f t="shared" si="204"/>
        <v/>
      </c>
      <c r="AD65" s="186" t="str">
        <f t="shared" si="204"/>
        <v/>
      </c>
      <c r="AE65" s="180">
        <v>30.0</v>
      </c>
      <c r="AF65" s="187">
        <v>0.0</v>
      </c>
      <c r="AG65" s="187">
        <v>0.0</v>
      </c>
      <c r="AH65" s="187">
        <v>0.0</v>
      </c>
      <c r="AI65" s="181">
        <f t="shared" si="10"/>
        <v>0</v>
      </c>
      <c r="AJ65" s="181">
        <f t="shared" si="11"/>
        <v>0</v>
      </c>
      <c r="AK65" s="185" t="str">
        <f t="shared" si="12"/>
        <v/>
      </c>
      <c r="AL65" s="188" t="str">
        <f t="array" ref="AL65">H65*(1-I65)*VLOOKUP(AT65,{'▶️ Инструкция'!C:C,'▶️ Инструкция'!AI:AI},2,false)</f>
        <v>#N/A</v>
      </c>
      <c r="AM65" s="186" t="str">
        <f t="shared" si="13"/>
        <v/>
      </c>
      <c r="AN65" s="189">
        <v>0.0</v>
      </c>
      <c r="AO65" s="189">
        <v>0.0</v>
      </c>
      <c r="AP65" s="189">
        <v>0.0</v>
      </c>
      <c r="AQ65" s="191">
        <v>1.0</v>
      </c>
      <c r="AR65" s="191">
        <v>0.0</v>
      </c>
      <c r="AS65" s="212">
        <v>0.0</v>
      </c>
      <c r="AT65" s="193" t="s">
        <v>206</v>
      </c>
      <c r="AU65" s="193" t="s">
        <v>121</v>
      </c>
      <c r="AV65" s="193" t="s">
        <v>199</v>
      </c>
      <c r="AW65" s="194">
        <f t="shared" si="14"/>
        <v>0</v>
      </c>
      <c r="AX65" s="195">
        <f t="shared" si="15"/>
        <v>0</v>
      </c>
      <c r="AY65" s="196" t="str">
        <f t="shared" si="16"/>
        <v>#N/A</v>
      </c>
      <c r="AZ65" s="213">
        <v>250.0</v>
      </c>
      <c r="BA65" s="196">
        <f t="shared" si="17"/>
        <v>0.25</v>
      </c>
      <c r="BB65" s="213">
        <f t="shared" si="18"/>
        <v>1000</v>
      </c>
      <c r="BC65" s="199" t="str">
        <f t="shared" si="19"/>
        <v>#N/A</v>
      </c>
      <c r="BD65" s="200" t="str">
        <f t="shared" si="20"/>
        <v>#N/A</v>
      </c>
      <c r="BE65" s="200">
        <f t="shared" si="21"/>
        <v>0</v>
      </c>
      <c r="BF65" s="201" t="str">
        <f t="shared" si="22"/>
        <v/>
      </c>
      <c r="BG65" s="201" t="str">
        <f t="shared" si="23"/>
        <v/>
      </c>
      <c r="BH65" s="202" t="str">
        <f t="shared" si="24"/>
        <v/>
      </c>
      <c r="BI65" s="203"/>
      <c r="BJ65" s="204">
        <f>IFERROR(__xludf.DUMMYFUNCTION("IF(AU65=data!A$5,
IF(AV65=data!A$8,
IF(T65=data!A$3,
VLOOKUP(S65,filter('🔒 Доп. информация'!D:H,'🔒 Доп. информация'!C:C=T65),4,FALSE)+VLOOKUP(S65,filter('🔒 Доп. информация'!D:H,'🔒 Доп. информация'!C:C=T65),5,FALSE)*AJ65,
IF(AND(MAX(AF65:AH65)&lt;80,SUM(A"&amp;"F65:AH65)&lt;=160,AI65&lt;20,XLOOKUP(M65,'📄 Комиссии'!C:C,'📄 Комиссии'!B:B)&lt;&gt;""Продукты""),
VLOOKUP(S65,filter('🔒 Доп. информация'!D:H,'🔒 Доп. информация'!C:C=data!$A$3),4,FALSE)+VLOOKUP(S65,filter('🔒 Доп. информация'!D:H,'🔒 Доп. информация'!C:C=data!$A$3"&amp;"),5,FALSE)*AJ65,
VLOOKUP(S65,filter('🔒 Доп. информация'!D:H,'🔒 Доп. информация'!C:C=T65),4,FALSE)*ROUNDUP(AF65*AG65*AH65*L65/(120*80*175))/L65)
)
*(AE65/2)
,)
,)*0"),0.0)</f>
        <v>0</v>
      </c>
      <c r="BK65" s="204">
        <f>IFERROR(__xludf.DUMMYFUNCTION("IF(AU65=data!A$5,
IF(AI65&lt;=1,IF(AI65&lt;=0.8,IF(AI65&lt;=0.6,IF(AI65&lt;=0.4,IF(AI65&lt;=0.2,23,26),29),30),32)*VLOOKUP(S65,filter('🔒 Доп. информация'!D:E,'🔒 Доп. информация'!C:C=T65),2,FALSE)/'🔒 Доп. информация'!$K$9,
IF(AV65=data!A$8,U65,1)*VLOOKUP(S65,filter('"&amp;"🔒 Доп. информация'!D:E,'🔒 Доп. информация'!C:C=T65),2,FALSE)+
IF(AV65=data!A$8,U65,1)*VLOOKUP(S65,filter('🔒 Доп. информация'!D:F,'🔒 Доп. информация'!C:C=T65),3,FALSE)*AJ65)
,0)"),69.0)</f>
        <v>69</v>
      </c>
      <c r="BL65" s="185" t="str">
        <f t="shared" ref="BL65:BM65" si="205">IF($D65,"🔒",)</f>
        <v/>
      </c>
      <c r="BM65" s="185" t="str">
        <f t="shared" si="205"/>
        <v/>
      </c>
      <c r="BN65" s="204">
        <f>VLOOKUP(T65,'🔒 Доп. информация'!J:P,7,false)</f>
        <v>50</v>
      </c>
      <c r="BO65" s="204">
        <f>IF(AV65=data!A$9,
(AA65+AO65+AP65+BJ65+BK65+BN65)+H65*AS65,
(BJ65+BK65+BN65)+H65*AS65
)</f>
        <v>119</v>
      </c>
      <c r="BP65" s="204">
        <f t="shared" si="26"/>
        <v>69</v>
      </c>
      <c r="BQ65" s="204">
        <f t="shared" si="27"/>
        <v>320</v>
      </c>
      <c r="BR65" s="204" t="str">
        <f t="shared" si="37"/>
        <v>#N/A</v>
      </c>
      <c r="BS65" s="204" t="str">
        <f t="array" ref="BS65">IF(VLOOKUP(AT65,{'▶️ Инструкция'!C:C,'▶️ Инструкция'!Y:Y},2,FALSE)=data!A$15,
H65*(1-I65),
(H65-BR65))
*VLOOKUP(AT65,{'▶️ Инструкция'!C:C,'▶️ Инструкция'!AD:AD},2,FALSE)/(1+VLOOKUP(AT65,{'▶️ Инструкция'!C:C,'▶️ Инструкция'!AD:AD},2,FALSE))</f>
        <v>#N/A</v>
      </c>
      <c r="BT65" s="204" t="str">
        <f t="array" ref="BT65">
IF(VLOOKUP(AT65,{'▶️ Инструкция'!C:C,'▶️ Инструкция'!Y:Y},2,FALSE)=data!A$15,
H65*(1-I65)-BS65,
(H65-BR65-BS65))
*
VLOOKUP(AT65,{'▶️ Инструкция'!C:C,'▶️ Инструкция'!R:R},2,FALSE)
+BS65</f>
        <v>#N/A</v>
      </c>
      <c r="BU65" s="204" t="str">
        <f>(G65*AR65)+if(AV65=data!A$9,AO65,AN65)+AP65+BR65+BT65</f>
        <v>#N/A</v>
      </c>
      <c r="BV65" s="204" t="str">
        <f>(G65*AR65)+if(AV65=data!A$9,AO65,AN65)+AP65+BT65+G65</f>
        <v>#N/A</v>
      </c>
      <c r="BW65" s="204" t="str">
        <f t="shared" si="28"/>
        <v>#N/A</v>
      </c>
      <c r="BX65" s="204" t="str">
        <f t="shared" si="29"/>
        <v>#N/A</v>
      </c>
    </row>
    <row r="66">
      <c r="A66" s="165" t="str">
        <f>if(D66=true,if(F66=data!A$1,data!A$10,data!A$11),)</f>
        <v/>
      </c>
      <c r="B66" s="166" t="str">
        <f t="shared" si="4"/>
        <v>FBS</v>
      </c>
      <c r="C66" s="167" t="s">
        <v>195</v>
      </c>
      <c r="D66" s="168" t="b">
        <v>0</v>
      </c>
      <c r="E66" s="169" t="s">
        <v>204</v>
      </c>
      <c r="F66" s="170" t="str">
        <f t="array" ref="F66">IF(D66=TRUE,IF(IF(BG$3=VLOOKUP(AT66,{'▶️ Инструкция'!C:C,'▶️ Инструкция'!G:G},2,FALSE),BG66,BH66)&gt;VLOOKUP(AT66,{'▶️ Инструкция'!C:C,'▶️ Инструкция'!N:N},2,FALSE),data!A$1,data!A$2),)</f>
        <v/>
      </c>
      <c r="G66" s="171">
        <v>0.0</v>
      </c>
      <c r="H66" s="172">
        <v>1000.0</v>
      </c>
      <c r="I66" s="173">
        <v>0.0</v>
      </c>
      <c r="J66" s="173">
        <v>0.0</v>
      </c>
      <c r="K66" s="174" t="str">
        <f t="shared" si="5"/>
        <v/>
      </c>
      <c r="L66" s="175">
        <v>0.0</v>
      </c>
      <c r="M66" s="176" t="s">
        <v>197</v>
      </c>
      <c r="N66" s="177">
        <f>IFERROR(__xludf.DUMMYFUNCTION("ArrayFormula(let(category,VLOOKUP($M66, {'📄 Комиссии'!$C:$C , '📄 Комиссии'!$B:$B}, 2, 0),
data,MATCH('🔒 Доп. информация'!$J$15:$J203,TRANSPOSE(SPLIT(INDEX('▶️ Инструкция'!$Q:$Q,MATCH($AT66,'▶️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commission,VLOOKUP($M66,'📄 Комиссии'!$C:$E,IF($AV66=data!A$8,2,3),0),
IF(NOT(ISBLANK($M66)),commission/100+
IFERR"&amp;"OR(VLOOKUP($AT66,{'▶️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66" s="178" t="str">
        <f t="shared" si="6"/>
        <v/>
      </c>
      <c r="Q66" s="178" t="str">
        <f t="shared" si="7"/>
        <v/>
      </c>
      <c r="S66" s="179" t="s">
        <v>192</v>
      </c>
      <c r="T66" s="180" t="s">
        <v>193</v>
      </c>
      <c r="U66" s="181">
        <v>1.0</v>
      </c>
      <c r="V66" s="182" t="str">
        <f t="shared" ref="V66:Y66" si="206">IF($D66,"🔒",)</f>
        <v/>
      </c>
      <c r="W66" s="182" t="str">
        <f t="shared" si="206"/>
        <v/>
      </c>
      <c r="X66" s="182" t="str">
        <f t="shared" si="206"/>
        <v/>
      </c>
      <c r="Y66" s="182" t="str">
        <f t="shared" si="206"/>
        <v/>
      </c>
      <c r="Z66" s="183">
        <v>0.0</v>
      </c>
      <c r="AA66" s="184">
        <f t="shared" si="31"/>
        <v>0</v>
      </c>
      <c r="AB66" s="185" t="str">
        <f t="shared" ref="AB66:AD66" si="207">IF($D66,"🔒",)</f>
        <v/>
      </c>
      <c r="AC66" s="185" t="str">
        <f t="shared" si="207"/>
        <v/>
      </c>
      <c r="AD66" s="186" t="str">
        <f t="shared" si="207"/>
        <v/>
      </c>
      <c r="AE66" s="180">
        <v>30.0</v>
      </c>
      <c r="AF66" s="187">
        <v>0.0</v>
      </c>
      <c r="AG66" s="187">
        <v>0.0</v>
      </c>
      <c r="AH66" s="187">
        <v>0.0</v>
      </c>
      <c r="AI66" s="181">
        <f t="shared" si="10"/>
        <v>0</v>
      </c>
      <c r="AJ66" s="181">
        <f t="shared" si="11"/>
        <v>0</v>
      </c>
      <c r="AK66" s="185" t="str">
        <f t="shared" si="12"/>
        <v/>
      </c>
      <c r="AL66" s="188" t="str">
        <f t="array" ref="AL66">H66*(1-I66)*VLOOKUP(AT66,{'▶️ Инструкция'!C:C,'▶️ Инструкция'!AI:AI},2,false)</f>
        <v>#N/A</v>
      </c>
      <c r="AM66" s="186" t="str">
        <f t="shared" si="13"/>
        <v/>
      </c>
      <c r="AN66" s="189">
        <v>0.0</v>
      </c>
      <c r="AO66" s="189">
        <v>0.0</v>
      </c>
      <c r="AP66" s="189">
        <v>0.0</v>
      </c>
      <c r="AQ66" s="191">
        <v>1.0</v>
      </c>
      <c r="AR66" s="191">
        <v>0.0</v>
      </c>
      <c r="AS66" s="212">
        <v>0.0</v>
      </c>
      <c r="AT66" s="193" t="s">
        <v>206</v>
      </c>
      <c r="AU66" s="193" t="s">
        <v>121</v>
      </c>
      <c r="AV66" s="193" t="s">
        <v>199</v>
      </c>
      <c r="AW66" s="194">
        <f t="shared" si="14"/>
        <v>0</v>
      </c>
      <c r="AX66" s="195">
        <f t="shared" si="15"/>
        <v>0</v>
      </c>
      <c r="AY66" s="196" t="str">
        <f t="shared" si="16"/>
        <v>#N/A</v>
      </c>
      <c r="AZ66" s="213">
        <v>250.0</v>
      </c>
      <c r="BA66" s="196">
        <f t="shared" si="17"/>
        <v>0.25</v>
      </c>
      <c r="BB66" s="213">
        <f t="shared" si="18"/>
        <v>1000</v>
      </c>
      <c r="BC66" s="199" t="str">
        <f t="shared" si="19"/>
        <v>#N/A</v>
      </c>
      <c r="BD66" s="200" t="str">
        <f t="shared" si="20"/>
        <v>#N/A</v>
      </c>
      <c r="BE66" s="200">
        <f t="shared" si="21"/>
        <v>0</v>
      </c>
      <c r="BF66" s="201" t="str">
        <f t="shared" si="22"/>
        <v/>
      </c>
      <c r="BG66" s="201" t="str">
        <f t="shared" si="23"/>
        <v/>
      </c>
      <c r="BH66" s="202" t="str">
        <f t="shared" si="24"/>
        <v/>
      </c>
      <c r="BI66" s="203"/>
      <c r="BJ66" s="204">
        <f>IFERROR(__xludf.DUMMYFUNCTION("IF(AU66=data!A$5,
IF(AV66=data!A$8,
IF(T66=data!A$3,
VLOOKUP(S66,filter('🔒 Доп. информация'!D:H,'🔒 Доп. информация'!C:C=T66),4,FALSE)+VLOOKUP(S66,filter('🔒 Доп. информация'!D:H,'🔒 Доп. информация'!C:C=T66),5,FALSE)*AJ66,
IF(AND(MAX(AF66:AH66)&lt;80,SUM(A"&amp;"F66:AH66)&lt;=160,AI66&lt;20,XLOOKUP(M66,'📄 Комиссии'!C:C,'📄 Комиссии'!B:B)&lt;&gt;""Продукты""),
VLOOKUP(S66,filter('🔒 Доп. информация'!D:H,'🔒 Доп. информация'!C:C=data!$A$3),4,FALSE)+VLOOKUP(S66,filter('🔒 Доп. информация'!D:H,'🔒 Доп. информация'!C:C=data!$A$3"&amp;"),5,FALSE)*AJ66,
VLOOKUP(S66,filter('🔒 Доп. информация'!D:H,'🔒 Доп. информация'!C:C=T66),4,FALSE)*ROUNDUP(AF66*AG66*AH66*L66/(120*80*175))/L66)
)
*(AE66/2)
,)
,)*0"),0.0)</f>
        <v>0</v>
      </c>
      <c r="BK66" s="204">
        <f>IFERROR(__xludf.DUMMYFUNCTION("IF(AU66=data!A$5,
IF(AI66&lt;=1,IF(AI66&lt;=0.8,IF(AI66&lt;=0.6,IF(AI66&lt;=0.4,IF(AI66&lt;=0.2,23,26),29),30),32)*VLOOKUP(S66,filter('🔒 Доп. информация'!D:E,'🔒 Доп. информация'!C:C=T66),2,FALSE)/'🔒 Доп. информация'!$K$9,
IF(AV66=data!A$8,U66,1)*VLOOKUP(S66,filter('"&amp;"🔒 Доп. информация'!D:E,'🔒 Доп. информация'!C:C=T66),2,FALSE)+
IF(AV66=data!A$8,U66,1)*VLOOKUP(S66,filter('🔒 Доп. информация'!D:F,'🔒 Доп. информация'!C:C=T66),3,FALSE)*AJ66)
,0)"),69.0)</f>
        <v>69</v>
      </c>
      <c r="BL66" s="185" t="str">
        <f t="shared" ref="BL66:BM66" si="208">IF($D66,"🔒",)</f>
        <v/>
      </c>
      <c r="BM66" s="185" t="str">
        <f t="shared" si="208"/>
        <v/>
      </c>
      <c r="BN66" s="204">
        <f>VLOOKUP(T66,'🔒 Доп. информация'!J:P,7,false)</f>
        <v>50</v>
      </c>
      <c r="BO66" s="204">
        <f>IF(AV66=data!A$9,
(AA66+AO66+AP66+BJ66+BK66+BN66)+H66*AS66,
(BJ66+BK66+BN66)+H66*AS66
)</f>
        <v>119</v>
      </c>
      <c r="BP66" s="204">
        <f t="shared" si="26"/>
        <v>69</v>
      </c>
      <c r="BQ66" s="204">
        <f t="shared" si="27"/>
        <v>320</v>
      </c>
      <c r="BR66" s="204" t="str">
        <f t="shared" si="37"/>
        <v>#N/A</v>
      </c>
      <c r="BS66" s="204" t="str">
        <f t="array" ref="BS66">IF(VLOOKUP(AT66,{'▶️ Инструкция'!C:C,'▶️ Инструкция'!Y:Y},2,FALSE)=data!A$15,
H66*(1-I66),
(H66-BR66))
*VLOOKUP(AT66,{'▶️ Инструкция'!C:C,'▶️ Инструкция'!AD:AD},2,FALSE)/(1+VLOOKUP(AT66,{'▶️ Инструкция'!C:C,'▶️ Инструкция'!AD:AD},2,FALSE))</f>
        <v>#N/A</v>
      </c>
      <c r="BT66" s="204" t="str">
        <f t="array" ref="BT66">
IF(VLOOKUP(AT66,{'▶️ Инструкция'!C:C,'▶️ Инструкция'!Y:Y},2,FALSE)=data!A$15,
H66*(1-I66)-BS66,
(H66-BR66-BS66))
*
VLOOKUP(AT66,{'▶️ Инструкция'!C:C,'▶️ Инструкция'!R:R},2,FALSE)
+BS66</f>
        <v>#N/A</v>
      </c>
      <c r="BU66" s="204" t="str">
        <f>(G66*AR66)+if(AV66=data!A$9,AO66,AN66)+AP66+BR66+BT66</f>
        <v>#N/A</v>
      </c>
      <c r="BV66" s="204" t="str">
        <f>(G66*AR66)+if(AV66=data!A$9,AO66,AN66)+AP66+BT66+G66</f>
        <v>#N/A</v>
      </c>
      <c r="BW66" s="204" t="str">
        <f t="shared" si="28"/>
        <v>#N/A</v>
      </c>
      <c r="BX66" s="204" t="str">
        <f t="shared" si="29"/>
        <v>#N/A</v>
      </c>
    </row>
    <row r="67">
      <c r="A67" s="165" t="str">
        <f>if(D67=true,if(F67=data!A$1,data!A$10,data!A$11),)</f>
        <v/>
      </c>
      <c r="B67" s="166" t="str">
        <f t="shared" si="4"/>
        <v>FBS</v>
      </c>
      <c r="C67" s="167" t="s">
        <v>195</v>
      </c>
      <c r="D67" s="168" t="b">
        <v>0</v>
      </c>
      <c r="E67" s="169" t="s">
        <v>204</v>
      </c>
      <c r="F67" s="170" t="str">
        <f t="array" ref="F67">IF(D67=TRUE,IF(IF(BG$3=VLOOKUP(AT67,{'▶️ Инструкция'!C:C,'▶️ Инструкция'!G:G},2,FALSE),BG67,BH67)&gt;VLOOKUP(AT67,{'▶️ Инструкция'!C:C,'▶️ Инструкция'!N:N},2,FALSE),data!A$1,data!A$2),)</f>
        <v/>
      </c>
      <c r="G67" s="171">
        <v>0.0</v>
      </c>
      <c r="H67" s="172">
        <v>1000.0</v>
      </c>
      <c r="I67" s="173">
        <v>0.0</v>
      </c>
      <c r="J67" s="173">
        <v>0.0</v>
      </c>
      <c r="K67" s="174" t="str">
        <f t="shared" si="5"/>
        <v/>
      </c>
      <c r="L67" s="175">
        <v>0.0</v>
      </c>
      <c r="M67" s="176" t="s">
        <v>197</v>
      </c>
      <c r="N67" s="177">
        <f>IFERROR(__xludf.DUMMYFUNCTION("ArrayFormula(let(category,VLOOKUP($M67, {'📄 Комиссии'!$C:$C , '📄 Комиссии'!$B:$B}, 2, 0),
data,MATCH('🔒 Доп. информация'!$J$15:$J203,TRANSPOSE(SPLIT(INDEX('▶️ Инструкция'!$Q:$Q,MATCH($AT67,'▶️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commission,VLOOKUP($M67,'📄 Комиссии'!$C:$E,IF($AV67=data!A$8,2,3),0),
IF(NOT(ISBLANK($M67)),commission/100+
IFERR"&amp;"OR(VLOOKUP($AT67,{'▶️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67" s="178" t="str">
        <f t="shared" si="6"/>
        <v/>
      </c>
      <c r="Q67" s="178" t="str">
        <f t="shared" si="7"/>
        <v/>
      </c>
      <c r="S67" s="179" t="s">
        <v>192</v>
      </c>
      <c r="T67" s="180" t="s">
        <v>193</v>
      </c>
      <c r="U67" s="181">
        <v>1.0</v>
      </c>
      <c r="V67" s="182" t="str">
        <f t="shared" ref="V67:Y67" si="209">IF($D67,"🔒",)</f>
        <v/>
      </c>
      <c r="W67" s="182" t="str">
        <f t="shared" si="209"/>
        <v/>
      </c>
      <c r="X67" s="182" t="str">
        <f t="shared" si="209"/>
        <v/>
      </c>
      <c r="Y67" s="182" t="str">
        <f t="shared" si="209"/>
        <v/>
      </c>
      <c r="Z67" s="183">
        <v>0.0</v>
      </c>
      <c r="AA67" s="184">
        <f t="shared" si="31"/>
        <v>0</v>
      </c>
      <c r="AB67" s="185" t="str">
        <f t="shared" ref="AB67:AD67" si="210">IF($D67,"🔒",)</f>
        <v/>
      </c>
      <c r="AC67" s="185" t="str">
        <f t="shared" si="210"/>
        <v/>
      </c>
      <c r="AD67" s="186" t="str">
        <f t="shared" si="210"/>
        <v/>
      </c>
      <c r="AE67" s="180">
        <v>30.0</v>
      </c>
      <c r="AF67" s="187">
        <v>0.0</v>
      </c>
      <c r="AG67" s="187">
        <v>0.0</v>
      </c>
      <c r="AH67" s="187">
        <v>0.0</v>
      </c>
      <c r="AI67" s="181">
        <f t="shared" si="10"/>
        <v>0</v>
      </c>
      <c r="AJ67" s="181">
        <f t="shared" si="11"/>
        <v>0</v>
      </c>
      <c r="AK67" s="185" t="str">
        <f t="shared" si="12"/>
        <v/>
      </c>
      <c r="AL67" s="188" t="str">
        <f t="array" ref="AL67">H67*(1-I67)*VLOOKUP(AT67,{'▶️ Инструкция'!C:C,'▶️ Инструкция'!AI:AI},2,false)</f>
        <v>#N/A</v>
      </c>
      <c r="AM67" s="186" t="str">
        <f t="shared" si="13"/>
        <v/>
      </c>
      <c r="AN67" s="189">
        <v>0.0</v>
      </c>
      <c r="AO67" s="189">
        <v>0.0</v>
      </c>
      <c r="AP67" s="189">
        <v>0.0</v>
      </c>
      <c r="AQ67" s="191">
        <v>1.0</v>
      </c>
      <c r="AR67" s="191">
        <v>0.0</v>
      </c>
      <c r="AS67" s="212">
        <v>0.0</v>
      </c>
      <c r="AT67" s="193" t="s">
        <v>206</v>
      </c>
      <c r="AU67" s="193" t="s">
        <v>121</v>
      </c>
      <c r="AV67" s="193" t="s">
        <v>199</v>
      </c>
      <c r="AW67" s="194">
        <f t="shared" si="14"/>
        <v>0</v>
      </c>
      <c r="AX67" s="195">
        <f t="shared" si="15"/>
        <v>0</v>
      </c>
      <c r="AY67" s="196" t="str">
        <f t="shared" si="16"/>
        <v>#N/A</v>
      </c>
      <c r="AZ67" s="213">
        <v>250.0</v>
      </c>
      <c r="BA67" s="196">
        <f t="shared" si="17"/>
        <v>0.25</v>
      </c>
      <c r="BB67" s="213">
        <f t="shared" si="18"/>
        <v>1000</v>
      </c>
      <c r="BC67" s="199" t="str">
        <f t="shared" si="19"/>
        <v>#N/A</v>
      </c>
      <c r="BD67" s="200" t="str">
        <f t="shared" si="20"/>
        <v>#N/A</v>
      </c>
      <c r="BE67" s="200">
        <f t="shared" si="21"/>
        <v>0</v>
      </c>
      <c r="BF67" s="201" t="str">
        <f t="shared" si="22"/>
        <v/>
      </c>
      <c r="BG67" s="201" t="str">
        <f t="shared" si="23"/>
        <v/>
      </c>
      <c r="BH67" s="202" t="str">
        <f t="shared" si="24"/>
        <v/>
      </c>
      <c r="BI67" s="203"/>
      <c r="BJ67" s="204">
        <f>IFERROR(__xludf.DUMMYFUNCTION("IF(AU67=data!A$5,
IF(AV67=data!A$8,
IF(T67=data!A$3,
VLOOKUP(S67,filter('🔒 Доп. информация'!D:H,'🔒 Доп. информация'!C:C=T67),4,FALSE)+VLOOKUP(S67,filter('🔒 Доп. информация'!D:H,'🔒 Доп. информация'!C:C=T67),5,FALSE)*AJ67,
IF(AND(MAX(AF67:AH67)&lt;80,SUM(A"&amp;"F67:AH67)&lt;=160,AI67&lt;20,XLOOKUP(M67,'📄 Комиссии'!C:C,'📄 Комиссии'!B:B)&lt;&gt;""Продукты""),
VLOOKUP(S67,filter('🔒 Доп. информация'!D:H,'🔒 Доп. информация'!C:C=data!$A$3),4,FALSE)+VLOOKUP(S67,filter('🔒 Доп. информация'!D:H,'🔒 Доп. информация'!C:C=data!$A$3"&amp;"),5,FALSE)*AJ67,
VLOOKUP(S67,filter('🔒 Доп. информация'!D:H,'🔒 Доп. информация'!C:C=T67),4,FALSE)*ROUNDUP(AF67*AG67*AH67*L67/(120*80*175))/L67)
)
*(AE67/2)
,)
,)*0"),0.0)</f>
        <v>0</v>
      </c>
      <c r="BK67" s="204">
        <f>IFERROR(__xludf.DUMMYFUNCTION("IF(AU67=data!A$5,
IF(AI67&lt;=1,IF(AI67&lt;=0.8,IF(AI67&lt;=0.6,IF(AI67&lt;=0.4,IF(AI67&lt;=0.2,23,26),29),30),32)*VLOOKUP(S67,filter('🔒 Доп. информация'!D:E,'🔒 Доп. информация'!C:C=T67),2,FALSE)/'🔒 Доп. информация'!$K$9,
IF(AV67=data!A$8,U67,1)*VLOOKUP(S67,filter('"&amp;"🔒 Доп. информация'!D:E,'🔒 Доп. информация'!C:C=T67),2,FALSE)+
IF(AV67=data!A$8,U67,1)*VLOOKUP(S67,filter('🔒 Доп. информация'!D:F,'🔒 Доп. информация'!C:C=T67),3,FALSE)*AJ67)
,0)"),69.0)</f>
        <v>69</v>
      </c>
      <c r="BL67" s="185" t="str">
        <f t="shared" ref="BL67:BM67" si="211">IF($D67,"🔒",)</f>
        <v/>
      </c>
      <c r="BM67" s="185" t="str">
        <f t="shared" si="211"/>
        <v/>
      </c>
      <c r="BN67" s="204">
        <f>VLOOKUP(T67,'🔒 Доп. информация'!J:P,7,false)</f>
        <v>50</v>
      </c>
      <c r="BO67" s="204">
        <f>IF(AV67=data!A$9,
(AA67+AO67+AP67+BJ67+BK67+BN67)+H67*AS67,
(BJ67+BK67+BN67)+H67*AS67
)</f>
        <v>119</v>
      </c>
      <c r="BP67" s="204">
        <f t="shared" si="26"/>
        <v>69</v>
      </c>
      <c r="BQ67" s="204">
        <f t="shared" si="27"/>
        <v>320</v>
      </c>
      <c r="BR67" s="204" t="str">
        <f t="shared" si="37"/>
        <v>#N/A</v>
      </c>
      <c r="BS67" s="204" t="str">
        <f t="array" ref="BS67">IF(VLOOKUP(AT67,{'▶️ Инструкция'!C:C,'▶️ Инструкция'!Y:Y},2,FALSE)=data!A$15,
H67*(1-I67),
(H67-BR67))
*VLOOKUP(AT67,{'▶️ Инструкция'!C:C,'▶️ Инструкция'!AD:AD},2,FALSE)/(1+VLOOKUP(AT67,{'▶️ Инструкция'!C:C,'▶️ Инструкция'!AD:AD},2,FALSE))</f>
        <v>#N/A</v>
      </c>
      <c r="BT67" s="204" t="str">
        <f t="array" ref="BT67">
IF(VLOOKUP(AT67,{'▶️ Инструкция'!C:C,'▶️ Инструкция'!Y:Y},2,FALSE)=data!A$15,
H67*(1-I67)-BS67,
(H67-BR67-BS67))
*
VLOOKUP(AT67,{'▶️ Инструкция'!C:C,'▶️ Инструкция'!R:R},2,FALSE)
+BS67</f>
        <v>#N/A</v>
      </c>
      <c r="BU67" s="204" t="str">
        <f>(G67*AR67)+if(AV67=data!A$9,AO67,AN67)+AP67+BR67+BT67</f>
        <v>#N/A</v>
      </c>
      <c r="BV67" s="204" t="str">
        <f>(G67*AR67)+if(AV67=data!A$9,AO67,AN67)+AP67+BT67+G67</f>
        <v>#N/A</v>
      </c>
      <c r="BW67" s="204" t="str">
        <f t="shared" si="28"/>
        <v>#N/A</v>
      </c>
      <c r="BX67" s="204" t="str">
        <f t="shared" si="29"/>
        <v>#N/A</v>
      </c>
    </row>
    <row r="68">
      <c r="A68" s="165" t="str">
        <f>if(D68=true,if(F68=data!A$1,data!A$10,data!A$11),)</f>
        <v/>
      </c>
      <c r="B68" s="166" t="str">
        <f t="shared" si="4"/>
        <v>FBS</v>
      </c>
      <c r="C68" s="167" t="s">
        <v>195</v>
      </c>
      <c r="D68" s="168" t="b">
        <v>0</v>
      </c>
      <c r="E68" s="169" t="s">
        <v>204</v>
      </c>
      <c r="F68" s="170" t="str">
        <f t="array" ref="F68">IF(D68=TRUE,IF(IF(BG$3=VLOOKUP(AT68,{'▶️ Инструкция'!C:C,'▶️ Инструкция'!G:G},2,FALSE),BG68,BH68)&gt;VLOOKUP(AT68,{'▶️ Инструкция'!C:C,'▶️ Инструкция'!N:N},2,FALSE),data!A$1,data!A$2),)</f>
        <v/>
      </c>
      <c r="G68" s="171">
        <v>0.0</v>
      </c>
      <c r="H68" s="172">
        <v>1000.0</v>
      </c>
      <c r="I68" s="173">
        <v>0.0</v>
      </c>
      <c r="J68" s="173">
        <v>0.0</v>
      </c>
      <c r="K68" s="174" t="str">
        <f t="shared" si="5"/>
        <v/>
      </c>
      <c r="L68" s="175">
        <v>0.0</v>
      </c>
      <c r="M68" s="176" t="s">
        <v>197</v>
      </c>
      <c r="N68" s="177">
        <f>IFERROR(__xludf.DUMMYFUNCTION("ArrayFormula(let(category,VLOOKUP($M68, {'📄 Комиссии'!$C:$C , '📄 Комиссии'!$B:$B}, 2, 0),
data,MATCH('🔒 Доп. информация'!$J$15:$J203,TRANSPOSE(SPLIT(INDEX('▶️ Инструкция'!$Q:$Q,MATCH($AT68,'▶️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commission,VLOOKUP($M68,'📄 Комиссии'!$C:$E,IF($AV68=data!A$8,2,3),0),
IF(NOT(ISBLANK($M68)),commission/100+
IFERR"&amp;"OR(VLOOKUP($AT68,{'▶️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68" s="178" t="str">
        <f t="shared" si="6"/>
        <v/>
      </c>
      <c r="Q68" s="178" t="str">
        <f t="shared" si="7"/>
        <v/>
      </c>
      <c r="S68" s="179" t="s">
        <v>192</v>
      </c>
      <c r="T68" s="180" t="s">
        <v>193</v>
      </c>
      <c r="U68" s="181">
        <v>1.0</v>
      </c>
      <c r="V68" s="182" t="str">
        <f t="shared" ref="V68:Y68" si="212">IF($D68,"🔒",)</f>
        <v/>
      </c>
      <c r="W68" s="182" t="str">
        <f t="shared" si="212"/>
        <v/>
      </c>
      <c r="X68" s="182" t="str">
        <f t="shared" si="212"/>
        <v/>
      </c>
      <c r="Y68" s="182" t="str">
        <f t="shared" si="212"/>
        <v/>
      </c>
      <c r="Z68" s="183">
        <v>0.0</v>
      </c>
      <c r="AA68" s="184">
        <f t="shared" si="31"/>
        <v>0</v>
      </c>
      <c r="AB68" s="185" t="str">
        <f t="shared" ref="AB68:AD68" si="213">IF($D68,"🔒",)</f>
        <v/>
      </c>
      <c r="AC68" s="185" t="str">
        <f t="shared" si="213"/>
        <v/>
      </c>
      <c r="AD68" s="186" t="str">
        <f t="shared" si="213"/>
        <v/>
      </c>
      <c r="AE68" s="180">
        <v>30.0</v>
      </c>
      <c r="AF68" s="187">
        <v>0.0</v>
      </c>
      <c r="AG68" s="187">
        <v>0.0</v>
      </c>
      <c r="AH68" s="187">
        <v>0.0</v>
      </c>
      <c r="AI68" s="181">
        <f t="shared" si="10"/>
        <v>0</v>
      </c>
      <c r="AJ68" s="181">
        <f t="shared" si="11"/>
        <v>0</v>
      </c>
      <c r="AK68" s="185" t="str">
        <f t="shared" si="12"/>
        <v/>
      </c>
      <c r="AL68" s="188" t="str">
        <f t="array" ref="AL68">H68*(1-I68)*VLOOKUP(AT68,{'▶️ Инструкция'!C:C,'▶️ Инструкция'!AI:AI},2,false)</f>
        <v>#N/A</v>
      </c>
      <c r="AM68" s="186" t="str">
        <f t="shared" si="13"/>
        <v/>
      </c>
      <c r="AN68" s="189">
        <v>0.0</v>
      </c>
      <c r="AO68" s="189">
        <v>0.0</v>
      </c>
      <c r="AP68" s="189">
        <v>0.0</v>
      </c>
      <c r="AQ68" s="191">
        <v>1.0</v>
      </c>
      <c r="AR68" s="191">
        <v>0.0</v>
      </c>
      <c r="AS68" s="212">
        <v>0.0</v>
      </c>
      <c r="AT68" s="193" t="s">
        <v>206</v>
      </c>
      <c r="AU68" s="193" t="s">
        <v>121</v>
      </c>
      <c r="AV68" s="193" t="s">
        <v>199</v>
      </c>
      <c r="AW68" s="194">
        <f t="shared" si="14"/>
        <v>0</v>
      </c>
      <c r="AX68" s="195">
        <f t="shared" si="15"/>
        <v>0</v>
      </c>
      <c r="AY68" s="196" t="str">
        <f t="shared" si="16"/>
        <v>#N/A</v>
      </c>
      <c r="AZ68" s="213">
        <v>250.0</v>
      </c>
      <c r="BA68" s="196">
        <f t="shared" si="17"/>
        <v>0.25</v>
      </c>
      <c r="BB68" s="213">
        <f t="shared" si="18"/>
        <v>1000</v>
      </c>
      <c r="BC68" s="199" t="str">
        <f t="shared" si="19"/>
        <v>#N/A</v>
      </c>
      <c r="BD68" s="200" t="str">
        <f t="shared" si="20"/>
        <v>#N/A</v>
      </c>
      <c r="BE68" s="200">
        <f t="shared" si="21"/>
        <v>0</v>
      </c>
      <c r="BF68" s="201" t="str">
        <f t="shared" si="22"/>
        <v/>
      </c>
      <c r="BG68" s="201" t="str">
        <f t="shared" si="23"/>
        <v/>
      </c>
      <c r="BH68" s="202" t="str">
        <f t="shared" si="24"/>
        <v/>
      </c>
      <c r="BI68" s="203"/>
      <c r="BJ68" s="204">
        <f>IFERROR(__xludf.DUMMYFUNCTION("IF(AU68=data!A$5,
IF(AV68=data!A$8,
IF(T68=data!A$3,
VLOOKUP(S68,filter('🔒 Доп. информация'!D:H,'🔒 Доп. информация'!C:C=T68),4,FALSE)+VLOOKUP(S68,filter('🔒 Доп. информация'!D:H,'🔒 Доп. информация'!C:C=T68),5,FALSE)*AJ68,
IF(AND(MAX(AF68:AH68)&lt;80,SUM(A"&amp;"F68:AH68)&lt;=160,AI68&lt;20,XLOOKUP(M68,'📄 Комиссии'!C:C,'📄 Комиссии'!B:B)&lt;&gt;""Продукты""),
VLOOKUP(S68,filter('🔒 Доп. информация'!D:H,'🔒 Доп. информация'!C:C=data!$A$3),4,FALSE)+VLOOKUP(S68,filter('🔒 Доп. информация'!D:H,'🔒 Доп. информация'!C:C=data!$A$3"&amp;"),5,FALSE)*AJ68,
VLOOKUP(S68,filter('🔒 Доп. информация'!D:H,'🔒 Доп. информация'!C:C=T68),4,FALSE)*ROUNDUP(AF68*AG68*AH68*L68/(120*80*175))/L68)
)
*(AE68/2)
,)
,)*0"),0.0)</f>
        <v>0</v>
      </c>
      <c r="BK68" s="204">
        <f>IFERROR(__xludf.DUMMYFUNCTION("IF(AU68=data!A$5,
IF(AI68&lt;=1,IF(AI68&lt;=0.8,IF(AI68&lt;=0.6,IF(AI68&lt;=0.4,IF(AI68&lt;=0.2,23,26),29),30),32)*VLOOKUP(S68,filter('🔒 Доп. информация'!D:E,'🔒 Доп. информация'!C:C=T68),2,FALSE)/'🔒 Доп. информация'!$K$9,
IF(AV68=data!A$8,U68,1)*VLOOKUP(S68,filter('"&amp;"🔒 Доп. информация'!D:E,'🔒 Доп. информация'!C:C=T68),2,FALSE)+
IF(AV68=data!A$8,U68,1)*VLOOKUP(S68,filter('🔒 Доп. информация'!D:F,'🔒 Доп. информация'!C:C=T68),3,FALSE)*AJ68)
,0)"),69.0)</f>
        <v>69</v>
      </c>
      <c r="BL68" s="185" t="str">
        <f t="shared" ref="BL68:BM68" si="214">IF($D68,"🔒",)</f>
        <v/>
      </c>
      <c r="BM68" s="185" t="str">
        <f t="shared" si="214"/>
        <v/>
      </c>
      <c r="BN68" s="204">
        <f>VLOOKUP(T68,'🔒 Доп. информация'!J:P,7,false)</f>
        <v>50</v>
      </c>
      <c r="BO68" s="204">
        <f>IF(AV68=data!A$9,
(AA68+AO68+AP68+BJ68+BK68+BN68)+H68*AS68,
(BJ68+BK68+BN68)+H68*AS68
)</f>
        <v>119</v>
      </c>
      <c r="BP68" s="204">
        <f t="shared" si="26"/>
        <v>69</v>
      </c>
      <c r="BQ68" s="204">
        <f t="shared" si="27"/>
        <v>320</v>
      </c>
      <c r="BR68" s="204" t="str">
        <f t="shared" si="37"/>
        <v>#N/A</v>
      </c>
      <c r="BS68" s="204" t="str">
        <f t="array" ref="BS68">IF(VLOOKUP(AT68,{'▶️ Инструкция'!C:C,'▶️ Инструкция'!Y:Y},2,FALSE)=data!A$15,
H68*(1-I68),
(H68-BR68))
*VLOOKUP(AT68,{'▶️ Инструкция'!C:C,'▶️ Инструкция'!AD:AD},2,FALSE)/(1+VLOOKUP(AT68,{'▶️ Инструкция'!C:C,'▶️ Инструкция'!AD:AD},2,FALSE))</f>
        <v>#N/A</v>
      </c>
      <c r="BT68" s="204" t="str">
        <f t="array" ref="BT68">
IF(VLOOKUP(AT68,{'▶️ Инструкция'!C:C,'▶️ Инструкция'!Y:Y},2,FALSE)=data!A$15,
H68*(1-I68)-BS68,
(H68-BR68-BS68))
*
VLOOKUP(AT68,{'▶️ Инструкция'!C:C,'▶️ Инструкция'!R:R},2,FALSE)
+BS68</f>
        <v>#N/A</v>
      </c>
      <c r="BU68" s="204" t="str">
        <f>(G68*AR68)+if(AV68=data!A$9,AO68,AN68)+AP68+BR68+BT68</f>
        <v>#N/A</v>
      </c>
      <c r="BV68" s="204" t="str">
        <f>(G68*AR68)+if(AV68=data!A$9,AO68,AN68)+AP68+BT68+G68</f>
        <v>#N/A</v>
      </c>
      <c r="BW68" s="204" t="str">
        <f t="shared" si="28"/>
        <v>#N/A</v>
      </c>
      <c r="BX68" s="204" t="str">
        <f t="shared" si="29"/>
        <v>#N/A</v>
      </c>
    </row>
    <row r="69">
      <c r="A69" s="165" t="str">
        <f>if(D69=true,if(F69=data!A$1,data!A$10,data!A$11),)</f>
        <v/>
      </c>
      <c r="B69" s="166" t="str">
        <f t="shared" si="4"/>
        <v>FBS</v>
      </c>
      <c r="C69" s="167" t="s">
        <v>195</v>
      </c>
      <c r="D69" s="168" t="b">
        <v>0</v>
      </c>
      <c r="E69" s="169" t="s">
        <v>204</v>
      </c>
      <c r="F69" s="170" t="str">
        <f t="array" ref="F69">IF(D69=TRUE,IF(IF(BG$3=VLOOKUP(AT69,{'▶️ Инструкция'!C:C,'▶️ Инструкция'!G:G},2,FALSE),BG69,BH69)&gt;VLOOKUP(AT69,{'▶️ Инструкция'!C:C,'▶️ Инструкция'!N:N},2,FALSE),data!A$1,data!A$2),)</f>
        <v/>
      </c>
      <c r="G69" s="171">
        <v>0.0</v>
      </c>
      <c r="H69" s="172">
        <v>1000.0</v>
      </c>
      <c r="I69" s="173">
        <v>0.0</v>
      </c>
      <c r="J69" s="173">
        <v>0.0</v>
      </c>
      <c r="K69" s="174" t="str">
        <f t="shared" si="5"/>
        <v/>
      </c>
      <c r="L69" s="175">
        <v>0.0</v>
      </c>
      <c r="M69" s="176" t="s">
        <v>197</v>
      </c>
      <c r="N69" s="177">
        <f>IFERROR(__xludf.DUMMYFUNCTION("ArrayFormula(let(category,VLOOKUP($M69, {'📄 Комиссии'!$C:$C , '📄 Комиссии'!$B:$B}, 2, 0),
data,MATCH('🔒 Доп. информация'!$J$15:$J203,TRANSPOSE(SPLIT(INDEX('▶️ Инструкция'!$Q:$Q,MATCH($AT69,'▶️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commission,VLOOKUP($M69,'📄 Комиссии'!$C:$E,IF($AV69=data!A$8,2,3),0),
IF(NOT(ISBLANK($M69)),commission/100+
IFERR"&amp;"OR(VLOOKUP($AT69,{'▶️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69" s="178" t="str">
        <f t="shared" si="6"/>
        <v/>
      </c>
      <c r="Q69" s="178" t="str">
        <f t="shared" si="7"/>
        <v/>
      </c>
      <c r="S69" s="179" t="s">
        <v>192</v>
      </c>
      <c r="T69" s="180" t="s">
        <v>193</v>
      </c>
      <c r="U69" s="181">
        <v>1.0</v>
      </c>
      <c r="V69" s="182" t="str">
        <f t="shared" ref="V69:Y69" si="215">IF($D69,"🔒",)</f>
        <v/>
      </c>
      <c r="W69" s="182" t="str">
        <f t="shared" si="215"/>
        <v/>
      </c>
      <c r="X69" s="182" t="str">
        <f t="shared" si="215"/>
        <v/>
      </c>
      <c r="Y69" s="182" t="str">
        <f t="shared" si="215"/>
        <v/>
      </c>
      <c r="Z69" s="183">
        <v>0.0</v>
      </c>
      <c r="AA69" s="184">
        <f t="shared" si="31"/>
        <v>0</v>
      </c>
      <c r="AB69" s="185" t="str">
        <f t="shared" ref="AB69:AD69" si="216">IF($D69,"🔒",)</f>
        <v/>
      </c>
      <c r="AC69" s="185" t="str">
        <f t="shared" si="216"/>
        <v/>
      </c>
      <c r="AD69" s="186" t="str">
        <f t="shared" si="216"/>
        <v/>
      </c>
      <c r="AE69" s="180">
        <v>30.0</v>
      </c>
      <c r="AF69" s="187">
        <v>0.0</v>
      </c>
      <c r="AG69" s="187">
        <v>0.0</v>
      </c>
      <c r="AH69" s="187">
        <v>0.0</v>
      </c>
      <c r="AI69" s="181">
        <f t="shared" si="10"/>
        <v>0</v>
      </c>
      <c r="AJ69" s="181">
        <f t="shared" si="11"/>
        <v>0</v>
      </c>
      <c r="AK69" s="185" t="str">
        <f t="shared" si="12"/>
        <v/>
      </c>
      <c r="AL69" s="188" t="str">
        <f t="array" ref="AL69">H69*(1-I69)*VLOOKUP(AT69,{'▶️ Инструкция'!C:C,'▶️ Инструкция'!AI:AI},2,false)</f>
        <v>#N/A</v>
      </c>
      <c r="AM69" s="186" t="str">
        <f t="shared" si="13"/>
        <v/>
      </c>
      <c r="AN69" s="189">
        <v>0.0</v>
      </c>
      <c r="AO69" s="189">
        <v>0.0</v>
      </c>
      <c r="AP69" s="189">
        <v>0.0</v>
      </c>
      <c r="AQ69" s="191">
        <v>1.0</v>
      </c>
      <c r="AR69" s="191">
        <v>0.0</v>
      </c>
      <c r="AS69" s="212">
        <v>0.0</v>
      </c>
      <c r="AT69" s="193" t="s">
        <v>206</v>
      </c>
      <c r="AU69" s="193" t="s">
        <v>121</v>
      </c>
      <c r="AV69" s="193" t="s">
        <v>199</v>
      </c>
      <c r="AW69" s="194">
        <f t="shared" si="14"/>
        <v>0</v>
      </c>
      <c r="AX69" s="195">
        <f t="shared" si="15"/>
        <v>0</v>
      </c>
      <c r="AY69" s="196" t="str">
        <f t="shared" si="16"/>
        <v>#N/A</v>
      </c>
      <c r="AZ69" s="213">
        <v>250.0</v>
      </c>
      <c r="BA69" s="196">
        <f t="shared" si="17"/>
        <v>0.25</v>
      </c>
      <c r="BB69" s="213">
        <f t="shared" si="18"/>
        <v>1000</v>
      </c>
      <c r="BC69" s="199" t="str">
        <f t="shared" si="19"/>
        <v>#N/A</v>
      </c>
      <c r="BD69" s="200" t="str">
        <f t="shared" si="20"/>
        <v>#N/A</v>
      </c>
      <c r="BE69" s="200">
        <f t="shared" si="21"/>
        <v>0</v>
      </c>
      <c r="BF69" s="201" t="str">
        <f t="shared" si="22"/>
        <v/>
      </c>
      <c r="BG69" s="201" t="str">
        <f t="shared" si="23"/>
        <v/>
      </c>
      <c r="BH69" s="202" t="str">
        <f t="shared" si="24"/>
        <v/>
      </c>
      <c r="BI69" s="203"/>
      <c r="BJ69" s="204">
        <f>IFERROR(__xludf.DUMMYFUNCTION("IF(AU69=data!A$5,
IF(AV69=data!A$8,
IF(T69=data!A$3,
VLOOKUP(S69,filter('🔒 Доп. информация'!D:H,'🔒 Доп. информация'!C:C=T69),4,FALSE)+VLOOKUP(S69,filter('🔒 Доп. информация'!D:H,'🔒 Доп. информация'!C:C=T69),5,FALSE)*AJ69,
IF(AND(MAX(AF69:AH69)&lt;80,SUM(A"&amp;"F69:AH69)&lt;=160,AI69&lt;20,XLOOKUP(M69,'📄 Комиссии'!C:C,'📄 Комиссии'!B:B)&lt;&gt;""Продукты""),
VLOOKUP(S69,filter('🔒 Доп. информация'!D:H,'🔒 Доп. информация'!C:C=data!$A$3),4,FALSE)+VLOOKUP(S69,filter('🔒 Доп. информация'!D:H,'🔒 Доп. информация'!C:C=data!$A$3"&amp;"),5,FALSE)*AJ69,
VLOOKUP(S69,filter('🔒 Доп. информация'!D:H,'🔒 Доп. информация'!C:C=T69),4,FALSE)*ROUNDUP(AF69*AG69*AH69*L69/(120*80*175))/L69)
)
*(AE69/2)
,)
,)*0"),0.0)</f>
        <v>0</v>
      </c>
      <c r="BK69" s="204">
        <f>IFERROR(__xludf.DUMMYFUNCTION("IF(AU69=data!A$5,
IF(AI69&lt;=1,IF(AI69&lt;=0.8,IF(AI69&lt;=0.6,IF(AI69&lt;=0.4,IF(AI69&lt;=0.2,23,26),29),30),32)*VLOOKUP(S69,filter('🔒 Доп. информация'!D:E,'🔒 Доп. информация'!C:C=T69),2,FALSE)/'🔒 Доп. информация'!$K$9,
IF(AV69=data!A$8,U69,1)*VLOOKUP(S69,filter('"&amp;"🔒 Доп. информация'!D:E,'🔒 Доп. информация'!C:C=T69),2,FALSE)+
IF(AV69=data!A$8,U69,1)*VLOOKUP(S69,filter('🔒 Доп. информация'!D:F,'🔒 Доп. информация'!C:C=T69),3,FALSE)*AJ69)
,0)"),69.0)</f>
        <v>69</v>
      </c>
      <c r="BL69" s="185" t="str">
        <f t="shared" ref="BL69:BM69" si="217">IF($D69,"🔒",)</f>
        <v/>
      </c>
      <c r="BM69" s="185" t="str">
        <f t="shared" si="217"/>
        <v/>
      </c>
      <c r="BN69" s="204">
        <f>VLOOKUP(T69,'🔒 Доп. информация'!J:P,7,false)</f>
        <v>50</v>
      </c>
      <c r="BO69" s="204">
        <f>IF(AV69=data!A$9,
(AA69+AO69+AP69+BJ69+BK69+BN69)+H69*AS69,
(BJ69+BK69+BN69)+H69*AS69
)</f>
        <v>119</v>
      </c>
      <c r="BP69" s="204">
        <f t="shared" si="26"/>
        <v>69</v>
      </c>
      <c r="BQ69" s="204">
        <f t="shared" si="27"/>
        <v>320</v>
      </c>
      <c r="BR69" s="204" t="str">
        <f t="shared" si="37"/>
        <v>#N/A</v>
      </c>
      <c r="BS69" s="204" t="str">
        <f t="array" ref="BS69">IF(VLOOKUP(AT69,{'▶️ Инструкция'!C:C,'▶️ Инструкция'!Y:Y},2,FALSE)=data!A$15,
H69*(1-I69),
(H69-BR69))
*VLOOKUP(AT69,{'▶️ Инструкция'!C:C,'▶️ Инструкция'!AD:AD},2,FALSE)/(1+VLOOKUP(AT69,{'▶️ Инструкция'!C:C,'▶️ Инструкция'!AD:AD},2,FALSE))</f>
        <v>#N/A</v>
      </c>
      <c r="BT69" s="204" t="str">
        <f t="array" ref="BT69">
IF(VLOOKUP(AT69,{'▶️ Инструкция'!C:C,'▶️ Инструкция'!Y:Y},2,FALSE)=data!A$15,
H69*(1-I69)-BS69,
(H69-BR69-BS69))
*
VLOOKUP(AT69,{'▶️ Инструкция'!C:C,'▶️ Инструкция'!R:R},2,FALSE)
+BS69</f>
        <v>#N/A</v>
      </c>
      <c r="BU69" s="204" t="str">
        <f>(G69*AR69)+if(AV69=data!A$9,AO69,AN69)+AP69+BR69+BT69</f>
        <v>#N/A</v>
      </c>
      <c r="BV69" s="204" t="str">
        <f>(G69*AR69)+if(AV69=data!A$9,AO69,AN69)+AP69+BT69+G69</f>
        <v>#N/A</v>
      </c>
      <c r="BW69" s="204" t="str">
        <f t="shared" si="28"/>
        <v>#N/A</v>
      </c>
      <c r="BX69" s="204" t="str">
        <f t="shared" si="29"/>
        <v>#N/A</v>
      </c>
    </row>
    <row r="70">
      <c r="A70" s="165" t="str">
        <f>if(D70=true,if(F70=data!A$1,data!A$10,data!A$11),)</f>
        <v/>
      </c>
      <c r="B70" s="166" t="str">
        <f t="shared" si="4"/>
        <v>FBS</v>
      </c>
      <c r="C70" s="167" t="s">
        <v>195</v>
      </c>
      <c r="D70" s="168" t="b">
        <v>0</v>
      </c>
      <c r="E70" s="169" t="s">
        <v>204</v>
      </c>
      <c r="F70" s="170" t="str">
        <f t="array" ref="F70">IF(D70=TRUE,IF(IF(BG$3=VLOOKUP(AT70,{'▶️ Инструкция'!C:C,'▶️ Инструкция'!G:G},2,FALSE),BG70,BH70)&gt;VLOOKUP(AT70,{'▶️ Инструкция'!C:C,'▶️ Инструкция'!N:N},2,FALSE),data!A$1,data!A$2),)</f>
        <v/>
      </c>
      <c r="G70" s="171">
        <v>0.0</v>
      </c>
      <c r="H70" s="172">
        <v>1000.0</v>
      </c>
      <c r="I70" s="173">
        <v>0.0</v>
      </c>
      <c r="J70" s="173">
        <v>0.0</v>
      </c>
      <c r="K70" s="174" t="str">
        <f t="shared" si="5"/>
        <v/>
      </c>
      <c r="L70" s="175">
        <v>0.0</v>
      </c>
      <c r="M70" s="176" t="s">
        <v>197</v>
      </c>
      <c r="N70" s="177">
        <f>IFERROR(__xludf.DUMMYFUNCTION("ArrayFormula(let(category,VLOOKUP($M70, {'📄 Комиссии'!$C:$C , '📄 Комиссии'!$B:$B}, 2, 0),
data,MATCH('🔒 Доп. информация'!$J$15:$J203,TRANSPOSE(SPLIT(INDEX('▶️ Инструкция'!$Q:$Q,MATCH($AT70,'▶️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commission,VLOOKUP($M70,'📄 Комиссии'!$C:$E,IF($AV70=data!A$8,2,3),0),
IF(NOT(ISBLANK($M70)),commission/100+
IFERR"&amp;"OR(VLOOKUP($AT70,{'▶️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70" s="178" t="str">
        <f t="shared" si="6"/>
        <v/>
      </c>
      <c r="Q70" s="178" t="str">
        <f t="shared" si="7"/>
        <v/>
      </c>
      <c r="S70" s="179" t="s">
        <v>192</v>
      </c>
      <c r="T70" s="180" t="s">
        <v>193</v>
      </c>
      <c r="U70" s="181">
        <v>1.0</v>
      </c>
      <c r="V70" s="182" t="str">
        <f t="shared" ref="V70:Y70" si="218">IF($D70,"🔒",)</f>
        <v/>
      </c>
      <c r="W70" s="182" t="str">
        <f t="shared" si="218"/>
        <v/>
      </c>
      <c r="X70" s="182" t="str">
        <f t="shared" si="218"/>
        <v/>
      </c>
      <c r="Y70" s="182" t="str">
        <f t="shared" si="218"/>
        <v/>
      </c>
      <c r="Z70" s="183">
        <v>0.0</v>
      </c>
      <c r="AA70" s="184">
        <f t="shared" si="31"/>
        <v>0</v>
      </c>
      <c r="AB70" s="185" t="str">
        <f t="shared" ref="AB70:AD70" si="219">IF($D70,"🔒",)</f>
        <v/>
      </c>
      <c r="AC70" s="185" t="str">
        <f t="shared" si="219"/>
        <v/>
      </c>
      <c r="AD70" s="186" t="str">
        <f t="shared" si="219"/>
        <v/>
      </c>
      <c r="AE70" s="180">
        <v>30.0</v>
      </c>
      <c r="AF70" s="187">
        <v>0.0</v>
      </c>
      <c r="AG70" s="187">
        <v>0.0</v>
      </c>
      <c r="AH70" s="187">
        <v>0.0</v>
      </c>
      <c r="AI70" s="181">
        <f t="shared" si="10"/>
        <v>0</v>
      </c>
      <c r="AJ70" s="181">
        <f t="shared" si="11"/>
        <v>0</v>
      </c>
      <c r="AK70" s="185" t="str">
        <f t="shared" si="12"/>
        <v/>
      </c>
      <c r="AL70" s="188" t="str">
        <f t="array" ref="AL70">H70*(1-I70)*VLOOKUP(AT70,{'▶️ Инструкция'!C:C,'▶️ Инструкция'!AI:AI},2,false)</f>
        <v>#N/A</v>
      </c>
      <c r="AM70" s="186" t="str">
        <f t="shared" si="13"/>
        <v/>
      </c>
      <c r="AN70" s="189">
        <v>0.0</v>
      </c>
      <c r="AO70" s="189">
        <v>0.0</v>
      </c>
      <c r="AP70" s="189">
        <v>0.0</v>
      </c>
      <c r="AQ70" s="191">
        <v>1.0</v>
      </c>
      <c r="AR70" s="191">
        <v>0.0</v>
      </c>
      <c r="AS70" s="212">
        <v>0.0</v>
      </c>
      <c r="AT70" s="193" t="s">
        <v>206</v>
      </c>
      <c r="AU70" s="193" t="s">
        <v>121</v>
      </c>
      <c r="AV70" s="193" t="s">
        <v>199</v>
      </c>
      <c r="AW70" s="194">
        <f t="shared" si="14"/>
        <v>0</v>
      </c>
      <c r="AX70" s="195">
        <f t="shared" si="15"/>
        <v>0</v>
      </c>
      <c r="AY70" s="196" t="str">
        <f t="shared" si="16"/>
        <v>#N/A</v>
      </c>
      <c r="AZ70" s="213">
        <v>250.0</v>
      </c>
      <c r="BA70" s="196">
        <f t="shared" si="17"/>
        <v>0.25</v>
      </c>
      <c r="BB70" s="213">
        <f t="shared" si="18"/>
        <v>1000</v>
      </c>
      <c r="BC70" s="199" t="str">
        <f t="shared" si="19"/>
        <v>#N/A</v>
      </c>
      <c r="BD70" s="200" t="str">
        <f t="shared" si="20"/>
        <v>#N/A</v>
      </c>
      <c r="BE70" s="200">
        <f t="shared" si="21"/>
        <v>0</v>
      </c>
      <c r="BF70" s="201" t="str">
        <f t="shared" si="22"/>
        <v/>
      </c>
      <c r="BG70" s="201" t="str">
        <f t="shared" si="23"/>
        <v/>
      </c>
      <c r="BH70" s="202" t="str">
        <f t="shared" si="24"/>
        <v/>
      </c>
      <c r="BI70" s="203"/>
      <c r="BJ70" s="204">
        <f>IFERROR(__xludf.DUMMYFUNCTION("IF(AU70=data!A$5,
IF(AV70=data!A$8,
IF(T70=data!A$3,
VLOOKUP(S70,filter('🔒 Доп. информация'!D:H,'🔒 Доп. информация'!C:C=T70),4,FALSE)+VLOOKUP(S70,filter('🔒 Доп. информация'!D:H,'🔒 Доп. информация'!C:C=T70),5,FALSE)*AJ70,
IF(AND(MAX(AF70:AH70)&lt;80,SUM(A"&amp;"F70:AH70)&lt;=160,AI70&lt;20,XLOOKUP(M70,'📄 Комиссии'!C:C,'📄 Комиссии'!B:B)&lt;&gt;""Продукты""),
VLOOKUP(S70,filter('🔒 Доп. информация'!D:H,'🔒 Доп. информация'!C:C=data!$A$3),4,FALSE)+VLOOKUP(S70,filter('🔒 Доп. информация'!D:H,'🔒 Доп. информация'!C:C=data!$A$3"&amp;"),5,FALSE)*AJ70,
VLOOKUP(S70,filter('🔒 Доп. информация'!D:H,'🔒 Доп. информация'!C:C=T70),4,FALSE)*ROUNDUP(AF70*AG70*AH70*L70/(120*80*175))/L70)
)
*(AE70/2)
,)
,)*0"),0.0)</f>
        <v>0</v>
      </c>
      <c r="BK70" s="204">
        <f>IFERROR(__xludf.DUMMYFUNCTION("IF(AU70=data!A$5,
IF(AI70&lt;=1,IF(AI70&lt;=0.8,IF(AI70&lt;=0.6,IF(AI70&lt;=0.4,IF(AI70&lt;=0.2,23,26),29),30),32)*VLOOKUP(S70,filter('🔒 Доп. информация'!D:E,'🔒 Доп. информация'!C:C=T70),2,FALSE)/'🔒 Доп. информация'!$K$9,
IF(AV70=data!A$8,U70,1)*VLOOKUP(S70,filter('"&amp;"🔒 Доп. информация'!D:E,'🔒 Доп. информация'!C:C=T70),2,FALSE)+
IF(AV70=data!A$8,U70,1)*VLOOKUP(S70,filter('🔒 Доп. информация'!D:F,'🔒 Доп. информация'!C:C=T70),3,FALSE)*AJ70)
,0)"),69.0)</f>
        <v>69</v>
      </c>
      <c r="BL70" s="185" t="str">
        <f t="shared" ref="BL70:BM70" si="220">IF($D70,"🔒",)</f>
        <v/>
      </c>
      <c r="BM70" s="185" t="str">
        <f t="shared" si="220"/>
        <v/>
      </c>
      <c r="BN70" s="204">
        <f>VLOOKUP(T70,'🔒 Доп. информация'!J:P,7,false)</f>
        <v>50</v>
      </c>
      <c r="BO70" s="204">
        <f>IF(AV70=data!A$9,
(AA70+AO70+AP70+BJ70+BK70+BN70)+H70*AS70,
(BJ70+BK70+BN70)+H70*AS70
)</f>
        <v>119</v>
      </c>
      <c r="BP70" s="204">
        <f t="shared" si="26"/>
        <v>69</v>
      </c>
      <c r="BQ70" s="204">
        <f t="shared" si="27"/>
        <v>320</v>
      </c>
      <c r="BR70" s="204" t="str">
        <f t="shared" si="37"/>
        <v>#N/A</v>
      </c>
      <c r="BS70" s="204" t="str">
        <f t="array" ref="BS70">IF(VLOOKUP(AT70,{'▶️ Инструкция'!C:C,'▶️ Инструкция'!Y:Y},2,FALSE)=data!A$15,
H70*(1-I70),
(H70-BR70))
*VLOOKUP(AT70,{'▶️ Инструкция'!C:C,'▶️ Инструкция'!AD:AD},2,FALSE)/(1+VLOOKUP(AT70,{'▶️ Инструкция'!C:C,'▶️ Инструкция'!AD:AD},2,FALSE))</f>
        <v>#N/A</v>
      </c>
      <c r="BT70" s="204" t="str">
        <f t="array" ref="BT70">
IF(VLOOKUP(AT70,{'▶️ Инструкция'!C:C,'▶️ Инструкция'!Y:Y},2,FALSE)=data!A$15,
H70*(1-I70)-BS70,
(H70-BR70-BS70))
*
VLOOKUP(AT70,{'▶️ Инструкция'!C:C,'▶️ Инструкция'!R:R},2,FALSE)
+BS70</f>
        <v>#N/A</v>
      </c>
      <c r="BU70" s="204" t="str">
        <f>(G70*AR70)+if(AV70=data!A$9,AO70,AN70)+AP70+BR70+BT70</f>
        <v>#N/A</v>
      </c>
      <c r="BV70" s="204" t="str">
        <f>(G70*AR70)+if(AV70=data!A$9,AO70,AN70)+AP70+BT70+G70</f>
        <v>#N/A</v>
      </c>
      <c r="BW70" s="204" t="str">
        <f t="shared" si="28"/>
        <v>#N/A</v>
      </c>
      <c r="BX70" s="204" t="str">
        <f t="shared" si="29"/>
        <v>#N/A</v>
      </c>
    </row>
    <row r="71">
      <c r="A71" s="165" t="str">
        <f>if(D71=true,if(F71=data!A$1,data!A$10,data!A$11),)</f>
        <v/>
      </c>
      <c r="B71" s="166" t="str">
        <f t="shared" si="4"/>
        <v>FBS</v>
      </c>
      <c r="C71" s="167" t="s">
        <v>195</v>
      </c>
      <c r="D71" s="168" t="b">
        <v>0</v>
      </c>
      <c r="E71" s="169" t="s">
        <v>204</v>
      </c>
      <c r="F71" s="170" t="str">
        <f t="array" ref="F71">IF(D71=TRUE,IF(IF(BG$3=VLOOKUP(AT71,{'▶️ Инструкция'!C:C,'▶️ Инструкция'!G:G},2,FALSE),BG71,BH71)&gt;VLOOKUP(AT71,{'▶️ Инструкция'!C:C,'▶️ Инструкция'!N:N},2,FALSE),data!A$1,data!A$2),)</f>
        <v/>
      </c>
      <c r="G71" s="171">
        <v>0.0</v>
      </c>
      <c r="H71" s="172">
        <v>1000.0</v>
      </c>
      <c r="I71" s="173">
        <v>0.0</v>
      </c>
      <c r="J71" s="173">
        <v>0.0</v>
      </c>
      <c r="K71" s="174" t="str">
        <f t="shared" si="5"/>
        <v/>
      </c>
      <c r="L71" s="175">
        <v>0.0</v>
      </c>
      <c r="M71" s="176" t="s">
        <v>197</v>
      </c>
      <c r="N71" s="177">
        <f>IFERROR(__xludf.DUMMYFUNCTION("ArrayFormula(let(category,VLOOKUP($M71, {'📄 Комиссии'!$C:$C , '📄 Комиссии'!$B:$B}, 2, 0),
data,MATCH('🔒 Доп. информация'!$J$15:$J203,TRANSPOSE(SPLIT(INDEX('▶️ Инструкция'!$Q:$Q,MATCH($AT71,'▶️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commission,VLOOKUP($M71,'📄 Комиссии'!$C:$E,IF($AV71=data!A$8,2,3),0),
IF(NOT(ISBLANK($M71)),commission/100+
IFERR"&amp;"OR(VLOOKUP($AT71,{'▶️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71" s="178" t="str">
        <f t="shared" si="6"/>
        <v/>
      </c>
      <c r="Q71" s="178" t="str">
        <f t="shared" si="7"/>
        <v/>
      </c>
      <c r="S71" s="179" t="s">
        <v>192</v>
      </c>
      <c r="T71" s="180" t="s">
        <v>193</v>
      </c>
      <c r="U71" s="181">
        <v>1.0</v>
      </c>
      <c r="V71" s="182" t="str">
        <f t="shared" ref="V71:Y71" si="221">IF($D71,"🔒",)</f>
        <v/>
      </c>
      <c r="W71" s="182" t="str">
        <f t="shared" si="221"/>
        <v/>
      </c>
      <c r="X71" s="182" t="str">
        <f t="shared" si="221"/>
        <v/>
      </c>
      <c r="Y71" s="182" t="str">
        <f t="shared" si="221"/>
        <v/>
      </c>
      <c r="Z71" s="183">
        <v>0.0</v>
      </c>
      <c r="AA71" s="184">
        <f t="shared" si="31"/>
        <v>0</v>
      </c>
      <c r="AB71" s="185" t="str">
        <f t="shared" ref="AB71:AD71" si="222">IF($D71,"🔒",)</f>
        <v/>
      </c>
      <c r="AC71" s="185" t="str">
        <f t="shared" si="222"/>
        <v/>
      </c>
      <c r="AD71" s="186" t="str">
        <f t="shared" si="222"/>
        <v/>
      </c>
      <c r="AE71" s="180">
        <v>30.0</v>
      </c>
      <c r="AF71" s="187">
        <v>0.0</v>
      </c>
      <c r="AG71" s="187">
        <v>0.0</v>
      </c>
      <c r="AH71" s="187">
        <v>0.0</v>
      </c>
      <c r="AI71" s="181">
        <f t="shared" si="10"/>
        <v>0</v>
      </c>
      <c r="AJ71" s="181">
        <f t="shared" si="11"/>
        <v>0</v>
      </c>
      <c r="AK71" s="185" t="str">
        <f t="shared" si="12"/>
        <v/>
      </c>
      <c r="AL71" s="188" t="str">
        <f t="array" ref="AL71">H71*(1-I71)*VLOOKUP(AT71,{'▶️ Инструкция'!C:C,'▶️ Инструкция'!AI:AI},2,false)</f>
        <v>#N/A</v>
      </c>
      <c r="AM71" s="186" t="str">
        <f t="shared" si="13"/>
        <v/>
      </c>
      <c r="AN71" s="189">
        <v>0.0</v>
      </c>
      <c r="AO71" s="189">
        <v>0.0</v>
      </c>
      <c r="AP71" s="189">
        <v>0.0</v>
      </c>
      <c r="AQ71" s="191">
        <v>1.0</v>
      </c>
      <c r="AR71" s="191">
        <v>0.0</v>
      </c>
      <c r="AS71" s="212">
        <v>0.0</v>
      </c>
      <c r="AT71" s="193" t="s">
        <v>206</v>
      </c>
      <c r="AU71" s="193" t="s">
        <v>121</v>
      </c>
      <c r="AV71" s="193" t="s">
        <v>199</v>
      </c>
      <c r="AW71" s="194">
        <f t="shared" si="14"/>
        <v>0</v>
      </c>
      <c r="AX71" s="195">
        <f t="shared" si="15"/>
        <v>0</v>
      </c>
      <c r="AY71" s="196" t="str">
        <f t="shared" si="16"/>
        <v>#N/A</v>
      </c>
      <c r="AZ71" s="213">
        <v>250.0</v>
      </c>
      <c r="BA71" s="196">
        <f t="shared" si="17"/>
        <v>0.25</v>
      </c>
      <c r="BB71" s="213">
        <f t="shared" si="18"/>
        <v>1000</v>
      </c>
      <c r="BC71" s="199" t="str">
        <f t="shared" si="19"/>
        <v>#N/A</v>
      </c>
      <c r="BD71" s="200" t="str">
        <f t="shared" si="20"/>
        <v>#N/A</v>
      </c>
      <c r="BE71" s="200">
        <f t="shared" si="21"/>
        <v>0</v>
      </c>
      <c r="BF71" s="201" t="str">
        <f t="shared" si="22"/>
        <v/>
      </c>
      <c r="BG71" s="201" t="str">
        <f t="shared" si="23"/>
        <v/>
      </c>
      <c r="BH71" s="202" t="str">
        <f t="shared" si="24"/>
        <v/>
      </c>
      <c r="BI71" s="203"/>
      <c r="BJ71" s="204">
        <f>IFERROR(__xludf.DUMMYFUNCTION("IF(AU71=data!A$5,
IF(AV71=data!A$8,
IF(T71=data!A$3,
VLOOKUP(S71,filter('🔒 Доп. информация'!D:H,'🔒 Доп. информация'!C:C=T71),4,FALSE)+VLOOKUP(S71,filter('🔒 Доп. информация'!D:H,'🔒 Доп. информация'!C:C=T71),5,FALSE)*AJ71,
IF(AND(MAX(AF71:AH71)&lt;80,SUM(A"&amp;"F71:AH71)&lt;=160,AI71&lt;20,XLOOKUP(M71,'📄 Комиссии'!C:C,'📄 Комиссии'!B:B)&lt;&gt;""Продукты""),
VLOOKUP(S71,filter('🔒 Доп. информация'!D:H,'🔒 Доп. информация'!C:C=data!$A$3),4,FALSE)+VLOOKUP(S71,filter('🔒 Доп. информация'!D:H,'🔒 Доп. информация'!C:C=data!$A$3"&amp;"),5,FALSE)*AJ71,
VLOOKUP(S71,filter('🔒 Доп. информация'!D:H,'🔒 Доп. информация'!C:C=T71),4,FALSE)*ROUNDUP(AF71*AG71*AH71*L71/(120*80*175))/L71)
)
*(AE71/2)
,)
,)*0"),0.0)</f>
        <v>0</v>
      </c>
      <c r="BK71" s="204">
        <f>IFERROR(__xludf.DUMMYFUNCTION("IF(AU71=data!A$5,
IF(AI71&lt;=1,IF(AI71&lt;=0.8,IF(AI71&lt;=0.6,IF(AI71&lt;=0.4,IF(AI71&lt;=0.2,23,26),29),30),32)*VLOOKUP(S71,filter('🔒 Доп. информация'!D:E,'🔒 Доп. информация'!C:C=T71),2,FALSE)/'🔒 Доп. информация'!$K$9,
IF(AV71=data!A$8,U71,1)*VLOOKUP(S71,filter('"&amp;"🔒 Доп. информация'!D:E,'🔒 Доп. информация'!C:C=T71),2,FALSE)+
IF(AV71=data!A$8,U71,1)*VLOOKUP(S71,filter('🔒 Доп. информация'!D:F,'🔒 Доп. информация'!C:C=T71),3,FALSE)*AJ71)
,0)"),69.0)</f>
        <v>69</v>
      </c>
      <c r="BL71" s="185" t="str">
        <f t="shared" ref="BL71:BM71" si="223">IF($D71,"🔒",)</f>
        <v/>
      </c>
      <c r="BM71" s="185" t="str">
        <f t="shared" si="223"/>
        <v/>
      </c>
      <c r="BN71" s="204">
        <f>VLOOKUP(T71,'🔒 Доп. информация'!J:P,7,false)</f>
        <v>50</v>
      </c>
      <c r="BO71" s="204">
        <f>IF(AV71=data!A$9,
(AA71+AO71+AP71+BJ71+BK71+BN71)+H71*AS71,
(BJ71+BK71+BN71)+H71*AS71
)</f>
        <v>119</v>
      </c>
      <c r="BP71" s="204">
        <f t="shared" si="26"/>
        <v>69</v>
      </c>
      <c r="BQ71" s="204">
        <f t="shared" si="27"/>
        <v>320</v>
      </c>
      <c r="BR71" s="204" t="str">
        <f t="shared" si="37"/>
        <v>#N/A</v>
      </c>
      <c r="BS71" s="204" t="str">
        <f t="array" ref="BS71">IF(VLOOKUP(AT71,{'▶️ Инструкция'!C:C,'▶️ Инструкция'!Y:Y},2,FALSE)=data!A$15,
H71*(1-I71),
(H71-BR71))
*VLOOKUP(AT71,{'▶️ Инструкция'!C:C,'▶️ Инструкция'!AD:AD},2,FALSE)/(1+VLOOKUP(AT71,{'▶️ Инструкция'!C:C,'▶️ Инструкция'!AD:AD},2,FALSE))</f>
        <v>#N/A</v>
      </c>
      <c r="BT71" s="204" t="str">
        <f t="array" ref="BT71">
IF(VLOOKUP(AT71,{'▶️ Инструкция'!C:C,'▶️ Инструкция'!Y:Y},2,FALSE)=data!A$15,
H71*(1-I71)-BS71,
(H71-BR71-BS71))
*
VLOOKUP(AT71,{'▶️ Инструкция'!C:C,'▶️ Инструкция'!R:R},2,FALSE)
+BS71</f>
        <v>#N/A</v>
      </c>
      <c r="BU71" s="204" t="str">
        <f>(G71*AR71)+if(AV71=data!A$9,AO71,AN71)+AP71+BR71+BT71</f>
        <v>#N/A</v>
      </c>
      <c r="BV71" s="204" t="str">
        <f>(G71*AR71)+if(AV71=data!A$9,AO71,AN71)+AP71+BT71+G71</f>
        <v>#N/A</v>
      </c>
      <c r="BW71" s="204" t="str">
        <f t="shared" si="28"/>
        <v>#N/A</v>
      </c>
      <c r="BX71" s="204" t="str">
        <f t="shared" si="29"/>
        <v>#N/A</v>
      </c>
    </row>
    <row r="72">
      <c r="A72" s="165" t="str">
        <f>if(D72=true,if(F72=data!A$1,data!A$10,data!A$11),)</f>
        <v/>
      </c>
      <c r="B72" s="166" t="str">
        <f t="shared" si="4"/>
        <v>FBS</v>
      </c>
      <c r="C72" s="167" t="s">
        <v>195</v>
      </c>
      <c r="D72" s="168" t="b">
        <v>0</v>
      </c>
      <c r="E72" s="169" t="s">
        <v>204</v>
      </c>
      <c r="F72" s="170" t="str">
        <f t="array" ref="F72">IF(D72=TRUE,IF(IF(BG$3=VLOOKUP(AT72,{'▶️ Инструкция'!C:C,'▶️ Инструкция'!G:G},2,FALSE),BG72,BH72)&gt;VLOOKUP(AT72,{'▶️ Инструкция'!C:C,'▶️ Инструкция'!N:N},2,FALSE),data!A$1,data!A$2),)</f>
        <v/>
      </c>
      <c r="G72" s="171">
        <v>0.0</v>
      </c>
      <c r="H72" s="172">
        <v>1000.0</v>
      </c>
      <c r="I72" s="173">
        <v>0.0</v>
      </c>
      <c r="J72" s="173">
        <v>0.0</v>
      </c>
      <c r="K72" s="174" t="str">
        <f t="shared" si="5"/>
        <v/>
      </c>
      <c r="L72" s="175">
        <v>0.0</v>
      </c>
      <c r="M72" s="176" t="s">
        <v>197</v>
      </c>
      <c r="N72" s="177">
        <f>IFERROR(__xludf.DUMMYFUNCTION("ArrayFormula(let(category,VLOOKUP($M72, {'📄 Комиссии'!$C:$C , '📄 Комиссии'!$B:$B}, 2, 0),
data,MATCH('🔒 Доп. информация'!$J$15:$J203,TRANSPOSE(SPLIT(INDEX('▶️ Инструкция'!$Q:$Q,MATCH($AT72,'▶️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commission,VLOOKUP($M72,'📄 Комиссии'!$C:$E,IF($AV72=data!A$8,2,3),0),
IF(NOT(ISBLANK($M72)),commission/100+
IFERR"&amp;"OR(VLOOKUP($AT72,{'▶️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72" s="178" t="str">
        <f t="shared" si="6"/>
        <v/>
      </c>
      <c r="Q72" s="178" t="str">
        <f t="shared" si="7"/>
        <v/>
      </c>
      <c r="S72" s="179" t="s">
        <v>192</v>
      </c>
      <c r="T72" s="180" t="s">
        <v>193</v>
      </c>
      <c r="U72" s="181">
        <v>1.0</v>
      </c>
      <c r="V72" s="182" t="str">
        <f t="shared" ref="V72:Y72" si="224">IF($D72,"🔒",)</f>
        <v/>
      </c>
      <c r="W72" s="182" t="str">
        <f t="shared" si="224"/>
        <v/>
      </c>
      <c r="X72" s="182" t="str">
        <f t="shared" si="224"/>
        <v/>
      </c>
      <c r="Y72" s="182" t="str">
        <f t="shared" si="224"/>
        <v/>
      </c>
      <c r="Z72" s="183">
        <v>0.0</v>
      </c>
      <c r="AA72" s="184">
        <f t="shared" si="31"/>
        <v>0</v>
      </c>
      <c r="AB72" s="185" t="str">
        <f t="shared" ref="AB72:AD72" si="225">IF($D72,"🔒",)</f>
        <v/>
      </c>
      <c r="AC72" s="185" t="str">
        <f t="shared" si="225"/>
        <v/>
      </c>
      <c r="AD72" s="186" t="str">
        <f t="shared" si="225"/>
        <v/>
      </c>
      <c r="AE72" s="180">
        <v>30.0</v>
      </c>
      <c r="AF72" s="187">
        <v>0.0</v>
      </c>
      <c r="AG72" s="187">
        <v>0.0</v>
      </c>
      <c r="AH72" s="187">
        <v>0.0</v>
      </c>
      <c r="AI72" s="181">
        <f t="shared" si="10"/>
        <v>0</v>
      </c>
      <c r="AJ72" s="181">
        <f t="shared" si="11"/>
        <v>0</v>
      </c>
      <c r="AK72" s="185" t="str">
        <f t="shared" si="12"/>
        <v/>
      </c>
      <c r="AL72" s="188" t="str">
        <f t="array" ref="AL72">H72*(1-I72)*VLOOKUP(AT72,{'▶️ Инструкция'!C:C,'▶️ Инструкция'!AI:AI},2,false)</f>
        <v>#N/A</v>
      </c>
      <c r="AM72" s="186" t="str">
        <f t="shared" si="13"/>
        <v/>
      </c>
      <c r="AN72" s="189">
        <v>0.0</v>
      </c>
      <c r="AO72" s="189">
        <v>0.0</v>
      </c>
      <c r="AP72" s="189">
        <v>0.0</v>
      </c>
      <c r="AQ72" s="191">
        <v>1.0</v>
      </c>
      <c r="AR72" s="191">
        <v>0.0</v>
      </c>
      <c r="AS72" s="212">
        <v>0.0</v>
      </c>
      <c r="AT72" s="193" t="s">
        <v>206</v>
      </c>
      <c r="AU72" s="193" t="s">
        <v>121</v>
      </c>
      <c r="AV72" s="193" t="s">
        <v>199</v>
      </c>
      <c r="AW72" s="194">
        <f t="shared" si="14"/>
        <v>0</v>
      </c>
      <c r="AX72" s="195">
        <f t="shared" si="15"/>
        <v>0</v>
      </c>
      <c r="AY72" s="196" t="str">
        <f t="shared" si="16"/>
        <v>#N/A</v>
      </c>
      <c r="AZ72" s="213">
        <v>250.0</v>
      </c>
      <c r="BA72" s="196">
        <f t="shared" si="17"/>
        <v>0.25</v>
      </c>
      <c r="BB72" s="213">
        <f t="shared" si="18"/>
        <v>1000</v>
      </c>
      <c r="BC72" s="199" t="str">
        <f t="shared" si="19"/>
        <v>#N/A</v>
      </c>
      <c r="BD72" s="200" t="str">
        <f t="shared" si="20"/>
        <v>#N/A</v>
      </c>
      <c r="BE72" s="200">
        <f t="shared" si="21"/>
        <v>0</v>
      </c>
      <c r="BF72" s="201" t="str">
        <f t="shared" si="22"/>
        <v/>
      </c>
      <c r="BG72" s="201" t="str">
        <f t="shared" si="23"/>
        <v/>
      </c>
      <c r="BH72" s="202" t="str">
        <f t="shared" si="24"/>
        <v/>
      </c>
      <c r="BI72" s="203"/>
      <c r="BJ72" s="204">
        <f>IFERROR(__xludf.DUMMYFUNCTION("IF(AU72=data!A$5,
IF(AV72=data!A$8,
IF(T72=data!A$3,
VLOOKUP(S72,filter('🔒 Доп. информация'!D:H,'🔒 Доп. информация'!C:C=T72),4,FALSE)+VLOOKUP(S72,filter('🔒 Доп. информация'!D:H,'🔒 Доп. информация'!C:C=T72),5,FALSE)*AJ72,
IF(AND(MAX(AF72:AH72)&lt;80,SUM(A"&amp;"F72:AH72)&lt;=160,AI72&lt;20,XLOOKUP(M72,'📄 Комиссии'!C:C,'📄 Комиссии'!B:B)&lt;&gt;""Продукты""),
VLOOKUP(S72,filter('🔒 Доп. информация'!D:H,'🔒 Доп. информация'!C:C=data!$A$3),4,FALSE)+VLOOKUP(S72,filter('🔒 Доп. информация'!D:H,'🔒 Доп. информация'!C:C=data!$A$3"&amp;"),5,FALSE)*AJ72,
VLOOKUP(S72,filter('🔒 Доп. информация'!D:H,'🔒 Доп. информация'!C:C=T72),4,FALSE)*ROUNDUP(AF72*AG72*AH72*L72/(120*80*175))/L72)
)
*(AE72/2)
,)
,)*0"),0.0)</f>
        <v>0</v>
      </c>
      <c r="BK72" s="204">
        <f>IFERROR(__xludf.DUMMYFUNCTION("IF(AU72=data!A$5,
IF(AI72&lt;=1,IF(AI72&lt;=0.8,IF(AI72&lt;=0.6,IF(AI72&lt;=0.4,IF(AI72&lt;=0.2,23,26),29),30),32)*VLOOKUP(S72,filter('🔒 Доп. информация'!D:E,'🔒 Доп. информация'!C:C=T72),2,FALSE)/'🔒 Доп. информация'!$K$9,
IF(AV72=data!A$8,U72,1)*VLOOKUP(S72,filter('"&amp;"🔒 Доп. информация'!D:E,'🔒 Доп. информация'!C:C=T72),2,FALSE)+
IF(AV72=data!A$8,U72,1)*VLOOKUP(S72,filter('🔒 Доп. информация'!D:F,'🔒 Доп. информация'!C:C=T72),3,FALSE)*AJ72)
,0)"),69.0)</f>
        <v>69</v>
      </c>
      <c r="BL72" s="185" t="str">
        <f t="shared" ref="BL72:BM72" si="226">IF($D72,"🔒",)</f>
        <v/>
      </c>
      <c r="BM72" s="185" t="str">
        <f t="shared" si="226"/>
        <v/>
      </c>
      <c r="BN72" s="204">
        <f>VLOOKUP(T72,'🔒 Доп. информация'!J:P,7,false)</f>
        <v>50</v>
      </c>
      <c r="BO72" s="204">
        <f>IF(AV72=data!A$9,
(AA72+AO72+AP72+BJ72+BK72+BN72)+H72*AS72,
(BJ72+BK72+BN72)+H72*AS72
)</f>
        <v>119</v>
      </c>
      <c r="BP72" s="204">
        <f t="shared" si="26"/>
        <v>69</v>
      </c>
      <c r="BQ72" s="204">
        <f t="shared" si="27"/>
        <v>320</v>
      </c>
      <c r="BR72" s="204" t="str">
        <f t="shared" si="37"/>
        <v>#N/A</v>
      </c>
      <c r="BS72" s="204" t="str">
        <f t="array" ref="BS72">IF(VLOOKUP(AT72,{'▶️ Инструкция'!C:C,'▶️ Инструкция'!Y:Y},2,FALSE)=data!A$15,
H72*(1-I72),
(H72-BR72))
*VLOOKUP(AT72,{'▶️ Инструкция'!C:C,'▶️ Инструкция'!AD:AD},2,FALSE)/(1+VLOOKUP(AT72,{'▶️ Инструкция'!C:C,'▶️ Инструкция'!AD:AD},2,FALSE))</f>
        <v>#N/A</v>
      </c>
      <c r="BT72" s="204" t="str">
        <f t="array" ref="BT72">
IF(VLOOKUP(AT72,{'▶️ Инструкция'!C:C,'▶️ Инструкция'!Y:Y},2,FALSE)=data!A$15,
H72*(1-I72)-BS72,
(H72-BR72-BS72))
*
VLOOKUP(AT72,{'▶️ Инструкция'!C:C,'▶️ Инструкция'!R:R},2,FALSE)
+BS72</f>
        <v>#N/A</v>
      </c>
      <c r="BU72" s="204" t="str">
        <f>(G72*AR72)+if(AV72=data!A$9,AO72,AN72)+AP72+BR72+BT72</f>
        <v>#N/A</v>
      </c>
      <c r="BV72" s="204" t="str">
        <f>(G72*AR72)+if(AV72=data!A$9,AO72,AN72)+AP72+BT72+G72</f>
        <v>#N/A</v>
      </c>
      <c r="BW72" s="204" t="str">
        <f t="shared" si="28"/>
        <v>#N/A</v>
      </c>
      <c r="BX72" s="204" t="str">
        <f t="shared" si="29"/>
        <v>#N/A</v>
      </c>
    </row>
    <row r="73">
      <c r="A73" s="165" t="str">
        <f>if(D73=true,if(F73=data!A$1,data!A$10,data!A$11),)</f>
        <v/>
      </c>
      <c r="B73" s="166" t="str">
        <f t="shared" si="4"/>
        <v>FBS</v>
      </c>
      <c r="C73" s="167" t="s">
        <v>195</v>
      </c>
      <c r="D73" s="168" t="b">
        <v>0</v>
      </c>
      <c r="E73" s="169" t="s">
        <v>204</v>
      </c>
      <c r="F73" s="170" t="str">
        <f t="array" ref="F73">IF(D73=TRUE,IF(IF(BG$3=VLOOKUP(AT73,{'▶️ Инструкция'!C:C,'▶️ Инструкция'!G:G},2,FALSE),BG73,BH73)&gt;VLOOKUP(AT73,{'▶️ Инструкция'!C:C,'▶️ Инструкция'!N:N},2,FALSE),data!A$1,data!A$2),)</f>
        <v/>
      </c>
      <c r="G73" s="171">
        <v>0.0</v>
      </c>
      <c r="H73" s="172">
        <v>1000.0</v>
      </c>
      <c r="I73" s="173">
        <v>0.0</v>
      </c>
      <c r="J73" s="173">
        <v>0.0</v>
      </c>
      <c r="K73" s="174" t="str">
        <f t="shared" si="5"/>
        <v/>
      </c>
      <c r="L73" s="175">
        <v>0.0</v>
      </c>
      <c r="M73" s="176" t="s">
        <v>197</v>
      </c>
      <c r="N73" s="177">
        <f>IFERROR(__xludf.DUMMYFUNCTION("ArrayFormula(let(category,VLOOKUP($M73, {'📄 Комиссии'!$C:$C , '📄 Комиссии'!$B:$B}, 2, 0),
data,MATCH('🔒 Доп. информация'!$J$15:$J203,TRANSPOSE(SPLIT(INDEX('▶️ Инструкция'!$Q:$Q,MATCH($AT73,'▶️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commission,VLOOKUP($M73,'📄 Комиссии'!$C:$E,IF($AV73=data!A$8,2,3),0),
IF(NOT(ISBLANK($M73)),commission/100+
IFERR"&amp;"OR(VLOOKUP($AT73,{'▶️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73" s="178" t="str">
        <f t="shared" si="6"/>
        <v/>
      </c>
      <c r="Q73" s="178" t="str">
        <f t="shared" si="7"/>
        <v/>
      </c>
      <c r="S73" s="179" t="s">
        <v>192</v>
      </c>
      <c r="T73" s="180" t="s">
        <v>193</v>
      </c>
      <c r="U73" s="181">
        <v>1.0</v>
      </c>
      <c r="V73" s="182" t="str">
        <f t="shared" ref="V73:Y73" si="227">IF($D73,"🔒",)</f>
        <v/>
      </c>
      <c r="W73" s="182" t="str">
        <f t="shared" si="227"/>
        <v/>
      </c>
      <c r="X73" s="182" t="str">
        <f t="shared" si="227"/>
        <v/>
      </c>
      <c r="Y73" s="182" t="str">
        <f t="shared" si="227"/>
        <v/>
      </c>
      <c r="Z73" s="183">
        <v>0.0</v>
      </c>
      <c r="AA73" s="184">
        <f t="shared" si="31"/>
        <v>0</v>
      </c>
      <c r="AB73" s="185" t="str">
        <f t="shared" ref="AB73:AD73" si="228">IF($D73,"🔒",)</f>
        <v/>
      </c>
      <c r="AC73" s="185" t="str">
        <f t="shared" si="228"/>
        <v/>
      </c>
      <c r="AD73" s="186" t="str">
        <f t="shared" si="228"/>
        <v/>
      </c>
      <c r="AE73" s="180">
        <v>30.0</v>
      </c>
      <c r="AF73" s="187">
        <v>0.0</v>
      </c>
      <c r="AG73" s="187">
        <v>0.0</v>
      </c>
      <c r="AH73" s="187">
        <v>0.0</v>
      </c>
      <c r="AI73" s="181">
        <f t="shared" si="10"/>
        <v>0</v>
      </c>
      <c r="AJ73" s="181">
        <f t="shared" si="11"/>
        <v>0</v>
      </c>
      <c r="AK73" s="185" t="str">
        <f t="shared" si="12"/>
        <v/>
      </c>
      <c r="AL73" s="188" t="str">
        <f t="array" ref="AL73">H73*(1-I73)*VLOOKUP(AT73,{'▶️ Инструкция'!C:C,'▶️ Инструкция'!AI:AI},2,false)</f>
        <v>#N/A</v>
      </c>
      <c r="AM73" s="186" t="str">
        <f t="shared" si="13"/>
        <v/>
      </c>
      <c r="AN73" s="189">
        <v>0.0</v>
      </c>
      <c r="AO73" s="189">
        <v>0.0</v>
      </c>
      <c r="AP73" s="189">
        <v>0.0</v>
      </c>
      <c r="AQ73" s="191">
        <v>1.0</v>
      </c>
      <c r="AR73" s="191">
        <v>0.0</v>
      </c>
      <c r="AS73" s="212">
        <v>0.0</v>
      </c>
      <c r="AT73" s="193" t="s">
        <v>206</v>
      </c>
      <c r="AU73" s="193" t="s">
        <v>121</v>
      </c>
      <c r="AV73" s="193" t="s">
        <v>199</v>
      </c>
      <c r="AW73" s="194">
        <f t="shared" si="14"/>
        <v>0</v>
      </c>
      <c r="AX73" s="195">
        <f t="shared" si="15"/>
        <v>0</v>
      </c>
      <c r="AY73" s="196" t="str">
        <f t="shared" si="16"/>
        <v>#N/A</v>
      </c>
      <c r="AZ73" s="213">
        <v>250.0</v>
      </c>
      <c r="BA73" s="196">
        <f t="shared" si="17"/>
        <v>0.25</v>
      </c>
      <c r="BB73" s="213">
        <f t="shared" si="18"/>
        <v>1000</v>
      </c>
      <c r="BC73" s="199" t="str">
        <f t="shared" si="19"/>
        <v>#N/A</v>
      </c>
      <c r="BD73" s="200" t="str">
        <f t="shared" si="20"/>
        <v>#N/A</v>
      </c>
      <c r="BE73" s="200">
        <f t="shared" si="21"/>
        <v>0</v>
      </c>
      <c r="BF73" s="201" t="str">
        <f t="shared" si="22"/>
        <v/>
      </c>
      <c r="BG73" s="201" t="str">
        <f t="shared" si="23"/>
        <v/>
      </c>
      <c r="BH73" s="202" t="str">
        <f t="shared" si="24"/>
        <v/>
      </c>
      <c r="BI73" s="203"/>
      <c r="BJ73" s="204">
        <f>IFERROR(__xludf.DUMMYFUNCTION("IF(AU73=data!A$5,
IF(AV73=data!A$8,
IF(T73=data!A$3,
VLOOKUP(S73,filter('🔒 Доп. информация'!D:H,'🔒 Доп. информация'!C:C=T73),4,FALSE)+VLOOKUP(S73,filter('🔒 Доп. информация'!D:H,'🔒 Доп. информация'!C:C=T73),5,FALSE)*AJ73,
IF(AND(MAX(AF73:AH73)&lt;80,SUM(A"&amp;"F73:AH73)&lt;=160,AI73&lt;20,XLOOKUP(M73,'📄 Комиссии'!C:C,'📄 Комиссии'!B:B)&lt;&gt;""Продукты""),
VLOOKUP(S73,filter('🔒 Доп. информация'!D:H,'🔒 Доп. информация'!C:C=data!$A$3),4,FALSE)+VLOOKUP(S73,filter('🔒 Доп. информация'!D:H,'🔒 Доп. информация'!C:C=data!$A$3"&amp;"),5,FALSE)*AJ73,
VLOOKUP(S73,filter('🔒 Доп. информация'!D:H,'🔒 Доп. информация'!C:C=T73),4,FALSE)*ROUNDUP(AF73*AG73*AH73*L73/(120*80*175))/L73)
)
*(AE73/2)
,)
,)*0"),0.0)</f>
        <v>0</v>
      </c>
      <c r="BK73" s="204">
        <f>IFERROR(__xludf.DUMMYFUNCTION("IF(AU73=data!A$5,
IF(AI73&lt;=1,IF(AI73&lt;=0.8,IF(AI73&lt;=0.6,IF(AI73&lt;=0.4,IF(AI73&lt;=0.2,23,26),29),30),32)*VLOOKUP(S73,filter('🔒 Доп. информация'!D:E,'🔒 Доп. информация'!C:C=T73),2,FALSE)/'🔒 Доп. информация'!$K$9,
IF(AV73=data!A$8,U73,1)*VLOOKUP(S73,filter('"&amp;"🔒 Доп. информация'!D:E,'🔒 Доп. информация'!C:C=T73),2,FALSE)+
IF(AV73=data!A$8,U73,1)*VLOOKUP(S73,filter('🔒 Доп. информация'!D:F,'🔒 Доп. информация'!C:C=T73),3,FALSE)*AJ73)
,0)"),69.0)</f>
        <v>69</v>
      </c>
      <c r="BL73" s="185" t="str">
        <f t="shared" ref="BL73:BM73" si="229">IF($D73,"🔒",)</f>
        <v/>
      </c>
      <c r="BM73" s="185" t="str">
        <f t="shared" si="229"/>
        <v/>
      </c>
      <c r="BN73" s="204">
        <f>VLOOKUP(T73,'🔒 Доп. информация'!J:P,7,false)</f>
        <v>50</v>
      </c>
      <c r="BO73" s="204">
        <f>IF(AV73=data!A$9,
(AA73+AO73+AP73+BJ73+BK73+BN73)+H73*AS73,
(BJ73+BK73+BN73)+H73*AS73
)</f>
        <v>119</v>
      </c>
      <c r="BP73" s="204">
        <f t="shared" si="26"/>
        <v>69</v>
      </c>
      <c r="BQ73" s="204">
        <f t="shared" si="27"/>
        <v>320</v>
      </c>
      <c r="BR73" s="204" t="str">
        <f t="shared" si="37"/>
        <v>#N/A</v>
      </c>
      <c r="BS73" s="204" t="str">
        <f t="array" ref="BS73">IF(VLOOKUP(AT73,{'▶️ Инструкция'!C:C,'▶️ Инструкция'!Y:Y},2,FALSE)=data!A$15,
H73*(1-I73),
(H73-BR73))
*VLOOKUP(AT73,{'▶️ Инструкция'!C:C,'▶️ Инструкция'!AD:AD},2,FALSE)/(1+VLOOKUP(AT73,{'▶️ Инструкция'!C:C,'▶️ Инструкция'!AD:AD},2,FALSE))</f>
        <v>#N/A</v>
      </c>
      <c r="BT73" s="204" t="str">
        <f t="array" ref="BT73">
IF(VLOOKUP(AT73,{'▶️ Инструкция'!C:C,'▶️ Инструкция'!Y:Y},2,FALSE)=data!A$15,
H73*(1-I73)-BS73,
(H73-BR73-BS73))
*
VLOOKUP(AT73,{'▶️ Инструкция'!C:C,'▶️ Инструкция'!R:R},2,FALSE)
+BS73</f>
        <v>#N/A</v>
      </c>
      <c r="BU73" s="204" t="str">
        <f>(G73*AR73)+if(AV73=data!A$9,AO73,AN73)+AP73+BR73+BT73</f>
        <v>#N/A</v>
      </c>
      <c r="BV73" s="204" t="str">
        <f>(G73*AR73)+if(AV73=data!A$9,AO73,AN73)+AP73+BT73+G73</f>
        <v>#N/A</v>
      </c>
      <c r="BW73" s="204" t="str">
        <f t="shared" si="28"/>
        <v>#N/A</v>
      </c>
      <c r="BX73" s="204" t="str">
        <f t="shared" si="29"/>
        <v>#N/A</v>
      </c>
    </row>
    <row r="74">
      <c r="A74" s="165" t="str">
        <f>if(D74=true,if(F74=data!A$1,data!A$10,data!A$11),)</f>
        <v/>
      </c>
      <c r="B74" s="166" t="str">
        <f t="shared" si="4"/>
        <v>FBS</v>
      </c>
      <c r="C74" s="167" t="s">
        <v>195</v>
      </c>
      <c r="D74" s="168" t="b">
        <v>0</v>
      </c>
      <c r="E74" s="169" t="s">
        <v>204</v>
      </c>
      <c r="F74" s="170" t="str">
        <f t="array" ref="F74">IF(D74=TRUE,IF(IF(BG$3=VLOOKUP(AT74,{'▶️ Инструкция'!C:C,'▶️ Инструкция'!G:G},2,FALSE),BG74,BH74)&gt;VLOOKUP(AT74,{'▶️ Инструкция'!C:C,'▶️ Инструкция'!N:N},2,FALSE),data!A$1,data!A$2),)</f>
        <v/>
      </c>
      <c r="G74" s="171">
        <v>0.0</v>
      </c>
      <c r="H74" s="172">
        <v>1000.0</v>
      </c>
      <c r="I74" s="173">
        <v>0.0</v>
      </c>
      <c r="J74" s="173">
        <v>0.0</v>
      </c>
      <c r="K74" s="174" t="str">
        <f t="shared" si="5"/>
        <v/>
      </c>
      <c r="L74" s="175">
        <v>0.0</v>
      </c>
      <c r="M74" s="176" t="s">
        <v>197</v>
      </c>
      <c r="N74" s="177">
        <f>IFERROR(__xludf.DUMMYFUNCTION("ArrayFormula(let(category,VLOOKUP($M74, {'📄 Комиссии'!$C:$C , '📄 Комиссии'!$B:$B}, 2, 0),
data,MATCH('🔒 Доп. информация'!$J$15:$J203,TRANSPOSE(SPLIT(INDEX('▶️ Инструкция'!$Q:$Q,MATCH($AT74,'▶️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commission,VLOOKUP($M74,'📄 Комиссии'!$C:$E,IF($AV74=data!A$8,2,3),0),
IF(NOT(ISBLANK($M74)),commission/100+
IFERR"&amp;"OR(VLOOKUP($AT74,{'▶️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74" s="178" t="str">
        <f t="shared" si="6"/>
        <v/>
      </c>
      <c r="Q74" s="178" t="str">
        <f t="shared" si="7"/>
        <v/>
      </c>
      <c r="S74" s="179" t="s">
        <v>192</v>
      </c>
      <c r="T74" s="180" t="s">
        <v>193</v>
      </c>
      <c r="U74" s="181">
        <v>1.0</v>
      </c>
      <c r="V74" s="182" t="str">
        <f t="shared" ref="V74:Y74" si="230">IF($D74,"🔒",)</f>
        <v/>
      </c>
      <c r="W74" s="182" t="str">
        <f t="shared" si="230"/>
        <v/>
      </c>
      <c r="X74" s="182" t="str">
        <f t="shared" si="230"/>
        <v/>
      </c>
      <c r="Y74" s="182" t="str">
        <f t="shared" si="230"/>
        <v/>
      </c>
      <c r="Z74" s="183">
        <v>0.0</v>
      </c>
      <c r="AA74" s="184">
        <f t="shared" si="31"/>
        <v>0</v>
      </c>
      <c r="AB74" s="185" t="str">
        <f t="shared" ref="AB74:AD74" si="231">IF($D74,"🔒",)</f>
        <v/>
      </c>
      <c r="AC74" s="185" t="str">
        <f t="shared" si="231"/>
        <v/>
      </c>
      <c r="AD74" s="186" t="str">
        <f t="shared" si="231"/>
        <v/>
      </c>
      <c r="AE74" s="180">
        <v>30.0</v>
      </c>
      <c r="AF74" s="187">
        <v>0.0</v>
      </c>
      <c r="AG74" s="187">
        <v>0.0</v>
      </c>
      <c r="AH74" s="187">
        <v>0.0</v>
      </c>
      <c r="AI74" s="181">
        <f t="shared" si="10"/>
        <v>0</v>
      </c>
      <c r="AJ74" s="181">
        <f t="shared" si="11"/>
        <v>0</v>
      </c>
      <c r="AK74" s="185" t="str">
        <f t="shared" si="12"/>
        <v/>
      </c>
      <c r="AL74" s="188" t="str">
        <f t="array" ref="AL74">H74*(1-I74)*VLOOKUP(AT74,{'▶️ Инструкция'!C:C,'▶️ Инструкция'!AI:AI},2,false)</f>
        <v>#N/A</v>
      </c>
      <c r="AM74" s="186" t="str">
        <f t="shared" si="13"/>
        <v/>
      </c>
      <c r="AN74" s="189">
        <v>0.0</v>
      </c>
      <c r="AO74" s="189">
        <v>0.0</v>
      </c>
      <c r="AP74" s="189">
        <v>0.0</v>
      </c>
      <c r="AQ74" s="191">
        <v>1.0</v>
      </c>
      <c r="AR74" s="191">
        <v>0.0</v>
      </c>
      <c r="AS74" s="212">
        <v>0.0</v>
      </c>
      <c r="AT74" s="193" t="s">
        <v>206</v>
      </c>
      <c r="AU74" s="193" t="s">
        <v>121</v>
      </c>
      <c r="AV74" s="193" t="s">
        <v>199</v>
      </c>
      <c r="AW74" s="194">
        <f t="shared" si="14"/>
        <v>0</v>
      </c>
      <c r="AX74" s="195">
        <f t="shared" si="15"/>
        <v>0</v>
      </c>
      <c r="AY74" s="196" t="str">
        <f t="shared" si="16"/>
        <v>#N/A</v>
      </c>
      <c r="AZ74" s="213">
        <v>250.0</v>
      </c>
      <c r="BA74" s="196">
        <f t="shared" si="17"/>
        <v>0.25</v>
      </c>
      <c r="BB74" s="213">
        <f t="shared" si="18"/>
        <v>1000</v>
      </c>
      <c r="BC74" s="199" t="str">
        <f t="shared" si="19"/>
        <v>#N/A</v>
      </c>
      <c r="BD74" s="200" t="str">
        <f t="shared" si="20"/>
        <v>#N/A</v>
      </c>
      <c r="BE74" s="200">
        <f t="shared" si="21"/>
        <v>0</v>
      </c>
      <c r="BF74" s="201" t="str">
        <f t="shared" si="22"/>
        <v/>
      </c>
      <c r="BG74" s="201" t="str">
        <f t="shared" si="23"/>
        <v/>
      </c>
      <c r="BH74" s="202" t="str">
        <f t="shared" si="24"/>
        <v/>
      </c>
      <c r="BI74" s="203"/>
      <c r="BJ74" s="204">
        <f>IFERROR(__xludf.DUMMYFUNCTION("IF(AU74=data!A$5,
IF(AV74=data!A$8,
IF(T74=data!A$3,
VLOOKUP(S74,filter('🔒 Доп. информация'!D:H,'🔒 Доп. информация'!C:C=T74),4,FALSE)+VLOOKUP(S74,filter('🔒 Доп. информация'!D:H,'🔒 Доп. информация'!C:C=T74),5,FALSE)*AJ74,
IF(AND(MAX(AF74:AH74)&lt;80,SUM(A"&amp;"F74:AH74)&lt;=160,AI74&lt;20,XLOOKUP(M74,'📄 Комиссии'!C:C,'📄 Комиссии'!B:B)&lt;&gt;""Продукты""),
VLOOKUP(S74,filter('🔒 Доп. информация'!D:H,'🔒 Доп. информация'!C:C=data!$A$3),4,FALSE)+VLOOKUP(S74,filter('🔒 Доп. информация'!D:H,'🔒 Доп. информация'!C:C=data!$A$3"&amp;"),5,FALSE)*AJ74,
VLOOKUP(S74,filter('🔒 Доп. информация'!D:H,'🔒 Доп. информация'!C:C=T74),4,FALSE)*ROUNDUP(AF74*AG74*AH74*L74/(120*80*175))/L74)
)
*(AE74/2)
,)
,)*0"),0.0)</f>
        <v>0</v>
      </c>
      <c r="BK74" s="204">
        <f>IFERROR(__xludf.DUMMYFUNCTION("IF(AU74=data!A$5,
IF(AI74&lt;=1,IF(AI74&lt;=0.8,IF(AI74&lt;=0.6,IF(AI74&lt;=0.4,IF(AI74&lt;=0.2,23,26),29),30),32)*VLOOKUP(S74,filter('🔒 Доп. информация'!D:E,'🔒 Доп. информация'!C:C=T74),2,FALSE)/'🔒 Доп. информация'!$K$9,
IF(AV74=data!A$8,U74,1)*VLOOKUP(S74,filter('"&amp;"🔒 Доп. информация'!D:E,'🔒 Доп. информация'!C:C=T74),2,FALSE)+
IF(AV74=data!A$8,U74,1)*VLOOKUP(S74,filter('🔒 Доп. информация'!D:F,'🔒 Доп. информация'!C:C=T74),3,FALSE)*AJ74)
,0)"),69.0)</f>
        <v>69</v>
      </c>
      <c r="BL74" s="185" t="str">
        <f t="shared" ref="BL74:BM74" si="232">IF($D74,"🔒",)</f>
        <v/>
      </c>
      <c r="BM74" s="185" t="str">
        <f t="shared" si="232"/>
        <v/>
      </c>
      <c r="BN74" s="204">
        <f>VLOOKUP(T74,'🔒 Доп. информация'!J:P,7,false)</f>
        <v>50</v>
      </c>
      <c r="BO74" s="204">
        <f>IF(AV74=data!A$9,
(AA74+AO74+AP74+BJ74+BK74+BN74)+H74*AS74,
(BJ74+BK74+BN74)+H74*AS74
)</f>
        <v>119</v>
      </c>
      <c r="BP74" s="204">
        <f t="shared" si="26"/>
        <v>69</v>
      </c>
      <c r="BQ74" s="204">
        <f t="shared" si="27"/>
        <v>320</v>
      </c>
      <c r="BR74" s="204" t="str">
        <f t="shared" si="37"/>
        <v>#N/A</v>
      </c>
      <c r="BS74" s="204" t="str">
        <f t="array" ref="BS74">IF(VLOOKUP(AT74,{'▶️ Инструкция'!C:C,'▶️ Инструкция'!Y:Y},2,FALSE)=data!A$15,
H74*(1-I74),
(H74-BR74))
*VLOOKUP(AT74,{'▶️ Инструкция'!C:C,'▶️ Инструкция'!AD:AD},2,FALSE)/(1+VLOOKUP(AT74,{'▶️ Инструкция'!C:C,'▶️ Инструкция'!AD:AD},2,FALSE))</f>
        <v>#N/A</v>
      </c>
      <c r="BT74" s="204" t="str">
        <f t="array" ref="BT74">
IF(VLOOKUP(AT74,{'▶️ Инструкция'!C:C,'▶️ Инструкция'!Y:Y},2,FALSE)=data!A$15,
H74*(1-I74)-BS74,
(H74-BR74-BS74))
*
VLOOKUP(AT74,{'▶️ Инструкция'!C:C,'▶️ Инструкция'!R:R},2,FALSE)
+BS74</f>
        <v>#N/A</v>
      </c>
      <c r="BU74" s="204" t="str">
        <f>(G74*AR74)+if(AV74=data!A$9,AO74,AN74)+AP74+BR74+BT74</f>
        <v>#N/A</v>
      </c>
      <c r="BV74" s="204" t="str">
        <f>(G74*AR74)+if(AV74=data!A$9,AO74,AN74)+AP74+BT74+G74</f>
        <v>#N/A</v>
      </c>
      <c r="BW74" s="204" t="str">
        <f t="shared" si="28"/>
        <v>#N/A</v>
      </c>
      <c r="BX74" s="204" t="str">
        <f t="shared" si="29"/>
        <v>#N/A</v>
      </c>
    </row>
    <row r="75">
      <c r="A75" s="165" t="str">
        <f>if(D75=true,if(F75=data!A$1,data!A$10,data!A$11),)</f>
        <v/>
      </c>
      <c r="B75" s="166" t="str">
        <f t="shared" si="4"/>
        <v>FBS</v>
      </c>
      <c r="C75" s="167" t="s">
        <v>195</v>
      </c>
      <c r="D75" s="168" t="b">
        <v>0</v>
      </c>
      <c r="E75" s="169" t="s">
        <v>204</v>
      </c>
      <c r="F75" s="170" t="str">
        <f t="array" ref="F75">IF(D75=TRUE,IF(IF(BG$3=VLOOKUP(AT75,{'▶️ Инструкция'!C:C,'▶️ Инструкция'!G:G},2,FALSE),BG75,BH75)&gt;VLOOKUP(AT75,{'▶️ Инструкция'!C:C,'▶️ Инструкция'!N:N},2,FALSE),data!A$1,data!A$2),)</f>
        <v/>
      </c>
      <c r="G75" s="171">
        <v>0.0</v>
      </c>
      <c r="H75" s="172">
        <v>1000.0</v>
      </c>
      <c r="I75" s="173">
        <v>0.0</v>
      </c>
      <c r="J75" s="173">
        <v>0.0</v>
      </c>
      <c r="K75" s="174" t="str">
        <f t="shared" si="5"/>
        <v/>
      </c>
      <c r="L75" s="175">
        <v>0.0</v>
      </c>
      <c r="M75" s="176" t="s">
        <v>197</v>
      </c>
      <c r="N75" s="177">
        <f>IFERROR(__xludf.DUMMYFUNCTION("ArrayFormula(let(category,VLOOKUP($M75, {'📄 Комиссии'!$C:$C , '📄 Комиссии'!$B:$B}, 2, 0),
data,MATCH('🔒 Доп. информация'!$J$15:$J203,TRANSPOSE(SPLIT(INDEX('▶️ Инструкция'!$Q:$Q,MATCH($AT75,'▶️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commission,VLOOKUP($M75,'📄 Комиссии'!$C:$E,IF($AV75=data!A$8,2,3),0),
IF(NOT(ISBLANK($M75)),commission/100+
IFERR"&amp;"OR(VLOOKUP($AT75,{'▶️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75" s="178" t="str">
        <f t="shared" si="6"/>
        <v/>
      </c>
      <c r="Q75" s="178" t="str">
        <f t="shared" si="7"/>
        <v/>
      </c>
      <c r="S75" s="179" t="s">
        <v>192</v>
      </c>
      <c r="T75" s="180" t="s">
        <v>193</v>
      </c>
      <c r="U75" s="181">
        <v>1.0</v>
      </c>
      <c r="V75" s="182" t="str">
        <f t="shared" ref="V75:Y75" si="233">IF($D75,"🔒",)</f>
        <v/>
      </c>
      <c r="W75" s="182" t="str">
        <f t="shared" si="233"/>
        <v/>
      </c>
      <c r="X75" s="182" t="str">
        <f t="shared" si="233"/>
        <v/>
      </c>
      <c r="Y75" s="182" t="str">
        <f t="shared" si="233"/>
        <v/>
      </c>
      <c r="Z75" s="183">
        <v>0.0</v>
      </c>
      <c r="AA75" s="184">
        <f t="shared" si="31"/>
        <v>0</v>
      </c>
      <c r="AB75" s="185" t="str">
        <f t="shared" ref="AB75:AD75" si="234">IF($D75,"🔒",)</f>
        <v/>
      </c>
      <c r="AC75" s="185" t="str">
        <f t="shared" si="234"/>
        <v/>
      </c>
      <c r="AD75" s="186" t="str">
        <f t="shared" si="234"/>
        <v/>
      </c>
      <c r="AE75" s="180">
        <v>30.0</v>
      </c>
      <c r="AF75" s="187">
        <v>0.0</v>
      </c>
      <c r="AG75" s="187">
        <v>0.0</v>
      </c>
      <c r="AH75" s="187">
        <v>0.0</v>
      </c>
      <c r="AI75" s="181">
        <f t="shared" si="10"/>
        <v>0</v>
      </c>
      <c r="AJ75" s="181">
        <f t="shared" si="11"/>
        <v>0</v>
      </c>
      <c r="AK75" s="185" t="str">
        <f t="shared" si="12"/>
        <v/>
      </c>
      <c r="AL75" s="188" t="str">
        <f t="array" ref="AL75">H75*(1-I75)*VLOOKUP(AT75,{'▶️ Инструкция'!C:C,'▶️ Инструкция'!AI:AI},2,false)</f>
        <v>#N/A</v>
      </c>
      <c r="AM75" s="186" t="str">
        <f t="shared" si="13"/>
        <v/>
      </c>
      <c r="AN75" s="189">
        <v>0.0</v>
      </c>
      <c r="AO75" s="189">
        <v>0.0</v>
      </c>
      <c r="AP75" s="189">
        <v>0.0</v>
      </c>
      <c r="AQ75" s="191">
        <v>1.0</v>
      </c>
      <c r="AR75" s="191">
        <v>0.0</v>
      </c>
      <c r="AS75" s="212">
        <v>0.0</v>
      </c>
      <c r="AT75" s="193" t="s">
        <v>206</v>
      </c>
      <c r="AU75" s="193" t="s">
        <v>121</v>
      </c>
      <c r="AV75" s="193" t="s">
        <v>199</v>
      </c>
      <c r="AW75" s="194">
        <f t="shared" si="14"/>
        <v>0</v>
      </c>
      <c r="AX75" s="195">
        <f t="shared" si="15"/>
        <v>0</v>
      </c>
      <c r="AY75" s="196" t="str">
        <f t="shared" si="16"/>
        <v>#N/A</v>
      </c>
      <c r="AZ75" s="213">
        <v>250.0</v>
      </c>
      <c r="BA75" s="196">
        <f t="shared" si="17"/>
        <v>0.25</v>
      </c>
      <c r="BB75" s="213">
        <f t="shared" si="18"/>
        <v>1000</v>
      </c>
      <c r="BC75" s="199" t="str">
        <f t="shared" si="19"/>
        <v>#N/A</v>
      </c>
      <c r="BD75" s="200" t="str">
        <f t="shared" si="20"/>
        <v>#N/A</v>
      </c>
      <c r="BE75" s="200">
        <f t="shared" si="21"/>
        <v>0</v>
      </c>
      <c r="BF75" s="201" t="str">
        <f t="shared" si="22"/>
        <v/>
      </c>
      <c r="BG75" s="201" t="str">
        <f t="shared" si="23"/>
        <v/>
      </c>
      <c r="BH75" s="202" t="str">
        <f t="shared" si="24"/>
        <v/>
      </c>
      <c r="BI75" s="203"/>
      <c r="BJ75" s="204">
        <f>IFERROR(__xludf.DUMMYFUNCTION("IF(AU75=data!A$5,
IF(AV75=data!A$8,
IF(T75=data!A$3,
VLOOKUP(S75,filter('🔒 Доп. информация'!D:H,'🔒 Доп. информация'!C:C=T75),4,FALSE)+VLOOKUP(S75,filter('🔒 Доп. информация'!D:H,'🔒 Доп. информация'!C:C=T75),5,FALSE)*AJ75,
IF(AND(MAX(AF75:AH75)&lt;80,SUM(A"&amp;"F75:AH75)&lt;=160,AI75&lt;20,XLOOKUP(M75,'📄 Комиссии'!C:C,'📄 Комиссии'!B:B)&lt;&gt;""Продукты""),
VLOOKUP(S75,filter('🔒 Доп. информация'!D:H,'🔒 Доп. информация'!C:C=data!$A$3),4,FALSE)+VLOOKUP(S75,filter('🔒 Доп. информация'!D:H,'🔒 Доп. информация'!C:C=data!$A$3"&amp;"),5,FALSE)*AJ75,
VLOOKUP(S75,filter('🔒 Доп. информация'!D:H,'🔒 Доп. информация'!C:C=T75),4,FALSE)*ROUNDUP(AF75*AG75*AH75*L75/(120*80*175))/L75)
)
*(AE75/2)
,)
,)*0"),0.0)</f>
        <v>0</v>
      </c>
      <c r="BK75" s="204">
        <f>IFERROR(__xludf.DUMMYFUNCTION("IF(AU75=data!A$5,
IF(AI75&lt;=1,IF(AI75&lt;=0.8,IF(AI75&lt;=0.6,IF(AI75&lt;=0.4,IF(AI75&lt;=0.2,23,26),29),30),32)*VLOOKUP(S75,filter('🔒 Доп. информация'!D:E,'🔒 Доп. информация'!C:C=T75),2,FALSE)/'🔒 Доп. информация'!$K$9,
IF(AV75=data!A$8,U75,1)*VLOOKUP(S75,filter('"&amp;"🔒 Доп. информация'!D:E,'🔒 Доп. информация'!C:C=T75),2,FALSE)+
IF(AV75=data!A$8,U75,1)*VLOOKUP(S75,filter('🔒 Доп. информация'!D:F,'🔒 Доп. информация'!C:C=T75),3,FALSE)*AJ75)
,0)"),69.0)</f>
        <v>69</v>
      </c>
      <c r="BL75" s="185" t="str">
        <f t="shared" ref="BL75:BM75" si="235">IF($D75,"🔒",)</f>
        <v/>
      </c>
      <c r="BM75" s="185" t="str">
        <f t="shared" si="235"/>
        <v/>
      </c>
      <c r="BN75" s="204">
        <f>VLOOKUP(T75,'🔒 Доп. информация'!J:P,7,false)</f>
        <v>50</v>
      </c>
      <c r="BO75" s="204">
        <f>IF(AV75=data!A$9,
(AA75+AO75+AP75+BJ75+BK75+BN75)+H75*AS75,
(BJ75+BK75+BN75)+H75*AS75
)</f>
        <v>119</v>
      </c>
      <c r="BP75" s="204">
        <f t="shared" si="26"/>
        <v>69</v>
      </c>
      <c r="BQ75" s="204">
        <f t="shared" si="27"/>
        <v>320</v>
      </c>
      <c r="BR75" s="204" t="str">
        <f t="shared" si="37"/>
        <v>#N/A</v>
      </c>
      <c r="BS75" s="204" t="str">
        <f t="array" ref="BS75">IF(VLOOKUP(AT75,{'▶️ Инструкция'!C:C,'▶️ Инструкция'!Y:Y},2,FALSE)=data!A$15,
H75*(1-I75),
(H75-BR75))
*VLOOKUP(AT75,{'▶️ Инструкция'!C:C,'▶️ Инструкция'!AD:AD},2,FALSE)/(1+VLOOKUP(AT75,{'▶️ Инструкция'!C:C,'▶️ Инструкция'!AD:AD},2,FALSE))</f>
        <v>#N/A</v>
      </c>
      <c r="BT75" s="204" t="str">
        <f t="array" ref="BT75">
IF(VLOOKUP(AT75,{'▶️ Инструкция'!C:C,'▶️ Инструкция'!Y:Y},2,FALSE)=data!A$15,
H75*(1-I75)-BS75,
(H75-BR75-BS75))
*
VLOOKUP(AT75,{'▶️ Инструкция'!C:C,'▶️ Инструкция'!R:R},2,FALSE)
+BS75</f>
        <v>#N/A</v>
      </c>
      <c r="BU75" s="204" t="str">
        <f>(G75*AR75)+if(AV75=data!A$9,AO75,AN75)+AP75+BR75+BT75</f>
        <v>#N/A</v>
      </c>
      <c r="BV75" s="204" t="str">
        <f>(G75*AR75)+if(AV75=data!A$9,AO75,AN75)+AP75+BT75+G75</f>
        <v>#N/A</v>
      </c>
      <c r="BW75" s="204" t="str">
        <f t="shared" si="28"/>
        <v>#N/A</v>
      </c>
      <c r="BX75" s="204" t="str">
        <f t="shared" si="29"/>
        <v>#N/A</v>
      </c>
    </row>
    <row r="76">
      <c r="A76" s="165" t="str">
        <f>if(D76=true,if(F76=data!A$1,data!A$10,data!A$11),)</f>
        <v/>
      </c>
      <c r="B76" s="166" t="str">
        <f t="shared" si="4"/>
        <v>FBS</v>
      </c>
      <c r="C76" s="167" t="s">
        <v>195</v>
      </c>
      <c r="D76" s="168" t="b">
        <v>0</v>
      </c>
      <c r="E76" s="169" t="s">
        <v>204</v>
      </c>
      <c r="F76" s="170" t="str">
        <f t="array" ref="F76">IF(D76=TRUE,IF(IF(BG$3=VLOOKUP(AT76,{'▶️ Инструкция'!C:C,'▶️ Инструкция'!G:G},2,FALSE),BG76,BH76)&gt;VLOOKUP(AT76,{'▶️ Инструкция'!C:C,'▶️ Инструкция'!N:N},2,FALSE),data!A$1,data!A$2),)</f>
        <v/>
      </c>
      <c r="G76" s="171">
        <v>0.0</v>
      </c>
      <c r="H76" s="172">
        <v>1000.0</v>
      </c>
      <c r="I76" s="173">
        <v>0.0</v>
      </c>
      <c r="J76" s="173">
        <v>0.0</v>
      </c>
      <c r="K76" s="174" t="str">
        <f t="shared" si="5"/>
        <v/>
      </c>
      <c r="L76" s="175">
        <v>0.0</v>
      </c>
      <c r="M76" s="176" t="s">
        <v>197</v>
      </c>
      <c r="N76" s="177">
        <f>IFERROR(__xludf.DUMMYFUNCTION("ArrayFormula(let(category,VLOOKUP($M76, {'📄 Комиссии'!$C:$C , '📄 Комиссии'!$B:$B}, 2, 0),
data,MATCH('🔒 Доп. информация'!$J$15:$J203,TRANSPOSE(SPLIT(INDEX('▶️ Инструкция'!$Q:$Q,MATCH($AT76,'▶️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commission,VLOOKUP($M76,'📄 Комиссии'!$C:$E,IF($AV76=data!A$8,2,3),0),
IF(NOT(ISBLANK($M76)),commission/100+
IFERR"&amp;"OR(VLOOKUP($AT76,{'▶️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76" s="178" t="str">
        <f t="shared" si="6"/>
        <v/>
      </c>
      <c r="Q76" s="178" t="str">
        <f t="shared" si="7"/>
        <v/>
      </c>
      <c r="S76" s="179" t="s">
        <v>192</v>
      </c>
      <c r="T76" s="180" t="s">
        <v>193</v>
      </c>
      <c r="U76" s="181">
        <v>1.0</v>
      </c>
      <c r="V76" s="182" t="str">
        <f t="shared" ref="V76:Y76" si="236">IF($D76,"🔒",)</f>
        <v/>
      </c>
      <c r="W76" s="182" t="str">
        <f t="shared" si="236"/>
        <v/>
      </c>
      <c r="X76" s="182" t="str">
        <f t="shared" si="236"/>
        <v/>
      </c>
      <c r="Y76" s="182" t="str">
        <f t="shared" si="236"/>
        <v/>
      </c>
      <c r="Z76" s="183">
        <v>0.0</v>
      </c>
      <c r="AA76" s="184">
        <f t="shared" si="31"/>
        <v>0</v>
      </c>
      <c r="AB76" s="185" t="str">
        <f t="shared" ref="AB76:AD76" si="237">IF($D76,"🔒",)</f>
        <v/>
      </c>
      <c r="AC76" s="185" t="str">
        <f t="shared" si="237"/>
        <v/>
      </c>
      <c r="AD76" s="186" t="str">
        <f t="shared" si="237"/>
        <v/>
      </c>
      <c r="AE76" s="180">
        <v>30.0</v>
      </c>
      <c r="AF76" s="187">
        <v>0.0</v>
      </c>
      <c r="AG76" s="187">
        <v>0.0</v>
      </c>
      <c r="AH76" s="187">
        <v>0.0</v>
      </c>
      <c r="AI76" s="181">
        <f t="shared" si="10"/>
        <v>0</v>
      </c>
      <c r="AJ76" s="181">
        <f t="shared" si="11"/>
        <v>0</v>
      </c>
      <c r="AK76" s="185" t="str">
        <f t="shared" si="12"/>
        <v/>
      </c>
      <c r="AL76" s="188" t="str">
        <f t="array" ref="AL76">H76*(1-I76)*VLOOKUP(AT76,{'▶️ Инструкция'!C:C,'▶️ Инструкция'!AI:AI},2,false)</f>
        <v>#N/A</v>
      </c>
      <c r="AM76" s="186" t="str">
        <f t="shared" si="13"/>
        <v/>
      </c>
      <c r="AN76" s="189">
        <v>0.0</v>
      </c>
      <c r="AO76" s="189">
        <v>0.0</v>
      </c>
      <c r="AP76" s="189">
        <v>0.0</v>
      </c>
      <c r="AQ76" s="191">
        <v>1.0</v>
      </c>
      <c r="AR76" s="191">
        <v>0.0</v>
      </c>
      <c r="AS76" s="212">
        <v>0.0</v>
      </c>
      <c r="AT76" s="193" t="s">
        <v>206</v>
      </c>
      <c r="AU76" s="193" t="s">
        <v>121</v>
      </c>
      <c r="AV76" s="193" t="s">
        <v>199</v>
      </c>
      <c r="AW76" s="194">
        <f t="shared" si="14"/>
        <v>0</v>
      </c>
      <c r="AX76" s="195">
        <f t="shared" si="15"/>
        <v>0</v>
      </c>
      <c r="AY76" s="196" t="str">
        <f t="shared" si="16"/>
        <v>#N/A</v>
      </c>
      <c r="AZ76" s="213">
        <v>250.0</v>
      </c>
      <c r="BA76" s="196">
        <f t="shared" si="17"/>
        <v>0.25</v>
      </c>
      <c r="BB76" s="213">
        <f t="shared" si="18"/>
        <v>1000</v>
      </c>
      <c r="BC76" s="199" t="str">
        <f t="shared" si="19"/>
        <v>#N/A</v>
      </c>
      <c r="BD76" s="200" t="str">
        <f t="shared" si="20"/>
        <v>#N/A</v>
      </c>
      <c r="BE76" s="200">
        <f t="shared" si="21"/>
        <v>0</v>
      </c>
      <c r="BF76" s="201" t="str">
        <f t="shared" si="22"/>
        <v/>
      </c>
      <c r="BG76" s="201" t="str">
        <f t="shared" si="23"/>
        <v/>
      </c>
      <c r="BH76" s="202" t="str">
        <f t="shared" si="24"/>
        <v/>
      </c>
      <c r="BI76" s="203"/>
      <c r="BJ76" s="204">
        <f>IFERROR(__xludf.DUMMYFUNCTION("IF(AU76=data!A$5,
IF(AV76=data!A$8,
IF(T76=data!A$3,
VLOOKUP(S76,filter('🔒 Доп. информация'!D:H,'🔒 Доп. информация'!C:C=T76),4,FALSE)+VLOOKUP(S76,filter('🔒 Доп. информация'!D:H,'🔒 Доп. информация'!C:C=T76),5,FALSE)*AJ76,
IF(AND(MAX(AF76:AH76)&lt;80,SUM(A"&amp;"F76:AH76)&lt;=160,AI76&lt;20,XLOOKUP(M76,'📄 Комиссии'!C:C,'📄 Комиссии'!B:B)&lt;&gt;""Продукты""),
VLOOKUP(S76,filter('🔒 Доп. информация'!D:H,'🔒 Доп. информация'!C:C=data!$A$3),4,FALSE)+VLOOKUP(S76,filter('🔒 Доп. информация'!D:H,'🔒 Доп. информация'!C:C=data!$A$3"&amp;"),5,FALSE)*AJ76,
VLOOKUP(S76,filter('🔒 Доп. информация'!D:H,'🔒 Доп. информация'!C:C=T76),4,FALSE)*ROUNDUP(AF76*AG76*AH76*L76/(120*80*175))/L76)
)
*(AE76/2)
,)
,)*0"),0.0)</f>
        <v>0</v>
      </c>
      <c r="BK76" s="204">
        <f>IFERROR(__xludf.DUMMYFUNCTION("IF(AU76=data!A$5,
IF(AI76&lt;=1,IF(AI76&lt;=0.8,IF(AI76&lt;=0.6,IF(AI76&lt;=0.4,IF(AI76&lt;=0.2,23,26),29),30),32)*VLOOKUP(S76,filter('🔒 Доп. информация'!D:E,'🔒 Доп. информация'!C:C=T76),2,FALSE)/'🔒 Доп. информация'!$K$9,
IF(AV76=data!A$8,U76,1)*VLOOKUP(S76,filter('"&amp;"🔒 Доп. информация'!D:E,'🔒 Доп. информация'!C:C=T76),2,FALSE)+
IF(AV76=data!A$8,U76,1)*VLOOKUP(S76,filter('🔒 Доп. информация'!D:F,'🔒 Доп. информация'!C:C=T76),3,FALSE)*AJ76)
,0)"),69.0)</f>
        <v>69</v>
      </c>
      <c r="BL76" s="185" t="str">
        <f t="shared" ref="BL76:BM76" si="238">IF($D76,"🔒",)</f>
        <v/>
      </c>
      <c r="BM76" s="185" t="str">
        <f t="shared" si="238"/>
        <v/>
      </c>
      <c r="BN76" s="204">
        <f>VLOOKUP(T76,'🔒 Доп. информация'!J:P,7,false)</f>
        <v>50</v>
      </c>
      <c r="BO76" s="204">
        <f>IF(AV76=data!A$9,
(AA76+AO76+AP76+BJ76+BK76+BN76)+H76*AS76,
(BJ76+BK76+BN76)+H76*AS76
)</f>
        <v>119</v>
      </c>
      <c r="BP76" s="204">
        <f t="shared" si="26"/>
        <v>69</v>
      </c>
      <c r="BQ76" s="204">
        <f t="shared" si="27"/>
        <v>320</v>
      </c>
      <c r="BR76" s="204" t="str">
        <f t="shared" si="37"/>
        <v>#N/A</v>
      </c>
      <c r="BS76" s="204" t="str">
        <f t="array" ref="BS76">IF(VLOOKUP(AT76,{'▶️ Инструкция'!C:C,'▶️ Инструкция'!Y:Y},2,FALSE)=data!A$15,
H76*(1-I76),
(H76-BR76))
*VLOOKUP(AT76,{'▶️ Инструкция'!C:C,'▶️ Инструкция'!AD:AD},2,FALSE)/(1+VLOOKUP(AT76,{'▶️ Инструкция'!C:C,'▶️ Инструкция'!AD:AD},2,FALSE))</f>
        <v>#N/A</v>
      </c>
      <c r="BT76" s="204" t="str">
        <f t="array" ref="BT76">
IF(VLOOKUP(AT76,{'▶️ Инструкция'!C:C,'▶️ Инструкция'!Y:Y},2,FALSE)=data!A$15,
H76*(1-I76)-BS76,
(H76-BR76-BS76))
*
VLOOKUP(AT76,{'▶️ Инструкция'!C:C,'▶️ Инструкция'!R:R},2,FALSE)
+BS76</f>
        <v>#N/A</v>
      </c>
      <c r="BU76" s="204" t="str">
        <f>(G76*AR76)+if(AV76=data!A$9,AO76,AN76)+AP76+BR76+BT76</f>
        <v>#N/A</v>
      </c>
      <c r="BV76" s="204" t="str">
        <f>(G76*AR76)+if(AV76=data!A$9,AO76,AN76)+AP76+BT76+G76</f>
        <v>#N/A</v>
      </c>
      <c r="BW76" s="204" t="str">
        <f t="shared" si="28"/>
        <v>#N/A</v>
      </c>
      <c r="BX76" s="204" t="str">
        <f t="shared" si="29"/>
        <v>#N/A</v>
      </c>
    </row>
    <row r="77">
      <c r="A77" s="165" t="str">
        <f>if(D77=true,if(F77=data!A$1,data!A$10,data!A$11),)</f>
        <v/>
      </c>
      <c r="B77" s="166" t="str">
        <f t="shared" si="4"/>
        <v>FBS</v>
      </c>
      <c r="C77" s="167" t="s">
        <v>195</v>
      </c>
      <c r="D77" s="168" t="b">
        <v>0</v>
      </c>
      <c r="E77" s="169" t="s">
        <v>204</v>
      </c>
      <c r="F77" s="170" t="str">
        <f t="array" ref="F77">IF(D77=TRUE,IF(IF(BG$3=VLOOKUP(AT77,{'▶️ Инструкция'!C:C,'▶️ Инструкция'!G:G},2,FALSE),BG77,BH77)&gt;VLOOKUP(AT77,{'▶️ Инструкция'!C:C,'▶️ Инструкция'!N:N},2,FALSE),data!A$1,data!A$2),)</f>
        <v/>
      </c>
      <c r="G77" s="171">
        <v>0.0</v>
      </c>
      <c r="H77" s="172">
        <v>1000.0</v>
      </c>
      <c r="I77" s="173">
        <v>0.0</v>
      </c>
      <c r="J77" s="173">
        <v>0.0</v>
      </c>
      <c r="K77" s="174" t="str">
        <f t="shared" si="5"/>
        <v/>
      </c>
      <c r="L77" s="175">
        <v>0.0</v>
      </c>
      <c r="M77" s="176" t="s">
        <v>197</v>
      </c>
      <c r="N77" s="177">
        <f>IFERROR(__xludf.DUMMYFUNCTION("ArrayFormula(let(category,VLOOKUP($M77, {'📄 Комиссии'!$C:$C , '📄 Комиссии'!$B:$B}, 2, 0),
data,MATCH('🔒 Доп. информация'!$J$15:$J203,TRANSPOSE(SPLIT(INDEX('▶️ Инструкция'!$Q:$Q,MATCH($AT77,'▶️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commission,VLOOKUP($M77,'📄 Комиссии'!$C:$E,IF($AV77=data!A$8,2,3),0),
IF(NOT(ISBLANK($M77)),commission/100+
IFERR"&amp;"OR(VLOOKUP($AT77,{'▶️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77" s="178" t="str">
        <f t="shared" si="6"/>
        <v/>
      </c>
      <c r="Q77" s="178" t="str">
        <f t="shared" si="7"/>
        <v/>
      </c>
      <c r="S77" s="179" t="s">
        <v>192</v>
      </c>
      <c r="T77" s="180" t="s">
        <v>193</v>
      </c>
      <c r="U77" s="181">
        <v>1.0</v>
      </c>
      <c r="V77" s="182" t="str">
        <f t="shared" ref="V77:Y77" si="239">IF($D77,"🔒",)</f>
        <v/>
      </c>
      <c r="W77" s="182" t="str">
        <f t="shared" si="239"/>
        <v/>
      </c>
      <c r="X77" s="182" t="str">
        <f t="shared" si="239"/>
        <v/>
      </c>
      <c r="Y77" s="182" t="str">
        <f t="shared" si="239"/>
        <v/>
      </c>
      <c r="Z77" s="183">
        <v>0.0</v>
      </c>
      <c r="AA77" s="184">
        <f t="shared" si="31"/>
        <v>0</v>
      </c>
      <c r="AB77" s="185" t="str">
        <f t="shared" ref="AB77:AD77" si="240">IF($D77,"🔒",)</f>
        <v/>
      </c>
      <c r="AC77" s="185" t="str">
        <f t="shared" si="240"/>
        <v/>
      </c>
      <c r="AD77" s="186" t="str">
        <f t="shared" si="240"/>
        <v/>
      </c>
      <c r="AE77" s="180">
        <v>30.0</v>
      </c>
      <c r="AF77" s="187">
        <v>0.0</v>
      </c>
      <c r="AG77" s="187">
        <v>0.0</v>
      </c>
      <c r="AH77" s="187">
        <v>0.0</v>
      </c>
      <c r="AI77" s="181">
        <f t="shared" si="10"/>
        <v>0</v>
      </c>
      <c r="AJ77" s="181">
        <f t="shared" si="11"/>
        <v>0</v>
      </c>
      <c r="AK77" s="185" t="str">
        <f t="shared" si="12"/>
        <v/>
      </c>
      <c r="AL77" s="188" t="str">
        <f t="array" ref="AL77">H77*(1-I77)*VLOOKUP(AT77,{'▶️ Инструкция'!C:C,'▶️ Инструкция'!AI:AI},2,false)</f>
        <v>#N/A</v>
      </c>
      <c r="AM77" s="186" t="str">
        <f t="shared" si="13"/>
        <v/>
      </c>
      <c r="AN77" s="189">
        <v>0.0</v>
      </c>
      <c r="AO77" s="189">
        <v>0.0</v>
      </c>
      <c r="AP77" s="189">
        <v>0.0</v>
      </c>
      <c r="AQ77" s="191">
        <v>1.0</v>
      </c>
      <c r="AR77" s="191">
        <v>0.0</v>
      </c>
      <c r="AS77" s="212">
        <v>0.0</v>
      </c>
      <c r="AT77" s="193" t="s">
        <v>206</v>
      </c>
      <c r="AU77" s="193" t="s">
        <v>121</v>
      </c>
      <c r="AV77" s="193" t="s">
        <v>199</v>
      </c>
      <c r="AW77" s="194">
        <f t="shared" si="14"/>
        <v>0</v>
      </c>
      <c r="AX77" s="195">
        <f t="shared" si="15"/>
        <v>0</v>
      </c>
      <c r="AY77" s="196" t="str">
        <f t="shared" si="16"/>
        <v>#N/A</v>
      </c>
      <c r="AZ77" s="213">
        <v>250.0</v>
      </c>
      <c r="BA77" s="196">
        <f t="shared" si="17"/>
        <v>0.25</v>
      </c>
      <c r="BB77" s="213">
        <f t="shared" si="18"/>
        <v>1000</v>
      </c>
      <c r="BC77" s="199" t="str">
        <f t="shared" si="19"/>
        <v>#N/A</v>
      </c>
      <c r="BD77" s="200" t="str">
        <f t="shared" si="20"/>
        <v>#N/A</v>
      </c>
      <c r="BE77" s="200">
        <f t="shared" si="21"/>
        <v>0</v>
      </c>
      <c r="BF77" s="201" t="str">
        <f t="shared" si="22"/>
        <v/>
      </c>
      <c r="BG77" s="201" t="str">
        <f t="shared" si="23"/>
        <v/>
      </c>
      <c r="BH77" s="202" t="str">
        <f t="shared" si="24"/>
        <v/>
      </c>
      <c r="BI77" s="203"/>
      <c r="BJ77" s="204">
        <f>IFERROR(__xludf.DUMMYFUNCTION("IF(AU77=data!A$5,
IF(AV77=data!A$8,
IF(T77=data!A$3,
VLOOKUP(S77,filter('🔒 Доп. информация'!D:H,'🔒 Доп. информация'!C:C=T77),4,FALSE)+VLOOKUP(S77,filter('🔒 Доп. информация'!D:H,'🔒 Доп. информация'!C:C=T77),5,FALSE)*AJ77,
IF(AND(MAX(AF77:AH77)&lt;80,SUM(A"&amp;"F77:AH77)&lt;=160,AI77&lt;20,XLOOKUP(M77,'📄 Комиссии'!C:C,'📄 Комиссии'!B:B)&lt;&gt;""Продукты""),
VLOOKUP(S77,filter('🔒 Доп. информация'!D:H,'🔒 Доп. информация'!C:C=data!$A$3),4,FALSE)+VLOOKUP(S77,filter('🔒 Доп. информация'!D:H,'🔒 Доп. информация'!C:C=data!$A$3"&amp;"),5,FALSE)*AJ77,
VLOOKUP(S77,filter('🔒 Доп. информация'!D:H,'🔒 Доп. информация'!C:C=T77),4,FALSE)*ROUNDUP(AF77*AG77*AH77*L77/(120*80*175))/L77)
)
*(AE77/2)
,)
,)*0"),0.0)</f>
        <v>0</v>
      </c>
      <c r="BK77" s="204">
        <f>IFERROR(__xludf.DUMMYFUNCTION("IF(AU77=data!A$5,
IF(AI77&lt;=1,IF(AI77&lt;=0.8,IF(AI77&lt;=0.6,IF(AI77&lt;=0.4,IF(AI77&lt;=0.2,23,26),29),30),32)*VLOOKUP(S77,filter('🔒 Доп. информация'!D:E,'🔒 Доп. информация'!C:C=T77),2,FALSE)/'🔒 Доп. информация'!$K$9,
IF(AV77=data!A$8,U77,1)*VLOOKUP(S77,filter('"&amp;"🔒 Доп. информация'!D:E,'🔒 Доп. информация'!C:C=T77),2,FALSE)+
IF(AV77=data!A$8,U77,1)*VLOOKUP(S77,filter('🔒 Доп. информация'!D:F,'🔒 Доп. информация'!C:C=T77),3,FALSE)*AJ77)
,0)"),69.0)</f>
        <v>69</v>
      </c>
      <c r="BL77" s="185" t="str">
        <f t="shared" ref="BL77:BM77" si="241">IF($D77,"🔒",)</f>
        <v/>
      </c>
      <c r="BM77" s="185" t="str">
        <f t="shared" si="241"/>
        <v/>
      </c>
      <c r="BN77" s="204">
        <f>VLOOKUP(T77,'🔒 Доп. информация'!J:P,7,false)</f>
        <v>50</v>
      </c>
      <c r="BO77" s="204">
        <f>IF(AV77=data!A$9,
(AA77+AO77+AP77+BJ77+BK77+BN77)+H77*AS77,
(BJ77+BK77+BN77)+H77*AS77
)</f>
        <v>119</v>
      </c>
      <c r="BP77" s="204">
        <f t="shared" si="26"/>
        <v>69</v>
      </c>
      <c r="BQ77" s="204">
        <f t="shared" si="27"/>
        <v>320</v>
      </c>
      <c r="BR77" s="204" t="str">
        <f t="shared" si="37"/>
        <v>#N/A</v>
      </c>
      <c r="BS77" s="204" t="str">
        <f t="array" ref="BS77">IF(VLOOKUP(AT77,{'▶️ Инструкция'!C:C,'▶️ Инструкция'!Y:Y},2,FALSE)=data!A$15,
H77*(1-I77),
(H77-BR77))
*VLOOKUP(AT77,{'▶️ Инструкция'!C:C,'▶️ Инструкция'!AD:AD},2,FALSE)/(1+VLOOKUP(AT77,{'▶️ Инструкция'!C:C,'▶️ Инструкция'!AD:AD},2,FALSE))</f>
        <v>#N/A</v>
      </c>
      <c r="BT77" s="204" t="str">
        <f t="array" ref="BT77">
IF(VLOOKUP(AT77,{'▶️ Инструкция'!C:C,'▶️ Инструкция'!Y:Y},2,FALSE)=data!A$15,
H77*(1-I77)-BS77,
(H77-BR77-BS77))
*
VLOOKUP(AT77,{'▶️ Инструкция'!C:C,'▶️ Инструкция'!R:R},2,FALSE)
+BS77</f>
        <v>#N/A</v>
      </c>
      <c r="BU77" s="204" t="str">
        <f>(G77*AR77)+if(AV77=data!A$9,AO77,AN77)+AP77+BR77+BT77</f>
        <v>#N/A</v>
      </c>
      <c r="BV77" s="204" t="str">
        <f>(G77*AR77)+if(AV77=data!A$9,AO77,AN77)+AP77+BT77+G77</f>
        <v>#N/A</v>
      </c>
      <c r="BW77" s="204" t="str">
        <f t="shared" si="28"/>
        <v>#N/A</v>
      </c>
      <c r="BX77" s="204" t="str">
        <f t="shared" si="29"/>
        <v>#N/A</v>
      </c>
    </row>
    <row r="78">
      <c r="A78" s="165" t="str">
        <f>if(D78=true,if(F78=data!A$1,data!A$10,data!A$11),)</f>
        <v/>
      </c>
      <c r="B78" s="166" t="str">
        <f t="shared" si="4"/>
        <v>FBS</v>
      </c>
      <c r="C78" s="167" t="s">
        <v>195</v>
      </c>
      <c r="D78" s="168" t="b">
        <v>0</v>
      </c>
      <c r="E78" s="169" t="s">
        <v>204</v>
      </c>
      <c r="F78" s="170" t="str">
        <f t="array" ref="F78">IF(D78=TRUE,IF(IF(BG$3=VLOOKUP(AT78,{'▶️ Инструкция'!C:C,'▶️ Инструкция'!G:G},2,FALSE),BG78,BH78)&gt;VLOOKUP(AT78,{'▶️ Инструкция'!C:C,'▶️ Инструкция'!N:N},2,FALSE),data!A$1,data!A$2),)</f>
        <v/>
      </c>
      <c r="G78" s="171">
        <v>0.0</v>
      </c>
      <c r="H78" s="172">
        <v>1000.0</v>
      </c>
      <c r="I78" s="173">
        <v>0.0</v>
      </c>
      <c r="J78" s="173">
        <v>0.0</v>
      </c>
      <c r="K78" s="174" t="str">
        <f t="shared" si="5"/>
        <v/>
      </c>
      <c r="L78" s="175">
        <v>0.0</v>
      </c>
      <c r="M78" s="176" t="s">
        <v>197</v>
      </c>
      <c r="N78" s="177">
        <f>IFERROR(__xludf.DUMMYFUNCTION("ArrayFormula(let(category,VLOOKUP($M78, {'📄 Комиссии'!$C:$C , '📄 Комиссии'!$B:$B}, 2, 0),
data,MATCH('🔒 Доп. информация'!$J$15:$J203,TRANSPOSE(SPLIT(INDEX('▶️ Инструкция'!$Q:$Q,MATCH($AT78,'▶️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commission,VLOOKUP($M78,'📄 Комиссии'!$C:$E,IF($AV78=data!A$8,2,3),0),
IF(NOT(ISBLANK($M78)),commission/100+
IFERR"&amp;"OR(VLOOKUP($AT78,{'▶️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78" s="178" t="str">
        <f t="shared" si="6"/>
        <v/>
      </c>
      <c r="Q78" s="178" t="str">
        <f t="shared" si="7"/>
        <v/>
      </c>
      <c r="S78" s="179" t="s">
        <v>192</v>
      </c>
      <c r="T78" s="180" t="s">
        <v>193</v>
      </c>
      <c r="U78" s="181">
        <v>1.0</v>
      </c>
      <c r="V78" s="182" t="str">
        <f t="shared" ref="V78:Y78" si="242">IF($D78,"🔒",)</f>
        <v/>
      </c>
      <c r="W78" s="182" t="str">
        <f t="shared" si="242"/>
        <v/>
      </c>
      <c r="X78" s="182" t="str">
        <f t="shared" si="242"/>
        <v/>
      </c>
      <c r="Y78" s="182" t="str">
        <f t="shared" si="242"/>
        <v/>
      </c>
      <c r="Z78" s="183">
        <v>0.0</v>
      </c>
      <c r="AA78" s="184">
        <f t="shared" si="31"/>
        <v>0</v>
      </c>
      <c r="AB78" s="185" t="str">
        <f t="shared" ref="AB78:AD78" si="243">IF($D78,"🔒",)</f>
        <v/>
      </c>
      <c r="AC78" s="185" t="str">
        <f t="shared" si="243"/>
        <v/>
      </c>
      <c r="AD78" s="186" t="str">
        <f t="shared" si="243"/>
        <v/>
      </c>
      <c r="AE78" s="180">
        <v>30.0</v>
      </c>
      <c r="AF78" s="187">
        <v>0.0</v>
      </c>
      <c r="AG78" s="187">
        <v>0.0</v>
      </c>
      <c r="AH78" s="187">
        <v>0.0</v>
      </c>
      <c r="AI78" s="181">
        <f t="shared" si="10"/>
        <v>0</v>
      </c>
      <c r="AJ78" s="181">
        <f t="shared" si="11"/>
        <v>0</v>
      </c>
      <c r="AK78" s="185" t="str">
        <f t="shared" si="12"/>
        <v/>
      </c>
      <c r="AL78" s="188" t="str">
        <f t="array" ref="AL78">H78*(1-I78)*VLOOKUP(AT78,{'▶️ Инструкция'!C:C,'▶️ Инструкция'!AI:AI},2,false)</f>
        <v>#N/A</v>
      </c>
      <c r="AM78" s="186" t="str">
        <f t="shared" si="13"/>
        <v/>
      </c>
      <c r="AN78" s="189">
        <v>0.0</v>
      </c>
      <c r="AO78" s="189">
        <v>0.0</v>
      </c>
      <c r="AP78" s="189">
        <v>0.0</v>
      </c>
      <c r="AQ78" s="191">
        <v>1.0</v>
      </c>
      <c r="AR78" s="191">
        <v>0.0</v>
      </c>
      <c r="AS78" s="212">
        <v>0.0</v>
      </c>
      <c r="AT78" s="193" t="s">
        <v>206</v>
      </c>
      <c r="AU78" s="193" t="s">
        <v>121</v>
      </c>
      <c r="AV78" s="193" t="s">
        <v>199</v>
      </c>
      <c r="AW78" s="194">
        <f t="shared" si="14"/>
        <v>0</v>
      </c>
      <c r="AX78" s="195">
        <f t="shared" si="15"/>
        <v>0</v>
      </c>
      <c r="AY78" s="196" t="str">
        <f t="shared" si="16"/>
        <v>#N/A</v>
      </c>
      <c r="AZ78" s="213">
        <v>250.0</v>
      </c>
      <c r="BA78" s="196">
        <f t="shared" si="17"/>
        <v>0.25</v>
      </c>
      <c r="BB78" s="213">
        <f t="shared" si="18"/>
        <v>1000</v>
      </c>
      <c r="BC78" s="199" t="str">
        <f t="shared" si="19"/>
        <v>#N/A</v>
      </c>
      <c r="BD78" s="200" t="str">
        <f t="shared" si="20"/>
        <v>#N/A</v>
      </c>
      <c r="BE78" s="200">
        <f t="shared" si="21"/>
        <v>0</v>
      </c>
      <c r="BF78" s="201" t="str">
        <f t="shared" si="22"/>
        <v/>
      </c>
      <c r="BG78" s="201" t="str">
        <f t="shared" si="23"/>
        <v/>
      </c>
      <c r="BH78" s="202" t="str">
        <f t="shared" si="24"/>
        <v/>
      </c>
      <c r="BI78" s="203"/>
      <c r="BJ78" s="204">
        <f>IFERROR(__xludf.DUMMYFUNCTION("IF(AU78=data!A$5,
IF(AV78=data!A$8,
IF(T78=data!A$3,
VLOOKUP(S78,filter('🔒 Доп. информация'!D:H,'🔒 Доп. информация'!C:C=T78),4,FALSE)+VLOOKUP(S78,filter('🔒 Доп. информация'!D:H,'🔒 Доп. информация'!C:C=T78),5,FALSE)*AJ78,
IF(AND(MAX(AF78:AH78)&lt;80,SUM(A"&amp;"F78:AH78)&lt;=160,AI78&lt;20,XLOOKUP(M78,'📄 Комиссии'!C:C,'📄 Комиссии'!B:B)&lt;&gt;""Продукты""),
VLOOKUP(S78,filter('🔒 Доп. информация'!D:H,'🔒 Доп. информация'!C:C=data!$A$3),4,FALSE)+VLOOKUP(S78,filter('🔒 Доп. информация'!D:H,'🔒 Доп. информация'!C:C=data!$A$3"&amp;"),5,FALSE)*AJ78,
VLOOKUP(S78,filter('🔒 Доп. информация'!D:H,'🔒 Доп. информация'!C:C=T78),4,FALSE)*ROUNDUP(AF78*AG78*AH78*L78/(120*80*175))/L78)
)
*(AE78/2)
,)
,)*0"),0.0)</f>
        <v>0</v>
      </c>
      <c r="BK78" s="204">
        <f>IFERROR(__xludf.DUMMYFUNCTION("IF(AU78=data!A$5,
IF(AI78&lt;=1,IF(AI78&lt;=0.8,IF(AI78&lt;=0.6,IF(AI78&lt;=0.4,IF(AI78&lt;=0.2,23,26),29),30),32)*VLOOKUP(S78,filter('🔒 Доп. информация'!D:E,'🔒 Доп. информация'!C:C=T78),2,FALSE)/'🔒 Доп. информация'!$K$9,
IF(AV78=data!A$8,U78,1)*VLOOKUP(S78,filter('"&amp;"🔒 Доп. информация'!D:E,'🔒 Доп. информация'!C:C=T78),2,FALSE)+
IF(AV78=data!A$8,U78,1)*VLOOKUP(S78,filter('🔒 Доп. информация'!D:F,'🔒 Доп. информация'!C:C=T78),3,FALSE)*AJ78)
,0)"),69.0)</f>
        <v>69</v>
      </c>
      <c r="BL78" s="185" t="str">
        <f t="shared" ref="BL78:BM78" si="244">IF($D78,"🔒",)</f>
        <v/>
      </c>
      <c r="BM78" s="185" t="str">
        <f t="shared" si="244"/>
        <v/>
      </c>
      <c r="BN78" s="204">
        <f>VLOOKUP(T78,'🔒 Доп. информация'!J:P,7,false)</f>
        <v>50</v>
      </c>
      <c r="BO78" s="204">
        <f>IF(AV78=data!A$9,
(AA78+AO78+AP78+BJ78+BK78+BN78)+H78*AS78,
(BJ78+BK78+BN78)+H78*AS78
)</f>
        <v>119</v>
      </c>
      <c r="BP78" s="204">
        <f t="shared" si="26"/>
        <v>69</v>
      </c>
      <c r="BQ78" s="204">
        <f t="shared" si="27"/>
        <v>320</v>
      </c>
      <c r="BR78" s="204" t="str">
        <f t="shared" si="37"/>
        <v>#N/A</v>
      </c>
      <c r="BS78" s="204" t="str">
        <f t="array" ref="BS78">IF(VLOOKUP(AT78,{'▶️ Инструкция'!C:C,'▶️ Инструкция'!Y:Y},2,FALSE)=data!A$15,
H78*(1-I78),
(H78-BR78))
*VLOOKUP(AT78,{'▶️ Инструкция'!C:C,'▶️ Инструкция'!AD:AD},2,FALSE)/(1+VLOOKUP(AT78,{'▶️ Инструкция'!C:C,'▶️ Инструкция'!AD:AD},2,FALSE))</f>
        <v>#N/A</v>
      </c>
      <c r="BT78" s="204" t="str">
        <f t="array" ref="BT78">
IF(VLOOKUP(AT78,{'▶️ Инструкция'!C:C,'▶️ Инструкция'!Y:Y},2,FALSE)=data!A$15,
H78*(1-I78)-BS78,
(H78-BR78-BS78))
*
VLOOKUP(AT78,{'▶️ Инструкция'!C:C,'▶️ Инструкция'!R:R},2,FALSE)
+BS78</f>
        <v>#N/A</v>
      </c>
      <c r="BU78" s="204" t="str">
        <f>(G78*AR78)+if(AV78=data!A$9,AO78,AN78)+AP78+BR78+BT78</f>
        <v>#N/A</v>
      </c>
      <c r="BV78" s="204" t="str">
        <f>(G78*AR78)+if(AV78=data!A$9,AO78,AN78)+AP78+BT78+G78</f>
        <v>#N/A</v>
      </c>
      <c r="BW78" s="204" t="str">
        <f t="shared" si="28"/>
        <v>#N/A</v>
      </c>
      <c r="BX78" s="204" t="str">
        <f t="shared" si="29"/>
        <v>#N/A</v>
      </c>
    </row>
    <row r="79">
      <c r="A79" s="165" t="str">
        <f>if(D79=true,if(F79=data!A$1,data!A$10,data!A$11),)</f>
        <v/>
      </c>
      <c r="B79" s="166" t="str">
        <f t="shared" si="4"/>
        <v>FBS</v>
      </c>
      <c r="C79" s="167" t="s">
        <v>195</v>
      </c>
      <c r="D79" s="168" t="b">
        <v>0</v>
      </c>
      <c r="E79" s="169" t="s">
        <v>204</v>
      </c>
      <c r="F79" s="170" t="str">
        <f t="array" ref="F79">IF(D79=TRUE,IF(IF(BG$3=VLOOKUP(AT79,{'▶️ Инструкция'!C:C,'▶️ Инструкция'!G:G},2,FALSE),BG79,BH79)&gt;VLOOKUP(AT79,{'▶️ Инструкция'!C:C,'▶️ Инструкция'!N:N},2,FALSE),data!A$1,data!A$2),)</f>
        <v/>
      </c>
      <c r="G79" s="171">
        <v>0.0</v>
      </c>
      <c r="H79" s="172">
        <v>1000.0</v>
      </c>
      <c r="I79" s="173">
        <v>0.0</v>
      </c>
      <c r="J79" s="173">
        <v>0.0</v>
      </c>
      <c r="K79" s="174" t="str">
        <f t="shared" si="5"/>
        <v/>
      </c>
      <c r="L79" s="175">
        <v>0.0</v>
      </c>
      <c r="M79" s="176" t="s">
        <v>197</v>
      </c>
      <c r="N79" s="177">
        <f>IFERROR(__xludf.DUMMYFUNCTION("ArrayFormula(let(category,VLOOKUP($M79, {'📄 Комиссии'!$C:$C , '📄 Комиссии'!$B:$B}, 2, 0),
data,MATCH('🔒 Доп. информация'!$J$15:$J203,TRANSPOSE(SPLIT(INDEX('▶️ Инструкция'!$Q:$Q,MATCH($AT79,'▶️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commission,VLOOKUP($M79,'📄 Комиссии'!$C:$E,IF($AV79=data!A$8,2,3),0),
IF(NOT(ISBLANK($M79)),commission/100+
IFERR"&amp;"OR(VLOOKUP($AT79,{'▶️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79" s="178" t="str">
        <f t="shared" si="6"/>
        <v/>
      </c>
      <c r="Q79" s="178" t="str">
        <f t="shared" si="7"/>
        <v/>
      </c>
      <c r="S79" s="179" t="s">
        <v>192</v>
      </c>
      <c r="T79" s="180" t="s">
        <v>193</v>
      </c>
      <c r="U79" s="181">
        <v>1.0</v>
      </c>
      <c r="V79" s="182" t="str">
        <f t="shared" ref="V79:Y79" si="245">IF($D79,"🔒",)</f>
        <v/>
      </c>
      <c r="W79" s="182" t="str">
        <f t="shared" si="245"/>
        <v/>
      </c>
      <c r="X79" s="182" t="str">
        <f t="shared" si="245"/>
        <v/>
      </c>
      <c r="Y79" s="182" t="str">
        <f t="shared" si="245"/>
        <v/>
      </c>
      <c r="Z79" s="183">
        <v>0.0</v>
      </c>
      <c r="AA79" s="184">
        <f t="shared" si="31"/>
        <v>0</v>
      </c>
      <c r="AB79" s="185" t="str">
        <f t="shared" ref="AB79:AD79" si="246">IF($D79,"🔒",)</f>
        <v/>
      </c>
      <c r="AC79" s="185" t="str">
        <f t="shared" si="246"/>
        <v/>
      </c>
      <c r="AD79" s="186" t="str">
        <f t="shared" si="246"/>
        <v/>
      </c>
      <c r="AE79" s="180">
        <v>30.0</v>
      </c>
      <c r="AF79" s="187">
        <v>0.0</v>
      </c>
      <c r="AG79" s="187">
        <v>0.0</v>
      </c>
      <c r="AH79" s="187">
        <v>0.0</v>
      </c>
      <c r="AI79" s="181">
        <f t="shared" si="10"/>
        <v>0</v>
      </c>
      <c r="AJ79" s="181">
        <f t="shared" si="11"/>
        <v>0</v>
      </c>
      <c r="AK79" s="185" t="str">
        <f t="shared" si="12"/>
        <v/>
      </c>
      <c r="AL79" s="188" t="str">
        <f t="array" ref="AL79">H79*(1-I79)*VLOOKUP(AT79,{'▶️ Инструкция'!C:C,'▶️ Инструкция'!AI:AI},2,false)</f>
        <v>#N/A</v>
      </c>
      <c r="AM79" s="186" t="str">
        <f t="shared" si="13"/>
        <v/>
      </c>
      <c r="AN79" s="189">
        <v>0.0</v>
      </c>
      <c r="AO79" s="189">
        <v>0.0</v>
      </c>
      <c r="AP79" s="189">
        <v>0.0</v>
      </c>
      <c r="AQ79" s="191">
        <v>1.0</v>
      </c>
      <c r="AR79" s="191">
        <v>0.0</v>
      </c>
      <c r="AS79" s="212">
        <v>0.0</v>
      </c>
      <c r="AT79" s="193" t="s">
        <v>206</v>
      </c>
      <c r="AU79" s="193" t="s">
        <v>121</v>
      </c>
      <c r="AV79" s="193" t="s">
        <v>199</v>
      </c>
      <c r="AW79" s="194">
        <f t="shared" si="14"/>
        <v>0</v>
      </c>
      <c r="AX79" s="195">
        <f t="shared" si="15"/>
        <v>0</v>
      </c>
      <c r="AY79" s="196" t="str">
        <f t="shared" si="16"/>
        <v>#N/A</v>
      </c>
      <c r="AZ79" s="213">
        <v>250.0</v>
      </c>
      <c r="BA79" s="196">
        <f t="shared" si="17"/>
        <v>0.25</v>
      </c>
      <c r="BB79" s="213">
        <f t="shared" si="18"/>
        <v>1000</v>
      </c>
      <c r="BC79" s="199" t="str">
        <f t="shared" si="19"/>
        <v>#N/A</v>
      </c>
      <c r="BD79" s="200" t="str">
        <f t="shared" si="20"/>
        <v>#N/A</v>
      </c>
      <c r="BE79" s="200">
        <f t="shared" si="21"/>
        <v>0</v>
      </c>
      <c r="BF79" s="201" t="str">
        <f t="shared" si="22"/>
        <v/>
      </c>
      <c r="BG79" s="201" t="str">
        <f t="shared" si="23"/>
        <v/>
      </c>
      <c r="BH79" s="202" t="str">
        <f t="shared" si="24"/>
        <v/>
      </c>
      <c r="BI79" s="203"/>
      <c r="BJ79" s="204">
        <f>IFERROR(__xludf.DUMMYFUNCTION("IF(AU79=data!A$5,
IF(AV79=data!A$8,
IF(T79=data!A$3,
VLOOKUP(S79,filter('🔒 Доп. информация'!D:H,'🔒 Доп. информация'!C:C=T79),4,FALSE)+VLOOKUP(S79,filter('🔒 Доп. информация'!D:H,'🔒 Доп. информация'!C:C=T79),5,FALSE)*AJ79,
IF(AND(MAX(AF79:AH79)&lt;80,SUM(A"&amp;"F79:AH79)&lt;=160,AI79&lt;20,XLOOKUP(M79,'📄 Комиссии'!C:C,'📄 Комиссии'!B:B)&lt;&gt;""Продукты""),
VLOOKUP(S79,filter('🔒 Доп. информация'!D:H,'🔒 Доп. информация'!C:C=data!$A$3),4,FALSE)+VLOOKUP(S79,filter('🔒 Доп. информация'!D:H,'🔒 Доп. информация'!C:C=data!$A$3"&amp;"),5,FALSE)*AJ79,
VLOOKUP(S79,filter('🔒 Доп. информация'!D:H,'🔒 Доп. информация'!C:C=T79),4,FALSE)*ROUNDUP(AF79*AG79*AH79*L79/(120*80*175))/L79)
)
*(AE79/2)
,)
,)*0"),0.0)</f>
        <v>0</v>
      </c>
      <c r="BK79" s="204">
        <f>IFERROR(__xludf.DUMMYFUNCTION("IF(AU79=data!A$5,
IF(AI79&lt;=1,IF(AI79&lt;=0.8,IF(AI79&lt;=0.6,IF(AI79&lt;=0.4,IF(AI79&lt;=0.2,23,26),29),30),32)*VLOOKUP(S79,filter('🔒 Доп. информация'!D:E,'🔒 Доп. информация'!C:C=T79),2,FALSE)/'🔒 Доп. информация'!$K$9,
IF(AV79=data!A$8,U79,1)*VLOOKUP(S79,filter('"&amp;"🔒 Доп. информация'!D:E,'🔒 Доп. информация'!C:C=T79),2,FALSE)+
IF(AV79=data!A$8,U79,1)*VLOOKUP(S79,filter('🔒 Доп. информация'!D:F,'🔒 Доп. информация'!C:C=T79),3,FALSE)*AJ79)
,0)"),69.0)</f>
        <v>69</v>
      </c>
      <c r="BL79" s="185" t="str">
        <f t="shared" ref="BL79:BM79" si="247">IF($D79,"🔒",)</f>
        <v/>
      </c>
      <c r="BM79" s="185" t="str">
        <f t="shared" si="247"/>
        <v/>
      </c>
      <c r="BN79" s="204">
        <f>VLOOKUP(T79,'🔒 Доп. информация'!J:P,7,false)</f>
        <v>50</v>
      </c>
      <c r="BO79" s="204">
        <f>IF(AV79=data!A$9,
(AA79+AO79+AP79+BJ79+BK79+BN79)+H79*AS79,
(BJ79+BK79+BN79)+H79*AS79
)</f>
        <v>119</v>
      </c>
      <c r="BP79" s="204">
        <f t="shared" si="26"/>
        <v>69</v>
      </c>
      <c r="BQ79" s="204">
        <f t="shared" si="27"/>
        <v>320</v>
      </c>
      <c r="BR79" s="204" t="str">
        <f t="shared" si="37"/>
        <v>#N/A</v>
      </c>
      <c r="BS79" s="204" t="str">
        <f t="array" ref="BS79">IF(VLOOKUP(AT79,{'▶️ Инструкция'!C:C,'▶️ Инструкция'!Y:Y},2,FALSE)=data!A$15,
H79*(1-I79),
(H79-BR79))
*VLOOKUP(AT79,{'▶️ Инструкция'!C:C,'▶️ Инструкция'!AD:AD},2,FALSE)/(1+VLOOKUP(AT79,{'▶️ Инструкция'!C:C,'▶️ Инструкция'!AD:AD},2,FALSE))</f>
        <v>#N/A</v>
      </c>
      <c r="BT79" s="204" t="str">
        <f t="array" ref="BT79">
IF(VLOOKUP(AT79,{'▶️ Инструкция'!C:C,'▶️ Инструкция'!Y:Y},2,FALSE)=data!A$15,
H79*(1-I79)-BS79,
(H79-BR79-BS79))
*
VLOOKUP(AT79,{'▶️ Инструкция'!C:C,'▶️ Инструкция'!R:R},2,FALSE)
+BS79</f>
        <v>#N/A</v>
      </c>
      <c r="BU79" s="204" t="str">
        <f>(G79*AR79)+if(AV79=data!A$9,AO79,AN79)+AP79+BR79+BT79</f>
        <v>#N/A</v>
      </c>
      <c r="BV79" s="204" t="str">
        <f>(G79*AR79)+if(AV79=data!A$9,AO79,AN79)+AP79+BT79+G79</f>
        <v>#N/A</v>
      </c>
      <c r="BW79" s="204" t="str">
        <f t="shared" si="28"/>
        <v>#N/A</v>
      </c>
      <c r="BX79" s="204" t="str">
        <f t="shared" si="29"/>
        <v>#N/A</v>
      </c>
    </row>
    <row r="80">
      <c r="A80" s="165" t="str">
        <f>if(D80=true,if(F80=data!A$1,data!A$10,data!A$11),)</f>
        <v/>
      </c>
      <c r="B80" s="166" t="str">
        <f t="shared" si="4"/>
        <v>FBS</v>
      </c>
      <c r="C80" s="167" t="s">
        <v>195</v>
      </c>
      <c r="D80" s="168" t="b">
        <v>0</v>
      </c>
      <c r="E80" s="169" t="s">
        <v>204</v>
      </c>
      <c r="F80" s="170" t="str">
        <f t="array" ref="F80">IF(D80=TRUE,IF(IF(BG$3=VLOOKUP(AT80,{'▶️ Инструкция'!C:C,'▶️ Инструкция'!G:G},2,FALSE),BG80,BH80)&gt;VLOOKUP(AT80,{'▶️ Инструкция'!C:C,'▶️ Инструкция'!N:N},2,FALSE),data!A$1,data!A$2),)</f>
        <v/>
      </c>
      <c r="G80" s="171">
        <v>0.0</v>
      </c>
      <c r="H80" s="172">
        <v>1000.0</v>
      </c>
      <c r="I80" s="173">
        <v>0.0</v>
      </c>
      <c r="J80" s="173">
        <v>0.0</v>
      </c>
      <c r="K80" s="174" t="str">
        <f t="shared" si="5"/>
        <v/>
      </c>
      <c r="L80" s="175">
        <v>0.0</v>
      </c>
      <c r="M80" s="176" t="s">
        <v>197</v>
      </c>
      <c r="N80" s="177">
        <f>IFERROR(__xludf.DUMMYFUNCTION("ArrayFormula(let(category,VLOOKUP($M80, {'📄 Комиссии'!$C:$C , '📄 Комиссии'!$B:$B}, 2, 0),
data,MATCH('🔒 Доп. информация'!$J$15:$J203,TRANSPOSE(SPLIT(INDEX('▶️ Инструкция'!$Q:$Q,MATCH($AT80,'▶️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commission,VLOOKUP($M80,'📄 Комиссии'!$C:$E,IF($AV80=data!A$8,2,3),0),
IF(NOT(ISBLANK($M80)),commission/100+
IFERR"&amp;"OR(VLOOKUP($AT80,{'▶️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80" s="178" t="str">
        <f t="shared" si="6"/>
        <v/>
      </c>
      <c r="Q80" s="178" t="str">
        <f t="shared" si="7"/>
        <v/>
      </c>
      <c r="S80" s="179" t="s">
        <v>192</v>
      </c>
      <c r="T80" s="180" t="s">
        <v>193</v>
      </c>
      <c r="U80" s="181">
        <v>1.0</v>
      </c>
      <c r="V80" s="182" t="str">
        <f t="shared" ref="V80:Y80" si="248">IF($D80,"🔒",)</f>
        <v/>
      </c>
      <c r="W80" s="182" t="str">
        <f t="shared" si="248"/>
        <v/>
      </c>
      <c r="X80" s="182" t="str">
        <f t="shared" si="248"/>
        <v/>
      </c>
      <c r="Y80" s="182" t="str">
        <f t="shared" si="248"/>
        <v/>
      </c>
      <c r="Z80" s="183">
        <v>0.0</v>
      </c>
      <c r="AA80" s="184">
        <f t="shared" si="31"/>
        <v>0</v>
      </c>
      <c r="AB80" s="185" t="str">
        <f t="shared" ref="AB80:AD80" si="249">IF($D80,"🔒",)</f>
        <v/>
      </c>
      <c r="AC80" s="185" t="str">
        <f t="shared" si="249"/>
        <v/>
      </c>
      <c r="AD80" s="186" t="str">
        <f t="shared" si="249"/>
        <v/>
      </c>
      <c r="AE80" s="180">
        <v>30.0</v>
      </c>
      <c r="AF80" s="187">
        <v>0.0</v>
      </c>
      <c r="AG80" s="187">
        <v>0.0</v>
      </c>
      <c r="AH80" s="187">
        <v>0.0</v>
      </c>
      <c r="AI80" s="181">
        <f t="shared" si="10"/>
        <v>0</v>
      </c>
      <c r="AJ80" s="181">
        <f t="shared" si="11"/>
        <v>0</v>
      </c>
      <c r="AK80" s="185" t="str">
        <f t="shared" si="12"/>
        <v/>
      </c>
      <c r="AL80" s="188" t="str">
        <f t="array" ref="AL80">H80*(1-I80)*VLOOKUP(AT80,{'▶️ Инструкция'!C:C,'▶️ Инструкция'!AI:AI},2,false)</f>
        <v>#N/A</v>
      </c>
      <c r="AM80" s="186" t="str">
        <f t="shared" si="13"/>
        <v/>
      </c>
      <c r="AN80" s="189">
        <v>0.0</v>
      </c>
      <c r="AO80" s="189">
        <v>0.0</v>
      </c>
      <c r="AP80" s="189">
        <v>0.0</v>
      </c>
      <c r="AQ80" s="191">
        <v>1.0</v>
      </c>
      <c r="AR80" s="191">
        <v>0.0</v>
      </c>
      <c r="AS80" s="212">
        <v>0.0</v>
      </c>
      <c r="AT80" s="193" t="s">
        <v>206</v>
      </c>
      <c r="AU80" s="193" t="s">
        <v>121</v>
      </c>
      <c r="AV80" s="193" t="s">
        <v>199</v>
      </c>
      <c r="AW80" s="194">
        <f t="shared" si="14"/>
        <v>0</v>
      </c>
      <c r="AX80" s="195">
        <f t="shared" si="15"/>
        <v>0</v>
      </c>
      <c r="AY80" s="196" t="str">
        <f t="shared" si="16"/>
        <v>#N/A</v>
      </c>
      <c r="AZ80" s="213">
        <v>250.0</v>
      </c>
      <c r="BA80" s="196">
        <f t="shared" si="17"/>
        <v>0.25</v>
      </c>
      <c r="BB80" s="213">
        <f t="shared" si="18"/>
        <v>1000</v>
      </c>
      <c r="BC80" s="199" t="str">
        <f t="shared" si="19"/>
        <v>#N/A</v>
      </c>
      <c r="BD80" s="200" t="str">
        <f t="shared" si="20"/>
        <v>#N/A</v>
      </c>
      <c r="BE80" s="200">
        <f t="shared" si="21"/>
        <v>0</v>
      </c>
      <c r="BF80" s="201" t="str">
        <f t="shared" si="22"/>
        <v/>
      </c>
      <c r="BG80" s="201" t="str">
        <f t="shared" si="23"/>
        <v/>
      </c>
      <c r="BH80" s="202" t="str">
        <f t="shared" si="24"/>
        <v/>
      </c>
      <c r="BI80" s="203"/>
      <c r="BJ80" s="204">
        <f>IFERROR(__xludf.DUMMYFUNCTION("IF(AU80=data!A$5,
IF(AV80=data!A$8,
IF(T80=data!A$3,
VLOOKUP(S80,filter('🔒 Доп. информация'!D:H,'🔒 Доп. информация'!C:C=T80),4,FALSE)+VLOOKUP(S80,filter('🔒 Доп. информация'!D:H,'🔒 Доп. информация'!C:C=T80),5,FALSE)*AJ80,
IF(AND(MAX(AF80:AH80)&lt;80,SUM(A"&amp;"F80:AH80)&lt;=160,AI80&lt;20,XLOOKUP(M80,'📄 Комиссии'!C:C,'📄 Комиссии'!B:B)&lt;&gt;""Продукты""),
VLOOKUP(S80,filter('🔒 Доп. информация'!D:H,'🔒 Доп. информация'!C:C=data!$A$3),4,FALSE)+VLOOKUP(S80,filter('🔒 Доп. информация'!D:H,'🔒 Доп. информация'!C:C=data!$A$3"&amp;"),5,FALSE)*AJ80,
VLOOKUP(S80,filter('🔒 Доп. информация'!D:H,'🔒 Доп. информация'!C:C=T80),4,FALSE)*ROUNDUP(AF80*AG80*AH80*L80/(120*80*175))/L80)
)
*(AE80/2)
,)
,)*0"),0.0)</f>
        <v>0</v>
      </c>
      <c r="BK80" s="204">
        <f>IFERROR(__xludf.DUMMYFUNCTION("IF(AU80=data!A$5,
IF(AI80&lt;=1,IF(AI80&lt;=0.8,IF(AI80&lt;=0.6,IF(AI80&lt;=0.4,IF(AI80&lt;=0.2,23,26),29),30),32)*VLOOKUP(S80,filter('🔒 Доп. информация'!D:E,'🔒 Доп. информация'!C:C=T80),2,FALSE)/'🔒 Доп. информация'!$K$9,
IF(AV80=data!A$8,U80,1)*VLOOKUP(S80,filter('"&amp;"🔒 Доп. информация'!D:E,'🔒 Доп. информация'!C:C=T80),2,FALSE)+
IF(AV80=data!A$8,U80,1)*VLOOKUP(S80,filter('🔒 Доп. информация'!D:F,'🔒 Доп. информация'!C:C=T80),3,FALSE)*AJ80)
,0)"),69.0)</f>
        <v>69</v>
      </c>
      <c r="BL80" s="185" t="str">
        <f t="shared" ref="BL80:BM80" si="250">IF($D80,"🔒",)</f>
        <v/>
      </c>
      <c r="BM80" s="185" t="str">
        <f t="shared" si="250"/>
        <v/>
      </c>
      <c r="BN80" s="204">
        <f>VLOOKUP(T80,'🔒 Доп. информация'!J:P,7,false)</f>
        <v>50</v>
      </c>
      <c r="BO80" s="204">
        <f>IF(AV80=data!A$9,
(AA80+AO80+AP80+BJ80+BK80+BN80)+H80*AS80,
(BJ80+BK80+BN80)+H80*AS80
)</f>
        <v>119</v>
      </c>
      <c r="BP80" s="204">
        <f t="shared" si="26"/>
        <v>69</v>
      </c>
      <c r="BQ80" s="204">
        <f t="shared" si="27"/>
        <v>320</v>
      </c>
      <c r="BR80" s="204" t="str">
        <f t="shared" si="37"/>
        <v>#N/A</v>
      </c>
      <c r="BS80" s="204" t="str">
        <f t="array" ref="BS80">IF(VLOOKUP(AT80,{'▶️ Инструкция'!C:C,'▶️ Инструкция'!Y:Y},2,FALSE)=data!A$15,
H80*(1-I80),
(H80-BR80))
*VLOOKUP(AT80,{'▶️ Инструкция'!C:C,'▶️ Инструкция'!AD:AD},2,FALSE)/(1+VLOOKUP(AT80,{'▶️ Инструкция'!C:C,'▶️ Инструкция'!AD:AD},2,FALSE))</f>
        <v>#N/A</v>
      </c>
      <c r="BT80" s="204" t="str">
        <f t="array" ref="BT80">
IF(VLOOKUP(AT80,{'▶️ Инструкция'!C:C,'▶️ Инструкция'!Y:Y},2,FALSE)=data!A$15,
H80*(1-I80)-BS80,
(H80-BR80-BS80))
*
VLOOKUP(AT80,{'▶️ Инструкция'!C:C,'▶️ Инструкция'!R:R},2,FALSE)
+BS80</f>
        <v>#N/A</v>
      </c>
      <c r="BU80" s="204" t="str">
        <f>(G80*AR80)+if(AV80=data!A$9,AO80,AN80)+AP80+BR80+BT80</f>
        <v>#N/A</v>
      </c>
      <c r="BV80" s="204" t="str">
        <f>(G80*AR80)+if(AV80=data!A$9,AO80,AN80)+AP80+BT80+G80</f>
        <v>#N/A</v>
      </c>
      <c r="BW80" s="204" t="str">
        <f t="shared" si="28"/>
        <v>#N/A</v>
      </c>
      <c r="BX80" s="204" t="str">
        <f t="shared" si="29"/>
        <v>#N/A</v>
      </c>
    </row>
    <row r="81">
      <c r="A81" s="165" t="str">
        <f>if(D81=true,if(F81=data!A$1,data!A$10,data!A$11),)</f>
        <v/>
      </c>
      <c r="B81" s="166" t="str">
        <f t="shared" si="4"/>
        <v>FBS</v>
      </c>
      <c r="C81" s="167" t="s">
        <v>195</v>
      </c>
      <c r="D81" s="168" t="b">
        <v>0</v>
      </c>
      <c r="E81" s="169" t="s">
        <v>204</v>
      </c>
      <c r="F81" s="170" t="str">
        <f t="array" ref="F81">IF(D81=TRUE,IF(IF(BG$3=VLOOKUP(AT81,{'▶️ Инструкция'!C:C,'▶️ Инструкция'!G:G},2,FALSE),BG81,BH81)&gt;VLOOKUP(AT81,{'▶️ Инструкция'!C:C,'▶️ Инструкция'!N:N},2,FALSE),data!A$1,data!A$2),)</f>
        <v/>
      </c>
      <c r="G81" s="171">
        <v>0.0</v>
      </c>
      <c r="H81" s="172">
        <v>1000.0</v>
      </c>
      <c r="I81" s="173">
        <v>0.0</v>
      </c>
      <c r="J81" s="173">
        <v>0.0</v>
      </c>
      <c r="K81" s="174" t="str">
        <f t="shared" si="5"/>
        <v/>
      </c>
      <c r="L81" s="175">
        <v>0.0</v>
      </c>
      <c r="M81" s="176" t="s">
        <v>197</v>
      </c>
      <c r="N81" s="177">
        <f>IFERROR(__xludf.DUMMYFUNCTION("ArrayFormula(let(category,VLOOKUP($M81, {'📄 Комиссии'!$C:$C , '📄 Комиссии'!$B:$B}, 2, 0),
data,MATCH('🔒 Доп. информация'!$J$15:$J203,TRANSPOSE(SPLIT(INDEX('▶️ Инструкция'!$Q:$Q,MATCH($AT81,'▶️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commission,VLOOKUP($M81,'📄 Комиссии'!$C:$E,IF($AV81=data!A$8,2,3),0),
IF(NOT(ISBLANK($M81)),commission/100+
IFERR"&amp;"OR(VLOOKUP($AT81,{'▶️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81" s="178" t="str">
        <f t="shared" si="6"/>
        <v/>
      </c>
      <c r="Q81" s="178" t="str">
        <f t="shared" si="7"/>
        <v/>
      </c>
      <c r="S81" s="179" t="s">
        <v>192</v>
      </c>
      <c r="T81" s="180" t="s">
        <v>193</v>
      </c>
      <c r="U81" s="181">
        <v>1.0</v>
      </c>
      <c r="V81" s="182" t="str">
        <f t="shared" ref="V81:Y81" si="251">IF($D81,"🔒",)</f>
        <v/>
      </c>
      <c r="W81" s="182" t="str">
        <f t="shared" si="251"/>
        <v/>
      </c>
      <c r="X81" s="182" t="str">
        <f t="shared" si="251"/>
        <v/>
      </c>
      <c r="Y81" s="182" t="str">
        <f t="shared" si="251"/>
        <v/>
      </c>
      <c r="Z81" s="183">
        <v>0.0</v>
      </c>
      <c r="AA81" s="184">
        <f t="shared" si="31"/>
        <v>0</v>
      </c>
      <c r="AB81" s="185" t="str">
        <f t="shared" ref="AB81:AD81" si="252">IF($D81,"🔒",)</f>
        <v/>
      </c>
      <c r="AC81" s="185" t="str">
        <f t="shared" si="252"/>
        <v/>
      </c>
      <c r="AD81" s="186" t="str">
        <f t="shared" si="252"/>
        <v/>
      </c>
      <c r="AE81" s="180">
        <v>30.0</v>
      </c>
      <c r="AF81" s="187">
        <v>0.0</v>
      </c>
      <c r="AG81" s="187">
        <v>0.0</v>
      </c>
      <c r="AH81" s="187">
        <v>0.0</v>
      </c>
      <c r="AI81" s="181">
        <f t="shared" si="10"/>
        <v>0</v>
      </c>
      <c r="AJ81" s="181">
        <f t="shared" si="11"/>
        <v>0</v>
      </c>
      <c r="AK81" s="185" t="str">
        <f t="shared" si="12"/>
        <v/>
      </c>
      <c r="AL81" s="188" t="str">
        <f t="array" ref="AL81">H81*(1-I81)*VLOOKUP(AT81,{'▶️ Инструкция'!C:C,'▶️ Инструкция'!AI:AI},2,false)</f>
        <v>#N/A</v>
      </c>
      <c r="AM81" s="186" t="str">
        <f t="shared" si="13"/>
        <v/>
      </c>
      <c r="AN81" s="189">
        <v>0.0</v>
      </c>
      <c r="AO81" s="189">
        <v>0.0</v>
      </c>
      <c r="AP81" s="189">
        <v>0.0</v>
      </c>
      <c r="AQ81" s="191">
        <v>1.0</v>
      </c>
      <c r="AR81" s="191">
        <v>0.0</v>
      </c>
      <c r="AS81" s="212">
        <v>0.0</v>
      </c>
      <c r="AT81" s="193" t="s">
        <v>206</v>
      </c>
      <c r="AU81" s="193" t="s">
        <v>121</v>
      </c>
      <c r="AV81" s="193" t="s">
        <v>199</v>
      </c>
      <c r="AW81" s="194">
        <f t="shared" si="14"/>
        <v>0</v>
      </c>
      <c r="AX81" s="195">
        <f t="shared" si="15"/>
        <v>0</v>
      </c>
      <c r="AY81" s="196" t="str">
        <f t="shared" si="16"/>
        <v>#N/A</v>
      </c>
      <c r="AZ81" s="213">
        <v>250.0</v>
      </c>
      <c r="BA81" s="196">
        <f t="shared" si="17"/>
        <v>0.25</v>
      </c>
      <c r="BB81" s="213">
        <f t="shared" si="18"/>
        <v>1000</v>
      </c>
      <c r="BC81" s="199" t="str">
        <f t="shared" si="19"/>
        <v>#N/A</v>
      </c>
      <c r="BD81" s="200" t="str">
        <f t="shared" si="20"/>
        <v>#N/A</v>
      </c>
      <c r="BE81" s="200">
        <f t="shared" si="21"/>
        <v>0</v>
      </c>
      <c r="BF81" s="201" t="str">
        <f t="shared" si="22"/>
        <v/>
      </c>
      <c r="BG81" s="201" t="str">
        <f t="shared" si="23"/>
        <v/>
      </c>
      <c r="BH81" s="202" t="str">
        <f t="shared" si="24"/>
        <v/>
      </c>
      <c r="BI81" s="203"/>
      <c r="BJ81" s="204">
        <f>IFERROR(__xludf.DUMMYFUNCTION("IF(AU81=data!A$5,
IF(AV81=data!A$8,
IF(T81=data!A$3,
VLOOKUP(S81,filter('🔒 Доп. информация'!D:H,'🔒 Доп. информация'!C:C=T81),4,FALSE)+VLOOKUP(S81,filter('🔒 Доп. информация'!D:H,'🔒 Доп. информация'!C:C=T81),5,FALSE)*AJ81,
IF(AND(MAX(AF81:AH81)&lt;80,SUM(A"&amp;"F81:AH81)&lt;=160,AI81&lt;20,XLOOKUP(M81,'📄 Комиссии'!C:C,'📄 Комиссии'!B:B)&lt;&gt;""Продукты""),
VLOOKUP(S81,filter('🔒 Доп. информация'!D:H,'🔒 Доп. информация'!C:C=data!$A$3),4,FALSE)+VLOOKUP(S81,filter('🔒 Доп. информация'!D:H,'🔒 Доп. информация'!C:C=data!$A$3"&amp;"),5,FALSE)*AJ81,
VLOOKUP(S81,filter('🔒 Доп. информация'!D:H,'🔒 Доп. информация'!C:C=T81),4,FALSE)*ROUNDUP(AF81*AG81*AH81*L81/(120*80*175))/L81)
)
*(AE81/2)
,)
,)*0"),0.0)</f>
        <v>0</v>
      </c>
      <c r="BK81" s="204">
        <f>IFERROR(__xludf.DUMMYFUNCTION("IF(AU81=data!A$5,
IF(AI81&lt;=1,IF(AI81&lt;=0.8,IF(AI81&lt;=0.6,IF(AI81&lt;=0.4,IF(AI81&lt;=0.2,23,26),29),30),32)*VLOOKUP(S81,filter('🔒 Доп. информация'!D:E,'🔒 Доп. информация'!C:C=T81),2,FALSE)/'🔒 Доп. информация'!$K$9,
IF(AV81=data!A$8,U81,1)*VLOOKUP(S81,filter('"&amp;"🔒 Доп. информация'!D:E,'🔒 Доп. информация'!C:C=T81),2,FALSE)+
IF(AV81=data!A$8,U81,1)*VLOOKUP(S81,filter('🔒 Доп. информация'!D:F,'🔒 Доп. информация'!C:C=T81),3,FALSE)*AJ81)
,0)"),69.0)</f>
        <v>69</v>
      </c>
      <c r="BL81" s="185" t="str">
        <f t="shared" ref="BL81:BM81" si="253">IF($D81,"🔒",)</f>
        <v/>
      </c>
      <c r="BM81" s="185" t="str">
        <f t="shared" si="253"/>
        <v/>
      </c>
      <c r="BN81" s="204">
        <f>VLOOKUP(T81,'🔒 Доп. информация'!J:P,7,false)</f>
        <v>50</v>
      </c>
      <c r="BO81" s="204">
        <f>IF(AV81=data!A$9,
(AA81+AO81+AP81+BJ81+BK81+BN81)+H81*AS81,
(BJ81+BK81+BN81)+H81*AS81
)</f>
        <v>119</v>
      </c>
      <c r="BP81" s="204">
        <f t="shared" si="26"/>
        <v>69</v>
      </c>
      <c r="BQ81" s="204">
        <f t="shared" si="27"/>
        <v>320</v>
      </c>
      <c r="BR81" s="204" t="str">
        <f t="shared" si="37"/>
        <v>#N/A</v>
      </c>
      <c r="BS81" s="204" t="str">
        <f t="array" ref="BS81">IF(VLOOKUP(AT81,{'▶️ Инструкция'!C:C,'▶️ Инструкция'!Y:Y},2,FALSE)=data!A$15,
H81*(1-I81),
(H81-BR81))
*VLOOKUP(AT81,{'▶️ Инструкция'!C:C,'▶️ Инструкция'!AD:AD},2,FALSE)/(1+VLOOKUP(AT81,{'▶️ Инструкция'!C:C,'▶️ Инструкция'!AD:AD},2,FALSE))</f>
        <v>#N/A</v>
      </c>
      <c r="BT81" s="204" t="str">
        <f t="array" ref="BT81">
IF(VLOOKUP(AT81,{'▶️ Инструкция'!C:C,'▶️ Инструкция'!Y:Y},2,FALSE)=data!A$15,
H81*(1-I81)-BS81,
(H81-BR81-BS81))
*
VLOOKUP(AT81,{'▶️ Инструкция'!C:C,'▶️ Инструкция'!R:R},2,FALSE)
+BS81</f>
        <v>#N/A</v>
      </c>
      <c r="BU81" s="204" t="str">
        <f>(G81*AR81)+if(AV81=data!A$9,AO81,AN81)+AP81+BR81+BT81</f>
        <v>#N/A</v>
      </c>
      <c r="BV81" s="204" t="str">
        <f>(G81*AR81)+if(AV81=data!A$9,AO81,AN81)+AP81+BT81+G81</f>
        <v>#N/A</v>
      </c>
      <c r="BW81" s="204" t="str">
        <f t="shared" si="28"/>
        <v>#N/A</v>
      </c>
      <c r="BX81" s="204" t="str">
        <f t="shared" si="29"/>
        <v>#N/A</v>
      </c>
    </row>
    <row r="82">
      <c r="A82" s="165" t="str">
        <f>if(D82=true,if(F82=data!A$1,data!A$10,data!A$11),)</f>
        <v/>
      </c>
      <c r="B82" s="166" t="str">
        <f t="shared" si="4"/>
        <v>FBS</v>
      </c>
      <c r="C82" s="167" t="s">
        <v>195</v>
      </c>
      <c r="D82" s="168" t="b">
        <v>0</v>
      </c>
      <c r="E82" s="169" t="s">
        <v>204</v>
      </c>
      <c r="F82" s="170" t="str">
        <f t="array" ref="F82">IF(D82=TRUE,IF(IF(BG$3=VLOOKUP(AT82,{'▶️ Инструкция'!C:C,'▶️ Инструкция'!G:G},2,FALSE),BG82,BH82)&gt;VLOOKUP(AT82,{'▶️ Инструкция'!C:C,'▶️ Инструкция'!N:N},2,FALSE),data!A$1,data!A$2),)</f>
        <v/>
      </c>
      <c r="G82" s="171">
        <v>0.0</v>
      </c>
      <c r="H82" s="172">
        <v>1000.0</v>
      </c>
      <c r="I82" s="173">
        <v>0.0</v>
      </c>
      <c r="J82" s="173">
        <v>0.0</v>
      </c>
      <c r="K82" s="174" t="str">
        <f t="shared" si="5"/>
        <v/>
      </c>
      <c r="L82" s="175">
        <v>0.0</v>
      </c>
      <c r="M82" s="176" t="s">
        <v>197</v>
      </c>
      <c r="N82" s="177">
        <f>IFERROR(__xludf.DUMMYFUNCTION("ArrayFormula(let(category,VLOOKUP($M82, {'📄 Комиссии'!$C:$C , '📄 Комиссии'!$B:$B}, 2, 0),
data,MATCH('🔒 Доп. информация'!$J$15:$J203,TRANSPOSE(SPLIT(INDEX('▶️ Инструкция'!$Q:$Q,MATCH($AT82,'▶️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commission,VLOOKUP($M82,'📄 Комиссии'!$C:$E,IF($AV82=data!A$8,2,3),0),
IF(NOT(ISBLANK($M82)),commission/100+
IFERR"&amp;"OR(VLOOKUP($AT82,{'▶️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82" s="178" t="str">
        <f t="shared" si="6"/>
        <v/>
      </c>
      <c r="Q82" s="178" t="str">
        <f t="shared" si="7"/>
        <v/>
      </c>
      <c r="S82" s="179" t="s">
        <v>192</v>
      </c>
      <c r="T82" s="180" t="s">
        <v>193</v>
      </c>
      <c r="U82" s="181">
        <v>1.0</v>
      </c>
      <c r="V82" s="182" t="str">
        <f t="shared" ref="V82:Y82" si="254">IF($D82,"🔒",)</f>
        <v/>
      </c>
      <c r="W82" s="182" t="str">
        <f t="shared" si="254"/>
        <v/>
      </c>
      <c r="X82" s="182" t="str">
        <f t="shared" si="254"/>
        <v/>
      </c>
      <c r="Y82" s="182" t="str">
        <f t="shared" si="254"/>
        <v/>
      </c>
      <c r="Z82" s="183">
        <v>0.0</v>
      </c>
      <c r="AA82" s="184">
        <f t="shared" si="31"/>
        <v>0</v>
      </c>
      <c r="AB82" s="185" t="str">
        <f t="shared" ref="AB82:AD82" si="255">IF($D82,"🔒",)</f>
        <v/>
      </c>
      <c r="AC82" s="185" t="str">
        <f t="shared" si="255"/>
        <v/>
      </c>
      <c r="AD82" s="186" t="str">
        <f t="shared" si="255"/>
        <v/>
      </c>
      <c r="AE82" s="180">
        <v>30.0</v>
      </c>
      <c r="AF82" s="187">
        <v>0.0</v>
      </c>
      <c r="AG82" s="187">
        <v>0.0</v>
      </c>
      <c r="AH82" s="187">
        <v>0.0</v>
      </c>
      <c r="AI82" s="181">
        <f t="shared" si="10"/>
        <v>0</v>
      </c>
      <c r="AJ82" s="181">
        <f t="shared" si="11"/>
        <v>0</v>
      </c>
      <c r="AK82" s="185" t="str">
        <f t="shared" si="12"/>
        <v/>
      </c>
      <c r="AL82" s="188" t="str">
        <f t="array" ref="AL82">H82*(1-I82)*VLOOKUP(AT82,{'▶️ Инструкция'!C:C,'▶️ Инструкция'!AI:AI},2,false)</f>
        <v>#N/A</v>
      </c>
      <c r="AM82" s="186" t="str">
        <f t="shared" si="13"/>
        <v/>
      </c>
      <c r="AN82" s="189">
        <v>0.0</v>
      </c>
      <c r="AO82" s="189">
        <v>0.0</v>
      </c>
      <c r="AP82" s="189">
        <v>0.0</v>
      </c>
      <c r="AQ82" s="191">
        <v>1.0</v>
      </c>
      <c r="AR82" s="191">
        <v>0.0</v>
      </c>
      <c r="AS82" s="212">
        <v>0.0</v>
      </c>
      <c r="AT82" s="193" t="s">
        <v>206</v>
      </c>
      <c r="AU82" s="193" t="s">
        <v>121</v>
      </c>
      <c r="AV82" s="193" t="s">
        <v>199</v>
      </c>
      <c r="AW82" s="194">
        <f t="shared" si="14"/>
        <v>0</v>
      </c>
      <c r="AX82" s="195">
        <f t="shared" si="15"/>
        <v>0</v>
      </c>
      <c r="AY82" s="196" t="str">
        <f t="shared" si="16"/>
        <v>#N/A</v>
      </c>
      <c r="AZ82" s="213">
        <v>250.0</v>
      </c>
      <c r="BA82" s="196">
        <f t="shared" si="17"/>
        <v>0.25</v>
      </c>
      <c r="BB82" s="213">
        <f t="shared" si="18"/>
        <v>1000</v>
      </c>
      <c r="BC82" s="199" t="str">
        <f t="shared" si="19"/>
        <v>#N/A</v>
      </c>
      <c r="BD82" s="200" t="str">
        <f t="shared" si="20"/>
        <v>#N/A</v>
      </c>
      <c r="BE82" s="200">
        <f t="shared" si="21"/>
        <v>0</v>
      </c>
      <c r="BF82" s="201" t="str">
        <f t="shared" si="22"/>
        <v/>
      </c>
      <c r="BG82" s="201" t="str">
        <f t="shared" si="23"/>
        <v/>
      </c>
      <c r="BH82" s="202" t="str">
        <f t="shared" si="24"/>
        <v/>
      </c>
      <c r="BI82" s="203"/>
      <c r="BJ82" s="204">
        <f>IFERROR(__xludf.DUMMYFUNCTION("IF(AU82=data!A$5,
IF(AV82=data!A$8,
IF(T82=data!A$3,
VLOOKUP(S82,filter('🔒 Доп. информация'!D:H,'🔒 Доп. информация'!C:C=T82),4,FALSE)+VLOOKUP(S82,filter('🔒 Доп. информация'!D:H,'🔒 Доп. информация'!C:C=T82),5,FALSE)*AJ82,
IF(AND(MAX(AF82:AH82)&lt;80,SUM(A"&amp;"F82:AH82)&lt;=160,AI82&lt;20,XLOOKUP(M82,'📄 Комиссии'!C:C,'📄 Комиссии'!B:B)&lt;&gt;""Продукты""),
VLOOKUP(S82,filter('🔒 Доп. информация'!D:H,'🔒 Доп. информация'!C:C=data!$A$3),4,FALSE)+VLOOKUP(S82,filter('🔒 Доп. информация'!D:H,'🔒 Доп. информация'!C:C=data!$A$3"&amp;"),5,FALSE)*AJ82,
VLOOKUP(S82,filter('🔒 Доп. информация'!D:H,'🔒 Доп. информация'!C:C=T82),4,FALSE)*ROUNDUP(AF82*AG82*AH82*L82/(120*80*175))/L82)
)
*(AE82/2)
,)
,)*0"),0.0)</f>
        <v>0</v>
      </c>
      <c r="BK82" s="204">
        <f>IFERROR(__xludf.DUMMYFUNCTION("IF(AU82=data!A$5,
IF(AI82&lt;=1,IF(AI82&lt;=0.8,IF(AI82&lt;=0.6,IF(AI82&lt;=0.4,IF(AI82&lt;=0.2,23,26),29),30),32)*VLOOKUP(S82,filter('🔒 Доп. информация'!D:E,'🔒 Доп. информация'!C:C=T82),2,FALSE)/'🔒 Доп. информация'!$K$9,
IF(AV82=data!A$8,U82,1)*VLOOKUP(S82,filter('"&amp;"🔒 Доп. информация'!D:E,'🔒 Доп. информация'!C:C=T82),2,FALSE)+
IF(AV82=data!A$8,U82,1)*VLOOKUP(S82,filter('🔒 Доп. информация'!D:F,'🔒 Доп. информация'!C:C=T82),3,FALSE)*AJ82)
,0)"),69.0)</f>
        <v>69</v>
      </c>
      <c r="BL82" s="185" t="str">
        <f t="shared" ref="BL82:BM82" si="256">IF($D82,"🔒",)</f>
        <v/>
      </c>
      <c r="BM82" s="185" t="str">
        <f t="shared" si="256"/>
        <v/>
      </c>
      <c r="BN82" s="204">
        <f>VLOOKUP(T82,'🔒 Доп. информация'!J:P,7,false)</f>
        <v>50</v>
      </c>
      <c r="BO82" s="204">
        <f>IF(AV82=data!A$9,
(AA82+AO82+AP82+BJ82+BK82+BN82)+H82*AS82,
(BJ82+BK82+BN82)+H82*AS82
)</f>
        <v>119</v>
      </c>
      <c r="BP82" s="204">
        <f t="shared" si="26"/>
        <v>69</v>
      </c>
      <c r="BQ82" s="204">
        <f t="shared" si="27"/>
        <v>320</v>
      </c>
      <c r="BR82" s="204" t="str">
        <f t="shared" si="37"/>
        <v>#N/A</v>
      </c>
      <c r="BS82" s="204" t="str">
        <f t="array" ref="BS82">IF(VLOOKUP(AT82,{'▶️ Инструкция'!C:C,'▶️ Инструкция'!Y:Y},2,FALSE)=data!A$15,
H82*(1-I82),
(H82-BR82))
*VLOOKUP(AT82,{'▶️ Инструкция'!C:C,'▶️ Инструкция'!AD:AD},2,FALSE)/(1+VLOOKUP(AT82,{'▶️ Инструкция'!C:C,'▶️ Инструкция'!AD:AD},2,FALSE))</f>
        <v>#N/A</v>
      </c>
      <c r="BT82" s="204" t="str">
        <f t="array" ref="BT82">
IF(VLOOKUP(AT82,{'▶️ Инструкция'!C:C,'▶️ Инструкция'!Y:Y},2,FALSE)=data!A$15,
H82*(1-I82)-BS82,
(H82-BR82-BS82))
*
VLOOKUP(AT82,{'▶️ Инструкция'!C:C,'▶️ Инструкция'!R:R},2,FALSE)
+BS82</f>
        <v>#N/A</v>
      </c>
      <c r="BU82" s="204" t="str">
        <f>(G82*AR82)+if(AV82=data!A$9,AO82,AN82)+AP82+BR82+BT82</f>
        <v>#N/A</v>
      </c>
      <c r="BV82" s="204" t="str">
        <f>(G82*AR82)+if(AV82=data!A$9,AO82,AN82)+AP82+BT82+G82</f>
        <v>#N/A</v>
      </c>
      <c r="BW82" s="204" t="str">
        <f t="shared" si="28"/>
        <v>#N/A</v>
      </c>
      <c r="BX82" s="204" t="str">
        <f t="shared" si="29"/>
        <v>#N/A</v>
      </c>
    </row>
    <row r="83">
      <c r="A83" s="165" t="str">
        <f>if(D83=true,if(F83=data!A$1,data!A$10,data!A$11),)</f>
        <v/>
      </c>
      <c r="B83" s="166" t="str">
        <f t="shared" si="4"/>
        <v>FBS</v>
      </c>
      <c r="C83" s="167" t="s">
        <v>195</v>
      </c>
      <c r="D83" s="168" t="b">
        <v>0</v>
      </c>
      <c r="E83" s="169" t="s">
        <v>204</v>
      </c>
      <c r="F83" s="170" t="str">
        <f t="array" ref="F83">IF(D83=TRUE,IF(IF(BG$3=VLOOKUP(AT83,{'▶️ Инструкция'!C:C,'▶️ Инструкция'!G:G},2,FALSE),BG83,BH83)&gt;VLOOKUP(AT83,{'▶️ Инструкция'!C:C,'▶️ Инструкция'!N:N},2,FALSE),data!A$1,data!A$2),)</f>
        <v/>
      </c>
      <c r="G83" s="171">
        <v>0.0</v>
      </c>
      <c r="H83" s="172">
        <v>1000.0</v>
      </c>
      <c r="I83" s="173">
        <v>0.0</v>
      </c>
      <c r="J83" s="173">
        <v>0.0</v>
      </c>
      <c r="K83" s="174" t="str">
        <f t="shared" si="5"/>
        <v/>
      </c>
      <c r="L83" s="175">
        <v>0.0</v>
      </c>
      <c r="M83" s="176" t="s">
        <v>197</v>
      </c>
      <c r="N83" s="177">
        <f>IFERROR(__xludf.DUMMYFUNCTION("ArrayFormula(let(category,VLOOKUP($M83, {'📄 Комиссии'!$C:$C , '📄 Комиссии'!$B:$B}, 2, 0),
data,MATCH('🔒 Доп. информация'!$J$15:$J203,TRANSPOSE(SPLIT(INDEX('▶️ Инструкция'!$Q:$Q,MATCH($AT83,'▶️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commission,VLOOKUP($M83,'📄 Комиссии'!$C:$E,IF($AV83=data!A$8,2,3),0),
IF(NOT(ISBLANK($M83)),commission/100+
IFERR"&amp;"OR(VLOOKUP($AT83,{'▶️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83" s="178" t="str">
        <f t="shared" si="6"/>
        <v/>
      </c>
      <c r="Q83" s="178" t="str">
        <f t="shared" si="7"/>
        <v/>
      </c>
      <c r="S83" s="179" t="s">
        <v>192</v>
      </c>
      <c r="T83" s="180" t="s">
        <v>193</v>
      </c>
      <c r="U83" s="181">
        <v>1.0</v>
      </c>
      <c r="V83" s="182" t="str">
        <f t="shared" ref="V83:Y83" si="257">IF($D83,"🔒",)</f>
        <v/>
      </c>
      <c r="W83" s="182" t="str">
        <f t="shared" si="257"/>
        <v/>
      </c>
      <c r="X83" s="182" t="str">
        <f t="shared" si="257"/>
        <v/>
      </c>
      <c r="Y83" s="182" t="str">
        <f t="shared" si="257"/>
        <v/>
      </c>
      <c r="Z83" s="183">
        <v>0.0</v>
      </c>
      <c r="AA83" s="184">
        <f t="shared" si="31"/>
        <v>0</v>
      </c>
      <c r="AB83" s="185" t="str">
        <f t="shared" ref="AB83:AD83" si="258">IF($D83,"🔒",)</f>
        <v/>
      </c>
      <c r="AC83" s="185" t="str">
        <f t="shared" si="258"/>
        <v/>
      </c>
      <c r="AD83" s="186" t="str">
        <f t="shared" si="258"/>
        <v/>
      </c>
      <c r="AE83" s="180">
        <v>30.0</v>
      </c>
      <c r="AF83" s="187">
        <v>0.0</v>
      </c>
      <c r="AG83" s="187">
        <v>0.0</v>
      </c>
      <c r="AH83" s="187">
        <v>0.0</v>
      </c>
      <c r="AI83" s="181">
        <f t="shared" si="10"/>
        <v>0</v>
      </c>
      <c r="AJ83" s="181">
        <f t="shared" si="11"/>
        <v>0</v>
      </c>
      <c r="AK83" s="185" t="str">
        <f t="shared" si="12"/>
        <v/>
      </c>
      <c r="AL83" s="188" t="str">
        <f t="array" ref="AL83">H83*(1-I83)*VLOOKUP(AT83,{'▶️ Инструкция'!C:C,'▶️ Инструкция'!AI:AI},2,false)</f>
        <v>#N/A</v>
      </c>
      <c r="AM83" s="186" t="str">
        <f t="shared" si="13"/>
        <v/>
      </c>
      <c r="AN83" s="189">
        <v>0.0</v>
      </c>
      <c r="AO83" s="189">
        <v>0.0</v>
      </c>
      <c r="AP83" s="189">
        <v>0.0</v>
      </c>
      <c r="AQ83" s="191">
        <v>1.0</v>
      </c>
      <c r="AR83" s="191">
        <v>0.0</v>
      </c>
      <c r="AS83" s="212">
        <v>0.0</v>
      </c>
      <c r="AT83" s="193" t="s">
        <v>206</v>
      </c>
      <c r="AU83" s="193" t="s">
        <v>121</v>
      </c>
      <c r="AV83" s="193" t="s">
        <v>199</v>
      </c>
      <c r="AW83" s="194">
        <f t="shared" si="14"/>
        <v>0</v>
      </c>
      <c r="AX83" s="195">
        <f t="shared" si="15"/>
        <v>0</v>
      </c>
      <c r="AY83" s="196" t="str">
        <f t="shared" si="16"/>
        <v>#N/A</v>
      </c>
      <c r="AZ83" s="213">
        <v>250.0</v>
      </c>
      <c r="BA83" s="196">
        <f t="shared" si="17"/>
        <v>0.25</v>
      </c>
      <c r="BB83" s="213">
        <f t="shared" si="18"/>
        <v>1000</v>
      </c>
      <c r="BC83" s="199" t="str">
        <f t="shared" si="19"/>
        <v>#N/A</v>
      </c>
      <c r="BD83" s="200" t="str">
        <f t="shared" si="20"/>
        <v>#N/A</v>
      </c>
      <c r="BE83" s="200">
        <f t="shared" si="21"/>
        <v>0</v>
      </c>
      <c r="BF83" s="201" t="str">
        <f t="shared" si="22"/>
        <v/>
      </c>
      <c r="BG83" s="201" t="str">
        <f t="shared" si="23"/>
        <v/>
      </c>
      <c r="BH83" s="202" t="str">
        <f t="shared" si="24"/>
        <v/>
      </c>
      <c r="BI83" s="203"/>
      <c r="BJ83" s="204">
        <f>IFERROR(__xludf.DUMMYFUNCTION("IF(AU83=data!A$5,
IF(AV83=data!A$8,
IF(T83=data!A$3,
VLOOKUP(S83,filter('🔒 Доп. информация'!D:H,'🔒 Доп. информация'!C:C=T83),4,FALSE)+VLOOKUP(S83,filter('🔒 Доп. информация'!D:H,'🔒 Доп. информация'!C:C=T83),5,FALSE)*AJ83,
IF(AND(MAX(AF83:AH83)&lt;80,SUM(A"&amp;"F83:AH83)&lt;=160,AI83&lt;20,XLOOKUP(M83,'📄 Комиссии'!C:C,'📄 Комиссии'!B:B)&lt;&gt;""Продукты""),
VLOOKUP(S83,filter('🔒 Доп. информация'!D:H,'🔒 Доп. информация'!C:C=data!$A$3),4,FALSE)+VLOOKUP(S83,filter('🔒 Доп. информация'!D:H,'🔒 Доп. информация'!C:C=data!$A$3"&amp;"),5,FALSE)*AJ83,
VLOOKUP(S83,filter('🔒 Доп. информация'!D:H,'🔒 Доп. информация'!C:C=T83),4,FALSE)*ROUNDUP(AF83*AG83*AH83*L83/(120*80*175))/L83)
)
*(AE83/2)
,)
,)*0"),0.0)</f>
        <v>0</v>
      </c>
      <c r="BK83" s="204">
        <f>IFERROR(__xludf.DUMMYFUNCTION("IF(AU83=data!A$5,
IF(AI83&lt;=1,IF(AI83&lt;=0.8,IF(AI83&lt;=0.6,IF(AI83&lt;=0.4,IF(AI83&lt;=0.2,23,26),29),30),32)*VLOOKUP(S83,filter('🔒 Доп. информация'!D:E,'🔒 Доп. информация'!C:C=T83),2,FALSE)/'🔒 Доп. информация'!$K$9,
IF(AV83=data!A$8,U83,1)*VLOOKUP(S83,filter('"&amp;"🔒 Доп. информация'!D:E,'🔒 Доп. информация'!C:C=T83),2,FALSE)+
IF(AV83=data!A$8,U83,1)*VLOOKUP(S83,filter('🔒 Доп. информация'!D:F,'🔒 Доп. информация'!C:C=T83),3,FALSE)*AJ83)
,0)"),69.0)</f>
        <v>69</v>
      </c>
      <c r="BL83" s="185" t="str">
        <f t="shared" ref="BL83:BM83" si="259">IF($D83,"🔒",)</f>
        <v/>
      </c>
      <c r="BM83" s="185" t="str">
        <f t="shared" si="259"/>
        <v/>
      </c>
      <c r="BN83" s="204">
        <f>VLOOKUP(T83,'🔒 Доп. информация'!J:P,7,false)</f>
        <v>50</v>
      </c>
      <c r="BO83" s="204">
        <f>IF(AV83=data!A$9,
(AA83+AO83+AP83+BJ83+BK83+BN83)+H83*AS83,
(BJ83+BK83+BN83)+H83*AS83
)</f>
        <v>119</v>
      </c>
      <c r="BP83" s="204">
        <f t="shared" si="26"/>
        <v>69</v>
      </c>
      <c r="BQ83" s="204">
        <f t="shared" si="27"/>
        <v>320</v>
      </c>
      <c r="BR83" s="204" t="str">
        <f t="shared" si="37"/>
        <v>#N/A</v>
      </c>
      <c r="BS83" s="204" t="str">
        <f t="array" ref="BS83">IF(VLOOKUP(AT83,{'▶️ Инструкция'!C:C,'▶️ Инструкция'!Y:Y},2,FALSE)=data!A$15,
H83*(1-I83),
(H83-BR83))
*VLOOKUP(AT83,{'▶️ Инструкция'!C:C,'▶️ Инструкция'!AD:AD},2,FALSE)/(1+VLOOKUP(AT83,{'▶️ Инструкция'!C:C,'▶️ Инструкция'!AD:AD},2,FALSE))</f>
        <v>#N/A</v>
      </c>
      <c r="BT83" s="204" t="str">
        <f t="array" ref="BT83">
IF(VLOOKUP(AT83,{'▶️ Инструкция'!C:C,'▶️ Инструкция'!Y:Y},2,FALSE)=data!A$15,
H83*(1-I83)-BS83,
(H83-BR83-BS83))
*
VLOOKUP(AT83,{'▶️ Инструкция'!C:C,'▶️ Инструкция'!R:R},2,FALSE)
+BS83</f>
        <v>#N/A</v>
      </c>
      <c r="BU83" s="204" t="str">
        <f>(G83*AR83)+if(AV83=data!A$9,AO83,AN83)+AP83+BR83+BT83</f>
        <v>#N/A</v>
      </c>
      <c r="BV83" s="204" t="str">
        <f>(G83*AR83)+if(AV83=data!A$9,AO83,AN83)+AP83+BT83+G83</f>
        <v>#N/A</v>
      </c>
      <c r="BW83" s="204" t="str">
        <f t="shared" si="28"/>
        <v>#N/A</v>
      </c>
      <c r="BX83" s="204" t="str">
        <f t="shared" si="29"/>
        <v>#N/A</v>
      </c>
    </row>
    <row r="84">
      <c r="A84" s="165" t="str">
        <f>if(D84=true,if(F84=data!A$1,data!A$10,data!A$11),)</f>
        <v/>
      </c>
      <c r="B84" s="166" t="str">
        <f t="shared" si="4"/>
        <v>FBS</v>
      </c>
      <c r="C84" s="167" t="s">
        <v>195</v>
      </c>
      <c r="D84" s="168" t="b">
        <v>0</v>
      </c>
      <c r="E84" s="169" t="s">
        <v>204</v>
      </c>
      <c r="F84" s="170" t="str">
        <f t="array" ref="F84">IF(D84=TRUE,IF(IF(BG$3=VLOOKUP(AT84,{'▶️ Инструкция'!C:C,'▶️ Инструкция'!G:G},2,FALSE),BG84,BH84)&gt;VLOOKUP(AT84,{'▶️ Инструкция'!C:C,'▶️ Инструкция'!N:N},2,FALSE),data!A$1,data!A$2),)</f>
        <v/>
      </c>
      <c r="G84" s="171">
        <v>0.0</v>
      </c>
      <c r="H84" s="172">
        <v>1000.0</v>
      </c>
      <c r="I84" s="173">
        <v>0.0</v>
      </c>
      <c r="J84" s="173">
        <v>0.0</v>
      </c>
      <c r="K84" s="174" t="str">
        <f t="shared" si="5"/>
        <v/>
      </c>
      <c r="L84" s="175">
        <v>0.0</v>
      </c>
      <c r="M84" s="176" t="s">
        <v>197</v>
      </c>
      <c r="N84" s="177">
        <f>IFERROR(__xludf.DUMMYFUNCTION("ArrayFormula(let(category,VLOOKUP($M84, {'📄 Комиссии'!$C:$C , '📄 Комиссии'!$B:$B}, 2, 0),
data,MATCH('🔒 Доп. информация'!$J$15:$J203,TRANSPOSE(SPLIT(INDEX('▶️ Инструкция'!$Q:$Q,MATCH($AT84,'▶️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commission,VLOOKUP($M84,'📄 Комиссии'!$C:$E,IF($AV84=data!A$8,2,3),0),
IF(NOT(ISBLANK($M84)),commission/100+
IFERR"&amp;"OR(VLOOKUP($AT84,{'▶️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84" s="178" t="str">
        <f t="shared" si="6"/>
        <v/>
      </c>
      <c r="Q84" s="178" t="str">
        <f t="shared" si="7"/>
        <v/>
      </c>
      <c r="S84" s="179" t="s">
        <v>192</v>
      </c>
      <c r="T84" s="180" t="s">
        <v>193</v>
      </c>
      <c r="U84" s="181">
        <v>1.0</v>
      </c>
      <c r="V84" s="182" t="str">
        <f t="shared" ref="V84:Y84" si="260">IF($D84,"🔒",)</f>
        <v/>
      </c>
      <c r="W84" s="182" t="str">
        <f t="shared" si="260"/>
        <v/>
      </c>
      <c r="X84" s="182" t="str">
        <f t="shared" si="260"/>
        <v/>
      </c>
      <c r="Y84" s="182" t="str">
        <f t="shared" si="260"/>
        <v/>
      </c>
      <c r="Z84" s="183">
        <v>0.0</v>
      </c>
      <c r="AA84" s="184">
        <f t="shared" si="31"/>
        <v>0</v>
      </c>
      <c r="AB84" s="185" t="str">
        <f t="shared" ref="AB84:AD84" si="261">IF($D84,"🔒",)</f>
        <v/>
      </c>
      <c r="AC84" s="185" t="str">
        <f t="shared" si="261"/>
        <v/>
      </c>
      <c r="AD84" s="186" t="str">
        <f t="shared" si="261"/>
        <v/>
      </c>
      <c r="AE84" s="180">
        <v>30.0</v>
      </c>
      <c r="AF84" s="187">
        <v>0.0</v>
      </c>
      <c r="AG84" s="187">
        <v>0.0</v>
      </c>
      <c r="AH84" s="187">
        <v>0.0</v>
      </c>
      <c r="AI84" s="181">
        <f t="shared" si="10"/>
        <v>0</v>
      </c>
      <c r="AJ84" s="181">
        <f t="shared" si="11"/>
        <v>0</v>
      </c>
      <c r="AK84" s="185" t="str">
        <f t="shared" si="12"/>
        <v/>
      </c>
      <c r="AL84" s="188" t="str">
        <f t="array" ref="AL84">H84*(1-I84)*VLOOKUP(AT84,{'▶️ Инструкция'!C:C,'▶️ Инструкция'!AI:AI},2,false)</f>
        <v>#N/A</v>
      </c>
      <c r="AM84" s="186" t="str">
        <f t="shared" si="13"/>
        <v/>
      </c>
      <c r="AN84" s="189">
        <v>0.0</v>
      </c>
      <c r="AO84" s="189">
        <v>0.0</v>
      </c>
      <c r="AP84" s="189">
        <v>0.0</v>
      </c>
      <c r="AQ84" s="191">
        <v>1.0</v>
      </c>
      <c r="AR84" s="191">
        <v>0.0</v>
      </c>
      <c r="AS84" s="212">
        <v>0.0</v>
      </c>
      <c r="AT84" s="193" t="s">
        <v>206</v>
      </c>
      <c r="AU84" s="193" t="s">
        <v>121</v>
      </c>
      <c r="AV84" s="193" t="s">
        <v>199</v>
      </c>
      <c r="AW84" s="194">
        <f t="shared" si="14"/>
        <v>0</v>
      </c>
      <c r="AX84" s="195">
        <f t="shared" si="15"/>
        <v>0</v>
      </c>
      <c r="AY84" s="196" t="str">
        <f t="shared" si="16"/>
        <v>#N/A</v>
      </c>
      <c r="AZ84" s="213">
        <v>250.0</v>
      </c>
      <c r="BA84" s="196">
        <f t="shared" si="17"/>
        <v>0.25</v>
      </c>
      <c r="BB84" s="213">
        <f t="shared" si="18"/>
        <v>1000</v>
      </c>
      <c r="BC84" s="199" t="str">
        <f t="shared" si="19"/>
        <v>#N/A</v>
      </c>
      <c r="BD84" s="200" t="str">
        <f t="shared" si="20"/>
        <v>#N/A</v>
      </c>
      <c r="BE84" s="200">
        <f t="shared" si="21"/>
        <v>0</v>
      </c>
      <c r="BF84" s="201" t="str">
        <f t="shared" si="22"/>
        <v/>
      </c>
      <c r="BG84" s="201" t="str">
        <f t="shared" si="23"/>
        <v/>
      </c>
      <c r="BH84" s="202" t="str">
        <f t="shared" si="24"/>
        <v/>
      </c>
      <c r="BI84" s="203"/>
      <c r="BJ84" s="204">
        <f>IFERROR(__xludf.DUMMYFUNCTION("IF(AU84=data!A$5,
IF(AV84=data!A$8,
IF(T84=data!A$3,
VLOOKUP(S84,filter('🔒 Доп. информация'!D:H,'🔒 Доп. информация'!C:C=T84),4,FALSE)+VLOOKUP(S84,filter('🔒 Доп. информация'!D:H,'🔒 Доп. информация'!C:C=T84),5,FALSE)*AJ84,
IF(AND(MAX(AF84:AH84)&lt;80,SUM(A"&amp;"F84:AH84)&lt;=160,AI84&lt;20,XLOOKUP(M84,'📄 Комиссии'!C:C,'📄 Комиссии'!B:B)&lt;&gt;""Продукты""),
VLOOKUP(S84,filter('🔒 Доп. информация'!D:H,'🔒 Доп. информация'!C:C=data!$A$3),4,FALSE)+VLOOKUP(S84,filter('🔒 Доп. информация'!D:H,'🔒 Доп. информация'!C:C=data!$A$3"&amp;"),5,FALSE)*AJ84,
VLOOKUP(S84,filter('🔒 Доп. информация'!D:H,'🔒 Доп. информация'!C:C=T84),4,FALSE)*ROUNDUP(AF84*AG84*AH84*L84/(120*80*175))/L84)
)
*(AE84/2)
,)
,)*0"),0.0)</f>
        <v>0</v>
      </c>
      <c r="BK84" s="204">
        <f>IFERROR(__xludf.DUMMYFUNCTION("IF(AU84=data!A$5,
IF(AI84&lt;=1,IF(AI84&lt;=0.8,IF(AI84&lt;=0.6,IF(AI84&lt;=0.4,IF(AI84&lt;=0.2,23,26),29),30),32)*VLOOKUP(S84,filter('🔒 Доп. информация'!D:E,'🔒 Доп. информация'!C:C=T84),2,FALSE)/'🔒 Доп. информация'!$K$9,
IF(AV84=data!A$8,U84,1)*VLOOKUP(S84,filter('"&amp;"🔒 Доп. информация'!D:E,'🔒 Доп. информация'!C:C=T84),2,FALSE)+
IF(AV84=data!A$8,U84,1)*VLOOKUP(S84,filter('🔒 Доп. информация'!D:F,'🔒 Доп. информация'!C:C=T84),3,FALSE)*AJ84)
,0)"),69.0)</f>
        <v>69</v>
      </c>
      <c r="BL84" s="185" t="str">
        <f t="shared" ref="BL84:BM84" si="262">IF($D84,"🔒",)</f>
        <v/>
      </c>
      <c r="BM84" s="185" t="str">
        <f t="shared" si="262"/>
        <v/>
      </c>
      <c r="BN84" s="204">
        <f>VLOOKUP(T84,'🔒 Доп. информация'!J:P,7,false)</f>
        <v>50</v>
      </c>
      <c r="BO84" s="204">
        <f>IF(AV84=data!A$9,
(AA84+AO84+AP84+BJ84+BK84+BN84)+H84*AS84,
(BJ84+BK84+BN84)+H84*AS84
)</f>
        <v>119</v>
      </c>
      <c r="BP84" s="204">
        <f t="shared" si="26"/>
        <v>69</v>
      </c>
      <c r="BQ84" s="204">
        <f t="shared" si="27"/>
        <v>320</v>
      </c>
      <c r="BR84" s="204" t="str">
        <f t="shared" si="37"/>
        <v>#N/A</v>
      </c>
      <c r="BS84" s="204" t="str">
        <f t="array" ref="BS84">IF(VLOOKUP(AT84,{'▶️ Инструкция'!C:C,'▶️ Инструкция'!Y:Y},2,FALSE)=data!A$15,
H84*(1-I84),
(H84-BR84))
*VLOOKUP(AT84,{'▶️ Инструкция'!C:C,'▶️ Инструкция'!AD:AD},2,FALSE)/(1+VLOOKUP(AT84,{'▶️ Инструкция'!C:C,'▶️ Инструкция'!AD:AD},2,FALSE))</f>
        <v>#N/A</v>
      </c>
      <c r="BT84" s="204" t="str">
        <f t="array" ref="BT84">
IF(VLOOKUP(AT84,{'▶️ Инструкция'!C:C,'▶️ Инструкция'!Y:Y},2,FALSE)=data!A$15,
H84*(1-I84)-BS84,
(H84-BR84-BS84))
*
VLOOKUP(AT84,{'▶️ Инструкция'!C:C,'▶️ Инструкция'!R:R},2,FALSE)
+BS84</f>
        <v>#N/A</v>
      </c>
      <c r="BU84" s="204" t="str">
        <f>(G84*AR84)+if(AV84=data!A$9,AO84,AN84)+AP84+BR84+BT84</f>
        <v>#N/A</v>
      </c>
      <c r="BV84" s="204" t="str">
        <f>(G84*AR84)+if(AV84=data!A$9,AO84,AN84)+AP84+BT84+G84</f>
        <v>#N/A</v>
      </c>
      <c r="BW84" s="204" t="str">
        <f t="shared" si="28"/>
        <v>#N/A</v>
      </c>
      <c r="BX84" s="204" t="str">
        <f t="shared" si="29"/>
        <v>#N/A</v>
      </c>
    </row>
    <row r="85">
      <c r="A85" s="165" t="str">
        <f>if(D85=true,if(F85=data!A$1,data!A$10,data!A$11),)</f>
        <v/>
      </c>
      <c r="B85" s="166" t="str">
        <f t="shared" si="4"/>
        <v>FBS</v>
      </c>
      <c r="C85" s="167" t="s">
        <v>195</v>
      </c>
      <c r="D85" s="168" t="b">
        <v>0</v>
      </c>
      <c r="E85" s="169" t="s">
        <v>204</v>
      </c>
      <c r="F85" s="170" t="str">
        <f t="array" ref="F85">IF(D85=TRUE,IF(IF(BG$3=VLOOKUP(AT85,{'▶️ Инструкция'!C:C,'▶️ Инструкция'!G:G},2,FALSE),BG85,BH85)&gt;VLOOKUP(AT85,{'▶️ Инструкция'!C:C,'▶️ Инструкция'!N:N},2,FALSE),data!A$1,data!A$2),)</f>
        <v/>
      </c>
      <c r="G85" s="171">
        <v>0.0</v>
      </c>
      <c r="H85" s="172">
        <v>1000.0</v>
      </c>
      <c r="I85" s="173">
        <v>0.0</v>
      </c>
      <c r="J85" s="173">
        <v>0.0</v>
      </c>
      <c r="K85" s="174" t="str">
        <f t="shared" si="5"/>
        <v/>
      </c>
      <c r="L85" s="175">
        <v>0.0</v>
      </c>
      <c r="M85" s="176" t="s">
        <v>197</v>
      </c>
      <c r="N85" s="177">
        <f>IFERROR(__xludf.DUMMYFUNCTION("ArrayFormula(let(category,VLOOKUP($M85, {'📄 Комиссии'!$C:$C , '📄 Комиссии'!$B:$B}, 2, 0),
data,MATCH('🔒 Доп. информация'!$J$15:$J203,TRANSPOSE(SPLIT(INDEX('▶️ Инструкция'!$Q:$Q,MATCH($AT85,'▶️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commission,VLOOKUP($M85,'📄 Комиссии'!$C:$E,IF($AV85=data!A$8,2,3),0),
IF(NOT(ISBLANK($M85)),commission/100+
IFERR"&amp;"OR(VLOOKUP($AT85,{'▶️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85" s="178" t="str">
        <f t="shared" si="6"/>
        <v/>
      </c>
      <c r="Q85" s="178" t="str">
        <f t="shared" si="7"/>
        <v/>
      </c>
      <c r="S85" s="179" t="s">
        <v>192</v>
      </c>
      <c r="T85" s="180" t="s">
        <v>193</v>
      </c>
      <c r="U85" s="181">
        <v>1.0</v>
      </c>
      <c r="V85" s="182" t="str">
        <f t="shared" ref="V85:Y85" si="263">IF($D85,"🔒",)</f>
        <v/>
      </c>
      <c r="W85" s="182" t="str">
        <f t="shared" si="263"/>
        <v/>
      </c>
      <c r="X85" s="182" t="str">
        <f t="shared" si="263"/>
        <v/>
      </c>
      <c r="Y85" s="182" t="str">
        <f t="shared" si="263"/>
        <v/>
      </c>
      <c r="Z85" s="183">
        <v>0.0</v>
      </c>
      <c r="AA85" s="184">
        <f t="shared" si="31"/>
        <v>0</v>
      </c>
      <c r="AB85" s="185" t="str">
        <f t="shared" ref="AB85:AD85" si="264">IF($D85,"🔒",)</f>
        <v/>
      </c>
      <c r="AC85" s="185" t="str">
        <f t="shared" si="264"/>
        <v/>
      </c>
      <c r="AD85" s="186" t="str">
        <f t="shared" si="264"/>
        <v/>
      </c>
      <c r="AE85" s="180">
        <v>30.0</v>
      </c>
      <c r="AF85" s="187">
        <v>0.0</v>
      </c>
      <c r="AG85" s="187">
        <v>0.0</v>
      </c>
      <c r="AH85" s="187">
        <v>0.0</v>
      </c>
      <c r="AI85" s="181">
        <f t="shared" si="10"/>
        <v>0</v>
      </c>
      <c r="AJ85" s="181">
        <f t="shared" si="11"/>
        <v>0</v>
      </c>
      <c r="AK85" s="185" t="str">
        <f t="shared" si="12"/>
        <v/>
      </c>
      <c r="AL85" s="188" t="str">
        <f t="array" ref="AL85">H85*(1-I85)*VLOOKUP(AT85,{'▶️ Инструкция'!C:C,'▶️ Инструкция'!AI:AI},2,false)</f>
        <v>#N/A</v>
      </c>
      <c r="AM85" s="186" t="str">
        <f t="shared" si="13"/>
        <v/>
      </c>
      <c r="AN85" s="189">
        <v>0.0</v>
      </c>
      <c r="AO85" s="189">
        <v>0.0</v>
      </c>
      <c r="AP85" s="189">
        <v>0.0</v>
      </c>
      <c r="AQ85" s="191">
        <v>1.0</v>
      </c>
      <c r="AR85" s="191">
        <v>0.0</v>
      </c>
      <c r="AS85" s="212">
        <v>0.0</v>
      </c>
      <c r="AT85" s="193" t="s">
        <v>206</v>
      </c>
      <c r="AU85" s="193" t="s">
        <v>121</v>
      </c>
      <c r="AV85" s="193" t="s">
        <v>199</v>
      </c>
      <c r="AW85" s="194">
        <f t="shared" si="14"/>
        <v>0</v>
      </c>
      <c r="AX85" s="195">
        <f t="shared" si="15"/>
        <v>0</v>
      </c>
      <c r="AY85" s="196" t="str">
        <f t="shared" si="16"/>
        <v>#N/A</v>
      </c>
      <c r="AZ85" s="213">
        <v>250.0</v>
      </c>
      <c r="BA85" s="196">
        <f t="shared" si="17"/>
        <v>0.25</v>
      </c>
      <c r="BB85" s="213">
        <f t="shared" si="18"/>
        <v>1000</v>
      </c>
      <c r="BC85" s="199" t="str">
        <f t="shared" si="19"/>
        <v>#N/A</v>
      </c>
      <c r="BD85" s="200" t="str">
        <f t="shared" si="20"/>
        <v>#N/A</v>
      </c>
      <c r="BE85" s="200">
        <f t="shared" si="21"/>
        <v>0</v>
      </c>
      <c r="BF85" s="201" t="str">
        <f t="shared" si="22"/>
        <v/>
      </c>
      <c r="BG85" s="201" t="str">
        <f t="shared" si="23"/>
        <v/>
      </c>
      <c r="BH85" s="202" t="str">
        <f t="shared" si="24"/>
        <v/>
      </c>
      <c r="BI85" s="203"/>
      <c r="BJ85" s="204">
        <f>IFERROR(__xludf.DUMMYFUNCTION("IF(AU85=data!A$5,
IF(AV85=data!A$8,
IF(T85=data!A$3,
VLOOKUP(S85,filter('🔒 Доп. информация'!D:H,'🔒 Доп. информация'!C:C=T85),4,FALSE)+VLOOKUP(S85,filter('🔒 Доп. информация'!D:H,'🔒 Доп. информация'!C:C=T85),5,FALSE)*AJ85,
IF(AND(MAX(AF85:AH85)&lt;80,SUM(A"&amp;"F85:AH85)&lt;=160,AI85&lt;20,XLOOKUP(M85,'📄 Комиссии'!C:C,'📄 Комиссии'!B:B)&lt;&gt;""Продукты""),
VLOOKUP(S85,filter('🔒 Доп. информация'!D:H,'🔒 Доп. информация'!C:C=data!$A$3),4,FALSE)+VLOOKUP(S85,filter('🔒 Доп. информация'!D:H,'🔒 Доп. информация'!C:C=data!$A$3"&amp;"),5,FALSE)*AJ85,
VLOOKUP(S85,filter('🔒 Доп. информация'!D:H,'🔒 Доп. информация'!C:C=T85),4,FALSE)*ROUNDUP(AF85*AG85*AH85*L85/(120*80*175))/L85)
)
*(AE85/2)
,)
,)*0"),0.0)</f>
        <v>0</v>
      </c>
      <c r="BK85" s="204">
        <f>IFERROR(__xludf.DUMMYFUNCTION("IF(AU85=data!A$5,
IF(AI85&lt;=1,IF(AI85&lt;=0.8,IF(AI85&lt;=0.6,IF(AI85&lt;=0.4,IF(AI85&lt;=0.2,23,26),29),30),32)*VLOOKUP(S85,filter('🔒 Доп. информация'!D:E,'🔒 Доп. информация'!C:C=T85),2,FALSE)/'🔒 Доп. информация'!$K$9,
IF(AV85=data!A$8,U85,1)*VLOOKUP(S85,filter('"&amp;"🔒 Доп. информация'!D:E,'🔒 Доп. информация'!C:C=T85),2,FALSE)+
IF(AV85=data!A$8,U85,1)*VLOOKUP(S85,filter('🔒 Доп. информация'!D:F,'🔒 Доп. информация'!C:C=T85),3,FALSE)*AJ85)
,0)"),69.0)</f>
        <v>69</v>
      </c>
      <c r="BL85" s="185" t="str">
        <f t="shared" ref="BL85:BM85" si="265">IF($D85,"🔒",)</f>
        <v/>
      </c>
      <c r="BM85" s="185" t="str">
        <f t="shared" si="265"/>
        <v/>
      </c>
      <c r="BN85" s="204">
        <f>VLOOKUP(T85,'🔒 Доп. информация'!J:P,7,false)</f>
        <v>50</v>
      </c>
      <c r="BO85" s="204">
        <f>IF(AV85=data!A$9,
(AA85+AO85+AP85+BJ85+BK85+BN85)+H85*AS85,
(BJ85+BK85+BN85)+H85*AS85
)</f>
        <v>119</v>
      </c>
      <c r="BP85" s="204">
        <f t="shared" si="26"/>
        <v>69</v>
      </c>
      <c r="BQ85" s="204">
        <f t="shared" si="27"/>
        <v>320</v>
      </c>
      <c r="BR85" s="204" t="str">
        <f t="shared" si="37"/>
        <v>#N/A</v>
      </c>
      <c r="BS85" s="204" t="str">
        <f t="array" ref="BS85">IF(VLOOKUP(AT85,{'▶️ Инструкция'!C:C,'▶️ Инструкция'!Y:Y},2,FALSE)=data!A$15,
H85*(1-I85),
(H85-BR85))
*VLOOKUP(AT85,{'▶️ Инструкция'!C:C,'▶️ Инструкция'!AD:AD},2,FALSE)/(1+VLOOKUP(AT85,{'▶️ Инструкция'!C:C,'▶️ Инструкция'!AD:AD},2,FALSE))</f>
        <v>#N/A</v>
      </c>
      <c r="BT85" s="204" t="str">
        <f t="array" ref="BT85">
IF(VLOOKUP(AT85,{'▶️ Инструкция'!C:C,'▶️ Инструкция'!Y:Y},2,FALSE)=data!A$15,
H85*(1-I85)-BS85,
(H85-BR85-BS85))
*
VLOOKUP(AT85,{'▶️ Инструкция'!C:C,'▶️ Инструкция'!R:R},2,FALSE)
+BS85</f>
        <v>#N/A</v>
      </c>
      <c r="BU85" s="204" t="str">
        <f>(G85*AR85)+if(AV85=data!A$9,AO85,AN85)+AP85+BR85+BT85</f>
        <v>#N/A</v>
      </c>
      <c r="BV85" s="204" t="str">
        <f>(G85*AR85)+if(AV85=data!A$9,AO85,AN85)+AP85+BT85+G85</f>
        <v>#N/A</v>
      </c>
      <c r="BW85" s="204" t="str">
        <f t="shared" si="28"/>
        <v>#N/A</v>
      </c>
      <c r="BX85" s="204" t="str">
        <f t="shared" si="29"/>
        <v>#N/A</v>
      </c>
    </row>
    <row r="86">
      <c r="A86" s="165" t="str">
        <f>if(D86=true,if(F86=data!A$1,data!A$10,data!A$11),)</f>
        <v/>
      </c>
      <c r="B86" s="166" t="str">
        <f t="shared" si="4"/>
        <v>FBS</v>
      </c>
      <c r="C86" s="167" t="s">
        <v>195</v>
      </c>
      <c r="D86" s="168" t="b">
        <v>0</v>
      </c>
      <c r="E86" s="169" t="s">
        <v>204</v>
      </c>
      <c r="F86" s="170" t="str">
        <f t="array" ref="F86">IF(D86=TRUE,IF(IF(BG$3=VLOOKUP(AT86,{'▶️ Инструкция'!C:C,'▶️ Инструкция'!G:G},2,FALSE),BG86,BH86)&gt;VLOOKUP(AT86,{'▶️ Инструкция'!C:C,'▶️ Инструкция'!N:N},2,FALSE),data!A$1,data!A$2),)</f>
        <v/>
      </c>
      <c r="G86" s="171">
        <v>0.0</v>
      </c>
      <c r="H86" s="172">
        <v>1000.0</v>
      </c>
      <c r="I86" s="173">
        <v>0.0</v>
      </c>
      <c r="J86" s="173">
        <v>0.0</v>
      </c>
      <c r="K86" s="174" t="str">
        <f t="shared" si="5"/>
        <v/>
      </c>
      <c r="L86" s="175">
        <v>0.0</v>
      </c>
      <c r="M86" s="176" t="s">
        <v>197</v>
      </c>
      <c r="N86" s="177">
        <f>IFERROR(__xludf.DUMMYFUNCTION("ArrayFormula(let(category,VLOOKUP($M86, {'📄 Комиссии'!$C:$C , '📄 Комиссии'!$B:$B}, 2, 0),
data,MATCH('🔒 Доп. информация'!$J$15:$J203,TRANSPOSE(SPLIT(INDEX('▶️ Инструкция'!$Q:$Q,MATCH($AT86,'▶️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commission,VLOOKUP($M86,'📄 Комиссии'!$C:$E,IF($AV86=data!A$8,2,3),0),
IF(NOT(ISBLANK($M86)),commission/100+
IFERR"&amp;"OR(VLOOKUP($AT86,{'▶️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86" s="178" t="str">
        <f t="shared" si="6"/>
        <v/>
      </c>
      <c r="Q86" s="178" t="str">
        <f t="shared" si="7"/>
        <v/>
      </c>
      <c r="S86" s="179" t="s">
        <v>192</v>
      </c>
      <c r="T86" s="180" t="s">
        <v>193</v>
      </c>
      <c r="U86" s="181">
        <v>1.0</v>
      </c>
      <c r="V86" s="182" t="str">
        <f t="shared" ref="V86:Y86" si="266">IF($D86,"🔒",)</f>
        <v/>
      </c>
      <c r="W86" s="182" t="str">
        <f t="shared" si="266"/>
        <v/>
      </c>
      <c r="X86" s="182" t="str">
        <f t="shared" si="266"/>
        <v/>
      </c>
      <c r="Y86" s="182" t="str">
        <f t="shared" si="266"/>
        <v/>
      </c>
      <c r="Z86" s="183">
        <v>0.0</v>
      </c>
      <c r="AA86" s="184">
        <f t="shared" si="31"/>
        <v>0</v>
      </c>
      <c r="AB86" s="185" t="str">
        <f t="shared" ref="AB86:AD86" si="267">IF($D86,"🔒",)</f>
        <v/>
      </c>
      <c r="AC86" s="185" t="str">
        <f t="shared" si="267"/>
        <v/>
      </c>
      <c r="AD86" s="186" t="str">
        <f t="shared" si="267"/>
        <v/>
      </c>
      <c r="AE86" s="180">
        <v>30.0</v>
      </c>
      <c r="AF86" s="187">
        <v>0.0</v>
      </c>
      <c r="AG86" s="187">
        <v>0.0</v>
      </c>
      <c r="AH86" s="187">
        <v>0.0</v>
      </c>
      <c r="AI86" s="181">
        <f t="shared" si="10"/>
        <v>0</v>
      </c>
      <c r="AJ86" s="181">
        <f t="shared" si="11"/>
        <v>0</v>
      </c>
      <c r="AK86" s="185" t="str">
        <f t="shared" si="12"/>
        <v/>
      </c>
      <c r="AL86" s="188" t="str">
        <f t="array" ref="AL86">H86*(1-I86)*VLOOKUP(AT86,{'▶️ Инструкция'!C:C,'▶️ Инструкция'!AI:AI},2,false)</f>
        <v>#N/A</v>
      </c>
      <c r="AM86" s="186" t="str">
        <f t="shared" si="13"/>
        <v/>
      </c>
      <c r="AN86" s="189">
        <v>0.0</v>
      </c>
      <c r="AO86" s="189">
        <v>0.0</v>
      </c>
      <c r="AP86" s="189">
        <v>0.0</v>
      </c>
      <c r="AQ86" s="191">
        <v>1.0</v>
      </c>
      <c r="AR86" s="191">
        <v>0.0</v>
      </c>
      <c r="AS86" s="212">
        <v>0.0</v>
      </c>
      <c r="AT86" s="193" t="s">
        <v>206</v>
      </c>
      <c r="AU86" s="193" t="s">
        <v>121</v>
      </c>
      <c r="AV86" s="193" t="s">
        <v>199</v>
      </c>
      <c r="AW86" s="194">
        <f t="shared" si="14"/>
        <v>0</v>
      </c>
      <c r="AX86" s="195">
        <f t="shared" si="15"/>
        <v>0</v>
      </c>
      <c r="AY86" s="196" t="str">
        <f t="shared" si="16"/>
        <v>#N/A</v>
      </c>
      <c r="AZ86" s="213">
        <v>250.0</v>
      </c>
      <c r="BA86" s="196">
        <f t="shared" si="17"/>
        <v>0.25</v>
      </c>
      <c r="BB86" s="213">
        <f t="shared" si="18"/>
        <v>1000</v>
      </c>
      <c r="BC86" s="199" t="str">
        <f t="shared" si="19"/>
        <v>#N/A</v>
      </c>
      <c r="BD86" s="200" t="str">
        <f t="shared" si="20"/>
        <v>#N/A</v>
      </c>
      <c r="BE86" s="200">
        <f t="shared" si="21"/>
        <v>0</v>
      </c>
      <c r="BF86" s="201" t="str">
        <f t="shared" si="22"/>
        <v/>
      </c>
      <c r="BG86" s="201" t="str">
        <f t="shared" si="23"/>
        <v/>
      </c>
      <c r="BH86" s="202" t="str">
        <f t="shared" si="24"/>
        <v/>
      </c>
      <c r="BI86" s="203"/>
      <c r="BJ86" s="204">
        <f>IFERROR(__xludf.DUMMYFUNCTION("IF(AU86=data!A$5,
IF(AV86=data!A$8,
IF(T86=data!A$3,
VLOOKUP(S86,filter('🔒 Доп. информация'!D:H,'🔒 Доп. информация'!C:C=T86),4,FALSE)+VLOOKUP(S86,filter('🔒 Доп. информация'!D:H,'🔒 Доп. информация'!C:C=T86),5,FALSE)*AJ86,
IF(AND(MAX(AF86:AH86)&lt;80,SUM(A"&amp;"F86:AH86)&lt;=160,AI86&lt;20,XLOOKUP(M86,'📄 Комиссии'!C:C,'📄 Комиссии'!B:B)&lt;&gt;""Продукты""),
VLOOKUP(S86,filter('🔒 Доп. информация'!D:H,'🔒 Доп. информация'!C:C=data!$A$3),4,FALSE)+VLOOKUP(S86,filter('🔒 Доп. информация'!D:H,'🔒 Доп. информация'!C:C=data!$A$3"&amp;"),5,FALSE)*AJ86,
VLOOKUP(S86,filter('🔒 Доп. информация'!D:H,'🔒 Доп. информация'!C:C=T86),4,FALSE)*ROUNDUP(AF86*AG86*AH86*L86/(120*80*175))/L86)
)
*(AE86/2)
,)
,)*0"),0.0)</f>
        <v>0</v>
      </c>
      <c r="BK86" s="204">
        <f>IFERROR(__xludf.DUMMYFUNCTION("IF(AU86=data!A$5,
IF(AI86&lt;=1,IF(AI86&lt;=0.8,IF(AI86&lt;=0.6,IF(AI86&lt;=0.4,IF(AI86&lt;=0.2,23,26),29),30),32)*VLOOKUP(S86,filter('🔒 Доп. информация'!D:E,'🔒 Доп. информация'!C:C=T86),2,FALSE)/'🔒 Доп. информация'!$K$9,
IF(AV86=data!A$8,U86,1)*VLOOKUP(S86,filter('"&amp;"🔒 Доп. информация'!D:E,'🔒 Доп. информация'!C:C=T86),2,FALSE)+
IF(AV86=data!A$8,U86,1)*VLOOKUP(S86,filter('🔒 Доп. информация'!D:F,'🔒 Доп. информация'!C:C=T86),3,FALSE)*AJ86)
,0)"),69.0)</f>
        <v>69</v>
      </c>
      <c r="BL86" s="185" t="str">
        <f t="shared" ref="BL86:BM86" si="268">IF($D86,"🔒",)</f>
        <v/>
      </c>
      <c r="BM86" s="185" t="str">
        <f t="shared" si="268"/>
        <v/>
      </c>
      <c r="BN86" s="204">
        <f>VLOOKUP(T86,'🔒 Доп. информация'!J:P,7,false)</f>
        <v>50</v>
      </c>
      <c r="BO86" s="204">
        <f>IF(AV86=data!A$9,
(AA86+AO86+AP86+BJ86+BK86+BN86)+H86*AS86,
(BJ86+BK86+BN86)+H86*AS86
)</f>
        <v>119</v>
      </c>
      <c r="BP86" s="204">
        <f t="shared" si="26"/>
        <v>69</v>
      </c>
      <c r="BQ86" s="204">
        <f t="shared" si="27"/>
        <v>320</v>
      </c>
      <c r="BR86" s="204" t="str">
        <f t="shared" si="37"/>
        <v>#N/A</v>
      </c>
      <c r="BS86" s="204" t="str">
        <f t="array" ref="BS86">IF(VLOOKUP(AT86,{'▶️ Инструкция'!C:C,'▶️ Инструкция'!Y:Y},2,FALSE)=data!A$15,
H86*(1-I86),
(H86-BR86))
*VLOOKUP(AT86,{'▶️ Инструкция'!C:C,'▶️ Инструкция'!AD:AD},2,FALSE)/(1+VLOOKUP(AT86,{'▶️ Инструкция'!C:C,'▶️ Инструкция'!AD:AD},2,FALSE))</f>
        <v>#N/A</v>
      </c>
      <c r="BT86" s="204" t="str">
        <f t="array" ref="BT86">
IF(VLOOKUP(AT86,{'▶️ Инструкция'!C:C,'▶️ Инструкция'!Y:Y},2,FALSE)=data!A$15,
H86*(1-I86)-BS86,
(H86-BR86-BS86))
*
VLOOKUP(AT86,{'▶️ Инструкция'!C:C,'▶️ Инструкция'!R:R},2,FALSE)
+BS86</f>
        <v>#N/A</v>
      </c>
      <c r="BU86" s="204" t="str">
        <f>(G86*AR86)+if(AV86=data!A$9,AO86,AN86)+AP86+BR86+BT86</f>
        <v>#N/A</v>
      </c>
      <c r="BV86" s="204" t="str">
        <f>(G86*AR86)+if(AV86=data!A$9,AO86,AN86)+AP86+BT86+G86</f>
        <v>#N/A</v>
      </c>
      <c r="BW86" s="204" t="str">
        <f t="shared" si="28"/>
        <v>#N/A</v>
      </c>
      <c r="BX86" s="204" t="str">
        <f t="shared" si="29"/>
        <v>#N/A</v>
      </c>
    </row>
    <row r="87">
      <c r="A87" s="165" t="str">
        <f>if(D87=true,if(F87=data!A$1,data!A$10,data!A$11),)</f>
        <v/>
      </c>
      <c r="B87" s="166" t="str">
        <f t="shared" si="4"/>
        <v>FBS</v>
      </c>
      <c r="C87" s="167" t="s">
        <v>195</v>
      </c>
      <c r="D87" s="168" t="b">
        <v>0</v>
      </c>
      <c r="E87" s="169" t="s">
        <v>204</v>
      </c>
      <c r="F87" s="170" t="str">
        <f t="array" ref="F87">IF(D87=TRUE,IF(IF(BG$3=VLOOKUP(AT87,{'▶️ Инструкция'!C:C,'▶️ Инструкция'!G:G},2,FALSE),BG87,BH87)&gt;VLOOKUP(AT87,{'▶️ Инструкция'!C:C,'▶️ Инструкция'!N:N},2,FALSE),data!A$1,data!A$2),)</f>
        <v/>
      </c>
      <c r="G87" s="171">
        <v>0.0</v>
      </c>
      <c r="H87" s="172">
        <v>1000.0</v>
      </c>
      <c r="I87" s="173">
        <v>0.0</v>
      </c>
      <c r="J87" s="173">
        <v>0.0</v>
      </c>
      <c r="K87" s="174" t="str">
        <f t="shared" si="5"/>
        <v/>
      </c>
      <c r="L87" s="175">
        <v>0.0</v>
      </c>
      <c r="M87" s="176" t="s">
        <v>197</v>
      </c>
      <c r="N87" s="177">
        <f>IFERROR(__xludf.DUMMYFUNCTION("ArrayFormula(let(category,VLOOKUP($M87, {'📄 Комиссии'!$C:$C , '📄 Комиссии'!$B:$B}, 2, 0),
data,MATCH('🔒 Доп. информация'!$J$15:$J203,TRANSPOSE(SPLIT(INDEX('▶️ Инструкция'!$Q:$Q,MATCH($AT87,'▶️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commission,VLOOKUP($M87,'📄 Комиссии'!$C:$E,IF($AV87=data!A$8,2,3),0),
IF(NOT(ISBLANK($M87)),commission/100+
IFERR"&amp;"OR(VLOOKUP($AT87,{'▶️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87" s="178" t="str">
        <f t="shared" si="6"/>
        <v/>
      </c>
      <c r="Q87" s="178" t="str">
        <f t="shared" si="7"/>
        <v/>
      </c>
      <c r="S87" s="179" t="s">
        <v>192</v>
      </c>
      <c r="T87" s="180" t="s">
        <v>193</v>
      </c>
      <c r="U87" s="181">
        <v>1.0</v>
      </c>
      <c r="V87" s="182" t="str">
        <f t="shared" ref="V87:Y87" si="269">IF($D87,"🔒",)</f>
        <v/>
      </c>
      <c r="W87" s="182" t="str">
        <f t="shared" si="269"/>
        <v/>
      </c>
      <c r="X87" s="182" t="str">
        <f t="shared" si="269"/>
        <v/>
      </c>
      <c r="Y87" s="182" t="str">
        <f t="shared" si="269"/>
        <v/>
      </c>
      <c r="Z87" s="183">
        <v>0.0</v>
      </c>
      <c r="AA87" s="184">
        <f t="shared" si="31"/>
        <v>0</v>
      </c>
      <c r="AB87" s="185" t="str">
        <f t="shared" ref="AB87:AD87" si="270">IF($D87,"🔒",)</f>
        <v/>
      </c>
      <c r="AC87" s="185" t="str">
        <f t="shared" si="270"/>
        <v/>
      </c>
      <c r="AD87" s="186" t="str">
        <f t="shared" si="270"/>
        <v/>
      </c>
      <c r="AE87" s="180">
        <v>30.0</v>
      </c>
      <c r="AF87" s="187">
        <v>0.0</v>
      </c>
      <c r="AG87" s="187">
        <v>0.0</v>
      </c>
      <c r="AH87" s="187">
        <v>0.0</v>
      </c>
      <c r="AI87" s="181">
        <f t="shared" si="10"/>
        <v>0</v>
      </c>
      <c r="AJ87" s="181">
        <f t="shared" si="11"/>
        <v>0</v>
      </c>
      <c r="AK87" s="185" t="str">
        <f t="shared" si="12"/>
        <v/>
      </c>
      <c r="AL87" s="188" t="str">
        <f t="array" ref="AL87">H87*(1-I87)*VLOOKUP(AT87,{'▶️ Инструкция'!C:C,'▶️ Инструкция'!AI:AI},2,false)</f>
        <v>#N/A</v>
      </c>
      <c r="AM87" s="186" t="str">
        <f t="shared" si="13"/>
        <v/>
      </c>
      <c r="AN87" s="189">
        <v>0.0</v>
      </c>
      <c r="AO87" s="189">
        <v>0.0</v>
      </c>
      <c r="AP87" s="189">
        <v>0.0</v>
      </c>
      <c r="AQ87" s="191">
        <v>1.0</v>
      </c>
      <c r="AR87" s="191">
        <v>0.0</v>
      </c>
      <c r="AS87" s="212">
        <v>0.0</v>
      </c>
      <c r="AT87" s="193" t="s">
        <v>206</v>
      </c>
      <c r="AU87" s="193" t="s">
        <v>121</v>
      </c>
      <c r="AV87" s="193" t="s">
        <v>199</v>
      </c>
      <c r="AW87" s="194">
        <f t="shared" si="14"/>
        <v>0</v>
      </c>
      <c r="AX87" s="195">
        <f t="shared" si="15"/>
        <v>0</v>
      </c>
      <c r="AY87" s="196" t="str">
        <f t="shared" si="16"/>
        <v>#N/A</v>
      </c>
      <c r="AZ87" s="213">
        <v>250.0</v>
      </c>
      <c r="BA87" s="196">
        <f t="shared" si="17"/>
        <v>0.25</v>
      </c>
      <c r="BB87" s="213">
        <f t="shared" si="18"/>
        <v>1000</v>
      </c>
      <c r="BC87" s="199" t="str">
        <f t="shared" si="19"/>
        <v>#N/A</v>
      </c>
      <c r="BD87" s="200" t="str">
        <f t="shared" si="20"/>
        <v>#N/A</v>
      </c>
      <c r="BE87" s="200">
        <f t="shared" si="21"/>
        <v>0</v>
      </c>
      <c r="BF87" s="201" t="str">
        <f t="shared" si="22"/>
        <v/>
      </c>
      <c r="BG87" s="201" t="str">
        <f t="shared" si="23"/>
        <v/>
      </c>
      <c r="BH87" s="202" t="str">
        <f t="shared" si="24"/>
        <v/>
      </c>
      <c r="BI87" s="203"/>
      <c r="BJ87" s="204">
        <f>IFERROR(__xludf.DUMMYFUNCTION("IF(AU87=data!A$5,
IF(AV87=data!A$8,
IF(T87=data!A$3,
VLOOKUP(S87,filter('🔒 Доп. информация'!D:H,'🔒 Доп. информация'!C:C=T87),4,FALSE)+VLOOKUP(S87,filter('🔒 Доп. информация'!D:H,'🔒 Доп. информация'!C:C=T87),5,FALSE)*AJ87,
IF(AND(MAX(AF87:AH87)&lt;80,SUM(A"&amp;"F87:AH87)&lt;=160,AI87&lt;20,XLOOKUP(M87,'📄 Комиссии'!C:C,'📄 Комиссии'!B:B)&lt;&gt;""Продукты""),
VLOOKUP(S87,filter('🔒 Доп. информация'!D:H,'🔒 Доп. информация'!C:C=data!$A$3),4,FALSE)+VLOOKUP(S87,filter('🔒 Доп. информация'!D:H,'🔒 Доп. информация'!C:C=data!$A$3"&amp;"),5,FALSE)*AJ87,
VLOOKUP(S87,filter('🔒 Доп. информация'!D:H,'🔒 Доп. информация'!C:C=T87),4,FALSE)*ROUNDUP(AF87*AG87*AH87*L87/(120*80*175))/L87)
)
*(AE87/2)
,)
,)*0"),0.0)</f>
        <v>0</v>
      </c>
      <c r="BK87" s="204">
        <f>IFERROR(__xludf.DUMMYFUNCTION("IF(AU87=data!A$5,
IF(AI87&lt;=1,IF(AI87&lt;=0.8,IF(AI87&lt;=0.6,IF(AI87&lt;=0.4,IF(AI87&lt;=0.2,23,26),29),30),32)*VLOOKUP(S87,filter('🔒 Доп. информация'!D:E,'🔒 Доп. информация'!C:C=T87),2,FALSE)/'🔒 Доп. информация'!$K$9,
IF(AV87=data!A$8,U87,1)*VLOOKUP(S87,filter('"&amp;"🔒 Доп. информация'!D:E,'🔒 Доп. информация'!C:C=T87),2,FALSE)+
IF(AV87=data!A$8,U87,1)*VLOOKUP(S87,filter('🔒 Доп. информация'!D:F,'🔒 Доп. информация'!C:C=T87),3,FALSE)*AJ87)
,0)"),69.0)</f>
        <v>69</v>
      </c>
      <c r="BL87" s="185" t="str">
        <f t="shared" ref="BL87:BM87" si="271">IF($D87,"🔒",)</f>
        <v/>
      </c>
      <c r="BM87" s="185" t="str">
        <f t="shared" si="271"/>
        <v/>
      </c>
      <c r="BN87" s="204">
        <f>VLOOKUP(T87,'🔒 Доп. информация'!J:P,7,false)</f>
        <v>50</v>
      </c>
      <c r="BO87" s="204">
        <f>IF(AV87=data!A$9,
(AA87+AO87+AP87+BJ87+BK87+BN87)+H87*AS87,
(BJ87+BK87+BN87)+H87*AS87
)</f>
        <v>119</v>
      </c>
      <c r="BP87" s="204">
        <f t="shared" si="26"/>
        <v>69</v>
      </c>
      <c r="BQ87" s="204">
        <f t="shared" si="27"/>
        <v>320</v>
      </c>
      <c r="BR87" s="204" t="str">
        <f t="shared" si="37"/>
        <v>#N/A</v>
      </c>
      <c r="BS87" s="204" t="str">
        <f t="array" ref="BS87">IF(VLOOKUP(AT87,{'▶️ Инструкция'!C:C,'▶️ Инструкция'!Y:Y},2,FALSE)=data!A$15,
H87*(1-I87),
(H87-BR87))
*VLOOKUP(AT87,{'▶️ Инструкция'!C:C,'▶️ Инструкция'!AD:AD},2,FALSE)/(1+VLOOKUP(AT87,{'▶️ Инструкция'!C:C,'▶️ Инструкция'!AD:AD},2,FALSE))</f>
        <v>#N/A</v>
      </c>
      <c r="BT87" s="204" t="str">
        <f t="array" ref="BT87">
IF(VLOOKUP(AT87,{'▶️ Инструкция'!C:C,'▶️ Инструкция'!Y:Y},2,FALSE)=data!A$15,
H87*(1-I87)-BS87,
(H87-BR87-BS87))
*
VLOOKUP(AT87,{'▶️ Инструкция'!C:C,'▶️ Инструкция'!R:R},2,FALSE)
+BS87</f>
        <v>#N/A</v>
      </c>
      <c r="BU87" s="204" t="str">
        <f>(G87*AR87)+if(AV87=data!A$9,AO87,AN87)+AP87+BR87+BT87</f>
        <v>#N/A</v>
      </c>
      <c r="BV87" s="204" t="str">
        <f>(G87*AR87)+if(AV87=data!A$9,AO87,AN87)+AP87+BT87+G87</f>
        <v>#N/A</v>
      </c>
      <c r="BW87" s="204" t="str">
        <f t="shared" si="28"/>
        <v>#N/A</v>
      </c>
      <c r="BX87" s="204" t="str">
        <f t="shared" si="29"/>
        <v>#N/A</v>
      </c>
    </row>
    <row r="88">
      <c r="A88" s="165" t="str">
        <f>if(D88=true,if(F88=data!A$1,data!A$10,data!A$11),)</f>
        <v/>
      </c>
      <c r="B88" s="166" t="str">
        <f t="shared" si="4"/>
        <v>FBS</v>
      </c>
      <c r="C88" s="167" t="s">
        <v>195</v>
      </c>
      <c r="D88" s="168" t="b">
        <v>0</v>
      </c>
      <c r="E88" s="169" t="s">
        <v>204</v>
      </c>
      <c r="F88" s="170" t="str">
        <f t="array" ref="F88">IF(D88=TRUE,IF(IF(BG$3=VLOOKUP(AT88,{'▶️ Инструкция'!C:C,'▶️ Инструкция'!G:G},2,FALSE),BG88,BH88)&gt;VLOOKUP(AT88,{'▶️ Инструкция'!C:C,'▶️ Инструкция'!N:N},2,FALSE),data!A$1,data!A$2),)</f>
        <v/>
      </c>
      <c r="G88" s="171">
        <v>0.0</v>
      </c>
      <c r="H88" s="172">
        <v>1000.0</v>
      </c>
      <c r="I88" s="173">
        <v>0.0</v>
      </c>
      <c r="J88" s="173">
        <v>0.0</v>
      </c>
      <c r="K88" s="174" t="str">
        <f t="shared" si="5"/>
        <v/>
      </c>
      <c r="L88" s="175">
        <v>0.0</v>
      </c>
      <c r="M88" s="176" t="s">
        <v>197</v>
      </c>
      <c r="N88" s="177">
        <f>IFERROR(__xludf.DUMMYFUNCTION("ArrayFormula(let(category,VLOOKUP($M88, {'📄 Комиссии'!$C:$C , '📄 Комиссии'!$B:$B}, 2, 0),
data,MATCH('🔒 Доп. информация'!$J$15:$J203,TRANSPOSE(SPLIT(INDEX('▶️ Инструкция'!$Q:$Q,MATCH($AT88,'▶️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commission,VLOOKUP($M88,'📄 Комиссии'!$C:$E,IF($AV88=data!A$8,2,3),0),
IF(NOT(ISBLANK($M88)),commission/100+
IFERR"&amp;"OR(VLOOKUP($AT88,{'▶️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88" s="178" t="str">
        <f t="shared" si="6"/>
        <v/>
      </c>
      <c r="Q88" s="178" t="str">
        <f t="shared" si="7"/>
        <v/>
      </c>
      <c r="S88" s="179" t="s">
        <v>192</v>
      </c>
      <c r="T88" s="180" t="s">
        <v>193</v>
      </c>
      <c r="U88" s="181">
        <v>1.0</v>
      </c>
      <c r="V88" s="182" t="str">
        <f t="shared" ref="V88:Y88" si="272">IF($D88,"🔒",)</f>
        <v/>
      </c>
      <c r="W88" s="182" t="str">
        <f t="shared" si="272"/>
        <v/>
      </c>
      <c r="X88" s="182" t="str">
        <f t="shared" si="272"/>
        <v/>
      </c>
      <c r="Y88" s="182" t="str">
        <f t="shared" si="272"/>
        <v/>
      </c>
      <c r="Z88" s="183">
        <v>0.0</v>
      </c>
      <c r="AA88" s="184">
        <f t="shared" si="31"/>
        <v>0</v>
      </c>
      <c r="AB88" s="185" t="str">
        <f t="shared" ref="AB88:AD88" si="273">IF($D88,"🔒",)</f>
        <v/>
      </c>
      <c r="AC88" s="185" t="str">
        <f t="shared" si="273"/>
        <v/>
      </c>
      <c r="AD88" s="186" t="str">
        <f t="shared" si="273"/>
        <v/>
      </c>
      <c r="AE88" s="180">
        <v>30.0</v>
      </c>
      <c r="AF88" s="187">
        <v>0.0</v>
      </c>
      <c r="AG88" s="187">
        <v>0.0</v>
      </c>
      <c r="AH88" s="187">
        <v>0.0</v>
      </c>
      <c r="AI88" s="181">
        <f t="shared" si="10"/>
        <v>0</v>
      </c>
      <c r="AJ88" s="181">
        <f t="shared" si="11"/>
        <v>0</v>
      </c>
      <c r="AK88" s="185" t="str">
        <f t="shared" si="12"/>
        <v/>
      </c>
      <c r="AL88" s="188" t="str">
        <f t="array" ref="AL88">H88*(1-I88)*VLOOKUP(AT88,{'▶️ Инструкция'!C:C,'▶️ Инструкция'!AI:AI},2,false)</f>
        <v>#N/A</v>
      </c>
      <c r="AM88" s="186" t="str">
        <f t="shared" si="13"/>
        <v/>
      </c>
      <c r="AN88" s="189">
        <v>0.0</v>
      </c>
      <c r="AO88" s="189">
        <v>0.0</v>
      </c>
      <c r="AP88" s="189">
        <v>0.0</v>
      </c>
      <c r="AQ88" s="191">
        <v>1.0</v>
      </c>
      <c r="AR88" s="191">
        <v>0.0</v>
      </c>
      <c r="AS88" s="212">
        <v>0.0</v>
      </c>
      <c r="AT88" s="193" t="s">
        <v>206</v>
      </c>
      <c r="AU88" s="193" t="s">
        <v>121</v>
      </c>
      <c r="AV88" s="193" t="s">
        <v>199</v>
      </c>
      <c r="AW88" s="194">
        <f t="shared" si="14"/>
        <v>0</v>
      </c>
      <c r="AX88" s="195">
        <f t="shared" si="15"/>
        <v>0</v>
      </c>
      <c r="AY88" s="196" t="str">
        <f t="shared" si="16"/>
        <v>#N/A</v>
      </c>
      <c r="AZ88" s="213">
        <v>250.0</v>
      </c>
      <c r="BA88" s="196">
        <f t="shared" si="17"/>
        <v>0.25</v>
      </c>
      <c r="BB88" s="213">
        <f t="shared" si="18"/>
        <v>1000</v>
      </c>
      <c r="BC88" s="199" t="str">
        <f t="shared" si="19"/>
        <v>#N/A</v>
      </c>
      <c r="BD88" s="200" t="str">
        <f t="shared" si="20"/>
        <v>#N/A</v>
      </c>
      <c r="BE88" s="200">
        <f t="shared" si="21"/>
        <v>0</v>
      </c>
      <c r="BF88" s="201" t="str">
        <f t="shared" si="22"/>
        <v/>
      </c>
      <c r="BG88" s="201" t="str">
        <f t="shared" si="23"/>
        <v/>
      </c>
      <c r="BH88" s="202" t="str">
        <f t="shared" si="24"/>
        <v/>
      </c>
      <c r="BI88" s="203"/>
      <c r="BJ88" s="204">
        <f>IFERROR(__xludf.DUMMYFUNCTION("IF(AU88=data!A$5,
IF(AV88=data!A$8,
IF(T88=data!A$3,
VLOOKUP(S88,filter('🔒 Доп. информация'!D:H,'🔒 Доп. информация'!C:C=T88),4,FALSE)+VLOOKUP(S88,filter('🔒 Доп. информация'!D:H,'🔒 Доп. информация'!C:C=T88),5,FALSE)*AJ88,
IF(AND(MAX(AF88:AH88)&lt;80,SUM(A"&amp;"F88:AH88)&lt;=160,AI88&lt;20,XLOOKUP(M88,'📄 Комиссии'!C:C,'📄 Комиссии'!B:B)&lt;&gt;""Продукты""),
VLOOKUP(S88,filter('🔒 Доп. информация'!D:H,'🔒 Доп. информация'!C:C=data!$A$3),4,FALSE)+VLOOKUP(S88,filter('🔒 Доп. информация'!D:H,'🔒 Доп. информация'!C:C=data!$A$3"&amp;"),5,FALSE)*AJ88,
VLOOKUP(S88,filter('🔒 Доп. информация'!D:H,'🔒 Доп. информация'!C:C=T88),4,FALSE)*ROUNDUP(AF88*AG88*AH88*L88/(120*80*175))/L88)
)
*(AE88/2)
,)
,)*0"),0.0)</f>
        <v>0</v>
      </c>
      <c r="BK88" s="204">
        <f>IFERROR(__xludf.DUMMYFUNCTION("IF(AU88=data!A$5,
IF(AI88&lt;=1,IF(AI88&lt;=0.8,IF(AI88&lt;=0.6,IF(AI88&lt;=0.4,IF(AI88&lt;=0.2,23,26),29),30),32)*VLOOKUP(S88,filter('🔒 Доп. информация'!D:E,'🔒 Доп. информация'!C:C=T88),2,FALSE)/'🔒 Доп. информация'!$K$9,
IF(AV88=data!A$8,U88,1)*VLOOKUP(S88,filter('"&amp;"🔒 Доп. информация'!D:E,'🔒 Доп. информация'!C:C=T88),2,FALSE)+
IF(AV88=data!A$8,U88,1)*VLOOKUP(S88,filter('🔒 Доп. информация'!D:F,'🔒 Доп. информация'!C:C=T88),3,FALSE)*AJ88)
,0)"),69.0)</f>
        <v>69</v>
      </c>
      <c r="BL88" s="185" t="str">
        <f t="shared" ref="BL88:BM88" si="274">IF($D88,"🔒",)</f>
        <v/>
      </c>
      <c r="BM88" s="185" t="str">
        <f t="shared" si="274"/>
        <v/>
      </c>
      <c r="BN88" s="204">
        <f>VLOOKUP(T88,'🔒 Доп. информация'!J:P,7,false)</f>
        <v>50</v>
      </c>
      <c r="BO88" s="204">
        <f>IF(AV88=data!A$9,
(AA88+AO88+AP88+BJ88+BK88+BN88)+H88*AS88,
(BJ88+BK88+BN88)+H88*AS88
)</f>
        <v>119</v>
      </c>
      <c r="BP88" s="204">
        <f t="shared" si="26"/>
        <v>69</v>
      </c>
      <c r="BQ88" s="204">
        <f t="shared" si="27"/>
        <v>320</v>
      </c>
      <c r="BR88" s="204" t="str">
        <f t="shared" si="37"/>
        <v>#N/A</v>
      </c>
      <c r="BS88" s="204" t="str">
        <f t="array" ref="BS88">IF(VLOOKUP(AT88,{'▶️ Инструкция'!C:C,'▶️ Инструкция'!Y:Y},2,FALSE)=data!A$15,
H88*(1-I88),
(H88-BR88))
*VLOOKUP(AT88,{'▶️ Инструкция'!C:C,'▶️ Инструкция'!AD:AD},2,FALSE)/(1+VLOOKUP(AT88,{'▶️ Инструкция'!C:C,'▶️ Инструкция'!AD:AD},2,FALSE))</f>
        <v>#N/A</v>
      </c>
      <c r="BT88" s="204" t="str">
        <f t="array" ref="BT88">
IF(VLOOKUP(AT88,{'▶️ Инструкция'!C:C,'▶️ Инструкция'!Y:Y},2,FALSE)=data!A$15,
H88*(1-I88)-BS88,
(H88-BR88-BS88))
*
VLOOKUP(AT88,{'▶️ Инструкция'!C:C,'▶️ Инструкция'!R:R},2,FALSE)
+BS88</f>
        <v>#N/A</v>
      </c>
      <c r="BU88" s="204" t="str">
        <f>(G88*AR88)+if(AV88=data!A$9,AO88,AN88)+AP88+BR88+BT88</f>
        <v>#N/A</v>
      </c>
      <c r="BV88" s="204" t="str">
        <f>(G88*AR88)+if(AV88=data!A$9,AO88,AN88)+AP88+BT88+G88</f>
        <v>#N/A</v>
      </c>
      <c r="BW88" s="204" t="str">
        <f t="shared" si="28"/>
        <v>#N/A</v>
      </c>
      <c r="BX88" s="204" t="str">
        <f t="shared" si="29"/>
        <v>#N/A</v>
      </c>
    </row>
    <row r="89">
      <c r="A89" s="165" t="str">
        <f>if(D89=true,if(F89=data!A$1,data!A$10,data!A$11),)</f>
        <v/>
      </c>
      <c r="B89" s="166" t="str">
        <f t="shared" si="4"/>
        <v>FBS</v>
      </c>
      <c r="C89" s="167" t="s">
        <v>195</v>
      </c>
      <c r="D89" s="168" t="b">
        <v>0</v>
      </c>
      <c r="E89" s="169" t="s">
        <v>204</v>
      </c>
      <c r="F89" s="170" t="str">
        <f t="array" ref="F89">IF(D89=TRUE,IF(IF(BG$3=VLOOKUP(AT89,{'▶️ Инструкция'!C:C,'▶️ Инструкция'!G:G},2,FALSE),BG89,BH89)&gt;VLOOKUP(AT89,{'▶️ Инструкция'!C:C,'▶️ Инструкция'!N:N},2,FALSE),data!A$1,data!A$2),)</f>
        <v/>
      </c>
      <c r="G89" s="171">
        <v>0.0</v>
      </c>
      <c r="H89" s="172">
        <v>1000.0</v>
      </c>
      <c r="I89" s="173">
        <v>0.0</v>
      </c>
      <c r="J89" s="173">
        <v>0.0</v>
      </c>
      <c r="K89" s="174" t="str">
        <f t="shared" si="5"/>
        <v/>
      </c>
      <c r="L89" s="175">
        <v>0.0</v>
      </c>
      <c r="M89" s="176" t="s">
        <v>197</v>
      </c>
      <c r="N89" s="177">
        <f>IFERROR(__xludf.DUMMYFUNCTION("ArrayFormula(let(category,VLOOKUP($M89, {'📄 Комиссии'!$C:$C , '📄 Комиссии'!$B:$B}, 2, 0),
data,MATCH('🔒 Доп. информация'!$J$15:$J203,TRANSPOSE(SPLIT(INDEX('▶️ Инструкция'!$Q:$Q,MATCH($AT89,'▶️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commission,VLOOKUP($M89,'📄 Комиссии'!$C:$E,IF($AV89=data!A$8,2,3),0),
IF(NOT(ISBLANK($M89)),commission/100+
IFERR"&amp;"OR(VLOOKUP($AT89,{'▶️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89" s="178" t="str">
        <f t="shared" si="6"/>
        <v/>
      </c>
      <c r="Q89" s="178" t="str">
        <f t="shared" si="7"/>
        <v/>
      </c>
      <c r="S89" s="179" t="s">
        <v>192</v>
      </c>
      <c r="T89" s="180" t="s">
        <v>193</v>
      </c>
      <c r="U89" s="181">
        <v>1.0</v>
      </c>
      <c r="V89" s="182" t="str">
        <f t="shared" ref="V89:Y89" si="275">IF($D89,"🔒",)</f>
        <v/>
      </c>
      <c r="W89" s="182" t="str">
        <f t="shared" si="275"/>
        <v/>
      </c>
      <c r="X89" s="182" t="str">
        <f t="shared" si="275"/>
        <v/>
      </c>
      <c r="Y89" s="182" t="str">
        <f t="shared" si="275"/>
        <v/>
      </c>
      <c r="Z89" s="183">
        <v>0.0</v>
      </c>
      <c r="AA89" s="184">
        <f t="shared" si="31"/>
        <v>0</v>
      </c>
      <c r="AB89" s="185" t="str">
        <f t="shared" ref="AB89:AD89" si="276">IF($D89,"🔒",)</f>
        <v/>
      </c>
      <c r="AC89" s="185" t="str">
        <f t="shared" si="276"/>
        <v/>
      </c>
      <c r="AD89" s="186" t="str">
        <f t="shared" si="276"/>
        <v/>
      </c>
      <c r="AE89" s="180">
        <v>30.0</v>
      </c>
      <c r="AF89" s="187">
        <v>0.0</v>
      </c>
      <c r="AG89" s="187">
        <v>0.0</v>
      </c>
      <c r="AH89" s="187">
        <v>0.0</v>
      </c>
      <c r="AI89" s="181">
        <f t="shared" si="10"/>
        <v>0</v>
      </c>
      <c r="AJ89" s="181">
        <f t="shared" si="11"/>
        <v>0</v>
      </c>
      <c r="AK89" s="185" t="str">
        <f t="shared" si="12"/>
        <v/>
      </c>
      <c r="AL89" s="188" t="str">
        <f t="array" ref="AL89">H89*(1-I89)*VLOOKUP(AT89,{'▶️ Инструкция'!C:C,'▶️ Инструкция'!AI:AI},2,false)</f>
        <v>#N/A</v>
      </c>
      <c r="AM89" s="186" t="str">
        <f t="shared" si="13"/>
        <v/>
      </c>
      <c r="AN89" s="189">
        <v>0.0</v>
      </c>
      <c r="AO89" s="189">
        <v>0.0</v>
      </c>
      <c r="AP89" s="189">
        <v>0.0</v>
      </c>
      <c r="AQ89" s="191">
        <v>1.0</v>
      </c>
      <c r="AR89" s="191">
        <v>0.0</v>
      </c>
      <c r="AS89" s="212">
        <v>0.0</v>
      </c>
      <c r="AT89" s="193" t="s">
        <v>206</v>
      </c>
      <c r="AU89" s="193" t="s">
        <v>121</v>
      </c>
      <c r="AV89" s="193" t="s">
        <v>199</v>
      </c>
      <c r="AW89" s="194">
        <f t="shared" si="14"/>
        <v>0</v>
      </c>
      <c r="AX89" s="195">
        <f t="shared" si="15"/>
        <v>0</v>
      </c>
      <c r="AY89" s="196" t="str">
        <f t="shared" si="16"/>
        <v>#N/A</v>
      </c>
      <c r="AZ89" s="213">
        <v>250.0</v>
      </c>
      <c r="BA89" s="196">
        <f t="shared" si="17"/>
        <v>0.25</v>
      </c>
      <c r="BB89" s="213">
        <f t="shared" si="18"/>
        <v>1000</v>
      </c>
      <c r="BC89" s="199" t="str">
        <f t="shared" si="19"/>
        <v>#N/A</v>
      </c>
      <c r="BD89" s="200" t="str">
        <f t="shared" si="20"/>
        <v>#N/A</v>
      </c>
      <c r="BE89" s="200">
        <f t="shared" si="21"/>
        <v>0</v>
      </c>
      <c r="BF89" s="201" t="str">
        <f t="shared" si="22"/>
        <v/>
      </c>
      <c r="BG89" s="201" t="str">
        <f t="shared" si="23"/>
        <v/>
      </c>
      <c r="BH89" s="202" t="str">
        <f t="shared" si="24"/>
        <v/>
      </c>
      <c r="BI89" s="203"/>
      <c r="BJ89" s="204">
        <f>IFERROR(__xludf.DUMMYFUNCTION("IF(AU89=data!A$5,
IF(AV89=data!A$8,
IF(T89=data!A$3,
VLOOKUP(S89,filter('🔒 Доп. информация'!D:H,'🔒 Доп. информация'!C:C=T89),4,FALSE)+VLOOKUP(S89,filter('🔒 Доп. информация'!D:H,'🔒 Доп. информация'!C:C=T89),5,FALSE)*AJ89,
IF(AND(MAX(AF89:AH89)&lt;80,SUM(A"&amp;"F89:AH89)&lt;=160,AI89&lt;20,XLOOKUP(M89,'📄 Комиссии'!C:C,'📄 Комиссии'!B:B)&lt;&gt;""Продукты""),
VLOOKUP(S89,filter('🔒 Доп. информация'!D:H,'🔒 Доп. информация'!C:C=data!$A$3),4,FALSE)+VLOOKUP(S89,filter('🔒 Доп. информация'!D:H,'🔒 Доп. информация'!C:C=data!$A$3"&amp;"),5,FALSE)*AJ89,
VLOOKUP(S89,filter('🔒 Доп. информация'!D:H,'🔒 Доп. информация'!C:C=T89),4,FALSE)*ROUNDUP(AF89*AG89*AH89*L89/(120*80*175))/L89)
)
*(AE89/2)
,)
,)*0"),0.0)</f>
        <v>0</v>
      </c>
      <c r="BK89" s="204">
        <f>IFERROR(__xludf.DUMMYFUNCTION("IF(AU89=data!A$5,
IF(AI89&lt;=1,IF(AI89&lt;=0.8,IF(AI89&lt;=0.6,IF(AI89&lt;=0.4,IF(AI89&lt;=0.2,23,26),29),30),32)*VLOOKUP(S89,filter('🔒 Доп. информация'!D:E,'🔒 Доп. информация'!C:C=T89),2,FALSE)/'🔒 Доп. информация'!$K$9,
IF(AV89=data!A$8,U89,1)*VLOOKUP(S89,filter('"&amp;"🔒 Доп. информация'!D:E,'🔒 Доп. информация'!C:C=T89),2,FALSE)+
IF(AV89=data!A$8,U89,1)*VLOOKUP(S89,filter('🔒 Доп. информация'!D:F,'🔒 Доп. информация'!C:C=T89),3,FALSE)*AJ89)
,0)"),69.0)</f>
        <v>69</v>
      </c>
      <c r="BL89" s="185" t="str">
        <f t="shared" ref="BL89:BM89" si="277">IF($D89,"🔒",)</f>
        <v/>
      </c>
      <c r="BM89" s="185" t="str">
        <f t="shared" si="277"/>
        <v/>
      </c>
      <c r="BN89" s="204">
        <f>VLOOKUP(T89,'🔒 Доп. информация'!J:P,7,false)</f>
        <v>50</v>
      </c>
      <c r="BO89" s="204">
        <f>IF(AV89=data!A$9,
(AA89+AO89+AP89+BJ89+BK89+BN89)+H89*AS89,
(BJ89+BK89+BN89)+H89*AS89
)</f>
        <v>119</v>
      </c>
      <c r="BP89" s="204">
        <f t="shared" si="26"/>
        <v>69</v>
      </c>
      <c r="BQ89" s="204">
        <f t="shared" si="27"/>
        <v>320</v>
      </c>
      <c r="BR89" s="204" t="str">
        <f t="shared" si="37"/>
        <v>#N/A</v>
      </c>
      <c r="BS89" s="204" t="str">
        <f t="array" ref="BS89">IF(VLOOKUP(AT89,{'▶️ Инструкция'!C:C,'▶️ Инструкция'!Y:Y},2,FALSE)=data!A$15,
H89*(1-I89),
(H89-BR89))
*VLOOKUP(AT89,{'▶️ Инструкция'!C:C,'▶️ Инструкция'!AD:AD},2,FALSE)/(1+VLOOKUP(AT89,{'▶️ Инструкция'!C:C,'▶️ Инструкция'!AD:AD},2,FALSE))</f>
        <v>#N/A</v>
      </c>
      <c r="BT89" s="204" t="str">
        <f t="array" ref="BT89">
IF(VLOOKUP(AT89,{'▶️ Инструкция'!C:C,'▶️ Инструкция'!Y:Y},2,FALSE)=data!A$15,
H89*(1-I89)-BS89,
(H89-BR89-BS89))
*
VLOOKUP(AT89,{'▶️ Инструкция'!C:C,'▶️ Инструкция'!R:R},2,FALSE)
+BS89</f>
        <v>#N/A</v>
      </c>
      <c r="BU89" s="204" t="str">
        <f>(G89*AR89)+if(AV89=data!A$9,AO89,AN89)+AP89+BR89+BT89</f>
        <v>#N/A</v>
      </c>
      <c r="BV89" s="204" t="str">
        <f>(G89*AR89)+if(AV89=data!A$9,AO89,AN89)+AP89+BT89+G89</f>
        <v>#N/A</v>
      </c>
      <c r="BW89" s="204" t="str">
        <f t="shared" si="28"/>
        <v>#N/A</v>
      </c>
      <c r="BX89" s="204" t="str">
        <f t="shared" si="29"/>
        <v>#N/A</v>
      </c>
    </row>
    <row r="90">
      <c r="A90" s="165" t="str">
        <f>if(D90=true,if(F90=data!A$1,data!A$10,data!A$11),)</f>
        <v/>
      </c>
      <c r="B90" s="166" t="str">
        <f t="shared" si="4"/>
        <v>FBS</v>
      </c>
      <c r="C90" s="167" t="s">
        <v>195</v>
      </c>
      <c r="D90" s="168" t="b">
        <v>0</v>
      </c>
      <c r="E90" s="169" t="s">
        <v>204</v>
      </c>
      <c r="F90" s="170" t="str">
        <f t="array" ref="F90">IF(D90=TRUE,IF(IF(BG$3=VLOOKUP(AT90,{'▶️ Инструкция'!C:C,'▶️ Инструкция'!G:G},2,FALSE),BG90,BH90)&gt;VLOOKUP(AT90,{'▶️ Инструкция'!C:C,'▶️ Инструкция'!N:N},2,FALSE),data!A$1,data!A$2),)</f>
        <v/>
      </c>
      <c r="G90" s="171">
        <v>0.0</v>
      </c>
      <c r="H90" s="172">
        <v>1000.0</v>
      </c>
      <c r="I90" s="173">
        <v>0.0</v>
      </c>
      <c r="J90" s="173">
        <v>0.0</v>
      </c>
      <c r="K90" s="174" t="str">
        <f t="shared" si="5"/>
        <v/>
      </c>
      <c r="L90" s="175">
        <v>0.0</v>
      </c>
      <c r="M90" s="176" t="s">
        <v>197</v>
      </c>
      <c r="N90" s="177">
        <f>IFERROR(__xludf.DUMMYFUNCTION("ArrayFormula(let(category,VLOOKUP($M90, {'📄 Комиссии'!$C:$C , '📄 Комиссии'!$B:$B}, 2, 0),
data,MATCH('🔒 Доп. информация'!$J$15:$J203,TRANSPOSE(SPLIT(INDEX('▶️ Инструкция'!$Q:$Q,MATCH($AT90,'▶️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commission,VLOOKUP($M90,'📄 Комиссии'!$C:$E,IF($AV90=data!A$8,2,3),0),
IF(NOT(ISBLANK($M90)),commission/100+
IFERR"&amp;"OR(VLOOKUP($AT90,{'▶️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90" s="178" t="str">
        <f t="shared" si="6"/>
        <v/>
      </c>
      <c r="Q90" s="178" t="str">
        <f t="shared" si="7"/>
        <v/>
      </c>
      <c r="S90" s="179" t="s">
        <v>192</v>
      </c>
      <c r="T90" s="180" t="s">
        <v>193</v>
      </c>
      <c r="U90" s="181">
        <v>1.0</v>
      </c>
      <c r="V90" s="182" t="str">
        <f t="shared" ref="V90:Y90" si="278">IF($D90,"🔒",)</f>
        <v/>
      </c>
      <c r="W90" s="182" t="str">
        <f t="shared" si="278"/>
        <v/>
      </c>
      <c r="X90" s="182" t="str">
        <f t="shared" si="278"/>
        <v/>
      </c>
      <c r="Y90" s="182" t="str">
        <f t="shared" si="278"/>
        <v/>
      </c>
      <c r="Z90" s="183">
        <v>0.0</v>
      </c>
      <c r="AA90" s="184">
        <f t="shared" si="31"/>
        <v>0</v>
      </c>
      <c r="AB90" s="185" t="str">
        <f t="shared" ref="AB90:AD90" si="279">IF($D90,"🔒",)</f>
        <v/>
      </c>
      <c r="AC90" s="185" t="str">
        <f t="shared" si="279"/>
        <v/>
      </c>
      <c r="AD90" s="186" t="str">
        <f t="shared" si="279"/>
        <v/>
      </c>
      <c r="AE90" s="180">
        <v>30.0</v>
      </c>
      <c r="AF90" s="187">
        <v>0.0</v>
      </c>
      <c r="AG90" s="187">
        <v>0.0</v>
      </c>
      <c r="AH90" s="187">
        <v>0.0</v>
      </c>
      <c r="AI90" s="181">
        <f t="shared" si="10"/>
        <v>0</v>
      </c>
      <c r="AJ90" s="181">
        <f t="shared" si="11"/>
        <v>0</v>
      </c>
      <c r="AK90" s="185" t="str">
        <f t="shared" si="12"/>
        <v/>
      </c>
      <c r="AL90" s="188" t="str">
        <f t="array" ref="AL90">H90*(1-I90)*VLOOKUP(AT90,{'▶️ Инструкция'!C:C,'▶️ Инструкция'!AI:AI},2,false)</f>
        <v>#N/A</v>
      </c>
      <c r="AM90" s="186" t="str">
        <f t="shared" si="13"/>
        <v/>
      </c>
      <c r="AN90" s="189">
        <v>0.0</v>
      </c>
      <c r="AO90" s="189">
        <v>0.0</v>
      </c>
      <c r="AP90" s="189">
        <v>0.0</v>
      </c>
      <c r="AQ90" s="191">
        <v>1.0</v>
      </c>
      <c r="AR90" s="191">
        <v>0.0</v>
      </c>
      <c r="AS90" s="212">
        <v>0.0</v>
      </c>
      <c r="AT90" s="193" t="s">
        <v>206</v>
      </c>
      <c r="AU90" s="193" t="s">
        <v>121</v>
      </c>
      <c r="AV90" s="193" t="s">
        <v>199</v>
      </c>
      <c r="AW90" s="194">
        <f t="shared" si="14"/>
        <v>0</v>
      </c>
      <c r="AX90" s="195">
        <f t="shared" si="15"/>
        <v>0</v>
      </c>
      <c r="AY90" s="196" t="str">
        <f t="shared" si="16"/>
        <v>#N/A</v>
      </c>
      <c r="AZ90" s="213">
        <v>250.0</v>
      </c>
      <c r="BA90" s="196">
        <f t="shared" si="17"/>
        <v>0.25</v>
      </c>
      <c r="BB90" s="213">
        <f t="shared" si="18"/>
        <v>1000</v>
      </c>
      <c r="BC90" s="199" t="str">
        <f t="shared" si="19"/>
        <v>#N/A</v>
      </c>
      <c r="BD90" s="200" t="str">
        <f t="shared" si="20"/>
        <v>#N/A</v>
      </c>
      <c r="BE90" s="200">
        <f t="shared" si="21"/>
        <v>0</v>
      </c>
      <c r="BF90" s="201" t="str">
        <f t="shared" si="22"/>
        <v/>
      </c>
      <c r="BG90" s="201" t="str">
        <f t="shared" si="23"/>
        <v/>
      </c>
      <c r="BH90" s="202" t="str">
        <f t="shared" si="24"/>
        <v/>
      </c>
      <c r="BI90" s="203"/>
      <c r="BJ90" s="204">
        <f>IFERROR(__xludf.DUMMYFUNCTION("IF(AU90=data!A$5,
IF(AV90=data!A$8,
IF(T90=data!A$3,
VLOOKUP(S90,filter('🔒 Доп. информация'!D:H,'🔒 Доп. информация'!C:C=T90),4,FALSE)+VLOOKUP(S90,filter('🔒 Доп. информация'!D:H,'🔒 Доп. информация'!C:C=T90),5,FALSE)*AJ90,
IF(AND(MAX(AF90:AH90)&lt;80,SUM(A"&amp;"F90:AH90)&lt;=160,AI90&lt;20,XLOOKUP(M90,'📄 Комиссии'!C:C,'📄 Комиссии'!B:B)&lt;&gt;""Продукты""),
VLOOKUP(S90,filter('🔒 Доп. информация'!D:H,'🔒 Доп. информация'!C:C=data!$A$3),4,FALSE)+VLOOKUP(S90,filter('🔒 Доп. информация'!D:H,'🔒 Доп. информация'!C:C=data!$A$3"&amp;"),5,FALSE)*AJ90,
VLOOKUP(S90,filter('🔒 Доп. информация'!D:H,'🔒 Доп. информация'!C:C=T90),4,FALSE)*ROUNDUP(AF90*AG90*AH90*L90/(120*80*175))/L90)
)
*(AE90/2)
,)
,)*0"),0.0)</f>
        <v>0</v>
      </c>
      <c r="BK90" s="204">
        <f>IFERROR(__xludf.DUMMYFUNCTION("IF(AU90=data!A$5,
IF(AI90&lt;=1,IF(AI90&lt;=0.8,IF(AI90&lt;=0.6,IF(AI90&lt;=0.4,IF(AI90&lt;=0.2,23,26),29),30),32)*VLOOKUP(S90,filter('🔒 Доп. информация'!D:E,'🔒 Доп. информация'!C:C=T90),2,FALSE)/'🔒 Доп. информация'!$K$9,
IF(AV90=data!A$8,U90,1)*VLOOKUP(S90,filter('"&amp;"🔒 Доп. информация'!D:E,'🔒 Доп. информация'!C:C=T90),2,FALSE)+
IF(AV90=data!A$8,U90,1)*VLOOKUP(S90,filter('🔒 Доп. информация'!D:F,'🔒 Доп. информация'!C:C=T90),3,FALSE)*AJ90)
,0)"),69.0)</f>
        <v>69</v>
      </c>
      <c r="BL90" s="185" t="str">
        <f t="shared" ref="BL90:BM90" si="280">IF($D90,"🔒",)</f>
        <v/>
      </c>
      <c r="BM90" s="185" t="str">
        <f t="shared" si="280"/>
        <v/>
      </c>
      <c r="BN90" s="204">
        <f>VLOOKUP(T90,'🔒 Доп. информация'!J:P,7,false)</f>
        <v>50</v>
      </c>
      <c r="BO90" s="204">
        <f>IF(AV90=data!A$9,
(AA90+AO90+AP90+BJ90+BK90+BN90)+H90*AS90,
(BJ90+BK90+BN90)+H90*AS90
)</f>
        <v>119</v>
      </c>
      <c r="BP90" s="204">
        <f t="shared" si="26"/>
        <v>69</v>
      </c>
      <c r="BQ90" s="204">
        <f t="shared" si="27"/>
        <v>320</v>
      </c>
      <c r="BR90" s="204" t="str">
        <f t="shared" si="37"/>
        <v>#N/A</v>
      </c>
      <c r="BS90" s="204" t="str">
        <f t="array" ref="BS90">IF(VLOOKUP(AT90,{'▶️ Инструкция'!C:C,'▶️ Инструкция'!Y:Y},2,FALSE)=data!A$15,
H90*(1-I90),
(H90-BR90))
*VLOOKUP(AT90,{'▶️ Инструкция'!C:C,'▶️ Инструкция'!AD:AD},2,FALSE)/(1+VLOOKUP(AT90,{'▶️ Инструкция'!C:C,'▶️ Инструкция'!AD:AD},2,FALSE))</f>
        <v>#N/A</v>
      </c>
      <c r="BT90" s="204" t="str">
        <f t="array" ref="BT90">
IF(VLOOKUP(AT90,{'▶️ Инструкция'!C:C,'▶️ Инструкция'!Y:Y},2,FALSE)=data!A$15,
H90*(1-I90)-BS90,
(H90-BR90-BS90))
*
VLOOKUP(AT90,{'▶️ Инструкция'!C:C,'▶️ Инструкция'!R:R},2,FALSE)
+BS90</f>
        <v>#N/A</v>
      </c>
      <c r="BU90" s="204" t="str">
        <f>(G90*AR90)+if(AV90=data!A$9,AO90,AN90)+AP90+BR90+BT90</f>
        <v>#N/A</v>
      </c>
      <c r="BV90" s="204" t="str">
        <f>(G90*AR90)+if(AV90=data!A$9,AO90,AN90)+AP90+BT90+G90</f>
        <v>#N/A</v>
      </c>
      <c r="BW90" s="204" t="str">
        <f t="shared" si="28"/>
        <v>#N/A</v>
      </c>
      <c r="BX90" s="204" t="str">
        <f t="shared" si="29"/>
        <v>#N/A</v>
      </c>
    </row>
    <row r="91">
      <c r="A91" s="165" t="str">
        <f>if(D91=true,if(F91=data!A$1,data!A$10,data!A$11),)</f>
        <v/>
      </c>
      <c r="B91" s="166" t="str">
        <f t="shared" si="4"/>
        <v>FBS</v>
      </c>
      <c r="C91" s="167" t="s">
        <v>195</v>
      </c>
      <c r="D91" s="168" t="b">
        <v>0</v>
      </c>
      <c r="E91" s="169" t="s">
        <v>204</v>
      </c>
      <c r="F91" s="170" t="str">
        <f t="array" ref="F91">IF(D91=TRUE,IF(IF(BG$3=VLOOKUP(AT91,{'▶️ Инструкция'!C:C,'▶️ Инструкция'!G:G},2,FALSE),BG91,BH91)&gt;VLOOKUP(AT91,{'▶️ Инструкция'!C:C,'▶️ Инструкция'!N:N},2,FALSE),data!A$1,data!A$2),)</f>
        <v/>
      </c>
      <c r="G91" s="171">
        <v>0.0</v>
      </c>
      <c r="H91" s="172">
        <v>1000.0</v>
      </c>
      <c r="I91" s="173">
        <v>0.0</v>
      </c>
      <c r="J91" s="173">
        <v>0.0</v>
      </c>
      <c r="K91" s="174" t="str">
        <f t="shared" si="5"/>
        <v/>
      </c>
      <c r="L91" s="175">
        <v>0.0</v>
      </c>
      <c r="M91" s="176" t="s">
        <v>197</v>
      </c>
      <c r="N91" s="177">
        <f>IFERROR(__xludf.DUMMYFUNCTION("ArrayFormula(let(category,VLOOKUP($M91, {'📄 Комиссии'!$C:$C , '📄 Комиссии'!$B:$B}, 2, 0),
data,MATCH('🔒 Доп. информация'!$J$15:$J203,TRANSPOSE(SPLIT(INDEX('▶️ Инструкция'!$Q:$Q,MATCH($AT91,'▶️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commission,VLOOKUP($M91,'📄 Комиссии'!$C:$E,IF($AV91=data!A$8,2,3),0),
IF(NOT(ISBLANK($M91)),commission/100+
IFERR"&amp;"OR(VLOOKUP($AT91,{'▶️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91" s="178" t="str">
        <f t="shared" si="6"/>
        <v/>
      </c>
      <c r="Q91" s="178" t="str">
        <f t="shared" si="7"/>
        <v/>
      </c>
      <c r="S91" s="179" t="s">
        <v>192</v>
      </c>
      <c r="T91" s="180" t="s">
        <v>193</v>
      </c>
      <c r="U91" s="181">
        <v>1.0</v>
      </c>
      <c r="V91" s="182" t="str">
        <f t="shared" ref="V91:Y91" si="281">IF($D91,"🔒",)</f>
        <v/>
      </c>
      <c r="W91" s="182" t="str">
        <f t="shared" si="281"/>
        <v/>
      </c>
      <c r="X91" s="182" t="str">
        <f t="shared" si="281"/>
        <v/>
      </c>
      <c r="Y91" s="182" t="str">
        <f t="shared" si="281"/>
        <v/>
      </c>
      <c r="Z91" s="183">
        <v>0.0</v>
      </c>
      <c r="AA91" s="184">
        <f t="shared" si="31"/>
        <v>0</v>
      </c>
      <c r="AB91" s="185" t="str">
        <f t="shared" ref="AB91:AD91" si="282">IF($D91,"🔒",)</f>
        <v/>
      </c>
      <c r="AC91" s="185" t="str">
        <f t="shared" si="282"/>
        <v/>
      </c>
      <c r="AD91" s="186" t="str">
        <f t="shared" si="282"/>
        <v/>
      </c>
      <c r="AE91" s="180">
        <v>30.0</v>
      </c>
      <c r="AF91" s="187">
        <v>0.0</v>
      </c>
      <c r="AG91" s="187">
        <v>0.0</v>
      </c>
      <c r="AH91" s="187">
        <v>0.0</v>
      </c>
      <c r="AI91" s="181">
        <f t="shared" si="10"/>
        <v>0</v>
      </c>
      <c r="AJ91" s="181">
        <f t="shared" si="11"/>
        <v>0</v>
      </c>
      <c r="AK91" s="185" t="str">
        <f t="shared" si="12"/>
        <v/>
      </c>
      <c r="AL91" s="188" t="str">
        <f t="array" ref="AL91">H91*(1-I91)*VLOOKUP(AT91,{'▶️ Инструкция'!C:C,'▶️ Инструкция'!AI:AI},2,false)</f>
        <v>#N/A</v>
      </c>
      <c r="AM91" s="186" t="str">
        <f t="shared" si="13"/>
        <v/>
      </c>
      <c r="AN91" s="189">
        <v>0.0</v>
      </c>
      <c r="AO91" s="189">
        <v>0.0</v>
      </c>
      <c r="AP91" s="189">
        <v>0.0</v>
      </c>
      <c r="AQ91" s="191">
        <v>1.0</v>
      </c>
      <c r="AR91" s="191">
        <v>0.0</v>
      </c>
      <c r="AS91" s="212">
        <v>0.0</v>
      </c>
      <c r="AT91" s="193" t="s">
        <v>206</v>
      </c>
      <c r="AU91" s="193" t="s">
        <v>121</v>
      </c>
      <c r="AV91" s="193" t="s">
        <v>199</v>
      </c>
      <c r="AW91" s="194">
        <f t="shared" si="14"/>
        <v>0</v>
      </c>
      <c r="AX91" s="195">
        <f t="shared" si="15"/>
        <v>0</v>
      </c>
      <c r="AY91" s="196" t="str">
        <f t="shared" si="16"/>
        <v>#N/A</v>
      </c>
      <c r="AZ91" s="213">
        <v>250.0</v>
      </c>
      <c r="BA91" s="196">
        <f t="shared" si="17"/>
        <v>0.25</v>
      </c>
      <c r="BB91" s="213">
        <f t="shared" si="18"/>
        <v>1000</v>
      </c>
      <c r="BC91" s="199" t="str">
        <f t="shared" si="19"/>
        <v>#N/A</v>
      </c>
      <c r="BD91" s="200" t="str">
        <f t="shared" si="20"/>
        <v>#N/A</v>
      </c>
      <c r="BE91" s="200">
        <f t="shared" si="21"/>
        <v>0</v>
      </c>
      <c r="BF91" s="201" t="str">
        <f t="shared" si="22"/>
        <v/>
      </c>
      <c r="BG91" s="201" t="str">
        <f t="shared" si="23"/>
        <v/>
      </c>
      <c r="BH91" s="202" t="str">
        <f t="shared" si="24"/>
        <v/>
      </c>
      <c r="BI91" s="203"/>
      <c r="BJ91" s="204">
        <f>IFERROR(__xludf.DUMMYFUNCTION("IF(AU91=data!A$5,
IF(AV91=data!A$8,
IF(T91=data!A$3,
VLOOKUP(S91,filter('🔒 Доп. информация'!D:H,'🔒 Доп. информация'!C:C=T91),4,FALSE)+VLOOKUP(S91,filter('🔒 Доп. информация'!D:H,'🔒 Доп. информация'!C:C=T91),5,FALSE)*AJ91,
IF(AND(MAX(AF91:AH91)&lt;80,SUM(A"&amp;"F91:AH91)&lt;=160,AI91&lt;20,XLOOKUP(M91,'📄 Комиссии'!C:C,'📄 Комиссии'!B:B)&lt;&gt;""Продукты""),
VLOOKUP(S91,filter('🔒 Доп. информация'!D:H,'🔒 Доп. информация'!C:C=data!$A$3),4,FALSE)+VLOOKUP(S91,filter('🔒 Доп. информация'!D:H,'🔒 Доп. информация'!C:C=data!$A$3"&amp;"),5,FALSE)*AJ91,
VLOOKUP(S91,filter('🔒 Доп. информация'!D:H,'🔒 Доп. информация'!C:C=T91),4,FALSE)*ROUNDUP(AF91*AG91*AH91*L91/(120*80*175))/L91)
)
*(AE91/2)
,)
,)*0"),0.0)</f>
        <v>0</v>
      </c>
      <c r="BK91" s="204">
        <f>IFERROR(__xludf.DUMMYFUNCTION("IF(AU91=data!A$5,
IF(AI91&lt;=1,IF(AI91&lt;=0.8,IF(AI91&lt;=0.6,IF(AI91&lt;=0.4,IF(AI91&lt;=0.2,23,26),29),30),32)*VLOOKUP(S91,filter('🔒 Доп. информация'!D:E,'🔒 Доп. информация'!C:C=T91),2,FALSE)/'🔒 Доп. информация'!$K$9,
IF(AV91=data!A$8,U91,1)*VLOOKUP(S91,filter('"&amp;"🔒 Доп. информация'!D:E,'🔒 Доп. информация'!C:C=T91),2,FALSE)+
IF(AV91=data!A$8,U91,1)*VLOOKUP(S91,filter('🔒 Доп. информация'!D:F,'🔒 Доп. информация'!C:C=T91),3,FALSE)*AJ91)
,0)"),69.0)</f>
        <v>69</v>
      </c>
      <c r="BL91" s="185" t="str">
        <f t="shared" ref="BL91:BM91" si="283">IF($D91,"🔒",)</f>
        <v/>
      </c>
      <c r="BM91" s="185" t="str">
        <f t="shared" si="283"/>
        <v/>
      </c>
      <c r="BN91" s="204">
        <f>VLOOKUP(T91,'🔒 Доп. информация'!J:P,7,false)</f>
        <v>50</v>
      </c>
      <c r="BO91" s="204">
        <f>IF(AV91=data!A$9,
(AA91+AO91+AP91+BJ91+BK91+BN91)+H91*AS91,
(BJ91+BK91+BN91)+H91*AS91
)</f>
        <v>119</v>
      </c>
      <c r="BP91" s="204">
        <f t="shared" si="26"/>
        <v>69</v>
      </c>
      <c r="BQ91" s="204">
        <f t="shared" si="27"/>
        <v>320</v>
      </c>
      <c r="BR91" s="204" t="str">
        <f t="shared" si="37"/>
        <v>#N/A</v>
      </c>
      <c r="BS91" s="204" t="str">
        <f t="array" ref="BS91">IF(VLOOKUP(AT91,{'▶️ Инструкция'!C:C,'▶️ Инструкция'!Y:Y},2,FALSE)=data!A$15,
H91*(1-I91),
(H91-BR91))
*VLOOKUP(AT91,{'▶️ Инструкция'!C:C,'▶️ Инструкция'!AD:AD},2,FALSE)/(1+VLOOKUP(AT91,{'▶️ Инструкция'!C:C,'▶️ Инструкция'!AD:AD},2,FALSE))</f>
        <v>#N/A</v>
      </c>
      <c r="BT91" s="204" t="str">
        <f t="array" ref="BT91">
IF(VLOOKUP(AT91,{'▶️ Инструкция'!C:C,'▶️ Инструкция'!Y:Y},2,FALSE)=data!A$15,
H91*(1-I91)-BS91,
(H91-BR91-BS91))
*
VLOOKUP(AT91,{'▶️ Инструкция'!C:C,'▶️ Инструкция'!R:R},2,FALSE)
+BS91</f>
        <v>#N/A</v>
      </c>
      <c r="BU91" s="204" t="str">
        <f>(G91*AR91)+if(AV91=data!A$9,AO91,AN91)+AP91+BR91+BT91</f>
        <v>#N/A</v>
      </c>
      <c r="BV91" s="204" t="str">
        <f>(G91*AR91)+if(AV91=data!A$9,AO91,AN91)+AP91+BT91+G91</f>
        <v>#N/A</v>
      </c>
      <c r="BW91" s="204" t="str">
        <f t="shared" si="28"/>
        <v>#N/A</v>
      </c>
      <c r="BX91" s="204" t="str">
        <f t="shared" si="29"/>
        <v>#N/A</v>
      </c>
    </row>
    <row r="92">
      <c r="A92" s="165" t="str">
        <f>if(D92=true,if(F92=data!A$1,data!A$10,data!A$11),)</f>
        <v/>
      </c>
      <c r="B92" s="166" t="str">
        <f t="shared" si="4"/>
        <v>FBS</v>
      </c>
      <c r="C92" s="167" t="s">
        <v>195</v>
      </c>
      <c r="D92" s="168" t="b">
        <v>0</v>
      </c>
      <c r="E92" s="169" t="s">
        <v>204</v>
      </c>
      <c r="F92" s="170" t="str">
        <f t="array" ref="F92">IF(D92=TRUE,IF(IF(BG$3=VLOOKUP(AT92,{'▶️ Инструкция'!C:C,'▶️ Инструкция'!G:G},2,FALSE),BG92,BH92)&gt;VLOOKUP(AT92,{'▶️ Инструкция'!C:C,'▶️ Инструкция'!N:N},2,FALSE),data!A$1,data!A$2),)</f>
        <v/>
      </c>
      <c r="G92" s="171">
        <v>0.0</v>
      </c>
      <c r="H92" s="172">
        <v>1000.0</v>
      </c>
      <c r="I92" s="173">
        <v>0.0</v>
      </c>
      <c r="J92" s="173">
        <v>0.0</v>
      </c>
      <c r="K92" s="174" t="str">
        <f t="shared" si="5"/>
        <v/>
      </c>
      <c r="L92" s="175">
        <v>0.0</v>
      </c>
      <c r="M92" s="176" t="s">
        <v>197</v>
      </c>
      <c r="N92" s="177">
        <f>IFERROR(__xludf.DUMMYFUNCTION("ArrayFormula(let(category,VLOOKUP($M92, {'📄 Комиссии'!$C:$C , '📄 Комиссии'!$B:$B}, 2, 0),
data,MATCH('🔒 Доп. информация'!$J$15:$J203,TRANSPOSE(SPLIT(INDEX('▶️ Инструкция'!$Q:$Q,MATCH($AT92,'▶️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commission,VLOOKUP($M92,'📄 Комиссии'!$C:$E,IF($AV92=data!A$8,2,3),0),
IF(NOT(ISBLANK($M92)),commission/100+
IFERR"&amp;"OR(VLOOKUP($AT92,{'▶️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92" s="178" t="str">
        <f t="shared" si="6"/>
        <v/>
      </c>
      <c r="Q92" s="178" t="str">
        <f t="shared" si="7"/>
        <v/>
      </c>
      <c r="S92" s="179" t="s">
        <v>192</v>
      </c>
      <c r="T92" s="180" t="s">
        <v>193</v>
      </c>
      <c r="U92" s="181">
        <v>1.0</v>
      </c>
      <c r="V92" s="182" t="str">
        <f t="shared" ref="V92:Y92" si="284">IF($D92,"🔒",)</f>
        <v/>
      </c>
      <c r="W92" s="182" t="str">
        <f t="shared" si="284"/>
        <v/>
      </c>
      <c r="X92" s="182" t="str">
        <f t="shared" si="284"/>
        <v/>
      </c>
      <c r="Y92" s="182" t="str">
        <f t="shared" si="284"/>
        <v/>
      </c>
      <c r="Z92" s="183">
        <v>0.0</v>
      </c>
      <c r="AA92" s="184">
        <f t="shared" si="31"/>
        <v>0</v>
      </c>
      <c r="AB92" s="185" t="str">
        <f t="shared" ref="AB92:AD92" si="285">IF($D92,"🔒",)</f>
        <v/>
      </c>
      <c r="AC92" s="185" t="str">
        <f t="shared" si="285"/>
        <v/>
      </c>
      <c r="AD92" s="186" t="str">
        <f t="shared" si="285"/>
        <v/>
      </c>
      <c r="AE92" s="180">
        <v>30.0</v>
      </c>
      <c r="AF92" s="187">
        <v>0.0</v>
      </c>
      <c r="AG92" s="187">
        <v>0.0</v>
      </c>
      <c r="AH92" s="187">
        <v>0.0</v>
      </c>
      <c r="AI92" s="181">
        <f t="shared" si="10"/>
        <v>0</v>
      </c>
      <c r="AJ92" s="181">
        <f t="shared" si="11"/>
        <v>0</v>
      </c>
      <c r="AK92" s="185" t="str">
        <f t="shared" si="12"/>
        <v/>
      </c>
      <c r="AL92" s="188" t="str">
        <f t="array" ref="AL92">H92*(1-I92)*VLOOKUP(AT92,{'▶️ Инструкция'!C:C,'▶️ Инструкция'!AI:AI},2,false)</f>
        <v>#N/A</v>
      </c>
      <c r="AM92" s="186" t="str">
        <f t="shared" si="13"/>
        <v/>
      </c>
      <c r="AN92" s="189">
        <v>0.0</v>
      </c>
      <c r="AO92" s="189">
        <v>0.0</v>
      </c>
      <c r="AP92" s="189">
        <v>0.0</v>
      </c>
      <c r="AQ92" s="191">
        <v>1.0</v>
      </c>
      <c r="AR92" s="191">
        <v>0.0</v>
      </c>
      <c r="AS92" s="212">
        <v>0.0</v>
      </c>
      <c r="AT92" s="193" t="s">
        <v>206</v>
      </c>
      <c r="AU92" s="193" t="s">
        <v>121</v>
      </c>
      <c r="AV92" s="193" t="s">
        <v>199</v>
      </c>
      <c r="AW92" s="194">
        <f t="shared" si="14"/>
        <v>0</v>
      </c>
      <c r="AX92" s="195">
        <f t="shared" si="15"/>
        <v>0</v>
      </c>
      <c r="AY92" s="196" t="str">
        <f t="shared" si="16"/>
        <v>#N/A</v>
      </c>
      <c r="AZ92" s="213">
        <v>250.0</v>
      </c>
      <c r="BA92" s="196">
        <f t="shared" si="17"/>
        <v>0.25</v>
      </c>
      <c r="BB92" s="213">
        <f t="shared" si="18"/>
        <v>1000</v>
      </c>
      <c r="BC92" s="199" t="str">
        <f t="shared" si="19"/>
        <v>#N/A</v>
      </c>
      <c r="BD92" s="200" t="str">
        <f t="shared" si="20"/>
        <v>#N/A</v>
      </c>
      <c r="BE92" s="200">
        <f t="shared" si="21"/>
        <v>0</v>
      </c>
      <c r="BF92" s="201" t="str">
        <f t="shared" si="22"/>
        <v/>
      </c>
      <c r="BG92" s="201" t="str">
        <f t="shared" si="23"/>
        <v/>
      </c>
      <c r="BH92" s="202" t="str">
        <f t="shared" si="24"/>
        <v/>
      </c>
      <c r="BI92" s="203"/>
      <c r="BJ92" s="204">
        <f>IFERROR(__xludf.DUMMYFUNCTION("IF(AU92=data!A$5,
IF(AV92=data!A$8,
IF(T92=data!A$3,
VLOOKUP(S92,filter('🔒 Доп. информация'!D:H,'🔒 Доп. информация'!C:C=T92),4,FALSE)+VLOOKUP(S92,filter('🔒 Доп. информация'!D:H,'🔒 Доп. информация'!C:C=T92),5,FALSE)*AJ92,
IF(AND(MAX(AF92:AH92)&lt;80,SUM(A"&amp;"F92:AH92)&lt;=160,AI92&lt;20,XLOOKUP(M92,'📄 Комиссии'!C:C,'📄 Комиссии'!B:B)&lt;&gt;""Продукты""),
VLOOKUP(S92,filter('🔒 Доп. информация'!D:H,'🔒 Доп. информация'!C:C=data!$A$3),4,FALSE)+VLOOKUP(S92,filter('🔒 Доп. информация'!D:H,'🔒 Доп. информация'!C:C=data!$A$3"&amp;"),5,FALSE)*AJ92,
VLOOKUP(S92,filter('🔒 Доп. информация'!D:H,'🔒 Доп. информация'!C:C=T92),4,FALSE)*ROUNDUP(AF92*AG92*AH92*L92/(120*80*175))/L92)
)
*(AE92/2)
,)
,)*0"),0.0)</f>
        <v>0</v>
      </c>
      <c r="BK92" s="204">
        <f>IFERROR(__xludf.DUMMYFUNCTION("IF(AU92=data!A$5,
IF(AI92&lt;=1,IF(AI92&lt;=0.8,IF(AI92&lt;=0.6,IF(AI92&lt;=0.4,IF(AI92&lt;=0.2,23,26),29),30),32)*VLOOKUP(S92,filter('🔒 Доп. информация'!D:E,'🔒 Доп. информация'!C:C=T92),2,FALSE)/'🔒 Доп. информация'!$K$9,
IF(AV92=data!A$8,U92,1)*VLOOKUP(S92,filter('"&amp;"🔒 Доп. информация'!D:E,'🔒 Доп. информация'!C:C=T92),2,FALSE)+
IF(AV92=data!A$8,U92,1)*VLOOKUP(S92,filter('🔒 Доп. информация'!D:F,'🔒 Доп. информация'!C:C=T92),3,FALSE)*AJ92)
,0)"),69.0)</f>
        <v>69</v>
      </c>
      <c r="BL92" s="185" t="str">
        <f t="shared" ref="BL92:BM92" si="286">IF($D92,"🔒",)</f>
        <v/>
      </c>
      <c r="BM92" s="185" t="str">
        <f t="shared" si="286"/>
        <v/>
      </c>
      <c r="BN92" s="204">
        <f>VLOOKUP(T92,'🔒 Доп. информация'!J:P,7,false)</f>
        <v>50</v>
      </c>
      <c r="BO92" s="204">
        <f>IF(AV92=data!A$9,
(AA92+AO92+AP92+BJ92+BK92+BN92)+H92*AS92,
(BJ92+BK92+BN92)+H92*AS92
)</f>
        <v>119</v>
      </c>
      <c r="BP92" s="204">
        <f t="shared" si="26"/>
        <v>69</v>
      </c>
      <c r="BQ92" s="204">
        <f t="shared" si="27"/>
        <v>320</v>
      </c>
      <c r="BR92" s="204" t="str">
        <f t="shared" si="37"/>
        <v>#N/A</v>
      </c>
      <c r="BS92" s="204" t="str">
        <f t="array" ref="BS92">IF(VLOOKUP(AT92,{'▶️ Инструкция'!C:C,'▶️ Инструкция'!Y:Y},2,FALSE)=data!A$15,
H92*(1-I92),
(H92-BR92))
*VLOOKUP(AT92,{'▶️ Инструкция'!C:C,'▶️ Инструкция'!AD:AD},2,FALSE)/(1+VLOOKUP(AT92,{'▶️ Инструкция'!C:C,'▶️ Инструкция'!AD:AD},2,FALSE))</f>
        <v>#N/A</v>
      </c>
      <c r="BT92" s="204" t="str">
        <f t="array" ref="BT92">
IF(VLOOKUP(AT92,{'▶️ Инструкция'!C:C,'▶️ Инструкция'!Y:Y},2,FALSE)=data!A$15,
H92*(1-I92)-BS92,
(H92-BR92-BS92))
*
VLOOKUP(AT92,{'▶️ Инструкция'!C:C,'▶️ Инструкция'!R:R},2,FALSE)
+BS92</f>
        <v>#N/A</v>
      </c>
      <c r="BU92" s="204" t="str">
        <f>(G92*AR92)+if(AV92=data!A$9,AO92,AN92)+AP92+BR92+BT92</f>
        <v>#N/A</v>
      </c>
      <c r="BV92" s="204" t="str">
        <f>(G92*AR92)+if(AV92=data!A$9,AO92,AN92)+AP92+BT92+G92</f>
        <v>#N/A</v>
      </c>
      <c r="BW92" s="204" t="str">
        <f t="shared" si="28"/>
        <v>#N/A</v>
      </c>
      <c r="BX92" s="204" t="str">
        <f t="shared" si="29"/>
        <v>#N/A</v>
      </c>
    </row>
    <row r="93">
      <c r="A93" s="165" t="str">
        <f>if(D93=true,if(F93=data!A$1,data!A$10,data!A$11),)</f>
        <v/>
      </c>
      <c r="B93" s="166" t="str">
        <f t="shared" si="4"/>
        <v>FBS</v>
      </c>
      <c r="C93" s="167" t="s">
        <v>195</v>
      </c>
      <c r="D93" s="168" t="b">
        <v>0</v>
      </c>
      <c r="E93" s="169" t="s">
        <v>204</v>
      </c>
      <c r="F93" s="170" t="str">
        <f t="array" ref="F93">IF(D93=TRUE,IF(IF(BG$3=VLOOKUP(AT93,{'▶️ Инструкция'!C:C,'▶️ Инструкция'!G:G},2,FALSE),BG93,BH93)&gt;VLOOKUP(AT93,{'▶️ Инструкция'!C:C,'▶️ Инструкция'!N:N},2,FALSE),data!A$1,data!A$2),)</f>
        <v/>
      </c>
      <c r="G93" s="171">
        <v>0.0</v>
      </c>
      <c r="H93" s="172">
        <v>1000.0</v>
      </c>
      <c r="I93" s="173">
        <v>0.0</v>
      </c>
      <c r="J93" s="173">
        <v>0.0</v>
      </c>
      <c r="K93" s="174" t="str">
        <f t="shared" si="5"/>
        <v/>
      </c>
      <c r="L93" s="175">
        <v>0.0</v>
      </c>
      <c r="M93" s="176" t="s">
        <v>197</v>
      </c>
      <c r="N93" s="177">
        <f>IFERROR(__xludf.DUMMYFUNCTION("ArrayFormula(let(category,VLOOKUP($M93, {'📄 Комиссии'!$C:$C , '📄 Комиссии'!$B:$B}, 2, 0),
data,MATCH('🔒 Доп. информация'!$J$15:$J203,TRANSPOSE(SPLIT(INDEX('▶️ Инструкция'!$Q:$Q,MATCH($AT93,'▶️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commission,VLOOKUP($M93,'📄 Комиссии'!$C:$E,IF($AV93=data!A$8,2,3),0),
IF(NOT(ISBLANK($M93)),commission/100+
IFERR"&amp;"OR(VLOOKUP($AT93,{'▶️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93" s="178" t="str">
        <f t="shared" si="6"/>
        <v/>
      </c>
      <c r="Q93" s="178" t="str">
        <f t="shared" si="7"/>
        <v/>
      </c>
      <c r="S93" s="179" t="s">
        <v>192</v>
      </c>
      <c r="T93" s="180" t="s">
        <v>193</v>
      </c>
      <c r="U93" s="181">
        <v>1.0</v>
      </c>
      <c r="V93" s="182" t="str">
        <f t="shared" ref="V93:Y93" si="287">IF($D93,"🔒",)</f>
        <v/>
      </c>
      <c r="W93" s="182" t="str">
        <f t="shared" si="287"/>
        <v/>
      </c>
      <c r="X93" s="182" t="str">
        <f t="shared" si="287"/>
        <v/>
      </c>
      <c r="Y93" s="182" t="str">
        <f t="shared" si="287"/>
        <v/>
      </c>
      <c r="Z93" s="183">
        <v>0.0</v>
      </c>
      <c r="AA93" s="184">
        <f t="shared" si="31"/>
        <v>0</v>
      </c>
      <c r="AB93" s="185" t="str">
        <f t="shared" ref="AB93:AD93" si="288">IF($D93,"🔒",)</f>
        <v/>
      </c>
      <c r="AC93" s="185" t="str">
        <f t="shared" si="288"/>
        <v/>
      </c>
      <c r="AD93" s="186" t="str">
        <f t="shared" si="288"/>
        <v/>
      </c>
      <c r="AE93" s="180">
        <v>30.0</v>
      </c>
      <c r="AF93" s="187">
        <v>0.0</v>
      </c>
      <c r="AG93" s="187">
        <v>0.0</v>
      </c>
      <c r="AH93" s="187">
        <v>0.0</v>
      </c>
      <c r="AI93" s="181">
        <f t="shared" si="10"/>
        <v>0</v>
      </c>
      <c r="AJ93" s="181">
        <f t="shared" si="11"/>
        <v>0</v>
      </c>
      <c r="AK93" s="185" t="str">
        <f t="shared" si="12"/>
        <v/>
      </c>
      <c r="AL93" s="188" t="str">
        <f t="array" ref="AL93">H93*(1-I93)*VLOOKUP(AT93,{'▶️ Инструкция'!C:C,'▶️ Инструкция'!AI:AI},2,false)</f>
        <v>#N/A</v>
      </c>
      <c r="AM93" s="186" t="str">
        <f t="shared" si="13"/>
        <v/>
      </c>
      <c r="AN93" s="189">
        <v>0.0</v>
      </c>
      <c r="AO93" s="189">
        <v>0.0</v>
      </c>
      <c r="AP93" s="189">
        <v>0.0</v>
      </c>
      <c r="AQ93" s="191">
        <v>1.0</v>
      </c>
      <c r="AR93" s="191">
        <v>0.0</v>
      </c>
      <c r="AS93" s="212">
        <v>0.0</v>
      </c>
      <c r="AT93" s="193" t="s">
        <v>206</v>
      </c>
      <c r="AU93" s="193" t="s">
        <v>121</v>
      </c>
      <c r="AV93" s="193" t="s">
        <v>199</v>
      </c>
      <c r="AW93" s="194">
        <f t="shared" si="14"/>
        <v>0</v>
      </c>
      <c r="AX93" s="195">
        <f t="shared" si="15"/>
        <v>0</v>
      </c>
      <c r="AY93" s="196" t="str">
        <f t="shared" si="16"/>
        <v>#N/A</v>
      </c>
      <c r="AZ93" s="213">
        <v>250.0</v>
      </c>
      <c r="BA93" s="196">
        <f t="shared" si="17"/>
        <v>0.25</v>
      </c>
      <c r="BB93" s="213">
        <f t="shared" si="18"/>
        <v>1000</v>
      </c>
      <c r="BC93" s="199" t="str">
        <f t="shared" si="19"/>
        <v>#N/A</v>
      </c>
      <c r="BD93" s="200" t="str">
        <f t="shared" si="20"/>
        <v>#N/A</v>
      </c>
      <c r="BE93" s="200">
        <f t="shared" si="21"/>
        <v>0</v>
      </c>
      <c r="BF93" s="201" t="str">
        <f t="shared" si="22"/>
        <v/>
      </c>
      <c r="BG93" s="201" t="str">
        <f t="shared" si="23"/>
        <v/>
      </c>
      <c r="BH93" s="202" t="str">
        <f t="shared" si="24"/>
        <v/>
      </c>
      <c r="BI93" s="203"/>
      <c r="BJ93" s="204">
        <f>IFERROR(__xludf.DUMMYFUNCTION("IF(AU93=data!A$5,
IF(AV93=data!A$8,
IF(T93=data!A$3,
VLOOKUP(S93,filter('🔒 Доп. информация'!D:H,'🔒 Доп. информация'!C:C=T93),4,FALSE)+VLOOKUP(S93,filter('🔒 Доп. информация'!D:H,'🔒 Доп. информация'!C:C=T93),5,FALSE)*AJ93,
IF(AND(MAX(AF93:AH93)&lt;80,SUM(A"&amp;"F93:AH93)&lt;=160,AI93&lt;20,XLOOKUP(M93,'📄 Комиссии'!C:C,'📄 Комиссии'!B:B)&lt;&gt;""Продукты""),
VLOOKUP(S93,filter('🔒 Доп. информация'!D:H,'🔒 Доп. информация'!C:C=data!$A$3),4,FALSE)+VLOOKUP(S93,filter('🔒 Доп. информация'!D:H,'🔒 Доп. информация'!C:C=data!$A$3"&amp;"),5,FALSE)*AJ93,
VLOOKUP(S93,filter('🔒 Доп. информация'!D:H,'🔒 Доп. информация'!C:C=T93),4,FALSE)*ROUNDUP(AF93*AG93*AH93*L93/(120*80*175))/L93)
)
*(AE93/2)
,)
,)*0"),0.0)</f>
        <v>0</v>
      </c>
      <c r="BK93" s="204">
        <f>IFERROR(__xludf.DUMMYFUNCTION("IF(AU93=data!A$5,
IF(AI93&lt;=1,IF(AI93&lt;=0.8,IF(AI93&lt;=0.6,IF(AI93&lt;=0.4,IF(AI93&lt;=0.2,23,26),29),30),32)*VLOOKUP(S93,filter('🔒 Доп. информация'!D:E,'🔒 Доп. информация'!C:C=T93),2,FALSE)/'🔒 Доп. информация'!$K$9,
IF(AV93=data!A$8,U93,1)*VLOOKUP(S93,filter('"&amp;"🔒 Доп. информация'!D:E,'🔒 Доп. информация'!C:C=T93),2,FALSE)+
IF(AV93=data!A$8,U93,1)*VLOOKUP(S93,filter('🔒 Доп. информация'!D:F,'🔒 Доп. информация'!C:C=T93),3,FALSE)*AJ93)
,0)"),69.0)</f>
        <v>69</v>
      </c>
      <c r="BL93" s="185" t="str">
        <f t="shared" ref="BL93:BM93" si="289">IF($D93,"🔒",)</f>
        <v/>
      </c>
      <c r="BM93" s="185" t="str">
        <f t="shared" si="289"/>
        <v/>
      </c>
      <c r="BN93" s="204">
        <f>VLOOKUP(T93,'🔒 Доп. информация'!J:P,7,false)</f>
        <v>50</v>
      </c>
      <c r="BO93" s="204">
        <f>IF(AV93=data!A$9,
(AA93+AO93+AP93+BJ93+BK93+BN93)+H93*AS93,
(BJ93+BK93+BN93)+H93*AS93
)</f>
        <v>119</v>
      </c>
      <c r="BP93" s="204">
        <f t="shared" si="26"/>
        <v>69</v>
      </c>
      <c r="BQ93" s="204">
        <f t="shared" si="27"/>
        <v>320</v>
      </c>
      <c r="BR93" s="204" t="str">
        <f t="shared" si="37"/>
        <v>#N/A</v>
      </c>
      <c r="BS93" s="204" t="str">
        <f t="array" ref="BS93">IF(VLOOKUP(AT93,{'▶️ Инструкция'!C:C,'▶️ Инструкция'!Y:Y},2,FALSE)=data!A$15,
H93*(1-I93),
(H93-BR93))
*VLOOKUP(AT93,{'▶️ Инструкция'!C:C,'▶️ Инструкция'!AD:AD},2,FALSE)/(1+VLOOKUP(AT93,{'▶️ Инструкция'!C:C,'▶️ Инструкция'!AD:AD},2,FALSE))</f>
        <v>#N/A</v>
      </c>
      <c r="BT93" s="204" t="str">
        <f t="array" ref="BT93">
IF(VLOOKUP(AT93,{'▶️ Инструкция'!C:C,'▶️ Инструкция'!Y:Y},2,FALSE)=data!A$15,
H93*(1-I93)-BS93,
(H93-BR93-BS93))
*
VLOOKUP(AT93,{'▶️ Инструкция'!C:C,'▶️ Инструкция'!R:R},2,FALSE)
+BS93</f>
        <v>#N/A</v>
      </c>
      <c r="BU93" s="204" t="str">
        <f>(G93*AR93)+if(AV93=data!A$9,AO93,AN93)+AP93+BR93+BT93</f>
        <v>#N/A</v>
      </c>
      <c r="BV93" s="204" t="str">
        <f>(G93*AR93)+if(AV93=data!A$9,AO93,AN93)+AP93+BT93+G93</f>
        <v>#N/A</v>
      </c>
      <c r="BW93" s="204" t="str">
        <f t="shared" si="28"/>
        <v>#N/A</v>
      </c>
      <c r="BX93" s="204" t="str">
        <f t="shared" si="29"/>
        <v>#N/A</v>
      </c>
    </row>
    <row r="94">
      <c r="A94" s="165" t="str">
        <f>if(D94=true,if(F94=data!A$1,data!A$10,data!A$11),)</f>
        <v/>
      </c>
      <c r="B94" s="166" t="str">
        <f t="shared" si="4"/>
        <v>FBS</v>
      </c>
      <c r="C94" s="167" t="s">
        <v>195</v>
      </c>
      <c r="D94" s="168" t="b">
        <v>0</v>
      </c>
      <c r="E94" s="169" t="s">
        <v>204</v>
      </c>
      <c r="F94" s="170" t="str">
        <f t="array" ref="F94">IF(D94=TRUE,IF(IF(BG$3=VLOOKUP(AT94,{'▶️ Инструкция'!C:C,'▶️ Инструкция'!G:G},2,FALSE),BG94,BH94)&gt;VLOOKUP(AT94,{'▶️ Инструкция'!C:C,'▶️ Инструкция'!N:N},2,FALSE),data!A$1,data!A$2),)</f>
        <v/>
      </c>
      <c r="G94" s="171">
        <v>0.0</v>
      </c>
      <c r="H94" s="172">
        <v>1000.0</v>
      </c>
      <c r="I94" s="173">
        <v>0.0</v>
      </c>
      <c r="J94" s="173">
        <v>0.0</v>
      </c>
      <c r="K94" s="174" t="str">
        <f t="shared" si="5"/>
        <v/>
      </c>
      <c r="L94" s="175">
        <v>0.0</v>
      </c>
      <c r="M94" s="176" t="s">
        <v>197</v>
      </c>
      <c r="N94" s="177">
        <f>IFERROR(__xludf.DUMMYFUNCTION("ArrayFormula(let(category,VLOOKUP($M94, {'📄 Комиссии'!$C:$C , '📄 Комиссии'!$B:$B}, 2, 0),
data,MATCH('🔒 Доп. информация'!$J$15:$J203,TRANSPOSE(SPLIT(INDEX('▶️ Инструкция'!$Q:$Q,MATCH($AT94,'▶️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commission,VLOOKUP($M94,'📄 Комиссии'!$C:$E,IF($AV94=data!A$8,2,3),0),
IF(NOT(ISBLANK($M94)),commission/100+
IFERR"&amp;"OR(VLOOKUP($AT94,{'▶️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94" s="178" t="str">
        <f t="shared" si="6"/>
        <v/>
      </c>
      <c r="Q94" s="178" t="str">
        <f t="shared" si="7"/>
        <v/>
      </c>
      <c r="S94" s="179" t="s">
        <v>192</v>
      </c>
      <c r="T94" s="180" t="s">
        <v>193</v>
      </c>
      <c r="U94" s="181">
        <v>1.0</v>
      </c>
      <c r="V94" s="182" t="str">
        <f t="shared" ref="V94:Y94" si="290">IF($D94,"🔒",)</f>
        <v/>
      </c>
      <c r="W94" s="182" t="str">
        <f t="shared" si="290"/>
        <v/>
      </c>
      <c r="X94" s="182" t="str">
        <f t="shared" si="290"/>
        <v/>
      </c>
      <c r="Y94" s="182" t="str">
        <f t="shared" si="290"/>
        <v/>
      </c>
      <c r="Z94" s="183">
        <v>0.0</v>
      </c>
      <c r="AA94" s="184">
        <f t="shared" si="31"/>
        <v>0</v>
      </c>
      <c r="AB94" s="185" t="str">
        <f t="shared" ref="AB94:AD94" si="291">IF($D94,"🔒",)</f>
        <v/>
      </c>
      <c r="AC94" s="185" t="str">
        <f t="shared" si="291"/>
        <v/>
      </c>
      <c r="AD94" s="186" t="str">
        <f t="shared" si="291"/>
        <v/>
      </c>
      <c r="AE94" s="180">
        <v>30.0</v>
      </c>
      <c r="AF94" s="187">
        <v>0.0</v>
      </c>
      <c r="AG94" s="187">
        <v>0.0</v>
      </c>
      <c r="AH94" s="187">
        <v>0.0</v>
      </c>
      <c r="AI94" s="181">
        <f t="shared" si="10"/>
        <v>0</v>
      </c>
      <c r="AJ94" s="181">
        <f t="shared" si="11"/>
        <v>0</v>
      </c>
      <c r="AK94" s="185" t="str">
        <f t="shared" si="12"/>
        <v/>
      </c>
      <c r="AL94" s="188" t="str">
        <f t="array" ref="AL94">H94*(1-I94)*VLOOKUP(AT94,{'▶️ Инструкция'!C:C,'▶️ Инструкция'!AI:AI},2,false)</f>
        <v>#N/A</v>
      </c>
      <c r="AM94" s="186" t="str">
        <f t="shared" si="13"/>
        <v/>
      </c>
      <c r="AN94" s="189">
        <v>0.0</v>
      </c>
      <c r="AO94" s="189">
        <v>0.0</v>
      </c>
      <c r="AP94" s="189">
        <v>0.0</v>
      </c>
      <c r="AQ94" s="191">
        <v>1.0</v>
      </c>
      <c r="AR94" s="191">
        <v>0.0</v>
      </c>
      <c r="AS94" s="212">
        <v>0.0</v>
      </c>
      <c r="AT94" s="193" t="s">
        <v>206</v>
      </c>
      <c r="AU94" s="193" t="s">
        <v>121</v>
      </c>
      <c r="AV94" s="193" t="s">
        <v>199</v>
      </c>
      <c r="AW94" s="194">
        <f t="shared" si="14"/>
        <v>0</v>
      </c>
      <c r="AX94" s="195">
        <f t="shared" si="15"/>
        <v>0</v>
      </c>
      <c r="AY94" s="196" t="str">
        <f t="shared" si="16"/>
        <v>#N/A</v>
      </c>
      <c r="AZ94" s="213">
        <v>250.0</v>
      </c>
      <c r="BA94" s="196">
        <f t="shared" si="17"/>
        <v>0.25</v>
      </c>
      <c r="BB94" s="213">
        <f t="shared" si="18"/>
        <v>1000</v>
      </c>
      <c r="BC94" s="199" t="str">
        <f t="shared" si="19"/>
        <v>#N/A</v>
      </c>
      <c r="BD94" s="200" t="str">
        <f t="shared" si="20"/>
        <v>#N/A</v>
      </c>
      <c r="BE94" s="200">
        <f t="shared" si="21"/>
        <v>0</v>
      </c>
      <c r="BF94" s="201" t="str">
        <f t="shared" si="22"/>
        <v/>
      </c>
      <c r="BG94" s="201" t="str">
        <f t="shared" si="23"/>
        <v/>
      </c>
      <c r="BH94" s="202" t="str">
        <f t="shared" si="24"/>
        <v/>
      </c>
      <c r="BI94" s="203"/>
      <c r="BJ94" s="204">
        <f>IFERROR(__xludf.DUMMYFUNCTION("IF(AU94=data!A$5,
IF(AV94=data!A$8,
IF(T94=data!A$3,
VLOOKUP(S94,filter('🔒 Доп. информация'!D:H,'🔒 Доп. информация'!C:C=T94),4,FALSE)+VLOOKUP(S94,filter('🔒 Доп. информация'!D:H,'🔒 Доп. информация'!C:C=T94),5,FALSE)*AJ94,
IF(AND(MAX(AF94:AH94)&lt;80,SUM(A"&amp;"F94:AH94)&lt;=160,AI94&lt;20,XLOOKUP(M94,'📄 Комиссии'!C:C,'📄 Комиссии'!B:B)&lt;&gt;""Продукты""),
VLOOKUP(S94,filter('🔒 Доп. информация'!D:H,'🔒 Доп. информация'!C:C=data!$A$3),4,FALSE)+VLOOKUP(S94,filter('🔒 Доп. информация'!D:H,'🔒 Доп. информация'!C:C=data!$A$3"&amp;"),5,FALSE)*AJ94,
VLOOKUP(S94,filter('🔒 Доп. информация'!D:H,'🔒 Доп. информация'!C:C=T94),4,FALSE)*ROUNDUP(AF94*AG94*AH94*L94/(120*80*175))/L94)
)
*(AE94/2)
,)
,)*0"),0.0)</f>
        <v>0</v>
      </c>
      <c r="BK94" s="204">
        <f>IFERROR(__xludf.DUMMYFUNCTION("IF(AU94=data!A$5,
IF(AI94&lt;=1,IF(AI94&lt;=0.8,IF(AI94&lt;=0.6,IF(AI94&lt;=0.4,IF(AI94&lt;=0.2,23,26),29),30),32)*VLOOKUP(S94,filter('🔒 Доп. информация'!D:E,'🔒 Доп. информация'!C:C=T94),2,FALSE)/'🔒 Доп. информация'!$K$9,
IF(AV94=data!A$8,U94,1)*VLOOKUP(S94,filter('"&amp;"🔒 Доп. информация'!D:E,'🔒 Доп. информация'!C:C=T94),2,FALSE)+
IF(AV94=data!A$8,U94,1)*VLOOKUP(S94,filter('🔒 Доп. информация'!D:F,'🔒 Доп. информация'!C:C=T94),3,FALSE)*AJ94)
,0)"),69.0)</f>
        <v>69</v>
      </c>
      <c r="BL94" s="185" t="str">
        <f t="shared" ref="BL94:BM94" si="292">IF($D94,"🔒",)</f>
        <v/>
      </c>
      <c r="BM94" s="185" t="str">
        <f t="shared" si="292"/>
        <v/>
      </c>
      <c r="BN94" s="204">
        <f>VLOOKUP(T94,'🔒 Доп. информация'!J:P,7,false)</f>
        <v>50</v>
      </c>
      <c r="BO94" s="204">
        <f>IF(AV94=data!A$9,
(AA94+AO94+AP94+BJ94+BK94+BN94)+H94*AS94,
(BJ94+BK94+BN94)+H94*AS94
)</f>
        <v>119</v>
      </c>
      <c r="BP94" s="204">
        <f t="shared" si="26"/>
        <v>69</v>
      </c>
      <c r="BQ94" s="204">
        <f t="shared" si="27"/>
        <v>320</v>
      </c>
      <c r="BR94" s="204" t="str">
        <f t="shared" si="37"/>
        <v>#N/A</v>
      </c>
      <c r="BS94" s="204" t="str">
        <f t="array" ref="BS94">IF(VLOOKUP(AT94,{'▶️ Инструкция'!C:C,'▶️ Инструкция'!Y:Y},2,FALSE)=data!A$15,
H94*(1-I94),
(H94-BR94))
*VLOOKUP(AT94,{'▶️ Инструкция'!C:C,'▶️ Инструкция'!AD:AD},2,FALSE)/(1+VLOOKUP(AT94,{'▶️ Инструкция'!C:C,'▶️ Инструкция'!AD:AD},2,FALSE))</f>
        <v>#N/A</v>
      </c>
      <c r="BT94" s="204" t="str">
        <f t="array" ref="BT94">
IF(VLOOKUP(AT94,{'▶️ Инструкция'!C:C,'▶️ Инструкция'!Y:Y},2,FALSE)=data!A$15,
H94*(1-I94)-BS94,
(H94-BR94-BS94))
*
VLOOKUP(AT94,{'▶️ Инструкция'!C:C,'▶️ Инструкция'!R:R},2,FALSE)
+BS94</f>
        <v>#N/A</v>
      </c>
      <c r="BU94" s="204" t="str">
        <f>(G94*AR94)+if(AV94=data!A$9,AO94,AN94)+AP94+BR94+BT94</f>
        <v>#N/A</v>
      </c>
      <c r="BV94" s="204" t="str">
        <f>(G94*AR94)+if(AV94=data!A$9,AO94,AN94)+AP94+BT94+G94</f>
        <v>#N/A</v>
      </c>
      <c r="BW94" s="204" t="str">
        <f t="shared" si="28"/>
        <v>#N/A</v>
      </c>
      <c r="BX94" s="204" t="str">
        <f t="shared" si="29"/>
        <v>#N/A</v>
      </c>
    </row>
    <row r="95">
      <c r="A95" s="165" t="str">
        <f>if(D95=true,if(F95=data!A$1,data!A$10,data!A$11),)</f>
        <v/>
      </c>
      <c r="B95" s="166" t="str">
        <f t="shared" si="4"/>
        <v>FBS</v>
      </c>
      <c r="C95" s="167" t="s">
        <v>195</v>
      </c>
      <c r="D95" s="168" t="b">
        <v>0</v>
      </c>
      <c r="E95" s="169" t="s">
        <v>204</v>
      </c>
      <c r="F95" s="170" t="str">
        <f t="array" ref="F95">IF(D95=TRUE,IF(IF(BG$3=VLOOKUP(AT95,{'▶️ Инструкция'!C:C,'▶️ Инструкция'!G:G},2,FALSE),BG95,BH95)&gt;VLOOKUP(AT95,{'▶️ Инструкция'!C:C,'▶️ Инструкция'!N:N},2,FALSE),data!A$1,data!A$2),)</f>
        <v/>
      </c>
      <c r="G95" s="171">
        <v>0.0</v>
      </c>
      <c r="H95" s="172">
        <v>1000.0</v>
      </c>
      <c r="I95" s="173">
        <v>0.0</v>
      </c>
      <c r="J95" s="173">
        <v>0.0</v>
      </c>
      <c r="K95" s="174" t="str">
        <f t="shared" si="5"/>
        <v/>
      </c>
      <c r="L95" s="175">
        <v>0.0</v>
      </c>
      <c r="M95" s="176" t="s">
        <v>197</v>
      </c>
      <c r="N95" s="177">
        <f>IFERROR(__xludf.DUMMYFUNCTION("ArrayFormula(let(category,VLOOKUP($M95, {'📄 Комиссии'!$C:$C , '📄 Комиссии'!$B:$B}, 2, 0),
data,MATCH('🔒 Доп. информация'!$J$15:$J203,TRANSPOSE(SPLIT(INDEX('▶️ Инструкция'!$Q:$Q,MATCH($AT95,'▶️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commission,VLOOKUP($M95,'📄 Комиссии'!$C:$E,IF($AV95=data!A$8,2,3),0),
IF(NOT(ISBLANK($M95)),commission/100+
IFERR"&amp;"OR(VLOOKUP($AT95,{'▶️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95" s="178" t="str">
        <f t="shared" si="6"/>
        <v/>
      </c>
      <c r="Q95" s="178" t="str">
        <f t="shared" si="7"/>
        <v/>
      </c>
      <c r="S95" s="179" t="s">
        <v>192</v>
      </c>
      <c r="T95" s="180" t="s">
        <v>193</v>
      </c>
      <c r="U95" s="181">
        <v>1.0</v>
      </c>
      <c r="V95" s="182" t="str">
        <f t="shared" ref="V95:Y95" si="293">IF($D95,"🔒",)</f>
        <v/>
      </c>
      <c r="W95" s="182" t="str">
        <f t="shared" si="293"/>
        <v/>
      </c>
      <c r="X95" s="182" t="str">
        <f t="shared" si="293"/>
        <v/>
      </c>
      <c r="Y95" s="182" t="str">
        <f t="shared" si="293"/>
        <v/>
      </c>
      <c r="Z95" s="183">
        <v>0.0</v>
      </c>
      <c r="AA95" s="184">
        <f t="shared" si="31"/>
        <v>0</v>
      </c>
      <c r="AB95" s="185" t="str">
        <f t="shared" ref="AB95:AD95" si="294">IF($D95,"🔒",)</f>
        <v/>
      </c>
      <c r="AC95" s="185" t="str">
        <f t="shared" si="294"/>
        <v/>
      </c>
      <c r="AD95" s="186" t="str">
        <f t="shared" si="294"/>
        <v/>
      </c>
      <c r="AE95" s="180">
        <v>30.0</v>
      </c>
      <c r="AF95" s="187">
        <v>0.0</v>
      </c>
      <c r="AG95" s="187">
        <v>0.0</v>
      </c>
      <c r="AH95" s="187">
        <v>0.0</v>
      </c>
      <c r="AI95" s="181">
        <f t="shared" si="10"/>
        <v>0</v>
      </c>
      <c r="AJ95" s="181">
        <f t="shared" si="11"/>
        <v>0</v>
      </c>
      <c r="AK95" s="185" t="str">
        <f t="shared" si="12"/>
        <v/>
      </c>
      <c r="AL95" s="188" t="str">
        <f t="array" ref="AL95">H95*(1-I95)*VLOOKUP(AT95,{'▶️ Инструкция'!C:C,'▶️ Инструкция'!AI:AI},2,false)</f>
        <v>#N/A</v>
      </c>
      <c r="AM95" s="186" t="str">
        <f t="shared" si="13"/>
        <v/>
      </c>
      <c r="AN95" s="189">
        <v>0.0</v>
      </c>
      <c r="AO95" s="189">
        <v>0.0</v>
      </c>
      <c r="AP95" s="189">
        <v>0.0</v>
      </c>
      <c r="AQ95" s="191">
        <v>1.0</v>
      </c>
      <c r="AR95" s="191">
        <v>0.0</v>
      </c>
      <c r="AS95" s="212">
        <v>0.0</v>
      </c>
      <c r="AT95" s="193" t="s">
        <v>206</v>
      </c>
      <c r="AU95" s="193" t="s">
        <v>121</v>
      </c>
      <c r="AV95" s="193" t="s">
        <v>199</v>
      </c>
      <c r="AW95" s="194">
        <f t="shared" si="14"/>
        <v>0</v>
      </c>
      <c r="AX95" s="195">
        <f t="shared" si="15"/>
        <v>0</v>
      </c>
      <c r="AY95" s="196" t="str">
        <f t="shared" si="16"/>
        <v>#N/A</v>
      </c>
      <c r="AZ95" s="213">
        <v>250.0</v>
      </c>
      <c r="BA95" s="196">
        <f t="shared" si="17"/>
        <v>0.25</v>
      </c>
      <c r="BB95" s="213">
        <f t="shared" si="18"/>
        <v>1000</v>
      </c>
      <c r="BC95" s="199" t="str">
        <f t="shared" si="19"/>
        <v>#N/A</v>
      </c>
      <c r="BD95" s="200" t="str">
        <f t="shared" si="20"/>
        <v>#N/A</v>
      </c>
      <c r="BE95" s="200">
        <f t="shared" si="21"/>
        <v>0</v>
      </c>
      <c r="BF95" s="201" t="str">
        <f t="shared" si="22"/>
        <v/>
      </c>
      <c r="BG95" s="201" t="str">
        <f t="shared" si="23"/>
        <v/>
      </c>
      <c r="BH95" s="202" t="str">
        <f t="shared" si="24"/>
        <v/>
      </c>
      <c r="BI95" s="203"/>
      <c r="BJ95" s="204">
        <f>IFERROR(__xludf.DUMMYFUNCTION("IF(AU95=data!A$5,
IF(AV95=data!A$8,
IF(T95=data!A$3,
VLOOKUP(S95,filter('🔒 Доп. информация'!D:H,'🔒 Доп. информация'!C:C=T95),4,FALSE)+VLOOKUP(S95,filter('🔒 Доп. информация'!D:H,'🔒 Доп. информация'!C:C=T95),5,FALSE)*AJ95,
IF(AND(MAX(AF95:AH95)&lt;80,SUM(A"&amp;"F95:AH95)&lt;=160,AI95&lt;20,XLOOKUP(M95,'📄 Комиссии'!C:C,'📄 Комиссии'!B:B)&lt;&gt;""Продукты""),
VLOOKUP(S95,filter('🔒 Доп. информация'!D:H,'🔒 Доп. информация'!C:C=data!$A$3),4,FALSE)+VLOOKUP(S95,filter('🔒 Доп. информация'!D:H,'🔒 Доп. информация'!C:C=data!$A$3"&amp;"),5,FALSE)*AJ95,
VLOOKUP(S95,filter('🔒 Доп. информация'!D:H,'🔒 Доп. информация'!C:C=T95),4,FALSE)*ROUNDUP(AF95*AG95*AH95*L95/(120*80*175))/L95)
)
*(AE95/2)
,)
,)*0"),0.0)</f>
        <v>0</v>
      </c>
      <c r="BK95" s="204">
        <f>IFERROR(__xludf.DUMMYFUNCTION("IF(AU95=data!A$5,
IF(AI95&lt;=1,IF(AI95&lt;=0.8,IF(AI95&lt;=0.6,IF(AI95&lt;=0.4,IF(AI95&lt;=0.2,23,26),29),30),32)*VLOOKUP(S95,filter('🔒 Доп. информация'!D:E,'🔒 Доп. информация'!C:C=T95),2,FALSE)/'🔒 Доп. информация'!$K$9,
IF(AV95=data!A$8,U95,1)*VLOOKUP(S95,filter('"&amp;"🔒 Доп. информация'!D:E,'🔒 Доп. информация'!C:C=T95),2,FALSE)+
IF(AV95=data!A$8,U95,1)*VLOOKUP(S95,filter('🔒 Доп. информация'!D:F,'🔒 Доп. информация'!C:C=T95),3,FALSE)*AJ95)
,0)"),69.0)</f>
        <v>69</v>
      </c>
      <c r="BL95" s="185" t="str">
        <f t="shared" ref="BL95:BM95" si="295">IF($D95,"🔒",)</f>
        <v/>
      </c>
      <c r="BM95" s="185" t="str">
        <f t="shared" si="295"/>
        <v/>
      </c>
      <c r="BN95" s="204">
        <f>VLOOKUP(T95,'🔒 Доп. информация'!J:P,7,false)</f>
        <v>50</v>
      </c>
      <c r="BO95" s="204">
        <f>IF(AV95=data!A$9,
(AA95+AO95+AP95+BJ95+BK95+BN95)+H95*AS95,
(BJ95+BK95+BN95)+H95*AS95
)</f>
        <v>119</v>
      </c>
      <c r="BP95" s="204">
        <f t="shared" si="26"/>
        <v>69</v>
      </c>
      <c r="BQ95" s="204">
        <f t="shared" si="27"/>
        <v>320</v>
      </c>
      <c r="BR95" s="204" t="str">
        <f t="shared" si="37"/>
        <v>#N/A</v>
      </c>
      <c r="BS95" s="204" t="str">
        <f t="array" ref="BS95">IF(VLOOKUP(AT95,{'▶️ Инструкция'!C:C,'▶️ Инструкция'!Y:Y},2,FALSE)=data!A$15,
H95*(1-I95),
(H95-BR95))
*VLOOKUP(AT95,{'▶️ Инструкция'!C:C,'▶️ Инструкция'!AD:AD},2,FALSE)/(1+VLOOKUP(AT95,{'▶️ Инструкция'!C:C,'▶️ Инструкция'!AD:AD},2,FALSE))</f>
        <v>#N/A</v>
      </c>
      <c r="BT95" s="204" t="str">
        <f t="array" ref="BT95">
IF(VLOOKUP(AT95,{'▶️ Инструкция'!C:C,'▶️ Инструкция'!Y:Y},2,FALSE)=data!A$15,
H95*(1-I95)-BS95,
(H95-BR95-BS95))
*
VLOOKUP(AT95,{'▶️ Инструкция'!C:C,'▶️ Инструкция'!R:R},2,FALSE)
+BS95</f>
        <v>#N/A</v>
      </c>
      <c r="BU95" s="204" t="str">
        <f>(G95*AR95)+if(AV95=data!A$9,AO95,AN95)+AP95+BR95+BT95</f>
        <v>#N/A</v>
      </c>
      <c r="BV95" s="204" t="str">
        <f>(G95*AR95)+if(AV95=data!A$9,AO95,AN95)+AP95+BT95+G95</f>
        <v>#N/A</v>
      </c>
      <c r="BW95" s="204" t="str">
        <f t="shared" si="28"/>
        <v>#N/A</v>
      </c>
      <c r="BX95" s="204" t="str">
        <f t="shared" si="29"/>
        <v>#N/A</v>
      </c>
    </row>
    <row r="96">
      <c r="A96" s="165" t="str">
        <f>if(D96=true,if(F96=data!A$1,data!A$10,data!A$11),)</f>
        <v/>
      </c>
      <c r="B96" s="166" t="str">
        <f t="shared" si="4"/>
        <v>FBS</v>
      </c>
      <c r="C96" s="167" t="s">
        <v>195</v>
      </c>
      <c r="D96" s="168" t="b">
        <v>0</v>
      </c>
      <c r="E96" s="169" t="s">
        <v>204</v>
      </c>
      <c r="F96" s="170" t="str">
        <f t="array" ref="F96">IF(D96=TRUE,IF(IF(BG$3=VLOOKUP(AT96,{'▶️ Инструкция'!C:C,'▶️ Инструкция'!G:G},2,FALSE),BG96,BH96)&gt;VLOOKUP(AT96,{'▶️ Инструкция'!C:C,'▶️ Инструкция'!N:N},2,FALSE),data!A$1,data!A$2),)</f>
        <v/>
      </c>
      <c r="G96" s="171">
        <v>0.0</v>
      </c>
      <c r="H96" s="172">
        <v>1000.0</v>
      </c>
      <c r="I96" s="173">
        <v>0.0</v>
      </c>
      <c r="J96" s="173">
        <v>0.0</v>
      </c>
      <c r="K96" s="174" t="str">
        <f t="shared" si="5"/>
        <v/>
      </c>
      <c r="L96" s="175">
        <v>0.0</v>
      </c>
      <c r="M96" s="176" t="s">
        <v>197</v>
      </c>
      <c r="N96" s="177">
        <f>IFERROR(__xludf.DUMMYFUNCTION("ArrayFormula(let(category,VLOOKUP($M96, {'📄 Комиссии'!$C:$C , '📄 Комиссии'!$B:$B}, 2, 0),
data,MATCH('🔒 Доп. информация'!$J$15:$J203,TRANSPOSE(SPLIT(INDEX('▶️ Инструкция'!$Q:$Q,MATCH($AT96,'▶️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commission,VLOOKUP($M96,'📄 Комиссии'!$C:$E,IF($AV96=data!A$8,2,3),0),
IF(NOT(ISBLANK($M96)),commission/100+
IFERR"&amp;"OR(VLOOKUP($AT96,{'▶️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96" s="178" t="str">
        <f t="shared" si="6"/>
        <v/>
      </c>
      <c r="Q96" s="178" t="str">
        <f t="shared" si="7"/>
        <v/>
      </c>
      <c r="S96" s="179" t="s">
        <v>192</v>
      </c>
      <c r="T96" s="180" t="s">
        <v>193</v>
      </c>
      <c r="U96" s="181">
        <v>1.0</v>
      </c>
      <c r="V96" s="182" t="str">
        <f t="shared" ref="V96:Y96" si="296">IF($D96,"🔒",)</f>
        <v/>
      </c>
      <c r="W96" s="182" t="str">
        <f t="shared" si="296"/>
        <v/>
      </c>
      <c r="X96" s="182" t="str">
        <f t="shared" si="296"/>
        <v/>
      </c>
      <c r="Y96" s="182" t="str">
        <f t="shared" si="296"/>
        <v/>
      </c>
      <c r="Z96" s="183">
        <v>0.0</v>
      </c>
      <c r="AA96" s="184">
        <f t="shared" si="31"/>
        <v>0</v>
      </c>
      <c r="AB96" s="185" t="str">
        <f t="shared" ref="AB96:AD96" si="297">IF($D96,"🔒",)</f>
        <v/>
      </c>
      <c r="AC96" s="185" t="str">
        <f t="shared" si="297"/>
        <v/>
      </c>
      <c r="AD96" s="186" t="str">
        <f t="shared" si="297"/>
        <v/>
      </c>
      <c r="AE96" s="180">
        <v>30.0</v>
      </c>
      <c r="AF96" s="187">
        <v>0.0</v>
      </c>
      <c r="AG96" s="187">
        <v>0.0</v>
      </c>
      <c r="AH96" s="187">
        <v>0.0</v>
      </c>
      <c r="AI96" s="181">
        <f t="shared" si="10"/>
        <v>0</v>
      </c>
      <c r="AJ96" s="181">
        <f t="shared" si="11"/>
        <v>0</v>
      </c>
      <c r="AK96" s="185" t="str">
        <f t="shared" si="12"/>
        <v/>
      </c>
      <c r="AL96" s="188" t="str">
        <f t="array" ref="AL96">H96*(1-I96)*VLOOKUP(AT96,{'▶️ Инструкция'!C:C,'▶️ Инструкция'!AI:AI},2,false)</f>
        <v>#N/A</v>
      </c>
      <c r="AM96" s="186" t="str">
        <f t="shared" si="13"/>
        <v/>
      </c>
      <c r="AN96" s="189">
        <v>0.0</v>
      </c>
      <c r="AO96" s="189">
        <v>0.0</v>
      </c>
      <c r="AP96" s="189">
        <v>0.0</v>
      </c>
      <c r="AQ96" s="191">
        <v>1.0</v>
      </c>
      <c r="AR96" s="191">
        <v>0.0</v>
      </c>
      <c r="AS96" s="212">
        <v>0.0</v>
      </c>
      <c r="AT96" s="193" t="s">
        <v>206</v>
      </c>
      <c r="AU96" s="193" t="s">
        <v>121</v>
      </c>
      <c r="AV96" s="193" t="s">
        <v>199</v>
      </c>
      <c r="AW96" s="194">
        <f t="shared" si="14"/>
        <v>0</v>
      </c>
      <c r="AX96" s="195">
        <f t="shared" si="15"/>
        <v>0</v>
      </c>
      <c r="AY96" s="196" t="str">
        <f t="shared" si="16"/>
        <v>#N/A</v>
      </c>
      <c r="AZ96" s="213">
        <v>250.0</v>
      </c>
      <c r="BA96" s="196">
        <f t="shared" si="17"/>
        <v>0.25</v>
      </c>
      <c r="BB96" s="213">
        <f t="shared" si="18"/>
        <v>1000</v>
      </c>
      <c r="BC96" s="199" t="str">
        <f t="shared" si="19"/>
        <v>#N/A</v>
      </c>
      <c r="BD96" s="200" t="str">
        <f t="shared" si="20"/>
        <v>#N/A</v>
      </c>
      <c r="BE96" s="200">
        <f t="shared" si="21"/>
        <v>0</v>
      </c>
      <c r="BF96" s="201" t="str">
        <f t="shared" si="22"/>
        <v/>
      </c>
      <c r="BG96" s="201" t="str">
        <f t="shared" si="23"/>
        <v/>
      </c>
      <c r="BH96" s="202" t="str">
        <f t="shared" si="24"/>
        <v/>
      </c>
      <c r="BI96" s="203"/>
      <c r="BJ96" s="204">
        <f>IFERROR(__xludf.DUMMYFUNCTION("IF(AU96=data!A$5,
IF(AV96=data!A$8,
IF(T96=data!A$3,
VLOOKUP(S96,filter('🔒 Доп. информация'!D:H,'🔒 Доп. информация'!C:C=T96),4,FALSE)+VLOOKUP(S96,filter('🔒 Доп. информация'!D:H,'🔒 Доп. информация'!C:C=T96),5,FALSE)*AJ96,
IF(AND(MAX(AF96:AH96)&lt;80,SUM(A"&amp;"F96:AH96)&lt;=160,AI96&lt;20,XLOOKUP(M96,'📄 Комиссии'!C:C,'📄 Комиссии'!B:B)&lt;&gt;""Продукты""),
VLOOKUP(S96,filter('🔒 Доп. информация'!D:H,'🔒 Доп. информация'!C:C=data!$A$3),4,FALSE)+VLOOKUP(S96,filter('🔒 Доп. информация'!D:H,'🔒 Доп. информация'!C:C=data!$A$3"&amp;"),5,FALSE)*AJ96,
VLOOKUP(S96,filter('🔒 Доп. информация'!D:H,'🔒 Доп. информация'!C:C=T96),4,FALSE)*ROUNDUP(AF96*AG96*AH96*L96/(120*80*175))/L96)
)
*(AE96/2)
,)
,)*0"),0.0)</f>
        <v>0</v>
      </c>
      <c r="BK96" s="204">
        <f>IFERROR(__xludf.DUMMYFUNCTION("IF(AU96=data!A$5,
IF(AI96&lt;=1,IF(AI96&lt;=0.8,IF(AI96&lt;=0.6,IF(AI96&lt;=0.4,IF(AI96&lt;=0.2,23,26),29),30),32)*VLOOKUP(S96,filter('🔒 Доп. информация'!D:E,'🔒 Доп. информация'!C:C=T96),2,FALSE)/'🔒 Доп. информация'!$K$9,
IF(AV96=data!A$8,U96,1)*VLOOKUP(S96,filter('"&amp;"🔒 Доп. информация'!D:E,'🔒 Доп. информация'!C:C=T96),2,FALSE)+
IF(AV96=data!A$8,U96,1)*VLOOKUP(S96,filter('🔒 Доп. информация'!D:F,'🔒 Доп. информация'!C:C=T96),3,FALSE)*AJ96)
,0)"),69.0)</f>
        <v>69</v>
      </c>
      <c r="BL96" s="185" t="str">
        <f t="shared" ref="BL96:BM96" si="298">IF($D96,"🔒",)</f>
        <v/>
      </c>
      <c r="BM96" s="185" t="str">
        <f t="shared" si="298"/>
        <v/>
      </c>
      <c r="BN96" s="204">
        <f>VLOOKUP(T96,'🔒 Доп. информация'!J:P,7,false)</f>
        <v>50</v>
      </c>
      <c r="BO96" s="204">
        <f>IF(AV96=data!A$9,
(AA96+AO96+AP96+BJ96+BK96+BN96)+H96*AS96,
(BJ96+BK96+BN96)+H96*AS96
)</f>
        <v>119</v>
      </c>
      <c r="BP96" s="204">
        <f t="shared" si="26"/>
        <v>69</v>
      </c>
      <c r="BQ96" s="204">
        <f t="shared" si="27"/>
        <v>320</v>
      </c>
      <c r="BR96" s="204" t="str">
        <f t="shared" si="37"/>
        <v>#N/A</v>
      </c>
      <c r="BS96" s="204" t="str">
        <f t="array" ref="BS96">IF(VLOOKUP(AT96,{'▶️ Инструкция'!C:C,'▶️ Инструкция'!Y:Y},2,FALSE)=data!A$15,
H96*(1-I96),
(H96-BR96))
*VLOOKUP(AT96,{'▶️ Инструкция'!C:C,'▶️ Инструкция'!AD:AD},2,FALSE)/(1+VLOOKUP(AT96,{'▶️ Инструкция'!C:C,'▶️ Инструкция'!AD:AD},2,FALSE))</f>
        <v>#N/A</v>
      </c>
      <c r="BT96" s="204" t="str">
        <f t="array" ref="BT96">
IF(VLOOKUP(AT96,{'▶️ Инструкция'!C:C,'▶️ Инструкция'!Y:Y},2,FALSE)=data!A$15,
H96*(1-I96)-BS96,
(H96-BR96-BS96))
*
VLOOKUP(AT96,{'▶️ Инструкция'!C:C,'▶️ Инструкция'!R:R},2,FALSE)
+BS96</f>
        <v>#N/A</v>
      </c>
      <c r="BU96" s="204" t="str">
        <f>(G96*AR96)+if(AV96=data!A$9,AO96,AN96)+AP96+BR96+BT96</f>
        <v>#N/A</v>
      </c>
      <c r="BV96" s="204" t="str">
        <f>(G96*AR96)+if(AV96=data!A$9,AO96,AN96)+AP96+BT96+G96</f>
        <v>#N/A</v>
      </c>
      <c r="BW96" s="204" t="str">
        <f t="shared" si="28"/>
        <v>#N/A</v>
      </c>
      <c r="BX96" s="204" t="str">
        <f t="shared" si="29"/>
        <v>#N/A</v>
      </c>
    </row>
    <row r="97">
      <c r="A97" s="165" t="str">
        <f>if(D97=true,if(F97=data!A$1,data!A$10,data!A$11),)</f>
        <v/>
      </c>
      <c r="B97" s="166" t="str">
        <f t="shared" si="4"/>
        <v>FBS</v>
      </c>
      <c r="C97" s="167" t="s">
        <v>195</v>
      </c>
      <c r="D97" s="168" t="b">
        <v>0</v>
      </c>
      <c r="E97" s="169" t="s">
        <v>204</v>
      </c>
      <c r="F97" s="170" t="str">
        <f t="array" ref="F97">IF(D97=TRUE,IF(IF(BG$3=VLOOKUP(AT97,{'▶️ Инструкция'!C:C,'▶️ Инструкция'!G:G},2,FALSE),BG97,BH97)&gt;VLOOKUP(AT97,{'▶️ Инструкция'!C:C,'▶️ Инструкция'!N:N},2,FALSE),data!A$1,data!A$2),)</f>
        <v/>
      </c>
      <c r="G97" s="171">
        <v>0.0</v>
      </c>
      <c r="H97" s="172">
        <v>1000.0</v>
      </c>
      <c r="I97" s="173">
        <v>0.0</v>
      </c>
      <c r="J97" s="173">
        <v>0.0</v>
      </c>
      <c r="K97" s="174" t="str">
        <f t="shared" si="5"/>
        <v/>
      </c>
      <c r="L97" s="175">
        <v>0.0</v>
      </c>
      <c r="M97" s="176" t="s">
        <v>197</v>
      </c>
      <c r="N97" s="177">
        <f>IFERROR(__xludf.DUMMYFUNCTION("ArrayFormula(let(category,VLOOKUP($M97, {'📄 Комиссии'!$C:$C , '📄 Комиссии'!$B:$B}, 2, 0),
data,MATCH('🔒 Доп. информация'!$J$15:$J203,TRANSPOSE(SPLIT(INDEX('▶️ Инструкция'!$Q:$Q,MATCH($AT97,'▶️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commission,VLOOKUP($M97,'📄 Комиссии'!$C:$E,IF($AV97=data!A$8,2,3),0),
IF(NOT(ISBLANK($M97)),commission/100+
IFERR"&amp;"OR(VLOOKUP($AT97,{'▶️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97" s="178" t="str">
        <f t="shared" si="6"/>
        <v/>
      </c>
      <c r="Q97" s="178" t="str">
        <f t="shared" si="7"/>
        <v/>
      </c>
      <c r="S97" s="179" t="s">
        <v>192</v>
      </c>
      <c r="T97" s="180" t="s">
        <v>193</v>
      </c>
      <c r="U97" s="181">
        <v>1.0</v>
      </c>
      <c r="V97" s="182" t="str">
        <f t="shared" ref="V97:Y97" si="299">IF($D97,"🔒",)</f>
        <v/>
      </c>
      <c r="W97" s="182" t="str">
        <f t="shared" si="299"/>
        <v/>
      </c>
      <c r="X97" s="182" t="str">
        <f t="shared" si="299"/>
        <v/>
      </c>
      <c r="Y97" s="182" t="str">
        <f t="shared" si="299"/>
        <v/>
      </c>
      <c r="Z97" s="183">
        <v>0.0</v>
      </c>
      <c r="AA97" s="184">
        <f t="shared" si="31"/>
        <v>0</v>
      </c>
      <c r="AB97" s="185" t="str">
        <f t="shared" ref="AB97:AD97" si="300">IF($D97,"🔒",)</f>
        <v/>
      </c>
      <c r="AC97" s="185" t="str">
        <f t="shared" si="300"/>
        <v/>
      </c>
      <c r="AD97" s="186" t="str">
        <f t="shared" si="300"/>
        <v/>
      </c>
      <c r="AE97" s="180">
        <v>30.0</v>
      </c>
      <c r="AF97" s="187">
        <v>0.0</v>
      </c>
      <c r="AG97" s="187">
        <v>0.0</v>
      </c>
      <c r="AH97" s="187">
        <v>0.0</v>
      </c>
      <c r="AI97" s="181">
        <f t="shared" si="10"/>
        <v>0</v>
      </c>
      <c r="AJ97" s="181">
        <f t="shared" si="11"/>
        <v>0</v>
      </c>
      <c r="AK97" s="185" t="str">
        <f t="shared" si="12"/>
        <v/>
      </c>
      <c r="AL97" s="188" t="str">
        <f t="array" ref="AL97">H97*(1-I97)*VLOOKUP(AT97,{'▶️ Инструкция'!C:C,'▶️ Инструкция'!AI:AI},2,false)</f>
        <v>#N/A</v>
      </c>
      <c r="AM97" s="186" t="str">
        <f t="shared" si="13"/>
        <v/>
      </c>
      <c r="AN97" s="189">
        <v>0.0</v>
      </c>
      <c r="AO97" s="189">
        <v>0.0</v>
      </c>
      <c r="AP97" s="189">
        <v>0.0</v>
      </c>
      <c r="AQ97" s="191">
        <v>1.0</v>
      </c>
      <c r="AR97" s="191">
        <v>0.0</v>
      </c>
      <c r="AS97" s="212">
        <v>0.0</v>
      </c>
      <c r="AT97" s="193" t="s">
        <v>206</v>
      </c>
      <c r="AU97" s="193" t="s">
        <v>121</v>
      </c>
      <c r="AV97" s="193" t="s">
        <v>199</v>
      </c>
      <c r="AW97" s="194">
        <f t="shared" si="14"/>
        <v>0</v>
      </c>
      <c r="AX97" s="195">
        <f t="shared" si="15"/>
        <v>0</v>
      </c>
      <c r="AY97" s="196" t="str">
        <f t="shared" si="16"/>
        <v>#N/A</v>
      </c>
      <c r="AZ97" s="213">
        <v>250.0</v>
      </c>
      <c r="BA97" s="196">
        <f t="shared" si="17"/>
        <v>0.25</v>
      </c>
      <c r="BB97" s="213">
        <f t="shared" si="18"/>
        <v>1000</v>
      </c>
      <c r="BC97" s="199" t="str">
        <f t="shared" si="19"/>
        <v>#N/A</v>
      </c>
      <c r="BD97" s="200" t="str">
        <f t="shared" si="20"/>
        <v>#N/A</v>
      </c>
      <c r="BE97" s="200">
        <f t="shared" si="21"/>
        <v>0</v>
      </c>
      <c r="BF97" s="201" t="str">
        <f t="shared" si="22"/>
        <v/>
      </c>
      <c r="BG97" s="201" t="str">
        <f t="shared" si="23"/>
        <v/>
      </c>
      <c r="BH97" s="202" t="str">
        <f t="shared" si="24"/>
        <v/>
      </c>
      <c r="BI97" s="203"/>
      <c r="BJ97" s="204">
        <f>IFERROR(__xludf.DUMMYFUNCTION("IF(AU97=data!A$5,
IF(AV97=data!A$8,
IF(T97=data!A$3,
VLOOKUP(S97,filter('🔒 Доп. информация'!D:H,'🔒 Доп. информация'!C:C=T97),4,FALSE)+VLOOKUP(S97,filter('🔒 Доп. информация'!D:H,'🔒 Доп. информация'!C:C=T97),5,FALSE)*AJ97,
IF(AND(MAX(AF97:AH97)&lt;80,SUM(A"&amp;"F97:AH97)&lt;=160,AI97&lt;20,XLOOKUP(M97,'📄 Комиссии'!C:C,'📄 Комиссии'!B:B)&lt;&gt;""Продукты""),
VLOOKUP(S97,filter('🔒 Доп. информация'!D:H,'🔒 Доп. информация'!C:C=data!$A$3),4,FALSE)+VLOOKUP(S97,filter('🔒 Доп. информация'!D:H,'🔒 Доп. информация'!C:C=data!$A$3"&amp;"),5,FALSE)*AJ97,
VLOOKUP(S97,filter('🔒 Доп. информация'!D:H,'🔒 Доп. информация'!C:C=T97),4,FALSE)*ROUNDUP(AF97*AG97*AH97*L97/(120*80*175))/L97)
)
*(AE97/2)
,)
,)*0"),0.0)</f>
        <v>0</v>
      </c>
      <c r="BK97" s="204">
        <f>IFERROR(__xludf.DUMMYFUNCTION("IF(AU97=data!A$5,
IF(AI97&lt;=1,IF(AI97&lt;=0.8,IF(AI97&lt;=0.6,IF(AI97&lt;=0.4,IF(AI97&lt;=0.2,23,26),29),30),32)*VLOOKUP(S97,filter('🔒 Доп. информация'!D:E,'🔒 Доп. информация'!C:C=T97),2,FALSE)/'🔒 Доп. информация'!$K$9,
IF(AV97=data!A$8,U97,1)*VLOOKUP(S97,filter('"&amp;"🔒 Доп. информация'!D:E,'🔒 Доп. информация'!C:C=T97),2,FALSE)+
IF(AV97=data!A$8,U97,1)*VLOOKUP(S97,filter('🔒 Доп. информация'!D:F,'🔒 Доп. информация'!C:C=T97),3,FALSE)*AJ97)
,0)"),69.0)</f>
        <v>69</v>
      </c>
      <c r="BL97" s="185" t="str">
        <f t="shared" ref="BL97:BM97" si="301">IF($D97,"🔒",)</f>
        <v/>
      </c>
      <c r="BM97" s="185" t="str">
        <f t="shared" si="301"/>
        <v/>
      </c>
      <c r="BN97" s="204">
        <f>VLOOKUP(T97,'🔒 Доп. информация'!J:P,7,false)</f>
        <v>50</v>
      </c>
      <c r="BO97" s="204">
        <f>IF(AV97=data!A$9,
(AA97+AO97+AP97+BJ97+BK97+BN97)+H97*AS97,
(BJ97+BK97+BN97)+H97*AS97
)</f>
        <v>119</v>
      </c>
      <c r="BP97" s="204">
        <f t="shared" si="26"/>
        <v>69</v>
      </c>
      <c r="BQ97" s="204">
        <f t="shared" si="27"/>
        <v>320</v>
      </c>
      <c r="BR97" s="204" t="str">
        <f t="shared" si="37"/>
        <v>#N/A</v>
      </c>
      <c r="BS97" s="204" t="str">
        <f t="array" ref="BS97">IF(VLOOKUP(AT97,{'▶️ Инструкция'!C:C,'▶️ Инструкция'!Y:Y},2,FALSE)=data!A$15,
H97*(1-I97),
(H97-BR97))
*VLOOKUP(AT97,{'▶️ Инструкция'!C:C,'▶️ Инструкция'!AD:AD},2,FALSE)/(1+VLOOKUP(AT97,{'▶️ Инструкция'!C:C,'▶️ Инструкция'!AD:AD},2,FALSE))</f>
        <v>#N/A</v>
      </c>
      <c r="BT97" s="204" t="str">
        <f t="array" ref="BT97">
IF(VLOOKUP(AT97,{'▶️ Инструкция'!C:C,'▶️ Инструкция'!Y:Y},2,FALSE)=data!A$15,
H97*(1-I97)-BS97,
(H97-BR97-BS97))
*
VLOOKUP(AT97,{'▶️ Инструкция'!C:C,'▶️ Инструкция'!R:R},2,FALSE)
+BS97</f>
        <v>#N/A</v>
      </c>
      <c r="BU97" s="204" t="str">
        <f>(G97*AR97)+if(AV97=data!A$9,AO97,AN97)+AP97+BR97+BT97</f>
        <v>#N/A</v>
      </c>
      <c r="BV97" s="204" t="str">
        <f>(G97*AR97)+if(AV97=data!A$9,AO97,AN97)+AP97+BT97+G97</f>
        <v>#N/A</v>
      </c>
      <c r="BW97" s="204" t="str">
        <f t="shared" si="28"/>
        <v>#N/A</v>
      </c>
      <c r="BX97" s="204" t="str">
        <f t="shared" si="29"/>
        <v>#N/A</v>
      </c>
    </row>
    <row r="98">
      <c r="A98" s="165" t="str">
        <f>if(D98=true,if(F98=data!A$1,data!A$10,data!A$11),)</f>
        <v/>
      </c>
      <c r="B98" s="166" t="str">
        <f t="shared" si="4"/>
        <v>FBS</v>
      </c>
      <c r="C98" s="167" t="s">
        <v>195</v>
      </c>
      <c r="D98" s="168" t="b">
        <v>0</v>
      </c>
      <c r="E98" s="169" t="s">
        <v>204</v>
      </c>
      <c r="F98" s="170" t="str">
        <f t="array" ref="F98">IF(D98=TRUE,IF(IF(BG$3=VLOOKUP(AT98,{'▶️ Инструкция'!C:C,'▶️ Инструкция'!G:G},2,FALSE),BG98,BH98)&gt;VLOOKUP(AT98,{'▶️ Инструкция'!C:C,'▶️ Инструкция'!N:N},2,FALSE),data!A$1,data!A$2),)</f>
        <v/>
      </c>
      <c r="G98" s="171">
        <v>0.0</v>
      </c>
      <c r="H98" s="172">
        <v>1000.0</v>
      </c>
      <c r="I98" s="173">
        <v>0.0</v>
      </c>
      <c r="J98" s="173">
        <v>0.0</v>
      </c>
      <c r="K98" s="174" t="str">
        <f t="shared" si="5"/>
        <v/>
      </c>
      <c r="L98" s="175">
        <v>0.0</v>
      </c>
      <c r="M98" s="176" t="s">
        <v>197</v>
      </c>
      <c r="N98" s="177">
        <f>IFERROR(__xludf.DUMMYFUNCTION("ArrayFormula(let(category,VLOOKUP($M98, {'📄 Комиссии'!$C:$C , '📄 Комиссии'!$B:$B}, 2, 0),
data,MATCH('🔒 Доп. информация'!$J$15:$J203,TRANSPOSE(SPLIT(INDEX('▶️ Инструкция'!$Q:$Q,MATCH($AT98,'▶️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commission,VLOOKUP($M98,'📄 Комиссии'!$C:$E,IF($AV98=data!A$8,2,3),0),
IF(NOT(ISBLANK($M98)),commission/100+
IFERR"&amp;"OR(VLOOKUP($AT98,{'▶️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98" s="178" t="str">
        <f t="shared" si="6"/>
        <v/>
      </c>
      <c r="Q98" s="178" t="str">
        <f t="shared" si="7"/>
        <v/>
      </c>
      <c r="S98" s="179" t="s">
        <v>192</v>
      </c>
      <c r="T98" s="180" t="s">
        <v>193</v>
      </c>
      <c r="U98" s="181">
        <v>1.0</v>
      </c>
      <c r="V98" s="182" t="str">
        <f t="shared" ref="V98:Y98" si="302">IF($D98,"🔒",)</f>
        <v/>
      </c>
      <c r="W98" s="182" t="str">
        <f t="shared" si="302"/>
        <v/>
      </c>
      <c r="X98" s="182" t="str">
        <f t="shared" si="302"/>
        <v/>
      </c>
      <c r="Y98" s="182" t="str">
        <f t="shared" si="302"/>
        <v/>
      </c>
      <c r="Z98" s="183">
        <v>0.0</v>
      </c>
      <c r="AA98" s="184">
        <f t="shared" si="31"/>
        <v>0</v>
      </c>
      <c r="AB98" s="185" t="str">
        <f t="shared" ref="AB98:AD98" si="303">IF($D98,"🔒",)</f>
        <v/>
      </c>
      <c r="AC98" s="185" t="str">
        <f t="shared" si="303"/>
        <v/>
      </c>
      <c r="AD98" s="186" t="str">
        <f t="shared" si="303"/>
        <v/>
      </c>
      <c r="AE98" s="180">
        <v>30.0</v>
      </c>
      <c r="AF98" s="187">
        <v>0.0</v>
      </c>
      <c r="AG98" s="187">
        <v>0.0</v>
      </c>
      <c r="AH98" s="187">
        <v>0.0</v>
      </c>
      <c r="AI98" s="181">
        <f t="shared" si="10"/>
        <v>0</v>
      </c>
      <c r="AJ98" s="181">
        <f t="shared" si="11"/>
        <v>0</v>
      </c>
      <c r="AK98" s="185" t="str">
        <f t="shared" si="12"/>
        <v/>
      </c>
      <c r="AL98" s="188" t="str">
        <f t="array" ref="AL98">H98*(1-I98)*VLOOKUP(AT98,{'▶️ Инструкция'!C:C,'▶️ Инструкция'!AI:AI},2,false)</f>
        <v>#N/A</v>
      </c>
      <c r="AM98" s="186" t="str">
        <f t="shared" si="13"/>
        <v/>
      </c>
      <c r="AN98" s="189">
        <v>0.0</v>
      </c>
      <c r="AO98" s="189">
        <v>0.0</v>
      </c>
      <c r="AP98" s="189">
        <v>0.0</v>
      </c>
      <c r="AQ98" s="191">
        <v>1.0</v>
      </c>
      <c r="AR98" s="191">
        <v>0.0</v>
      </c>
      <c r="AS98" s="212">
        <v>0.0</v>
      </c>
      <c r="AT98" s="193" t="s">
        <v>206</v>
      </c>
      <c r="AU98" s="193" t="s">
        <v>121</v>
      </c>
      <c r="AV98" s="193" t="s">
        <v>199</v>
      </c>
      <c r="AW98" s="194">
        <f t="shared" si="14"/>
        <v>0</v>
      </c>
      <c r="AX98" s="195">
        <f t="shared" si="15"/>
        <v>0</v>
      </c>
      <c r="AY98" s="196" t="str">
        <f t="shared" si="16"/>
        <v>#N/A</v>
      </c>
      <c r="AZ98" s="213">
        <v>250.0</v>
      </c>
      <c r="BA98" s="196">
        <f t="shared" si="17"/>
        <v>0.25</v>
      </c>
      <c r="BB98" s="213">
        <f t="shared" si="18"/>
        <v>1000</v>
      </c>
      <c r="BC98" s="199" t="str">
        <f t="shared" si="19"/>
        <v>#N/A</v>
      </c>
      <c r="BD98" s="200" t="str">
        <f t="shared" si="20"/>
        <v>#N/A</v>
      </c>
      <c r="BE98" s="200">
        <f t="shared" si="21"/>
        <v>0</v>
      </c>
      <c r="BF98" s="201" t="str">
        <f t="shared" si="22"/>
        <v/>
      </c>
      <c r="BG98" s="201" t="str">
        <f t="shared" si="23"/>
        <v/>
      </c>
      <c r="BH98" s="202" t="str">
        <f t="shared" si="24"/>
        <v/>
      </c>
      <c r="BI98" s="203"/>
      <c r="BJ98" s="204">
        <f>IFERROR(__xludf.DUMMYFUNCTION("IF(AU98=data!A$5,
IF(AV98=data!A$8,
IF(T98=data!A$3,
VLOOKUP(S98,filter('🔒 Доп. информация'!D:H,'🔒 Доп. информация'!C:C=T98),4,FALSE)+VLOOKUP(S98,filter('🔒 Доп. информация'!D:H,'🔒 Доп. информация'!C:C=T98),5,FALSE)*AJ98,
IF(AND(MAX(AF98:AH98)&lt;80,SUM(A"&amp;"F98:AH98)&lt;=160,AI98&lt;20,XLOOKUP(M98,'📄 Комиссии'!C:C,'📄 Комиссии'!B:B)&lt;&gt;""Продукты""),
VLOOKUP(S98,filter('🔒 Доп. информация'!D:H,'🔒 Доп. информация'!C:C=data!$A$3),4,FALSE)+VLOOKUP(S98,filter('🔒 Доп. информация'!D:H,'🔒 Доп. информация'!C:C=data!$A$3"&amp;"),5,FALSE)*AJ98,
VLOOKUP(S98,filter('🔒 Доп. информация'!D:H,'🔒 Доп. информация'!C:C=T98),4,FALSE)*ROUNDUP(AF98*AG98*AH98*L98/(120*80*175))/L98)
)
*(AE98/2)
,)
,)*0"),0.0)</f>
        <v>0</v>
      </c>
      <c r="BK98" s="204">
        <f>IFERROR(__xludf.DUMMYFUNCTION("IF(AU98=data!A$5,
IF(AI98&lt;=1,IF(AI98&lt;=0.8,IF(AI98&lt;=0.6,IF(AI98&lt;=0.4,IF(AI98&lt;=0.2,23,26),29),30),32)*VLOOKUP(S98,filter('🔒 Доп. информация'!D:E,'🔒 Доп. информация'!C:C=T98),2,FALSE)/'🔒 Доп. информация'!$K$9,
IF(AV98=data!A$8,U98,1)*VLOOKUP(S98,filter('"&amp;"🔒 Доп. информация'!D:E,'🔒 Доп. информация'!C:C=T98),2,FALSE)+
IF(AV98=data!A$8,U98,1)*VLOOKUP(S98,filter('🔒 Доп. информация'!D:F,'🔒 Доп. информация'!C:C=T98),3,FALSE)*AJ98)
,0)"),69.0)</f>
        <v>69</v>
      </c>
      <c r="BL98" s="185" t="str">
        <f t="shared" ref="BL98:BM98" si="304">IF($D98,"🔒",)</f>
        <v/>
      </c>
      <c r="BM98" s="185" t="str">
        <f t="shared" si="304"/>
        <v/>
      </c>
      <c r="BN98" s="204">
        <f>VLOOKUP(T98,'🔒 Доп. информация'!J:P,7,false)</f>
        <v>50</v>
      </c>
      <c r="BO98" s="204">
        <f>IF(AV98=data!A$9,
(AA98+AO98+AP98+BJ98+BK98+BN98)+H98*AS98,
(BJ98+BK98+BN98)+H98*AS98
)</f>
        <v>119</v>
      </c>
      <c r="BP98" s="204">
        <f t="shared" si="26"/>
        <v>69</v>
      </c>
      <c r="BQ98" s="204">
        <f t="shared" si="27"/>
        <v>320</v>
      </c>
      <c r="BR98" s="204" t="str">
        <f t="shared" si="37"/>
        <v>#N/A</v>
      </c>
      <c r="BS98" s="204" t="str">
        <f t="array" ref="BS98">IF(VLOOKUP(AT98,{'▶️ Инструкция'!C:C,'▶️ Инструкция'!Y:Y},2,FALSE)=data!A$15,
H98*(1-I98),
(H98-BR98))
*VLOOKUP(AT98,{'▶️ Инструкция'!C:C,'▶️ Инструкция'!AD:AD},2,FALSE)/(1+VLOOKUP(AT98,{'▶️ Инструкция'!C:C,'▶️ Инструкция'!AD:AD},2,FALSE))</f>
        <v>#N/A</v>
      </c>
      <c r="BT98" s="204" t="str">
        <f t="array" ref="BT98">
IF(VLOOKUP(AT98,{'▶️ Инструкция'!C:C,'▶️ Инструкция'!Y:Y},2,FALSE)=data!A$15,
H98*(1-I98)-BS98,
(H98-BR98-BS98))
*
VLOOKUP(AT98,{'▶️ Инструкция'!C:C,'▶️ Инструкция'!R:R},2,FALSE)
+BS98</f>
        <v>#N/A</v>
      </c>
      <c r="BU98" s="204" t="str">
        <f>(G98*AR98)+if(AV98=data!A$9,AO98,AN98)+AP98+BR98+BT98</f>
        <v>#N/A</v>
      </c>
      <c r="BV98" s="204" t="str">
        <f>(G98*AR98)+if(AV98=data!A$9,AO98,AN98)+AP98+BT98+G98</f>
        <v>#N/A</v>
      </c>
      <c r="BW98" s="204" t="str">
        <f t="shared" si="28"/>
        <v>#N/A</v>
      </c>
      <c r="BX98" s="204" t="str">
        <f t="shared" si="29"/>
        <v>#N/A</v>
      </c>
    </row>
    <row r="99">
      <c r="A99" s="165" t="str">
        <f>if(D99=true,if(F99=data!A$1,data!A$10,data!A$11),)</f>
        <v/>
      </c>
      <c r="B99" s="166" t="str">
        <f t="shared" si="4"/>
        <v>FBS</v>
      </c>
      <c r="C99" s="167" t="s">
        <v>195</v>
      </c>
      <c r="D99" s="168" t="b">
        <v>0</v>
      </c>
      <c r="E99" s="169" t="s">
        <v>204</v>
      </c>
      <c r="F99" s="170" t="str">
        <f t="array" ref="F99">IF(D99=TRUE,IF(IF(BG$3=VLOOKUP(AT99,{'▶️ Инструкция'!C:C,'▶️ Инструкция'!G:G},2,FALSE),BG99,BH99)&gt;VLOOKUP(AT99,{'▶️ Инструкция'!C:C,'▶️ Инструкция'!N:N},2,FALSE),data!A$1,data!A$2),)</f>
        <v/>
      </c>
      <c r="G99" s="171">
        <v>0.0</v>
      </c>
      <c r="H99" s="172">
        <v>1000.0</v>
      </c>
      <c r="I99" s="173">
        <v>0.0</v>
      </c>
      <c r="J99" s="173">
        <v>0.0</v>
      </c>
      <c r="K99" s="174" t="str">
        <f t="shared" si="5"/>
        <v/>
      </c>
      <c r="L99" s="175">
        <v>0.0</v>
      </c>
      <c r="M99" s="176" t="s">
        <v>197</v>
      </c>
      <c r="N99" s="177">
        <f>IFERROR(__xludf.DUMMYFUNCTION("ArrayFormula(let(category,VLOOKUP($M99, {'📄 Комиссии'!$C:$C , '📄 Комиссии'!$B:$B}, 2, 0),
data,MATCH('🔒 Доп. информация'!$J$15:$J203,TRANSPOSE(SPLIT(INDEX('▶️ Инструкция'!$Q:$Q,MATCH($AT99,'▶️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commission,VLOOKUP($M99,'📄 Комиссии'!$C:$E,IF($AV99=data!A$8,2,3),0),
IF(NOT(ISBLANK($M99)),commission/100+
IFERR"&amp;"OR(VLOOKUP($AT99,{'▶️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+ 2%,0))))))"),0.32)</f>
        <v>0.32</v>
      </c>
      <c r="O99" s="178" t="str">
        <f t="shared" si="6"/>
        <v/>
      </c>
      <c r="Q99" s="178" t="str">
        <f t="shared" si="7"/>
        <v/>
      </c>
      <c r="S99" s="179" t="s">
        <v>192</v>
      </c>
      <c r="T99" s="180" t="s">
        <v>193</v>
      </c>
      <c r="U99" s="181">
        <v>1.0</v>
      </c>
      <c r="V99" s="182" t="str">
        <f t="shared" ref="V99:Y99" si="305">IF($D99,"🔒",)</f>
        <v/>
      </c>
      <c r="W99" s="182" t="str">
        <f t="shared" si="305"/>
        <v/>
      </c>
      <c r="X99" s="182" t="str">
        <f t="shared" si="305"/>
        <v/>
      </c>
      <c r="Y99" s="182" t="str">
        <f t="shared" si="305"/>
        <v/>
      </c>
      <c r="Z99" s="183">
        <v>0.0</v>
      </c>
      <c r="AA99" s="184">
        <f t="shared" si="31"/>
        <v>0</v>
      </c>
      <c r="AB99" s="185" t="str">
        <f t="shared" ref="AB99:AD99" si="306">IF($D99,"🔒",)</f>
        <v/>
      </c>
      <c r="AC99" s="185" t="str">
        <f t="shared" si="306"/>
        <v/>
      </c>
      <c r="AD99" s="186" t="str">
        <f t="shared" si="306"/>
        <v/>
      </c>
      <c r="AE99" s="180">
        <v>30.0</v>
      </c>
      <c r="AF99" s="187">
        <v>0.0</v>
      </c>
      <c r="AG99" s="187">
        <v>0.0</v>
      </c>
      <c r="AH99" s="187">
        <v>0.0</v>
      </c>
      <c r="AI99" s="181">
        <f t="shared" si="10"/>
        <v>0</v>
      </c>
      <c r="AJ99" s="181">
        <f t="shared" si="11"/>
        <v>0</v>
      </c>
      <c r="AK99" s="185" t="str">
        <f t="shared" si="12"/>
        <v/>
      </c>
      <c r="AL99" s="188" t="str">
        <f t="array" ref="AL99">H99*(1-I99)*VLOOKUP(AT99,{'▶️ Инструкция'!C:C,'▶️ Инструкция'!AI:AI},2,false)</f>
        <v>#N/A</v>
      </c>
      <c r="AM99" s="186" t="str">
        <f t="shared" si="13"/>
        <v/>
      </c>
      <c r="AN99" s="189">
        <v>0.0</v>
      </c>
      <c r="AO99" s="189">
        <v>0.0</v>
      </c>
      <c r="AP99" s="189">
        <v>0.0</v>
      </c>
      <c r="AQ99" s="191">
        <v>1.0</v>
      </c>
      <c r="AR99" s="191">
        <v>0.0</v>
      </c>
      <c r="AS99" s="212">
        <v>0.0</v>
      </c>
      <c r="AT99" s="193" t="s">
        <v>206</v>
      </c>
      <c r="AU99" s="193" t="s">
        <v>121</v>
      </c>
      <c r="AV99" s="193" t="s">
        <v>199</v>
      </c>
      <c r="AW99" s="194">
        <f t="shared" si="14"/>
        <v>0</v>
      </c>
      <c r="AX99" s="195">
        <f t="shared" si="15"/>
        <v>0</v>
      </c>
      <c r="AY99" s="196" t="str">
        <f t="shared" si="16"/>
        <v>#N/A</v>
      </c>
      <c r="AZ99" s="213">
        <v>250.0</v>
      </c>
      <c r="BA99" s="196">
        <f t="shared" si="17"/>
        <v>0.25</v>
      </c>
      <c r="BB99" s="213">
        <f t="shared" si="18"/>
        <v>1000</v>
      </c>
      <c r="BC99" s="199" t="str">
        <f t="shared" si="19"/>
        <v>#N/A</v>
      </c>
      <c r="BD99" s="200" t="str">
        <f t="shared" si="20"/>
        <v>#N/A</v>
      </c>
      <c r="BE99" s="200">
        <f t="shared" si="21"/>
        <v>0</v>
      </c>
      <c r="BF99" s="201" t="str">
        <f t="shared" si="22"/>
        <v/>
      </c>
      <c r="BG99" s="201" t="str">
        <f t="shared" si="23"/>
        <v/>
      </c>
      <c r="BH99" s="202" t="str">
        <f t="shared" si="24"/>
        <v/>
      </c>
      <c r="BI99" s="203"/>
      <c r="BJ99" s="204">
        <f>IFERROR(__xludf.DUMMYFUNCTION("IF(AU99=data!A$5,
IF(AV99=data!A$8,
IF(T99=data!A$3,
VLOOKUP(S99,filter('🔒 Доп. информация'!D:H,'🔒 Доп. информация'!C:C=T99),4,FALSE)+VLOOKUP(S99,filter('🔒 Доп. информация'!D:H,'🔒 Доп. информация'!C:C=T99),5,FALSE)*AJ99,
IF(AND(MAX(AF99:AH99)&lt;80,SUM(A"&amp;"F99:AH99)&lt;=160,AI99&lt;20,XLOOKUP(M99,'📄 Комиссии'!C:C,'📄 Комиссии'!B:B)&lt;&gt;""Продукты""),
VLOOKUP(S99,filter('🔒 Доп. информация'!D:H,'🔒 Доп. информация'!C:C=data!$A$3),4,FALSE)+VLOOKUP(S99,filter('🔒 Доп. информация'!D:H,'🔒 Доп. информация'!C:C=data!$A$3"&amp;"),5,FALSE)*AJ99,
VLOOKUP(S99,filter('🔒 Доп. информация'!D:H,'🔒 Доп. информация'!C:C=T99),4,FALSE)*ROUNDUP(AF99*AG99*AH99*L99/(120*80*175))/L99)
)
*(AE99/2)
,)
,)*0"),0.0)</f>
        <v>0</v>
      </c>
      <c r="BK99" s="204">
        <f>IFERROR(__xludf.DUMMYFUNCTION("IF(AU99=data!A$5,
IF(AI99&lt;=1,IF(AI99&lt;=0.8,IF(AI99&lt;=0.6,IF(AI99&lt;=0.4,IF(AI99&lt;=0.2,23,26),29),30),32)*VLOOKUP(S99,filter('🔒 Доп. информация'!D:E,'🔒 Доп. информация'!C:C=T99),2,FALSE)/'🔒 Доп. информация'!$K$9,
IF(AV99=data!A$8,U99,1)*VLOOKUP(S99,filter('"&amp;"🔒 Доп. информация'!D:E,'🔒 Доп. информация'!C:C=T99),2,FALSE)+
IF(AV99=data!A$8,U99,1)*VLOOKUP(S99,filter('🔒 Доп. информация'!D:F,'🔒 Доп. информация'!C:C=T99),3,FALSE)*AJ99)
,0)"),69.0)</f>
        <v>69</v>
      </c>
      <c r="BL99" s="185" t="str">
        <f t="shared" ref="BL99:BM99" si="307">IF($D99,"🔒",)</f>
        <v/>
      </c>
      <c r="BM99" s="185" t="str">
        <f t="shared" si="307"/>
        <v/>
      </c>
      <c r="BN99" s="204">
        <f>VLOOKUP(T99,'🔒 Доп. информация'!J:P,7,false)</f>
        <v>50</v>
      </c>
      <c r="BO99" s="204">
        <f>IF(AV99=data!A$9,
(AA99+AO99+AP99+BJ99+BK99+BN99)+H99*AS99,
(BJ99+BK99+BN99)+H99*AS99
)</f>
        <v>119</v>
      </c>
      <c r="BP99" s="204">
        <f t="shared" si="26"/>
        <v>69</v>
      </c>
      <c r="BQ99" s="204">
        <f t="shared" si="27"/>
        <v>320</v>
      </c>
      <c r="BR99" s="204" t="str">
        <f t="shared" si="37"/>
        <v>#N/A</v>
      </c>
      <c r="BS99" s="204" t="str">
        <f t="array" ref="BS99">IF(VLOOKUP(AT99,{'▶️ Инструкция'!C:C,'▶️ Инструкция'!Y:Y},2,FALSE)=data!A$15,
H99*(1-I99),
(H99-BR99))
*VLOOKUP(AT99,{'▶️ Инструкция'!C:C,'▶️ Инструкция'!AD:AD},2,FALSE)/(1+VLOOKUP(AT99,{'▶️ Инструкция'!C:C,'▶️ Инструкция'!AD:AD},2,FALSE))</f>
        <v>#N/A</v>
      </c>
      <c r="BT99" s="204" t="str">
        <f t="array" ref="BT99">
IF(VLOOKUP(AT99,{'▶️ Инструкция'!C:C,'▶️ Инструкция'!Y:Y},2,FALSE)=data!A$15,
H99*(1-I99)-BS99,
(H99-BR99-BS99))
*
VLOOKUP(AT99,{'▶️ Инструкция'!C:C,'▶️ Инструкция'!R:R},2,FALSE)
+BS99</f>
        <v>#N/A</v>
      </c>
      <c r="BU99" s="204" t="str">
        <f>(G99*AR99)+if(AV99=data!A$9,AO99,AN99)+AP99+BR99+BT99</f>
        <v>#N/A</v>
      </c>
      <c r="BV99" s="204" t="str">
        <f>(G99*AR99)+if(AV99=data!A$9,AO99,AN99)+AP99+BT99+G99</f>
        <v>#N/A</v>
      </c>
      <c r="BW99" s="204" t="str">
        <f t="shared" si="28"/>
        <v>#N/A</v>
      </c>
      <c r="BX99" s="204" t="str">
        <f t="shared" si="29"/>
        <v>#N/A</v>
      </c>
    </row>
    <row r="100">
      <c r="A100" s="165" t="str">
        <f>if(D100=true,if(F100=data!A$1,data!A$10,data!A$11),)</f>
        <v/>
      </c>
      <c r="B100" s="166" t="str">
        <f t="shared" si="4"/>
        <v>FBS</v>
      </c>
      <c r="C100" s="167" t="s">
        <v>195</v>
      </c>
      <c r="D100" s="168" t="b">
        <v>0</v>
      </c>
      <c r="E100" s="169" t="s">
        <v>204</v>
      </c>
      <c r="F100" s="170" t="str">
        <f t="array" ref="F100">IF(D100=TRUE,IF(IF(BG$3=VLOOKUP(AT100,{'▶️ Инструкция'!C:C,'▶️ Инструкция'!G:G},2,FALSE),BG100,BH100)&gt;VLOOKUP(AT100,{'▶️ Инструкция'!C:C,'▶️ Инструкция'!N:N},2,FALSE),data!A$1,data!A$2),)</f>
        <v/>
      </c>
      <c r="G100" s="171">
        <v>0.0</v>
      </c>
      <c r="H100" s="172">
        <v>1000.0</v>
      </c>
      <c r="I100" s="173">
        <v>0.0</v>
      </c>
      <c r="J100" s="173">
        <v>0.0</v>
      </c>
      <c r="K100" s="174" t="str">
        <f t="shared" si="5"/>
        <v/>
      </c>
      <c r="L100" s="175">
        <v>0.0</v>
      </c>
      <c r="M100" s="176" t="s">
        <v>197</v>
      </c>
      <c r="N100" s="177">
        <f>IFERROR(__xludf.DUMMYFUNCTION("ArrayFormula(let(category,VLOOKUP($M100, {'📄 Комиссии'!$C:$C , '📄 Комиссии'!$B:$B}, 2, 0),
data,MATCH('🔒 Доп. информация'!$J$15:$J203,TRANSPOSE(SPLIT(INDEX('▶️ Инструкция'!$Q:$Q,MATCH($AT100,'▶️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commission,VLOOKUP($M100,'📄 Комиссии'!$C:$E,IF($AV100=data!A$8,2,3),0),
IF(NOT(ISBLANK($M100)),commission/100+
"&amp;"IFERROR(VLOOKUP($AT100,{'▶️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00" s="178" t="str">
        <f t="shared" si="6"/>
        <v/>
      </c>
      <c r="Q100" s="178" t="str">
        <f t="shared" si="7"/>
        <v/>
      </c>
      <c r="S100" s="179" t="s">
        <v>192</v>
      </c>
      <c r="T100" s="180" t="s">
        <v>193</v>
      </c>
      <c r="U100" s="181">
        <v>1.0</v>
      </c>
      <c r="V100" s="182" t="str">
        <f t="shared" ref="V100:Y100" si="308">IF($D100,"🔒",)</f>
        <v/>
      </c>
      <c r="W100" s="182" t="str">
        <f t="shared" si="308"/>
        <v/>
      </c>
      <c r="X100" s="182" t="str">
        <f t="shared" si="308"/>
        <v/>
      </c>
      <c r="Y100" s="182" t="str">
        <f t="shared" si="308"/>
        <v/>
      </c>
      <c r="Z100" s="183">
        <v>0.0</v>
      </c>
      <c r="AA100" s="184">
        <f t="shared" si="31"/>
        <v>0</v>
      </c>
      <c r="AB100" s="185" t="str">
        <f t="shared" ref="AB100:AD100" si="309">IF($D100,"🔒",)</f>
        <v/>
      </c>
      <c r="AC100" s="185" t="str">
        <f t="shared" si="309"/>
        <v/>
      </c>
      <c r="AD100" s="186" t="str">
        <f t="shared" si="309"/>
        <v/>
      </c>
      <c r="AE100" s="180">
        <v>30.0</v>
      </c>
      <c r="AF100" s="187">
        <v>0.0</v>
      </c>
      <c r="AG100" s="187">
        <v>0.0</v>
      </c>
      <c r="AH100" s="187">
        <v>0.0</v>
      </c>
      <c r="AI100" s="181">
        <f t="shared" si="10"/>
        <v>0</v>
      </c>
      <c r="AJ100" s="181">
        <f t="shared" si="11"/>
        <v>0</v>
      </c>
      <c r="AK100" s="185" t="str">
        <f t="shared" si="12"/>
        <v/>
      </c>
      <c r="AL100" s="188" t="str">
        <f t="array" ref="AL100">H100*(1-I100)*VLOOKUP(AT100,{'▶️ Инструкция'!C:C,'▶️ Инструкция'!AI:AI},2,false)</f>
        <v>#N/A</v>
      </c>
      <c r="AM100" s="186" t="str">
        <f t="shared" si="13"/>
        <v/>
      </c>
      <c r="AN100" s="189">
        <v>0.0</v>
      </c>
      <c r="AO100" s="189">
        <v>0.0</v>
      </c>
      <c r="AP100" s="189">
        <v>0.0</v>
      </c>
      <c r="AQ100" s="191">
        <v>1.0</v>
      </c>
      <c r="AR100" s="191">
        <v>0.0</v>
      </c>
      <c r="AS100" s="212">
        <v>0.0</v>
      </c>
      <c r="AT100" s="193" t="s">
        <v>206</v>
      </c>
      <c r="AU100" s="193" t="s">
        <v>121</v>
      </c>
      <c r="AV100" s="193" t="s">
        <v>199</v>
      </c>
      <c r="AW100" s="194">
        <f t="shared" si="14"/>
        <v>0</v>
      </c>
      <c r="AX100" s="195">
        <f t="shared" si="15"/>
        <v>0</v>
      </c>
      <c r="AY100" s="196" t="str">
        <f t="shared" si="16"/>
        <v>#N/A</v>
      </c>
      <c r="AZ100" s="213">
        <v>250.0</v>
      </c>
      <c r="BA100" s="196">
        <f t="shared" si="17"/>
        <v>0.25</v>
      </c>
      <c r="BB100" s="213">
        <f t="shared" si="18"/>
        <v>1000</v>
      </c>
      <c r="BC100" s="199" t="str">
        <f t="shared" si="19"/>
        <v>#N/A</v>
      </c>
      <c r="BD100" s="200" t="str">
        <f t="shared" si="20"/>
        <v>#N/A</v>
      </c>
      <c r="BE100" s="200">
        <f t="shared" si="21"/>
        <v>0</v>
      </c>
      <c r="BF100" s="201" t="str">
        <f t="shared" si="22"/>
        <v/>
      </c>
      <c r="BG100" s="201" t="str">
        <f t="shared" si="23"/>
        <v/>
      </c>
      <c r="BH100" s="202" t="str">
        <f t="shared" si="24"/>
        <v/>
      </c>
      <c r="BI100" s="203"/>
      <c r="BJ100" s="204">
        <f>IFERROR(__xludf.DUMMYFUNCTION("IF(AU100=data!A$5,
IF(AV100=data!A$8,
IF(T100=data!A$3,
VLOOKUP(S100,filter('🔒 Доп. информация'!D:H,'🔒 Доп. информация'!C:C=T100),4,FALSE)+VLOOKUP(S100,filter('🔒 Доп. информация'!D:H,'🔒 Доп. информация'!C:C=T100),5,FALSE)*AJ100,
IF(AND(MAX(AF100:AH100"&amp;")&lt;80,SUM(AF100:AH100)&lt;=160,AI100&lt;20,XLOOKUP(M100,'📄 Комиссии'!C:C,'📄 Комиссии'!B:B)&lt;&gt;""Продукты""),
VLOOKUP(S100,filter('🔒 Доп. информация'!D:H,'🔒 Доп. информация'!C:C=data!$A$3),4,FALSE)+VLOOKUP(S100,filter('🔒 Доп. информация'!D:H,'🔒 Доп. информаци"&amp;"я'!C:C=data!$A$3),5,FALSE)*AJ100,
VLOOKUP(S100,filter('🔒 Доп. информация'!D:H,'🔒 Доп. информация'!C:C=T100),4,FALSE)*ROUNDUP(AF100*AG100*AH100*L100/(120*80*175))/L100)
)
*(AE100/2)
,)
,)*0"),0.0)</f>
        <v>0</v>
      </c>
      <c r="BK100" s="204">
        <f>IFERROR(__xludf.DUMMYFUNCTION("IF(AU100=data!A$5,
IF(AI100&lt;=1,IF(AI100&lt;=0.8,IF(AI100&lt;=0.6,IF(AI100&lt;=0.4,IF(AI100&lt;=0.2,23,26),29),30),32)*VLOOKUP(S100,filter('🔒 Доп. информация'!D:E,'🔒 Доп. информация'!C:C=T100),2,FALSE)/'🔒 Доп. информация'!$K$9,
IF(AV100=data!A$8,U100,1)*VLOOKUP(S10"&amp;"0,filter('🔒 Доп. информация'!D:E,'🔒 Доп. информация'!C:C=T100),2,FALSE)+
IF(AV100=data!A$8,U100,1)*VLOOKUP(S100,filter('🔒 Доп. информация'!D:F,'🔒 Доп. информация'!C:C=T100),3,FALSE)*AJ100)
,0)"),69.0)</f>
        <v>69</v>
      </c>
      <c r="BL100" s="185" t="str">
        <f t="shared" ref="BL100:BM100" si="310">IF($D100,"🔒",)</f>
        <v/>
      </c>
      <c r="BM100" s="185" t="str">
        <f t="shared" si="310"/>
        <v/>
      </c>
      <c r="BN100" s="204">
        <f>VLOOKUP(T100,'🔒 Доп. информация'!J:P,7,false)</f>
        <v>50</v>
      </c>
      <c r="BO100" s="204">
        <f>IF(AV100=data!A$9,
(AA100+AO100+AP100+BJ100+BK100+BN100)+H100*AS100,
(BJ100+BK100+BN100)+H100*AS100
)</f>
        <v>119</v>
      </c>
      <c r="BP100" s="204">
        <f t="shared" si="26"/>
        <v>69</v>
      </c>
      <c r="BQ100" s="204">
        <f t="shared" si="27"/>
        <v>320</v>
      </c>
      <c r="BR100" s="204" t="str">
        <f t="shared" si="37"/>
        <v>#N/A</v>
      </c>
      <c r="BS100" s="204" t="str">
        <f t="array" ref="BS100">IF(VLOOKUP(AT100,{'▶️ Инструкция'!C:C,'▶️ Инструкция'!Y:Y},2,FALSE)=data!A$15,
H100*(1-I100),
(H100-BR100))
*VLOOKUP(AT100,{'▶️ Инструкция'!C:C,'▶️ Инструкция'!AD:AD},2,FALSE)/(1+VLOOKUP(AT100,{'▶️ Инструкция'!C:C,'▶️ Инструкция'!AD:AD},2,FALSE))</f>
        <v>#N/A</v>
      </c>
      <c r="BT100" s="204" t="str">
        <f t="array" ref="BT100">
IF(VLOOKUP(AT100,{'▶️ Инструкция'!C:C,'▶️ Инструкция'!Y:Y},2,FALSE)=data!A$15,
H100*(1-I100)-BS100,
(H100-BR100-BS100))
*
VLOOKUP(AT100,{'▶️ Инструкция'!C:C,'▶️ Инструкция'!R:R},2,FALSE)
+BS100</f>
        <v>#N/A</v>
      </c>
      <c r="BU100" s="204" t="str">
        <f>(G100*AR100)+if(AV100=data!A$9,AO100,AN100)+AP100+BR100+BT100</f>
        <v>#N/A</v>
      </c>
      <c r="BV100" s="204" t="str">
        <f>(G100*AR100)+if(AV100=data!A$9,AO100,AN100)+AP100+BT100+G100</f>
        <v>#N/A</v>
      </c>
      <c r="BW100" s="204" t="str">
        <f t="shared" si="28"/>
        <v>#N/A</v>
      </c>
      <c r="BX100" s="204" t="str">
        <f t="shared" si="29"/>
        <v>#N/A</v>
      </c>
    </row>
    <row r="101">
      <c r="A101" s="165" t="str">
        <f>if(D101=true,if(F101=data!A$1,data!A$10,data!A$11),)</f>
        <v/>
      </c>
      <c r="B101" s="166" t="str">
        <f t="shared" si="4"/>
        <v>FBS</v>
      </c>
      <c r="C101" s="167" t="s">
        <v>195</v>
      </c>
      <c r="D101" s="168" t="b">
        <v>0</v>
      </c>
      <c r="E101" s="169" t="s">
        <v>204</v>
      </c>
      <c r="F101" s="170" t="str">
        <f t="array" ref="F101">IF(D101=TRUE,IF(IF(BG$3=VLOOKUP(AT101,{'▶️ Инструкция'!C:C,'▶️ Инструкция'!G:G},2,FALSE),BG101,BH101)&gt;VLOOKUP(AT101,{'▶️ Инструкция'!C:C,'▶️ Инструкция'!N:N},2,FALSE),data!A$1,data!A$2),)</f>
        <v/>
      </c>
      <c r="G101" s="171">
        <v>0.0</v>
      </c>
      <c r="H101" s="172">
        <v>1000.0</v>
      </c>
      <c r="I101" s="173">
        <v>0.0</v>
      </c>
      <c r="J101" s="173">
        <v>0.0</v>
      </c>
      <c r="K101" s="174" t="str">
        <f t="shared" si="5"/>
        <v/>
      </c>
      <c r="L101" s="175">
        <v>0.0</v>
      </c>
      <c r="M101" s="176" t="s">
        <v>197</v>
      </c>
      <c r="N101" s="177">
        <f>IFERROR(__xludf.DUMMYFUNCTION("ArrayFormula(let(category,VLOOKUP($M101, {'📄 Комиссии'!$C:$C , '📄 Комиссии'!$B:$B}, 2, 0),
data,MATCH('🔒 Доп. информация'!$J$15:$J203,TRANSPOSE(SPLIT(INDEX('▶️ Инструкция'!$Q:$Q,MATCH($AT101,'▶️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commission,VLOOKUP($M101,'📄 Комиссии'!$C:$E,IF($AV101=data!A$8,2,3),0),
IF(NOT(ISBLANK($M101)),commission/100+
"&amp;"IFERROR(VLOOKUP($AT101,{'▶️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01" s="178" t="str">
        <f t="shared" si="6"/>
        <v/>
      </c>
      <c r="Q101" s="178" t="str">
        <f t="shared" si="7"/>
        <v/>
      </c>
      <c r="S101" s="179" t="s">
        <v>192</v>
      </c>
      <c r="T101" s="180" t="s">
        <v>193</v>
      </c>
      <c r="U101" s="181">
        <v>1.0</v>
      </c>
      <c r="V101" s="182" t="str">
        <f t="shared" ref="V101:Y101" si="311">IF($D101,"🔒",)</f>
        <v/>
      </c>
      <c r="W101" s="182" t="str">
        <f t="shared" si="311"/>
        <v/>
      </c>
      <c r="X101" s="182" t="str">
        <f t="shared" si="311"/>
        <v/>
      </c>
      <c r="Y101" s="182" t="str">
        <f t="shared" si="311"/>
        <v/>
      </c>
      <c r="Z101" s="183">
        <v>0.0</v>
      </c>
      <c r="AA101" s="184">
        <f t="shared" si="31"/>
        <v>0</v>
      </c>
      <c r="AB101" s="185" t="str">
        <f t="shared" ref="AB101:AD101" si="312">IF($D101,"🔒",)</f>
        <v/>
      </c>
      <c r="AC101" s="185" t="str">
        <f t="shared" si="312"/>
        <v/>
      </c>
      <c r="AD101" s="186" t="str">
        <f t="shared" si="312"/>
        <v/>
      </c>
      <c r="AE101" s="180">
        <v>30.0</v>
      </c>
      <c r="AF101" s="187">
        <v>0.0</v>
      </c>
      <c r="AG101" s="187">
        <v>0.0</v>
      </c>
      <c r="AH101" s="187">
        <v>0.0</v>
      </c>
      <c r="AI101" s="181">
        <f t="shared" si="10"/>
        <v>0</v>
      </c>
      <c r="AJ101" s="181">
        <f t="shared" si="11"/>
        <v>0</v>
      </c>
      <c r="AK101" s="185" t="str">
        <f t="shared" si="12"/>
        <v/>
      </c>
      <c r="AL101" s="188" t="str">
        <f t="array" ref="AL101">H101*(1-I101)*VLOOKUP(AT101,{'▶️ Инструкция'!C:C,'▶️ Инструкция'!AI:AI},2,false)</f>
        <v>#N/A</v>
      </c>
      <c r="AM101" s="186" t="str">
        <f t="shared" si="13"/>
        <v/>
      </c>
      <c r="AN101" s="189">
        <v>0.0</v>
      </c>
      <c r="AO101" s="189">
        <v>0.0</v>
      </c>
      <c r="AP101" s="189">
        <v>0.0</v>
      </c>
      <c r="AQ101" s="191">
        <v>1.0</v>
      </c>
      <c r="AR101" s="191">
        <v>0.0</v>
      </c>
      <c r="AS101" s="212">
        <v>0.0</v>
      </c>
      <c r="AT101" s="193" t="s">
        <v>206</v>
      </c>
      <c r="AU101" s="193" t="s">
        <v>121</v>
      </c>
      <c r="AV101" s="193" t="s">
        <v>199</v>
      </c>
      <c r="AW101" s="194">
        <f t="shared" si="14"/>
        <v>0</v>
      </c>
      <c r="AX101" s="195">
        <f t="shared" si="15"/>
        <v>0</v>
      </c>
      <c r="AY101" s="196" t="str">
        <f t="shared" si="16"/>
        <v>#N/A</v>
      </c>
      <c r="AZ101" s="213">
        <v>250.0</v>
      </c>
      <c r="BA101" s="196">
        <f t="shared" si="17"/>
        <v>0.25</v>
      </c>
      <c r="BB101" s="213">
        <f t="shared" si="18"/>
        <v>1000</v>
      </c>
      <c r="BC101" s="199" t="str">
        <f t="shared" si="19"/>
        <v>#N/A</v>
      </c>
      <c r="BD101" s="200" t="str">
        <f t="shared" si="20"/>
        <v>#N/A</v>
      </c>
      <c r="BE101" s="200">
        <f t="shared" si="21"/>
        <v>0</v>
      </c>
      <c r="BF101" s="201" t="str">
        <f t="shared" si="22"/>
        <v/>
      </c>
      <c r="BG101" s="201" t="str">
        <f t="shared" si="23"/>
        <v/>
      </c>
      <c r="BH101" s="202" t="str">
        <f t="shared" si="24"/>
        <v/>
      </c>
      <c r="BI101" s="203"/>
      <c r="BJ101" s="204">
        <f>IFERROR(__xludf.DUMMYFUNCTION("IF(AU101=data!A$5,
IF(AV101=data!A$8,
IF(T101=data!A$3,
VLOOKUP(S101,filter('🔒 Доп. информация'!D:H,'🔒 Доп. информация'!C:C=T101),4,FALSE)+VLOOKUP(S101,filter('🔒 Доп. информация'!D:H,'🔒 Доп. информация'!C:C=T101),5,FALSE)*AJ101,
IF(AND(MAX(AF101:AH101"&amp;")&lt;80,SUM(AF101:AH101)&lt;=160,AI101&lt;20,XLOOKUP(M101,'📄 Комиссии'!C:C,'📄 Комиссии'!B:B)&lt;&gt;""Продукты""),
VLOOKUP(S101,filter('🔒 Доп. информация'!D:H,'🔒 Доп. информация'!C:C=data!$A$3),4,FALSE)+VLOOKUP(S101,filter('🔒 Доп. информация'!D:H,'🔒 Доп. информаци"&amp;"я'!C:C=data!$A$3),5,FALSE)*AJ101,
VLOOKUP(S101,filter('🔒 Доп. информация'!D:H,'🔒 Доп. информация'!C:C=T101),4,FALSE)*ROUNDUP(AF101*AG101*AH101*L101/(120*80*175))/L101)
)
*(AE101/2)
,)
,)*0"),0.0)</f>
        <v>0</v>
      </c>
      <c r="BK101" s="204">
        <f>IFERROR(__xludf.DUMMYFUNCTION("IF(AU101=data!A$5,
IF(AI101&lt;=1,IF(AI101&lt;=0.8,IF(AI101&lt;=0.6,IF(AI101&lt;=0.4,IF(AI101&lt;=0.2,23,26),29),30),32)*VLOOKUP(S101,filter('🔒 Доп. информация'!D:E,'🔒 Доп. информация'!C:C=T101),2,FALSE)/'🔒 Доп. информация'!$K$9,
IF(AV101=data!A$8,U101,1)*VLOOKUP(S10"&amp;"1,filter('🔒 Доп. информация'!D:E,'🔒 Доп. информация'!C:C=T101),2,FALSE)+
IF(AV101=data!A$8,U101,1)*VLOOKUP(S101,filter('🔒 Доп. информация'!D:F,'🔒 Доп. информация'!C:C=T101),3,FALSE)*AJ101)
,0)"),69.0)</f>
        <v>69</v>
      </c>
      <c r="BL101" s="185" t="str">
        <f t="shared" ref="BL101:BM101" si="313">IF($D101,"🔒",)</f>
        <v/>
      </c>
      <c r="BM101" s="185" t="str">
        <f t="shared" si="313"/>
        <v/>
      </c>
      <c r="BN101" s="204">
        <f>VLOOKUP(T101,'🔒 Доп. информация'!J:P,7,false)</f>
        <v>50</v>
      </c>
      <c r="BO101" s="204">
        <f>IF(AV101=data!A$9,
(AA101+AO101+AP101+BJ101+BK101+BN101)+H101*AS101,
(BJ101+BK101+BN101)+H101*AS101
)</f>
        <v>119</v>
      </c>
      <c r="BP101" s="204">
        <f t="shared" si="26"/>
        <v>69</v>
      </c>
      <c r="BQ101" s="204">
        <f t="shared" si="27"/>
        <v>320</v>
      </c>
      <c r="BR101" s="204" t="str">
        <f t="shared" si="37"/>
        <v>#N/A</v>
      </c>
      <c r="BS101" s="204" t="str">
        <f t="array" ref="BS101">IF(VLOOKUP(AT101,{'▶️ Инструкция'!C:C,'▶️ Инструкция'!Y:Y},2,FALSE)=data!A$15,
H101*(1-I101),
(H101-BR101))
*VLOOKUP(AT101,{'▶️ Инструкция'!C:C,'▶️ Инструкция'!AD:AD},2,FALSE)/(1+VLOOKUP(AT101,{'▶️ Инструкция'!C:C,'▶️ Инструкция'!AD:AD},2,FALSE))</f>
        <v>#N/A</v>
      </c>
      <c r="BT101" s="204" t="str">
        <f t="array" ref="BT101">
IF(VLOOKUP(AT101,{'▶️ Инструкция'!C:C,'▶️ Инструкция'!Y:Y},2,FALSE)=data!A$15,
H101*(1-I101)-BS101,
(H101-BR101-BS101))
*
VLOOKUP(AT101,{'▶️ Инструкция'!C:C,'▶️ Инструкция'!R:R},2,FALSE)
+BS101</f>
        <v>#N/A</v>
      </c>
      <c r="BU101" s="204" t="str">
        <f>(G101*AR101)+if(AV101=data!A$9,AO101,AN101)+AP101+BR101+BT101</f>
        <v>#N/A</v>
      </c>
      <c r="BV101" s="204" t="str">
        <f>(G101*AR101)+if(AV101=data!A$9,AO101,AN101)+AP101+BT101+G101</f>
        <v>#N/A</v>
      </c>
      <c r="BW101" s="204" t="str">
        <f t="shared" si="28"/>
        <v>#N/A</v>
      </c>
      <c r="BX101" s="204" t="str">
        <f t="shared" si="29"/>
        <v>#N/A</v>
      </c>
    </row>
    <row r="102">
      <c r="A102" s="165" t="str">
        <f>if(D102=true,if(F102=data!A$1,data!A$10,data!A$11),)</f>
        <v/>
      </c>
      <c r="B102" s="166" t="str">
        <f t="shared" si="4"/>
        <v>FBS</v>
      </c>
      <c r="C102" s="167" t="s">
        <v>195</v>
      </c>
      <c r="D102" s="168" t="b">
        <v>0</v>
      </c>
      <c r="E102" s="169" t="s">
        <v>204</v>
      </c>
      <c r="F102" s="170" t="str">
        <f t="array" ref="F102">IF(D102=TRUE,IF(IF(BG$3=VLOOKUP(AT102,{'▶️ Инструкция'!C:C,'▶️ Инструкция'!G:G},2,FALSE),BG102,BH102)&gt;VLOOKUP(AT102,{'▶️ Инструкция'!C:C,'▶️ Инструкция'!N:N},2,FALSE),data!A$1,data!A$2),)</f>
        <v/>
      </c>
      <c r="G102" s="171">
        <v>0.0</v>
      </c>
      <c r="H102" s="172">
        <v>1000.0</v>
      </c>
      <c r="I102" s="173">
        <v>0.0</v>
      </c>
      <c r="J102" s="173">
        <v>0.0</v>
      </c>
      <c r="K102" s="174" t="str">
        <f t="shared" si="5"/>
        <v/>
      </c>
      <c r="L102" s="175">
        <v>0.0</v>
      </c>
      <c r="M102" s="176" t="s">
        <v>197</v>
      </c>
      <c r="N102" s="177">
        <f>IFERROR(__xludf.DUMMYFUNCTION("ArrayFormula(let(category,VLOOKUP($M102, {'📄 Комиссии'!$C:$C , '📄 Комиссии'!$B:$B}, 2, 0),
data,MATCH('🔒 Доп. информация'!$J$15:$J203,TRANSPOSE(SPLIT(INDEX('▶️ Инструкция'!$Q:$Q,MATCH($AT102,'▶️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commission,VLOOKUP($M102,'📄 Комиссии'!$C:$E,IF($AV102=data!A$8,2,3),0),
IF(NOT(ISBLANK($M102)),commission/100+
"&amp;"IFERROR(VLOOKUP($AT102,{'▶️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02" s="178" t="str">
        <f t="shared" si="6"/>
        <v/>
      </c>
      <c r="Q102" s="178" t="str">
        <f t="shared" si="7"/>
        <v/>
      </c>
      <c r="S102" s="179" t="s">
        <v>192</v>
      </c>
      <c r="T102" s="180" t="s">
        <v>193</v>
      </c>
      <c r="U102" s="181">
        <v>1.0</v>
      </c>
      <c r="V102" s="182" t="str">
        <f t="shared" ref="V102:Y102" si="314">IF($D102,"🔒",)</f>
        <v/>
      </c>
      <c r="W102" s="182" t="str">
        <f t="shared" si="314"/>
        <v/>
      </c>
      <c r="X102" s="182" t="str">
        <f t="shared" si="314"/>
        <v/>
      </c>
      <c r="Y102" s="182" t="str">
        <f t="shared" si="314"/>
        <v/>
      </c>
      <c r="Z102" s="183">
        <v>0.0</v>
      </c>
      <c r="AA102" s="184">
        <f t="shared" si="31"/>
        <v>0</v>
      </c>
      <c r="AB102" s="185" t="str">
        <f t="shared" ref="AB102:AD102" si="315">IF($D102,"🔒",)</f>
        <v/>
      </c>
      <c r="AC102" s="185" t="str">
        <f t="shared" si="315"/>
        <v/>
      </c>
      <c r="AD102" s="186" t="str">
        <f t="shared" si="315"/>
        <v/>
      </c>
      <c r="AE102" s="180">
        <v>30.0</v>
      </c>
      <c r="AF102" s="187">
        <v>0.0</v>
      </c>
      <c r="AG102" s="187">
        <v>0.0</v>
      </c>
      <c r="AH102" s="187">
        <v>0.0</v>
      </c>
      <c r="AI102" s="181">
        <f t="shared" si="10"/>
        <v>0</v>
      </c>
      <c r="AJ102" s="181">
        <f t="shared" si="11"/>
        <v>0</v>
      </c>
      <c r="AK102" s="185" t="str">
        <f t="shared" si="12"/>
        <v/>
      </c>
      <c r="AL102" s="188" t="str">
        <f t="array" ref="AL102">H102*(1-I102)*VLOOKUP(AT102,{'▶️ Инструкция'!C:C,'▶️ Инструкция'!AI:AI},2,false)</f>
        <v>#N/A</v>
      </c>
      <c r="AM102" s="186" t="str">
        <f t="shared" si="13"/>
        <v/>
      </c>
      <c r="AN102" s="189">
        <v>0.0</v>
      </c>
      <c r="AO102" s="189">
        <v>0.0</v>
      </c>
      <c r="AP102" s="189">
        <v>0.0</v>
      </c>
      <c r="AQ102" s="191">
        <v>1.0</v>
      </c>
      <c r="AR102" s="191">
        <v>0.0</v>
      </c>
      <c r="AS102" s="212">
        <v>0.0</v>
      </c>
      <c r="AT102" s="193" t="s">
        <v>206</v>
      </c>
      <c r="AU102" s="193" t="s">
        <v>121</v>
      </c>
      <c r="AV102" s="193" t="s">
        <v>199</v>
      </c>
      <c r="AW102" s="194">
        <f t="shared" si="14"/>
        <v>0</v>
      </c>
      <c r="AX102" s="195">
        <f t="shared" si="15"/>
        <v>0</v>
      </c>
      <c r="AY102" s="196" t="str">
        <f t="shared" si="16"/>
        <v>#N/A</v>
      </c>
      <c r="AZ102" s="213">
        <v>250.0</v>
      </c>
      <c r="BA102" s="196">
        <f t="shared" si="17"/>
        <v>0.25</v>
      </c>
      <c r="BB102" s="213">
        <f t="shared" si="18"/>
        <v>1000</v>
      </c>
      <c r="BC102" s="199" t="str">
        <f t="shared" si="19"/>
        <v>#N/A</v>
      </c>
      <c r="BD102" s="200" t="str">
        <f t="shared" si="20"/>
        <v>#N/A</v>
      </c>
      <c r="BE102" s="200">
        <f t="shared" si="21"/>
        <v>0</v>
      </c>
      <c r="BF102" s="201" t="str">
        <f t="shared" si="22"/>
        <v/>
      </c>
      <c r="BG102" s="201" t="str">
        <f t="shared" si="23"/>
        <v/>
      </c>
      <c r="BH102" s="202" t="str">
        <f t="shared" si="24"/>
        <v/>
      </c>
      <c r="BI102" s="203"/>
      <c r="BJ102" s="204">
        <f>IFERROR(__xludf.DUMMYFUNCTION("IF(AU102=data!A$5,
IF(AV102=data!A$8,
IF(T102=data!A$3,
VLOOKUP(S102,filter('🔒 Доп. информация'!D:H,'🔒 Доп. информация'!C:C=T102),4,FALSE)+VLOOKUP(S102,filter('🔒 Доп. информация'!D:H,'🔒 Доп. информация'!C:C=T102),5,FALSE)*AJ102,
IF(AND(MAX(AF102:AH102"&amp;")&lt;80,SUM(AF102:AH102)&lt;=160,AI102&lt;20,XLOOKUP(M102,'📄 Комиссии'!C:C,'📄 Комиссии'!B:B)&lt;&gt;""Продукты""),
VLOOKUP(S102,filter('🔒 Доп. информация'!D:H,'🔒 Доп. информация'!C:C=data!$A$3),4,FALSE)+VLOOKUP(S102,filter('🔒 Доп. информация'!D:H,'🔒 Доп. информаци"&amp;"я'!C:C=data!$A$3),5,FALSE)*AJ102,
VLOOKUP(S102,filter('🔒 Доп. информация'!D:H,'🔒 Доп. информация'!C:C=T102),4,FALSE)*ROUNDUP(AF102*AG102*AH102*L102/(120*80*175))/L102)
)
*(AE102/2)
,)
,)*0"),0.0)</f>
        <v>0</v>
      </c>
      <c r="BK102" s="204">
        <f>IFERROR(__xludf.DUMMYFUNCTION("IF(AU102=data!A$5,
IF(AI102&lt;=1,IF(AI102&lt;=0.8,IF(AI102&lt;=0.6,IF(AI102&lt;=0.4,IF(AI102&lt;=0.2,23,26),29),30),32)*VLOOKUP(S102,filter('🔒 Доп. информация'!D:E,'🔒 Доп. информация'!C:C=T102),2,FALSE)/'🔒 Доп. информация'!$K$9,
IF(AV102=data!A$8,U102,1)*VLOOKUP(S10"&amp;"2,filter('🔒 Доп. информация'!D:E,'🔒 Доп. информация'!C:C=T102),2,FALSE)+
IF(AV102=data!A$8,U102,1)*VLOOKUP(S102,filter('🔒 Доп. информация'!D:F,'🔒 Доп. информация'!C:C=T102),3,FALSE)*AJ102)
,0)"),69.0)</f>
        <v>69</v>
      </c>
      <c r="BL102" s="185" t="str">
        <f t="shared" ref="BL102:BM102" si="316">IF($D102,"🔒",)</f>
        <v/>
      </c>
      <c r="BM102" s="185" t="str">
        <f t="shared" si="316"/>
        <v/>
      </c>
      <c r="BN102" s="204">
        <f>VLOOKUP(T102,'🔒 Доп. информация'!J:P,7,false)</f>
        <v>50</v>
      </c>
      <c r="BO102" s="204">
        <f>IF(AV102=data!A$9,
(AA102+AO102+AP102+BJ102+BK102+BN102)+H102*AS102,
(BJ102+BK102+BN102)+H102*AS102
)</f>
        <v>119</v>
      </c>
      <c r="BP102" s="204">
        <f t="shared" si="26"/>
        <v>69</v>
      </c>
      <c r="BQ102" s="204">
        <f t="shared" si="27"/>
        <v>320</v>
      </c>
      <c r="BR102" s="204" t="str">
        <f t="shared" si="37"/>
        <v>#N/A</v>
      </c>
      <c r="BS102" s="204" t="str">
        <f t="array" ref="BS102">IF(VLOOKUP(AT102,{'▶️ Инструкция'!C:C,'▶️ Инструкция'!Y:Y},2,FALSE)=data!A$15,
H102*(1-I102),
(H102-BR102))
*VLOOKUP(AT102,{'▶️ Инструкция'!C:C,'▶️ Инструкция'!AD:AD},2,FALSE)/(1+VLOOKUP(AT102,{'▶️ Инструкция'!C:C,'▶️ Инструкция'!AD:AD},2,FALSE))</f>
        <v>#N/A</v>
      </c>
      <c r="BT102" s="204" t="str">
        <f t="array" ref="BT102">
IF(VLOOKUP(AT102,{'▶️ Инструкция'!C:C,'▶️ Инструкция'!Y:Y},2,FALSE)=data!A$15,
H102*(1-I102)-BS102,
(H102-BR102-BS102))
*
VLOOKUP(AT102,{'▶️ Инструкция'!C:C,'▶️ Инструкция'!R:R},2,FALSE)
+BS102</f>
        <v>#N/A</v>
      </c>
      <c r="BU102" s="204" t="str">
        <f>(G102*AR102)+if(AV102=data!A$9,AO102,AN102)+AP102+BR102+BT102</f>
        <v>#N/A</v>
      </c>
      <c r="BV102" s="204" t="str">
        <f>(G102*AR102)+if(AV102=data!A$9,AO102,AN102)+AP102+BT102+G102</f>
        <v>#N/A</v>
      </c>
      <c r="BW102" s="204" t="str">
        <f t="shared" si="28"/>
        <v>#N/A</v>
      </c>
      <c r="BX102" s="204" t="str">
        <f t="shared" si="29"/>
        <v>#N/A</v>
      </c>
    </row>
    <row r="103">
      <c r="A103" s="165" t="str">
        <f>if(D103=true,if(F103=data!A$1,data!A$10,data!A$11),)</f>
        <v/>
      </c>
      <c r="B103" s="166" t="str">
        <f t="shared" si="4"/>
        <v>FBS</v>
      </c>
      <c r="C103" s="167" t="s">
        <v>195</v>
      </c>
      <c r="D103" s="168" t="b">
        <v>0</v>
      </c>
      <c r="E103" s="169" t="s">
        <v>204</v>
      </c>
      <c r="F103" s="170" t="str">
        <f t="array" ref="F103">IF(D103=TRUE,IF(IF(BG$3=VLOOKUP(AT103,{'▶️ Инструкция'!C:C,'▶️ Инструкция'!G:G},2,FALSE),BG103,BH103)&gt;VLOOKUP(AT103,{'▶️ Инструкция'!C:C,'▶️ Инструкция'!N:N},2,FALSE),data!A$1,data!A$2),)</f>
        <v/>
      </c>
      <c r="G103" s="171">
        <v>0.0</v>
      </c>
      <c r="H103" s="172">
        <v>1000.0</v>
      </c>
      <c r="I103" s="173">
        <v>0.0</v>
      </c>
      <c r="J103" s="173">
        <v>0.0</v>
      </c>
      <c r="K103" s="174" t="str">
        <f t="shared" si="5"/>
        <v/>
      </c>
      <c r="L103" s="175">
        <v>0.0</v>
      </c>
      <c r="M103" s="176" t="s">
        <v>197</v>
      </c>
      <c r="N103" s="177">
        <f>IFERROR(__xludf.DUMMYFUNCTION("ArrayFormula(let(category,VLOOKUP($M103, {'📄 Комиссии'!$C:$C , '📄 Комиссии'!$B:$B}, 2, 0),
data,MATCH('🔒 Доп. информация'!$J$15:$J203,TRANSPOSE(SPLIT(INDEX('▶️ Инструкция'!$Q:$Q,MATCH($AT103,'▶️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commission,VLOOKUP($M103,'📄 Комиссии'!$C:$E,IF($AV103=data!A$8,2,3),0),
IF(NOT(ISBLANK($M103)),commission/100+
"&amp;"IFERROR(VLOOKUP($AT103,{'▶️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03" s="178" t="str">
        <f t="shared" si="6"/>
        <v/>
      </c>
      <c r="Q103" s="178" t="str">
        <f t="shared" si="7"/>
        <v/>
      </c>
      <c r="S103" s="179" t="s">
        <v>192</v>
      </c>
      <c r="T103" s="180" t="s">
        <v>193</v>
      </c>
      <c r="U103" s="181">
        <v>1.0</v>
      </c>
      <c r="V103" s="182" t="str">
        <f t="shared" ref="V103:Y103" si="317">IF($D103,"🔒",)</f>
        <v/>
      </c>
      <c r="W103" s="182" t="str">
        <f t="shared" si="317"/>
        <v/>
      </c>
      <c r="X103" s="182" t="str">
        <f t="shared" si="317"/>
        <v/>
      </c>
      <c r="Y103" s="182" t="str">
        <f t="shared" si="317"/>
        <v/>
      </c>
      <c r="Z103" s="183">
        <v>0.0</v>
      </c>
      <c r="AA103" s="184">
        <f t="shared" si="31"/>
        <v>0</v>
      </c>
      <c r="AB103" s="185" t="str">
        <f t="shared" ref="AB103:AD103" si="318">IF($D103,"🔒",)</f>
        <v/>
      </c>
      <c r="AC103" s="185" t="str">
        <f t="shared" si="318"/>
        <v/>
      </c>
      <c r="AD103" s="186" t="str">
        <f t="shared" si="318"/>
        <v/>
      </c>
      <c r="AE103" s="180">
        <v>30.0</v>
      </c>
      <c r="AF103" s="187">
        <v>0.0</v>
      </c>
      <c r="AG103" s="187">
        <v>0.0</v>
      </c>
      <c r="AH103" s="187">
        <v>0.0</v>
      </c>
      <c r="AI103" s="181">
        <f t="shared" si="10"/>
        <v>0</v>
      </c>
      <c r="AJ103" s="181">
        <f t="shared" si="11"/>
        <v>0</v>
      </c>
      <c r="AK103" s="185" t="str">
        <f t="shared" si="12"/>
        <v/>
      </c>
      <c r="AL103" s="188" t="str">
        <f t="array" ref="AL103">H103*(1-I103)*VLOOKUP(AT103,{'▶️ Инструкция'!C:C,'▶️ Инструкция'!AI:AI},2,false)</f>
        <v>#N/A</v>
      </c>
      <c r="AM103" s="186" t="str">
        <f t="shared" si="13"/>
        <v/>
      </c>
      <c r="AN103" s="189">
        <v>0.0</v>
      </c>
      <c r="AO103" s="189">
        <v>0.0</v>
      </c>
      <c r="AP103" s="189">
        <v>0.0</v>
      </c>
      <c r="AQ103" s="191">
        <v>1.0</v>
      </c>
      <c r="AR103" s="191">
        <v>0.0</v>
      </c>
      <c r="AS103" s="212">
        <v>0.0</v>
      </c>
      <c r="AT103" s="193" t="s">
        <v>206</v>
      </c>
      <c r="AU103" s="193" t="s">
        <v>121</v>
      </c>
      <c r="AV103" s="193" t="s">
        <v>199</v>
      </c>
      <c r="AW103" s="194">
        <f t="shared" si="14"/>
        <v>0</v>
      </c>
      <c r="AX103" s="195">
        <f t="shared" si="15"/>
        <v>0</v>
      </c>
      <c r="AY103" s="196" t="str">
        <f t="shared" si="16"/>
        <v>#N/A</v>
      </c>
      <c r="AZ103" s="213">
        <v>250.0</v>
      </c>
      <c r="BA103" s="196">
        <f t="shared" si="17"/>
        <v>0.25</v>
      </c>
      <c r="BB103" s="213">
        <f t="shared" si="18"/>
        <v>1000</v>
      </c>
      <c r="BC103" s="199" t="str">
        <f t="shared" si="19"/>
        <v>#N/A</v>
      </c>
      <c r="BD103" s="200" t="str">
        <f t="shared" si="20"/>
        <v>#N/A</v>
      </c>
      <c r="BE103" s="200">
        <f t="shared" si="21"/>
        <v>0</v>
      </c>
      <c r="BF103" s="201" t="str">
        <f t="shared" si="22"/>
        <v/>
      </c>
      <c r="BG103" s="201" t="str">
        <f t="shared" si="23"/>
        <v/>
      </c>
      <c r="BH103" s="202" t="str">
        <f t="shared" si="24"/>
        <v/>
      </c>
      <c r="BI103" s="203"/>
      <c r="BJ103" s="204">
        <f>IFERROR(__xludf.DUMMYFUNCTION("IF(AU103=data!A$5,
IF(AV103=data!A$8,
IF(T103=data!A$3,
VLOOKUP(S103,filter('🔒 Доп. информация'!D:H,'🔒 Доп. информация'!C:C=T103),4,FALSE)+VLOOKUP(S103,filter('🔒 Доп. информация'!D:H,'🔒 Доп. информация'!C:C=T103),5,FALSE)*AJ103,
IF(AND(MAX(AF103:AH103"&amp;")&lt;80,SUM(AF103:AH103)&lt;=160,AI103&lt;20,XLOOKUP(M103,'📄 Комиссии'!C:C,'📄 Комиссии'!B:B)&lt;&gt;""Продукты""),
VLOOKUP(S103,filter('🔒 Доп. информация'!D:H,'🔒 Доп. информация'!C:C=data!$A$3),4,FALSE)+VLOOKUP(S103,filter('🔒 Доп. информация'!D:H,'🔒 Доп. информаци"&amp;"я'!C:C=data!$A$3),5,FALSE)*AJ103,
VLOOKUP(S103,filter('🔒 Доп. информация'!D:H,'🔒 Доп. информация'!C:C=T103),4,FALSE)*ROUNDUP(AF103*AG103*AH103*L103/(120*80*175))/L103)
)
*(AE103/2)
,)
,)*0"),0.0)</f>
        <v>0</v>
      </c>
      <c r="BK103" s="204">
        <f>IFERROR(__xludf.DUMMYFUNCTION("IF(AU103=data!A$5,
IF(AI103&lt;=1,IF(AI103&lt;=0.8,IF(AI103&lt;=0.6,IF(AI103&lt;=0.4,IF(AI103&lt;=0.2,23,26),29),30),32)*VLOOKUP(S103,filter('🔒 Доп. информация'!D:E,'🔒 Доп. информация'!C:C=T103),2,FALSE)/'🔒 Доп. информация'!$K$9,
IF(AV103=data!A$8,U103,1)*VLOOKUP(S10"&amp;"3,filter('🔒 Доп. информация'!D:E,'🔒 Доп. информация'!C:C=T103),2,FALSE)+
IF(AV103=data!A$8,U103,1)*VLOOKUP(S103,filter('🔒 Доп. информация'!D:F,'🔒 Доп. информация'!C:C=T103),3,FALSE)*AJ103)
,0)"),69.0)</f>
        <v>69</v>
      </c>
      <c r="BL103" s="185" t="str">
        <f t="shared" ref="BL103:BM103" si="319">IF($D103,"🔒",)</f>
        <v/>
      </c>
      <c r="BM103" s="185" t="str">
        <f t="shared" si="319"/>
        <v/>
      </c>
      <c r="BN103" s="204">
        <f>VLOOKUP(T103,'🔒 Доп. информация'!J:P,7,false)</f>
        <v>50</v>
      </c>
      <c r="BO103" s="204">
        <f>IF(AV103=data!A$9,
(AA103+AO103+AP103+BJ103+BK103+BN103)+H103*AS103,
(BJ103+BK103+BN103)+H103*AS103
)</f>
        <v>119</v>
      </c>
      <c r="BP103" s="204">
        <f t="shared" si="26"/>
        <v>69</v>
      </c>
      <c r="BQ103" s="204">
        <f t="shared" si="27"/>
        <v>320</v>
      </c>
      <c r="BR103" s="204" t="str">
        <f t="shared" si="37"/>
        <v>#N/A</v>
      </c>
      <c r="BS103" s="204" t="str">
        <f t="array" ref="BS103">IF(VLOOKUP(AT103,{'▶️ Инструкция'!C:C,'▶️ Инструкция'!Y:Y},2,FALSE)=data!A$15,
H103*(1-I103),
(H103-BR103))
*VLOOKUP(AT103,{'▶️ Инструкция'!C:C,'▶️ Инструкция'!AD:AD},2,FALSE)/(1+VLOOKUP(AT103,{'▶️ Инструкция'!C:C,'▶️ Инструкция'!AD:AD},2,FALSE))</f>
        <v>#N/A</v>
      </c>
      <c r="BT103" s="204" t="str">
        <f t="array" ref="BT103">
IF(VLOOKUP(AT103,{'▶️ Инструкция'!C:C,'▶️ Инструкция'!Y:Y},2,FALSE)=data!A$15,
H103*(1-I103)-BS103,
(H103-BR103-BS103))
*
VLOOKUP(AT103,{'▶️ Инструкция'!C:C,'▶️ Инструкция'!R:R},2,FALSE)
+BS103</f>
        <v>#N/A</v>
      </c>
      <c r="BU103" s="204" t="str">
        <f>(G103*AR103)+if(AV103=data!A$9,AO103,AN103)+AP103+BR103+BT103</f>
        <v>#N/A</v>
      </c>
      <c r="BV103" s="204" t="str">
        <f>(G103*AR103)+if(AV103=data!A$9,AO103,AN103)+AP103+BT103+G103</f>
        <v>#N/A</v>
      </c>
      <c r="BW103" s="204" t="str">
        <f t="shared" si="28"/>
        <v>#N/A</v>
      </c>
      <c r="BX103" s="204" t="str">
        <f t="shared" si="29"/>
        <v>#N/A</v>
      </c>
    </row>
    <row r="104">
      <c r="A104" s="165" t="str">
        <f>if(D104=true,if(F104=data!A$1,data!A$10,data!A$11),)</f>
        <v/>
      </c>
      <c r="B104" s="166" t="str">
        <f t="shared" si="4"/>
        <v>FBS</v>
      </c>
      <c r="C104" s="167" t="s">
        <v>195</v>
      </c>
      <c r="D104" s="168" t="b">
        <v>0</v>
      </c>
      <c r="E104" s="169" t="s">
        <v>204</v>
      </c>
      <c r="F104" s="170" t="str">
        <f t="array" ref="F104">IF(D104=TRUE,IF(IF(BG$3=VLOOKUP(AT104,{'▶️ Инструкция'!C:C,'▶️ Инструкция'!G:G},2,FALSE),BG104,BH104)&gt;VLOOKUP(AT104,{'▶️ Инструкция'!C:C,'▶️ Инструкция'!N:N},2,FALSE),data!A$1,data!A$2),)</f>
        <v/>
      </c>
      <c r="G104" s="171">
        <v>0.0</v>
      </c>
      <c r="H104" s="172">
        <v>1000.0</v>
      </c>
      <c r="I104" s="173">
        <v>0.0</v>
      </c>
      <c r="J104" s="173">
        <v>0.0</v>
      </c>
      <c r="K104" s="174" t="str">
        <f t="shared" si="5"/>
        <v/>
      </c>
      <c r="L104" s="175">
        <v>0.0</v>
      </c>
      <c r="M104" s="176" t="s">
        <v>197</v>
      </c>
      <c r="N104" s="177">
        <f>IFERROR(__xludf.DUMMYFUNCTION("ArrayFormula(let(category,VLOOKUP($M104, {'📄 Комиссии'!$C:$C , '📄 Комиссии'!$B:$B}, 2, 0),
data,MATCH('🔒 Доп. информация'!$J$15:$J203,TRANSPOSE(SPLIT(INDEX('▶️ Инструкция'!$Q:$Q,MATCH($AT104,'▶️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commission,VLOOKUP($M104,'📄 Комиссии'!$C:$E,IF($AV104=data!A$8,2,3),0),
IF(NOT(ISBLANK($M104)),commission/100+
"&amp;"IFERROR(VLOOKUP($AT104,{'▶️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04" s="178" t="str">
        <f t="shared" si="6"/>
        <v/>
      </c>
      <c r="Q104" s="178" t="str">
        <f t="shared" si="7"/>
        <v/>
      </c>
      <c r="S104" s="179" t="s">
        <v>192</v>
      </c>
      <c r="T104" s="180" t="s">
        <v>193</v>
      </c>
      <c r="U104" s="181">
        <v>1.0</v>
      </c>
      <c r="V104" s="182" t="str">
        <f t="shared" ref="V104:Y104" si="320">IF($D104,"🔒",)</f>
        <v/>
      </c>
      <c r="W104" s="182" t="str">
        <f t="shared" si="320"/>
        <v/>
      </c>
      <c r="X104" s="182" t="str">
        <f t="shared" si="320"/>
        <v/>
      </c>
      <c r="Y104" s="182" t="str">
        <f t="shared" si="320"/>
        <v/>
      </c>
      <c r="Z104" s="183">
        <v>0.0</v>
      </c>
      <c r="AA104" s="184">
        <f t="shared" si="31"/>
        <v>0</v>
      </c>
      <c r="AB104" s="185" t="str">
        <f t="shared" ref="AB104:AD104" si="321">IF($D104,"🔒",)</f>
        <v/>
      </c>
      <c r="AC104" s="185" t="str">
        <f t="shared" si="321"/>
        <v/>
      </c>
      <c r="AD104" s="186" t="str">
        <f t="shared" si="321"/>
        <v/>
      </c>
      <c r="AE104" s="180">
        <v>30.0</v>
      </c>
      <c r="AF104" s="187">
        <v>0.0</v>
      </c>
      <c r="AG104" s="187">
        <v>0.0</v>
      </c>
      <c r="AH104" s="187">
        <v>0.0</v>
      </c>
      <c r="AI104" s="181">
        <f t="shared" si="10"/>
        <v>0</v>
      </c>
      <c r="AJ104" s="181">
        <f t="shared" si="11"/>
        <v>0</v>
      </c>
      <c r="AK104" s="185" t="str">
        <f t="shared" si="12"/>
        <v/>
      </c>
      <c r="AL104" s="188" t="str">
        <f t="array" ref="AL104">H104*(1-I104)*VLOOKUP(AT104,{'▶️ Инструкция'!C:C,'▶️ Инструкция'!AI:AI},2,false)</f>
        <v>#N/A</v>
      </c>
      <c r="AM104" s="186" t="str">
        <f t="shared" si="13"/>
        <v/>
      </c>
      <c r="AN104" s="189">
        <v>0.0</v>
      </c>
      <c r="AO104" s="189">
        <v>0.0</v>
      </c>
      <c r="AP104" s="189">
        <v>0.0</v>
      </c>
      <c r="AQ104" s="191">
        <v>1.0</v>
      </c>
      <c r="AR104" s="191">
        <v>0.0</v>
      </c>
      <c r="AS104" s="212">
        <v>0.0</v>
      </c>
      <c r="AT104" s="193" t="s">
        <v>206</v>
      </c>
      <c r="AU104" s="193" t="s">
        <v>121</v>
      </c>
      <c r="AV104" s="193" t="s">
        <v>199</v>
      </c>
      <c r="AW104" s="194">
        <f t="shared" si="14"/>
        <v>0</v>
      </c>
      <c r="AX104" s="195">
        <f t="shared" si="15"/>
        <v>0</v>
      </c>
      <c r="AY104" s="196" t="str">
        <f t="shared" si="16"/>
        <v>#N/A</v>
      </c>
      <c r="AZ104" s="213">
        <v>250.0</v>
      </c>
      <c r="BA104" s="196">
        <f t="shared" si="17"/>
        <v>0.25</v>
      </c>
      <c r="BB104" s="213">
        <f t="shared" si="18"/>
        <v>1000</v>
      </c>
      <c r="BC104" s="199" t="str">
        <f t="shared" si="19"/>
        <v>#N/A</v>
      </c>
      <c r="BD104" s="200" t="str">
        <f t="shared" si="20"/>
        <v>#N/A</v>
      </c>
      <c r="BE104" s="200">
        <f t="shared" si="21"/>
        <v>0</v>
      </c>
      <c r="BF104" s="201" t="str">
        <f t="shared" si="22"/>
        <v/>
      </c>
      <c r="BG104" s="201" t="str">
        <f t="shared" si="23"/>
        <v/>
      </c>
      <c r="BH104" s="202" t="str">
        <f t="shared" si="24"/>
        <v/>
      </c>
      <c r="BI104" s="203"/>
      <c r="BJ104" s="204">
        <f>IFERROR(__xludf.DUMMYFUNCTION("IF(AU104=data!A$5,
IF(AV104=data!A$8,
IF(T104=data!A$3,
VLOOKUP(S104,filter('🔒 Доп. информация'!D:H,'🔒 Доп. информация'!C:C=T104),4,FALSE)+VLOOKUP(S104,filter('🔒 Доп. информация'!D:H,'🔒 Доп. информация'!C:C=T104),5,FALSE)*AJ104,
IF(AND(MAX(AF104:AH104"&amp;")&lt;80,SUM(AF104:AH104)&lt;=160,AI104&lt;20,XLOOKUP(M104,'📄 Комиссии'!C:C,'📄 Комиссии'!B:B)&lt;&gt;""Продукты""),
VLOOKUP(S104,filter('🔒 Доп. информация'!D:H,'🔒 Доп. информация'!C:C=data!$A$3),4,FALSE)+VLOOKUP(S104,filter('🔒 Доп. информация'!D:H,'🔒 Доп. информаци"&amp;"я'!C:C=data!$A$3),5,FALSE)*AJ104,
VLOOKUP(S104,filter('🔒 Доп. информация'!D:H,'🔒 Доп. информация'!C:C=T104),4,FALSE)*ROUNDUP(AF104*AG104*AH104*L104/(120*80*175))/L104)
)
*(AE104/2)
,)
,)*0"),0.0)</f>
        <v>0</v>
      </c>
      <c r="BK104" s="204">
        <f>IFERROR(__xludf.DUMMYFUNCTION("IF(AU104=data!A$5,
IF(AI104&lt;=1,IF(AI104&lt;=0.8,IF(AI104&lt;=0.6,IF(AI104&lt;=0.4,IF(AI104&lt;=0.2,23,26),29),30),32)*VLOOKUP(S104,filter('🔒 Доп. информация'!D:E,'🔒 Доп. информация'!C:C=T104),2,FALSE)/'🔒 Доп. информация'!$K$9,
IF(AV104=data!A$8,U104,1)*VLOOKUP(S10"&amp;"4,filter('🔒 Доп. информация'!D:E,'🔒 Доп. информация'!C:C=T104),2,FALSE)+
IF(AV104=data!A$8,U104,1)*VLOOKUP(S104,filter('🔒 Доп. информация'!D:F,'🔒 Доп. информация'!C:C=T104),3,FALSE)*AJ104)
,0)"),69.0)</f>
        <v>69</v>
      </c>
      <c r="BL104" s="185" t="str">
        <f t="shared" ref="BL104:BM104" si="322">IF($D104,"🔒",)</f>
        <v/>
      </c>
      <c r="BM104" s="185" t="str">
        <f t="shared" si="322"/>
        <v/>
      </c>
      <c r="BN104" s="204">
        <f>VLOOKUP(T104,'🔒 Доп. информация'!J:P,7,false)</f>
        <v>50</v>
      </c>
      <c r="BO104" s="204">
        <f>IF(AV104=data!A$9,
(AA104+AO104+AP104+BJ104+BK104+BN104)+H104*AS104,
(BJ104+BK104+BN104)+H104*AS104
)</f>
        <v>119</v>
      </c>
      <c r="BP104" s="204">
        <f t="shared" si="26"/>
        <v>69</v>
      </c>
      <c r="BQ104" s="204">
        <f t="shared" si="27"/>
        <v>320</v>
      </c>
      <c r="BR104" s="204" t="str">
        <f t="shared" si="37"/>
        <v>#N/A</v>
      </c>
      <c r="BS104" s="204" t="str">
        <f t="array" ref="BS104">IF(VLOOKUP(AT104,{'▶️ Инструкция'!C:C,'▶️ Инструкция'!Y:Y},2,FALSE)=data!A$15,
H104*(1-I104),
(H104-BR104))
*VLOOKUP(AT104,{'▶️ Инструкция'!C:C,'▶️ Инструкция'!AD:AD},2,FALSE)/(1+VLOOKUP(AT104,{'▶️ Инструкция'!C:C,'▶️ Инструкция'!AD:AD},2,FALSE))</f>
        <v>#N/A</v>
      </c>
      <c r="BT104" s="204" t="str">
        <f t="array" ref="BT104">
IF(VLOOKUP(AT104,{'▶️ Инструкция'!C:C,'▶️ Инструкция'!Y:Y},2,FALSE)=data!A$15,
H104*(1-I104)-BS104,
(H104-BR104-BS104))
*
VLOOKUP(AT104,{'▶️ Инструкция'!C:C,'▶️ Инструкция'!R:R},2,FALSE)
+BS104</f>
        <v>#N/A</v>
      </c>
      <c r="BU104" s="204" t="str">
        <f>(G104*AR104)+if(AV104=data!A$9,AO104,AN104)+AP104+BR104+BT104</f>
        <v>#N/A</v>
      </c>
      <c r="BV104" s="204" t="str">
        <f>(G104*AR104)+if(AV104=data!A$9,AO104,AN104)+AP104+BT104+G104</f>
        <v>#N/A</v>
      </c>
      <c r="BW104" s="204" t="str">
        <f t="shared" si="28"/>
        <v>#N/A</v>
      </c>
      <c r="BX104" s="204" t="str">
        <f t="shared" si="29"/>
        <v>#N/A</v>
      </c>
    </row>
    <row r="105">
      <c r="A105" s="165" t="str">
        <f>if(D105=true,if(F105=data!A$1,data!A$10,data!A$11),)</f>
        <v/>
      </c>
      <c r="B105" s="166" t="str">
        <f t="shared" si="4"/>
        <v>FBS</v>
      </c>
      <c r="C105" s="167" t="s">
        <v>195</v>
      </c>
      <c r="D105" s="168" t="b">
        <v>0</v>
      </c>
      <c r="E105" s="169" t="s">
        <v>204</v>
      </c>
      <c r="F105" s="170" t="str">
        <f t="array" ref="F105">IF(D105=TRUE,IF(IF(BG$3=VLOOKUP(AT105,{'▶️ Инструкция'!C:C,'▶️ Инструкция'!G:G},2,FALSE),BG105,BH105)&gt;VLOOKUP(AT105,{'▶️ Инструкция'!C:C,'▶️ Инструкция'!N:N},2,FALSE),data!A$1,data!A$2),)</f>
        <v/>
      </c>
      <c r="G105" s="171">
        <v>0.0</v>
      </c>
      <c r="H105" s="172">
        <v>1000.0</v>
      </c>
      <c r="I105" s="173">
        <v>0.0</v>
      </c>
      <c r="J105" s="173">
        <v>0.0</v>
      </c>
      <c r="K105" s="174" t="str">
        <f t="shared" si="5"/>
        <v/>
      </c>
      <c r="L105" s="175">
        <v>0.0</v>
      </c>
      <c r="M105" s="176" t="s">
        <v>197</v>
      </c>
      <c r="N105" s="177">
        <f>IFERROR(__xludf.DUMMYFUNCTION("ArrayFormula(let(category,VLOOKUP($M105, {'📄 Комиссии'!$C:$C , '📄 Комиссии'!$B:$B}, 2, 0),
data,MATCH('🔒 Доп. информация'!$J$15:$J203,TRANSPOSE(SPLIT(INDEX('▶️ Инструкция'!$Q:$Q,MATCH($AT105,'▶️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commission,VLOOKUP($M105,'📄 Комиссии'!$C:$E,IF($AV105=data!A$8,2,3),0),
IF(NOT(ISBLANK($M105)),commission/100+
"&amp;"IFERROR(VLOOKUP($AT105,{'▶️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05" s="178" t="str">
        <f t="shared" si="6"/>
        <v/>
      </c>
      <c r="Q105" s="178" t="str">
        <f t="shared" si="7"/>
        <v/>
      </c>
      <c r="S105" s="179" t="s">
        <v>192</v>
      </c>
      <c r="T105" s="180" t="s">
        <v>193</v>
      </c>
      <c r="U105" s="181">
        <v>1.0</v>
      </c>
      <c r="V105" s="182" t="str">
        <f t="shared" ref="V105:Y105" si="323">IF($D105,"🔒",)</f>
        <v/>
      </c>
      <c r="W105" s="182" t="str">
        <f t="shared" si="323"/>
        <v/>
      </c>
      <c r="X105" s="182" t="str">
        <f t="shared" si="323"/>
        <v/>
      </c>
      <c r="Y105" s="182" t="str">
        <f t="shared" si="323"/>
        <v/>
      </c>
      <c r="Z105" s="183">
        <v>0.0</v>
      </c>
      <c r="AA105" s="184">
        <f t="shared" si="31"/>
        <v>0</v>
      </c>
      <c r="AB105" s="185" t="str">
        <f t="shared" ref="AB105:AD105" si="324">IF($D105,"🔒",)</f>
        <v/>
      </c>
      <c r="AC105" s="185" t="str">
        <f t="shared" si="324"/>
        <v/>
      </c>
      <c r="AD105" s="186" t="str">
        <f t="shared" si="324"/>
        <v/>
      </c>
      <c r="AE105" s="180">
        <v>30.0</v>
      </c>
      <c r="AF105" s="187">
        <v>0.0</v>
      </c>
      <c r="AG105" s="187">
        <v>0.0</v>
      </c>
      <c r="AH105" s="187">
        <v>0.0</v>
      </c>
      <c r="AI105" s="181">
        <f t="shared" si="10"/>
        <v>0</v>
      </c>
      <c r="AJ105" s="181">
        <f t="shared" si="11"/>
        <v>0</v>
      </c>
      <c r="AK105" s="185" t="str">
        <f t="shared" si="12"/>
        <v/>
      </c>
      <c r="AL105" s="188" t="str">
        <f t="array" ref="AL105">H105*(1-I105)*VLOOKUP(AT105,{'▶️ Инструкция'!C:C,'▶️ Инструкция'!AI:AI},2,false)</f>
        <v>#N/A</v>
      </c>
      <c r="AM105" s="186" t="str">
        <f t="shared" si="13"/>
        <v/>
      </c>
      <c r="AN105" s="189">
        <v>0.0</v>
      </c>
      <c r="AO105" s="189">
        <v>0.0</v>
      </c>
      <c r="AP105" s="189">
        <v>0.0</v>
      </c>
      <c r="AQ105" s="191">
        <v>1.0</v>
      </c>
      <c r="AR105" s="191">
        <v>0.0</v>
      </c>
      <c r="AS105" s="212">
        <v>0.0</v>
      </c>
      <c r="AT105" s="193" t="s">
        <v>206</v>
      </c>
      <c r="AU105" s="193" t="s">
        <v>121</v>
      </c>
      <c r="AV105" s="193" t="s">
        <v>199</v>
      </c>
      <c r="AW105" s="194">
        <f t="shared" si="14"/>
        <v>0</v>
      </c>
      <c r="AX105" s="195">
        <f t="shared" si="15"/>
        <v>0</v>
      </c>
      <c r="AY105" s="196" t="str">
        <f t="shared" si="16"/>
        <v>#N/A</v>
      </c>
      <c r="AZ105" s="213">
        <v>250.0</v>
      </c>
      <c r="BA105" s="196">
        <f t="shared" si="17"/>
        <v>0.25</v>
      </c>
      <c r="BB105" s="213">
        <f t="shared" si="18"/>
        <v>1000</v>
      </c>
      <c r="BC105" s="199" t="str">
        <f t="shared" si="19"/>
        <v>#N/A</v>
      </c>
      <c r="BD105" s="200" t="str">
        <f t="shared" si="20"/>
        <v>#N/A</v>
      </c>
      <c r="BE105" s="200">
        <f t="shared" si="21"/>
        <v>0</v>
      </c>
      <c r="BF105" s="201" t="str">
        <f t="shared" si="22"/>
        <v/>
      </c>
      <c r="BG105" s="201" t="str">
        <f t="shared" si="23"/>
        <v/>
      </c>
      <c r="BH105" s="202" t="str">
        <f t="shared" si="24"/>
        <v/>
      </c>
      <c r="BI105" s="203"/>
      <c r="BJ105" s="204">
        <f>IFERROR(__xludf.DUMMYFUNCTION("IF(AU105=data!A$5,
IF(AV105=data!A$8,
IF(T105=data!A$3,
VLOOKUP(S105,filter('🔒 Доп. информация'!D:H,'🔒 Доп. информация'!C:C=T105),4,FALSE)+VLOOKUP(S105,filter('🔒 Доп. информация'!D:H,'🔒 Доп. информация'!C:C=T105),5,FALSE)*AJ105,
IF(AND(MAX(AF105:AH105"&amp;")&lt;80,SUM(AF105:AH105)&lt;=160,AI105&lt;20,XLOOKUP(M105,'📄 Комиссии'!C:C,'📄 Комиссии'!B:B)&lt;&gt;""Продукты""),
VLOOKUP(S105,filter('🔒 Доп. информация'!D:H,'🔒 Доп. информация'!C:C=data!$A$3),4,FALSE)+VLOOKUP(S105,filter('🔒 Доп. информация'!D:H,'🔒 Доп. информаци"&amp;"я'!C:C=data!$A$3),5,FALSE)*AJ105,
VLOOKUP(S105,filter('🔒 Доп. информация'!D:H,'🔒 Доп. информация'!C:C=T105),4,FALSE)*ROUNDUP(AF105*AG105*AH105*L105/(120*80*175))/L105)
)
*(AE105/2)
,)
,)*0"),0.0)</f>
        <v>0</v>
      </c>
      <c r="BK105" s="204">
        <f>IFERROR(__xludf.DUMMYFUNCTION("IF(AU105=data!A$5,
IF(AI105&lt;=1,IF(AI105&lt;=0.8,IF(AI105&lt;=0.6,IF(AI105&lt;=0.4,IF(AI105&lt;=0.2,23,26),29),30),32)*VLOOKUP(S105,filter('🔒 Доп. информация'!D:E,'🔒 Доп. информация'!C:C=T105),2,FALSE)/'🔒 Доп. информация'!$K$9,
IF(AV105=data!A$8,U105,1)*VLOOKUP(S10"&amp;"5,filter('🔒 Доп. информация'!D:E,'🔒 Доп. информация'!C:C=T105),2,FALSE)+
IF(AV105=data!A$8,U105,1)*VLOOKUP(S105,filter('🔒 Доп. информация'!D:F,'🔒 Доп. информация'!C:C=T105),3,FALSE)*AJ105)
,0)"),69.0)</f>
        <v>69</v>
      </c>
      <c r="BL105" s="185" t="str">
        <f t="shared" ref="BL105:BM105" si="325">IF($D105,"🔒",)</f>
        <v/>
      </c>
      <c r="BM105" s="185" t="str">
        <f t="shared" si="325"/>
        <v/>
      </c>
      <c r="BN105" s="204">
        <f>VLOOKUP(T105,'🔒 Доп. информация'!J:P,7,false)</f>
        <v>50</v>
      </c>
      <c r="BO105" s="204">
        <f>IF(AV105=data!A$9,
(AA105+AO105+AP105+BJ105+BK105+BN105)+H105*AS105,
(BJ105+BK105+BN105)+H105*AS105
)</f>
        <v>119</v>
      </c>
      <c r="BP105" s="204">
        <f t="shared" si="26"/>
        <v>69</v>
      </c>
      <c r="BQ105" s="204">
        <f t="shared" si="27"/>
        <v>320</v>
      </c>
      <c r="BR105" s="204" t="str">
        <f t="shared" si="37"/>
        <v>#N/A</v>
      </c>
      <c r="BS105" s="204" t="str">
        <f t="array" ref="BS105">IF(VLOOKUP(AT105,{'▶️ Инструкция'!C:C,'▶️ Инструкция'!Y:Y},2,FALSE)=data!A$15,
H105*(1-I105),
(H105-BR105))
*VLOOKUP(AT105,{'▶️ Инструкция'!C:C,'▶️ Инструкция'!AD:AD},2,FALSE)/(1+VLOOKUP(AT105,{'▶️ Инструкция'!C:C,'▶️ Инструкция'!AD:AD},2,FALSE))</f>
        <v>#N/A</v>
      </c>
      <c r="BT105" s="204" t="str">
        <f t="array" ref="BT105">
IF(VLOOKUP(AT105,{'▶️ Инструкция'!C:C,'▶️ Инструкция'!Y:Y},2,FALSE)=data!A$15,
H105*(1-I105)-BS105,
(H105-BR105-BS105))
*
VLOOKUP(AT105,{'▶️ Инструкция'!C:C,'▶️ Инструкция'!R:R},2,FALSE)
+BS105</f>
        <v>#N/A</v>
      </c>
      <c r="BU105" s="204" t="str">
        <f>(G105*AR105)+if(AV105=data!A$9,AO105,AN105)+AP105+BR105+BT105</f>
        <v>#N/A</v>
      </c>
      <c r="BV105" s="204" t="str">
        <f>(G105*AR105)+if(AV105=data!A$9,AO105,AN105)+AP105+BT105+G105</f>
        <v>#N/A</v>
      </c>
      <c r="BW105" s="204" t="str">
        <f t="shared" si="28"/>
        <v>#N/A</v>
      </c>
      <c r="BX105" s="204" t="str">
        <f t="shared" si="29"/>
        <v>#N/A</v>
      </c>
    </row>
    <row r="106">
      <c r="A106" s="165" t="str">
        <f>if(D106=true,if(F106=data!A$1,data!A$10,data!A$11),)</f>
        <v/>
      </c>
      <c r="B106" s="166" t="str">
        <f t="shared" si="4"/>
        <v>FBS</v>
      </c>
      <c r="C106" s="167" t="s">
        <v>195</v>
      </c>
      <c r="D106" s="168" t="b">
        <v>0</v>
      </c>
      <c r="E106" s="169" t="s">
        <v>204</v>
      </c>
      <c r="F106" s="170" t="str">
        <f t="array" ref="F106">IF(D106=TRUE,IF(IF(BG$3=VLOOKUP(AT106,{'▶️ Инструкция'!C:C,'▶️ Инструкция'!G:G},2,FALSE),BG106,BH106)&gt;VLOOKUP(AT106,{'▶️ Инструкция'!C:C,'▶️ Инструкция'!N:N},2,FALSE),data!A$1,data!A$2),)</f>
        <v/>
      </c>
      <c r="G106" s="171">
        <v>0.0</v>
      </c>
      <c r="H106" s="172">
        <v>1000.0</v>
      </c>
      <c r="I106" s="173">
        <v>0.0</v>
      </c>
      <c r="J106" s="173">
        <v>0.0</v>
      </c>
      <c r="K106" s="174" t="str">
        <f t="shared" si="5"/>
        <v/>
      </c>
      <c r="L106" s="175">
        <v>0.0</v>
      </c>
      <c r="M106" s="176" t="s">
        <v>197</v>
      </c>
      <c r="N106" s="177">
        <f>IFERROR(__xludf.DUMMYFUNCTION("ArrayFormula(let(category,VLOOKUP($M106, {'📄 Комиссии'!$C:$C , '📄 Комиссии'!$B:$B}, 2, 0),
data,MATCH('🔒 Доп. информация'!$J$15:$J203,TRANSPOSE(SPLIT(INDEX('▶️ Инструкция'!$Q:$Q,MATCH($AT106,'▶️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commission,VLOOKUP($M106,'📄 Комиссии'!$C:$E,IF($AV106=data!A$8,2,3),0),
IF(NOT(ISBLANK($M106)),commission/100+
"&amp;"IFERROR(VLOOKUP($AT106,{'▶️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06" s="178" t="str">
        <f t="shared" si="6"/>
        <v/>
      </c>
      <c r="Q106" s="178" t="str">
        <f t="shared" si="7"/>
        <v/>
      </c>
      <c r="S106" s="179" t="s">
        <v>192</v>
      </c>
      <c r="T106" s="180" t="s">
        <v>193</v>
      </c>
      <c r="U106" s="181">
        <v>1.0</v>
      </c>
      <c r="V106" s="182" t="str">
        <f t="shared" ref="V106:Y106" si="326">IF($D106,"🔒",)</f>
        <v/>
      </c>
      <c r="W106" s="182" t="str">
        <f t="shared" si="326"/>
        <v/>
      </c>
      <c r="X106" s="182" t="str">
        <f t="shared" si="326"/>
        <v/>
      </c>
      <c r="Y106" s="182" t="str">
        <f t="shared" si="326"/>
        <v/>
      </c>
      <c r="Z106" s="183">
        <v>0.0</v>
      </c>
      <c r="AA106" s="184">
        <f t="shared" si="31"/>
        <v>0</v>
      </c>
      <c r="AB106" s="185" t="str">
        <f t="shared" ref="AB106:AD106" si="327">IF($D106,"🔒",)</f>
        <v/>
      </c>
      <c r="AC106" s="185" t="str">
        <f t="shared" si="327"/>
        <v/>
      </c>
      <c r="AD106" s="186" t="str">
        <f t="shared" si="327"/>
        <v/>
      </c>
      <c r="AE106" s="180">
        <v>30.0</v>
      </c>
      <c r="AF106" s="187">
        <v>0.0</v>
      </c>
      <c r="AG106" s="187">
        <v>0.0</v>
      </c>
      <c r="AH106" s="187">
        <v>0.0</v>
      </c>
      <c r="AI106" s="181">
        <f t="shared" si="10"/>
        <v>0</v>
      </c>
      <c r="AJ106" s="181">
        <f t="shared" si="11"/>
        <v>0</v>
      </c>
      <c r="AK106" s="185" t="str">
        <f t="shared" si="12"/>
        <v/>
      </c>
      <c r="AL106" s="188" t="str">
        <f t="array" ref="AL106">H106*(1-I106)*VLOOKUP(AT106,{'▶️ Инструкция'!C:C,'▶️ Инструкция'!AI:AI},2,false)</f>
        <v>#N/A</v>
      </c>
      <c r="AM106" s="186" t="str">
        <f t="shared" si="13"/>
        <v/>
      </c>
      <c r="AN106" s="189">
        <v>0.0</v>
      </c>
      <c r="AO106" s="189">
        <v>0.0</v>
      </c>
      <c r="AP106" s="189">
        <v>0.0</v>
      </c>
      <c r="AQ106" s="191">
        <v>1.0</v>
      </c>
      <c r="AR106" s="191">
        <v>0.0</v>
      </c>
      <c r="AS106" s="212">
        <v>0.0</v>
      </c>
      <c r="AT106" s="193" t="s">
        <v>206</v>
      </c>
      <c r="AU106" s="193" t="s">
        <v>121</v>
      </c>
      <c r="AV106" s="193" t="s">
        <v>199</v>
      </c>
      <c r="AW106" s="194">
        <f t="shared" si="14"/>
        <v>0</v>
      </c>
      <c r="AX106" s="195">
        <f t="shared" si="15"/>
        <v>0</v>
      </c>
      <c r="AY106" s="196" t="str">
        <f t="shared" si="16"/>
        <v>#N/A</v>
      </c>
      <c r="AZ106" s="213">
        <v>250.0</v>
      </c>
      <c r="BA106" s="196">
        <f t="shared" si="17"/>
        <v>0.25</v>
      </c>
      <c r="BB106" s="213">
        <f t="shared" si="18"/>
        <v>1000</v>
      </c>
      <c r="BC106" s="199" t="str">
        <f t="shared" si="19"/>
        <v>#N/A</v>
      </c>
      <c r="BD106" s="200" t="str">
        <f t="shared" si="20"/>
        <v>#N/A</v>
      </c>
      <c r="BE106" s="200">
        <f t="shared" si="21"/>
        <v>0</v>
      </c>
      <c r="BF106" s="201" t="str">
        <f t="shared" si="22"/>
        <v/>
      </c>
      <c r="BG106" s="201" t="str">
        <f t="shared" si="23"/>
        <v/>
      </c>
      <c r="BH106" s="202" t="str">
        <f t="shared" si="24"/>
        <v/>
      </c>
      <c r="BI106" s="203"/>
      <c r="BJ106" s="204">
        <f>IFERROR(__xludf.DUMMYFUNCTION("IF(AU106=data!A$5,
IF(AV106=data!A$8,
IF(T106=data!A$3,
VLOOKUP(S106,filter('🔒 Доп. информация'!D:H,'🔒 Доп. информация'!C:C=T106),4,FALSE)+VLOOKUP(S106,filter('🔒 Доп. информация'!D:H,'🔒 Доп. информация'!C:C=T106),5,FALSE)*AJ106,
IF(AND(MAX(AF106:AH106"&amp;")&lt;80,SUM(AF106:AH106)&lt;=160,AI106&lt;20,XLOOKUP(M106,'📄 Комиссии'!C:C,'📄 Комиссии'!B:B)&lt;&gt;""Продукты""),
VLOOKUP(S106,filter('🔒 Доп. информация'!D:H,'🔒 Доп. информация'!C:C=data!$A$3),4,FALSE)+VLOOKUP(S106,filter('🔒 Доп. информация'!D:H,'🔒 Доп. информаци"&amp;"я'!C:C=data!$A$3),5,FALSE)*AJ106,
VLOOKUP(S106,filter('🔒 Доп. информация'!D:H,'🔒 Доп. информация'!C:C=T106),4,FALSE)*ROUNDUP(AF106*AG106*AH106*L106/(120*80*175))/L106)
)
*(AE106/2)
,)
,)*0"),0.0)</f>
        <v>0</v>
      </c>
      <c r="BK106" s="204">
        <f>IFERROR(__xludf.DUMMYFUNCTION("IF(AU106=data!A$5,
IF(AI106&lt;=1,IF(AI106&lt;=0.8,IF(AI106&lt;=0.6,IF(AI106&lt;=0.4,IF(AI106&lt;=0.2,23,26),29),30),32)*VLOOKUP(S106,filter('🔒 Доп. информация'!D:E,'🔒 Доп. информация'!C:C=T106),2,FALSE)/'🔒 Доп. информация'!$K$9,
IF(AV106=data!A$8,U106,1)*VLOOKUP(S10"&amp;"6,filter('🔒 Доп. информация'!D:E,'🔒 Доп. информация'!C:C=T106),2,FALSE)+
IF(AV106=data!A$8,U106,1)*VLOOKUP(S106,filter('🔒 Доп. информация'!D:F,'🔒 Доп. информация'!C:C=T106),3,FALSE)*AJ106)
,0)"),69.0)</f>
        <v>69</v>
      </c>
      <c r="BL106" s="185" t="str">
        <f t="shared" ref="BL106:BM106" si="328">IF($D106,"🔒",)</f>
        <v/>
      </c>
      <c r="BM106" s="185" t="str">
        <f t="shared" si="328"/>
        <v/>
      </c>
      <c r="BN106" s="204">
        <f>VLOOKUP(T106,'🔒 Доп. информация'!J:P,7,false)</f>
        <v>50</v>
      </c>
      <c r="BO106" s="204">
        <f>IF(AV106=data!A$9,
(AA106+AO106+AP106+BJ106+BK106+BN106)+H106*AS106,
(BJ106+BK106+BN106)+H106*AS106
)</f>
        <v>119</v>
      </c>
      <c r="BP106" s="204">
        <f t="shared" si="26"/>
        <v>69</v>
      </c>
      <c r="BQ106" s="204">
        <f t="shared" si="27"/>
        <v>320</v>
      </c>
      <c r="BR106" s="204" t="str">
        <f t="shared" si="37"/>
        <v>#N/A</v>
      </c>
      <c r="BS106" s="204" t="str">
        <f t="array" ref="BS106">IF(VLOOKUP(AT106,{'▶️ Инструкция'!C:C,'▶️ Инструкция'!Y:Y},2,FALSE)=data!A$15,
H106*(1-I106),
(H106-BR106))
*VLOOKUP(AT106,{'▶️ Инструкция'!C:C,'▶️ Инструкция'!AD:AD},2,FALSE)/(1+VLOOKUP(AT106,{'▶️ Инструкция'!C:C,'▶️ Инструкция'!AD:AD},2,FALSE))</f>
        <v>#N/A</v>
      </c>
      <c r="BT106" s="204" t="str">
        <f t="array" ref="BT106">
IF(VLOOKUP(AT106,{'▶️ Инструкция'!C:C,'▶️ Инструкция'!Y:Y},2,FALSE)=data!A$15,
H106*(1-I106)-BS106,
(H106-BR106-BS106))
*
VLOOKUP(AT106,{'▶️ Инструкция'!C:C,'▶️ Инструкция'!R:R},2,FALSE)
+BS106</f>
        <v>#N/A</v>
      </c>
      <c r="BU106" s="204" t="str">
        <f>(G106*AR106)+if(AV106=data!A$9,AO106,AN106)+AP106+BR106+BT106</f>
        <v>#N/A</v>
      </c>
      <c r="BV106" s="204" t="str">
        <f>(G106*AR106)+if(AV106=data!A$9,AO106,AN106)+AP106+BT106+G106</f>
        <v>#N/A</v>
      </c>
      <c r="BW106" s="204" t="str">
        <f t="shared" si="28"/>
        <v>#N/A</v>
      </c>
      <c r="BX106" s="204" t="str">
        <f t="shared" si="29"/>
        <v>#N/A</v>
      </c>
    </row>
    <row r="107">
      <c r="A107" s="165" t="str">
        <f>if(D107=true,if(F107=data!A$1,data!A$10,data!A$11),)</f>
        <v/>
      </c>
      <c r="B107" s="166" t="str">
        <f t="shared" si="4"/>
        <v>FBS</v>
      </c>
      <c r="C107" s="167" t="s">
        <v>195</v>
      </c>
      <c r="D107" s="168" t="b">
        <v>0</v>
      </c>
      <c r="E107" s="169" t="s">
        <v>204</v>
      </c>
      <c r="F107" s="170" t="str">
        <f t="array" ref="F107">IF(D107=TRUE,IF(IF(BG$3=VLOOKUP(AT107,{'▶️ Инструкция'!C:C,'▶️ Инструкция'!G:G},2,FALSE),BG107,BH107)&gt;VLOOKUP(AT107,{'▶️ Инструкция'!C:C,'▶️ Инструкция'!N:N},2,FALSE),data!A$1,data!A$2),)</f>
        <v/>
      </c>
      <c r="G107" s="171">
        <v>0.0</v>
      </c>
      <c r="H107" s="172">
        <v>1000.0</v>
      </c>
      <c r="I107" s="173">
        <v>0.0</v>
      </c>
      <c r="J107" s="173">
        <v>0.0</v>
      </c>
      <c r="K107" s="174" t="str">
        <f t="shared" si="5"/>
        <v/>
      </c>
      <c r="L107" s="175">
        <v>0.0</v>
      </c>
      <c r="M107" s="176" t="s">
        <v>197</v>
      </c>
      <c r="N107" s="177">
        <f>IFERROR(__xludf.DUMMYFUNCTION("ArrayFormula(let(category,VLOOKUP($M107, {'📄 Комиссии'!$C:$C , '📄 Комиссии'!$B:$B}, 2, 0),
data,MATCH('🔒 Доп. информация'!$J$15:$J203,TRANSPOSE(SPLIT(INDEX('▶️ Инструкция'!$Q:$Q,MATCH($AT107,'▶️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commission,VLOOKUP($M107,'📄 Комиссии'!$C:$E,IF($AV107=data!A$8,2,3),0),
IF(NOT(ISBLANK($M107)),commission/100+
"&amp;"IFERROR(VLOOKUP($AT107,{'▶️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07" s="178" t="str">
        <f t="shared" si="6"/>
        <v/>
      </c>
      <c r="Q107" s="178" t="str">
        <f t="shared" si="7"/>
        <v/>
      </c>
      <c r="S107" s="179" t="s">
        <v>192</v>
      </c>
      <c r="T107" s="180" t="s">
        <v>193</v>
      </c>
      <c r="U107" s="181">
        <v>1.0</v>
      </c>
      <c r="V107" s="182" t="str">
        <f t="shared" ref="V107:Y107" si="329">IF($D107,"🔒",)</f>
        <v/>
      </c>
      <c r="W107" s="182" t="str">
        <f t="shared" si="329"/>
        <v/>
      </c>
      <c r="X107" s="182" t="str">
        <f t="shared" si="329"/>
        <v/>
      </c>
      <c r="Y107" s="182" t="str">
        <f t="shared" si="329"/>
        <v/>
      </c>
      <c r="Z107" s="183">
        <v>0.0</v>
      </c>
      <c r="AA107" s="184">
        <f t="shared" si="31"/>
        <v>0</v>
      </c>
      <c r="AB107" s="185" t="str">
        <f t="shared" ref="AB107:AD107" si="330">IF($D107,"🔒",)</f>
        <v/>
      </c>
      <c r="AC107" s="185" t="str">
        <f t="shared" si="330"/>
        <v/>
      </c>
      <c r="AD107" s="186" t="str">
        <f t="shared" si="330"/>
        <v/>
      </c>
      <c r="AE107" s="180">
        <v>30.0</v>
      </c>
      <c r="AF107" s="187">
        <v>0.0</v>
      </c>
      <c r="AG107" s="187">
        <v>0.0</v>
      </c>
      <c r="AH107" s="187">
        <v>0.0</v>
      </c>
      <c r="AI107" s="181">
        <f t="shared" si="10"/>
        <v>0</v>
      </c>
      <c r="AJ107" s="181">
        <f t="shared" si="11"/>
        <v>0</v>
      </c>
      <c r="AK107" s="185" t="str">
        <f t="shared" si="12"/>
        <v/>
      </c>
      <c r="AL107" s="188" t="str">
        <f t="array" ref="AL107">H107*(1-I107)*VLOOKUP(AT107,{'▶️ Инструкция'!C:C,'▶️ Инструкция'!AI:AI},2,false)</f>
        <v>#N/A</v>
      </c>
      <c r="AM107" s="186" t="str">
        <f t="shared" si="13"/>
        <v/>
      </c>
      <c r="AN107" s="189">
        <v>0.0</v>
      </c>
      <c r="AO107" s="189">
        <v>0.0</v>
      </c>
      <c r="AP107" s="189">
        <v>0.0</v>
      </c>
      <c r="AQ107" s="191">
        <v>1.0</v>
      </c>
      <c r="AR107" s="191">
        <v>0.0</v>
      </c>
      <c r="AS107" s="212">
        <v>0.0</v>
      </c>
      <c r="AT107" s="193" t="s">
        <v>206</v>
      </c>
      <c r="AU107" s="193" t="s">
        <v>121</v>
      </c>
      <c r="AV107" s="193" t="s">
        <v>199</v>
      </c>
      <c r="AW107" s="194">
        <f t="shared" si="14"/>
        <v>0</v>
      </c>
      <c r="AX107" s="195">
        <f t="shared" si="15"/>
        <v>0</v>
      </c>
      <c r="AY107" s="196" t="str">
        <f t="shared" si="16"/>
        <v>#N/A</v>
      </c>
      <c r="AZ107" s="213">
        <v>250.0</v>
      </c>
      <c r="BA107" s="196">
        <f t="shared" si="17"/>
        <v>0.25</v>
      </c>
      <c r="BB107" s="213">
        <f t="shared" si="18"/>
        <v>1000</v>
      </c>
      <c r="BC107" s="199" t="str">
        <f t="shared" si="19"/>
        <v>#N/A</v>
      </c>
      <c r="BD107" s="200" t="str">
        <f t="shared" si="20"/>
        <v>#N/A</v>
      </c>
      <c r="BE107" s="200">
        <f t="shared" si="21"/>
        <v>0</v>
      </c>
      <c r="BF107" s="201" t="str">
        <f t="shared" si="22"/>
        <v/>
      </c>
      <c r="BG107" s="201" t="str">
        <f t="shared" si="23"/>
        <v/>
      </c>
      <c r="BH107" s="202" t="str">
        <f t="shared" si="24"/>
        <v/>
      </c>
      <c r="BI107" s="203"/>
      <c r="BJ107" s="204">
        <f>IFERROR(__xludf.DUMMYFUNCTION("IF(AU107=data!A$5,
IF(AV107=data!A$8,
IF(T107=data!A$3,
VLOOKUP(S107,filter('🔒 Доп. информация'!D:H,'🔒 Доп. информация'!C:C=T107),4,FALSE)+VLOOKUP(S107,filter('🔒 Доп. информация'!D:H,'🔒 Доп. информация'!C:C=T107),5,FALSE)*AJ107,
IF(AND(MAX(AF107:AH107"&amp;")&lt;80,SUM(AF107:AH107)&lt;=160,AI107&lt;20,XLOOKUP(M107,'📄 Комиссии'!C:C,'📄 Комиссии'!B:B)&lt;&gt;""Продукты""),
VLOOKUP(S107,filter('🔒 Доп. информация'!D:H,'🔒 Доп. информация'!C:C=data!$A$3),4,FALSE)+VLOOKUP(S107,filter('🔒 Доп. информация'!D:H,'🔒 Доп. информаци"&amp;"я'!C:C=data!$A$3),5,FALSE)*AJ107,
VLOOKUP(S107,filter('🔒 Доп. информация'!D:H,'🔒 Доп. информация'!C:C=T107),4,FALSE)*ROUNDUP(AF107*AG107*AH107*L107/(120*80*175))/L107)
)
*(AE107/2)
,)
,)*0"),0.0)</f>
        <v>0</v>
      </c>
      <c r="BK107" s="204">
        <f>IFERROR(__xludf.DUMMYFUNCTION("IF(AU107=data!A$5,
IF(AI107&lt;=1,IF(AI107&lt;=0.8,IF(AI107&lt;=0.6,IF(AI107&lt;=0.4,IF(AI107&lt;=0.2,23,26),29),30),32)*VLOOKUP(S107,filter('🔒 Доп. информация'!D:E,'🔒 Доп. информация'!C:C=T107),2,FALSE)/'🔒 Доп. информация'!$K$9,
IF(AV107=data!A$8,U107,1)*VLOOKUP(S10"&amp;"7,filter('🔒 Доп. информация'!D:E,'🔒 Доп. информация'!C:C=T107),2,FALSE)+
IF(AV107=data!A$8,U107,1)*VLOOKUP(S107,filter('🔒 Доп. информация'!D:F,'🔒 Доп. информация'!C:C=T107),3,FALSE)*AJ107)
,0)"),69.0)</f>
        <v>69</v>
      </c>
      <c r="BL107" s="185" t="str">
        <f t="shared" ref="BL107:BM107" si="331">IF($D107,"🔒",)</f>
        <v/>
      </c>
      <c r="BM107" s="185" t="str">
        <f t="shared" si="331"/>
        <v/>
      </c>
      <c r="BN107" s="204">
        <f>VLOOKUP(T107,'🔒 Доп. информация'!J:P,7,false)</f>
        <v>50</v>
      </c>
      <c r="BO107" s="204">
        <f>IF(AV107=data!A$9,
(AA107+AO107+AP107+BJ107+BK107+BN107)+H107*AS107,
(BJ107+BK107+BN107)+H107*AS107
)</f>
        <v>119</v>
      </c>
      <c r="BP107" s="204">
        <f t="shared" si="26"/>
        <v>69</v>
      </c>
      <c r="BQ107" s="204">
        <f t="shared" si="27"/>
        <v>320</v>
      </c>
      <c r="BR107" s="204" t="str">
        <f t="shared" si="37"/>
        <v>#N/A</v>
      </c>
      <c r="BS107" s="204" t="str">
        <f t="array" ref="BS107">IF(VLOOKUP(AT107,{'▶️ Инструкция'!C:C,'▶️ Инструкция'!Y:Y},2,FALSE)=data!A$15,
H107*(1-I107),
(H107-BR107))
*VLOOKUP(AT107,{'▶️ Инструкция'!C:C,'▶️ Инструкция'!AD:AD},2,FALSE)/(1+VLOOKUP(AT107,{'▶️ Инструкция'!C:C,'▶️ Инструкция'!AD:AD},2,FALSE))</f>
        <v>#N/A</v>
      </c>
      <c r="BT107" s="204" t="str">
        <f t="array" ref="BT107">
IF(VLOOKUP(AT107,{'▶️ Инструкция'!C:C,'▶️ Инструкция'!Y:Y},2,FALSE)=data!A$15,
H107*(1-I107)-BS107,
(H107-BR107-BS107))
*
VLOOKUP(AT107,{'▶️ Инструкция'!C:C,'▶️ Инструкция'!R:R},2,FALSE)
+BS107</f>
        <v>#N/A</v>
      </c>
      <c r="BU107" s="204" t="str">
        <f>(G107*AR107)+if(AV107=data!A$9,AO107,AN107)+AP107+BR107+BT107</f>
        <v>#N/A</v>
      </c>
      <c r="BV107" s="204" t="str">
        <f>(G107*AR107)+if(AV107=data!A$9,AO107,AN107)+AP107+BT107+G107</f>
        <v>#N/A</v>
      </c>
      <c r="BW107" s="204" t="str">
        <f t="shared" si="28"/>
        <v>#N/A</v>
      </c>
      <c r="BX107" s="204" t="str">
        <f t="shared" si="29"/>
        <v>#N/A</v>
      </c>
    </row>
    <row r="108">
      <c r="A108" s="165" t="str">
        <f>if(D108=true,if(F108=data!A$1,data!A$10,data!A$11),)</f>
        <v/>
      </c>
      <c r="B108" s="166" t="str">
        <f t="shared" si="4"/>
        <v>FBS</v>
      </c>
      <c r="C108" s="167" t="s">
        <v>195</v>
      </c>
      <c r="D108" s="168" t="b">
        <v>0</v>
      </c>
      <c r="E108" s="169" t="s">
        <v>204</v>
      </c>
      <c r="F108" s="170" t="str">
        <f t="array" ref="F108">IF(D108=TRUE,IF(IF(BG$3=VLOOKUP(AT108,{'▶️ Инструкция'!C:C,'▶️ Инструкция'!G:G},2,FALSE),BG108,BH108)&gt;VLOOKUP(AT108,{'▶️ Инструкция'!C:C,'▶️ Инструкция'!N:N},2,FALSE),data!A$1,data!A$2),)</f>
        <v/>
      </c>
      <c r="G108" s="171">
        <v>0.0</v>
      </c>
      <c r="H108" s="172">
        <v>1000.0</v>
      </c>
      <c r="I108" s="173">
        <v>0.0</v>
      </c>
      <c r="J108" s="173">
        <v>0.0</v>
      </c>
      <c r="K108" s="174" t="str">
        <f t="shared" si="5"/>
        <v/>
      </c>
      <c r="L108" s="175">
        <v>0.0</v>
      </c>
      <c r="M108" s="176" t="s">
        <v>197</v>
      </c>
      <c r="N108" s="177">
        <f>IFERROR(__xludf.DUMMYFUNCTION("ArrayFormula(let(category,VLOOKUP($M108, {'📄 Комиссии'!$C:$C , '📄 Комиссии'!$B:$B}, 2, 0),
data,MATCH('🔒 Доп. информация'!$J$15:$J203,TRANSPOSE(SPLIT(INDEX('▶️ Инструкция'!$Q:$Q,MATCH($AT108,'▶️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commission,VLOOKUP($M108,'📄 Комиссии'!$C:$E,IF($AV108=data!A$8,2,3),0),
IF(NOT(ISBLANK($M108)),commission/100+
"&amp;"IFERROR(VLOOKUP($AT108,{'▶️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08" s="178" t="str">
        <f t="shared" si="6"/>
        <v/>
      </c>
      <c r="Q108" s="178" t="str">
        <f t="shared" si="7"/>
        <v/>
      </c>
      <c r="S108" s="179" t="s">
        <v>192</v>
      </c>
      <c r="T108" s="180" t="s">
        <v>193</v>
      </c>
      <c r="U108" s="181">
        <v>1.0</v>
      </c>
      <c r="V108" s="182" t="str">
        <f t="shared" ref="V108:Y108" si="332">IF($D108,"🔒",)</f>
        <v/>
      </c>
      <c r="W108" s="182" t="str">
        <f t="shared" si="332"/>
        <v/>
      </c>
      <c r="X108" s="182" t="str">
        <f t="shared" si="332"/>
        <v/>
      </c>
      <c r="Y108" s="182" t="str">
        <f t="shared" si="332"/>
        <v/>
      </c>
      <c r="Z108" s="183">
        <v>0.0</v>
      </c>
      <c r="AA108" s="184">
        <f t="shared" si="31"/>
        <v>0</v>
      </c>
      <c r="AB108" s="185" t="str">
        <f t="shared" ref="AB108:AD108" si="333">IF($D108,"🔒",)</f>
        <v/>
      </c>
      <c r="AC108" s="185" t="str">
        <f t="shared" si="333"/>
        <v/>
      </c>
      <c r="AD108" s="186" t="str">
        <f t="shared" si="333"/>
        <v/>
      </c>
      <c r="AE108" s="180">
        <v>30.0</v>
      </c>
      <c r="AF108" s="187">
        <v>0.0</v>
      </c>
      <c r="AG108" s="187">
        <v>0.0</v>
      </c>
      <c r="AH108" s="187">
        <v>0.0</v>
      </c>
      <c r="AI108" s="181">
        <f t="shared" si="10"/>
        <v>0</v>
      </c>
      <c r="AJ108" s="181">
        <f t="shared" si="11"/>
        <v>0</v>
      </c>
      <c r="AK108" s="185" t="str">
        <f t="shared" si="12"/>
        <v/>
      </c>
      <c r="AL108" s="188" t="str">
        <f t="array" ref="AL108">H108*(1-I108)*VLOOKUP(AT108,{'▶️ Инструкция'!C:C,'▶️ Инструкция'!AI:AI},2,false)</f>
        <v>#N/A</v>
      </c>
      <c r="AM108" s="186" t="str">
        <f t="shared" si="13"/>
        <v/>
      </c>
      <c r="AN108" s="189">
        <v>0.0</v>
      </c>
      <c r="AO108" s="189">
        <v>0.0</v>
      </c>
      <c r="AP108" s="189">
        <v>0.0</v>
      </c>
      <c r="AQ108" s="191">
        <v>1.0</v>
      </c>
      <c r="AR108" s="191">
        <v>0.0</v>
      </c>
      <c r="AS108" s="212">
        <v>0.0</v>
      </c>
      <c r="AT108" s="193" t="s">
        <v>206</v>
      </c>
      <c r="AU108" s="193" t="s">
        <v>121</v>
      </c>
      <c r="AV108" s="193" t="s">
        <v>199</v>
      </c>
      <c r="AW108" s="194">
        <f t="shared" si="14"/>
        <v>0</v>
      </c>
      <c r="AX108" s="195">
        <f t="shared" si="15"/>
        <v>0</v>
      </c>
      <c r="AY108" s="196" t="str">
        <f t="shared" si="16"/>
        <v>#N/A</v>
      </c>
      <c r="AZ108" s="213">
        <v>250.0</v>
      </c>
      <c r="BA108" s="196">
        <f t="shared" si="17"/>
        <v>0.25</v>
      </c>
      <c r="BB108" s="213">
        <f t="shared" si="18"/>
        <v>1000</v>
      </c>
      <c r="BC108" s="199" t="str">
        <f t="shared" si="19"/>
        <v>#N/A</v>
      </c>
      <c r="BD108" s="200" t="str">
        <f t="shared" si="20"/>
        <v>#N/A</v>
      </c>
      <c r="BE108" s="200">
        <f t="shared" si="21"/>
        <v>0</v>
      </c>
      <c r="BF108" s="201" t="str">
        <f t="shared" si="22"/>
        <v/>
      </c>
      <c r="BG108" s="201" t="str">
        <f t="shared" si="23"/>
        <v/>
      </c>
      <c r="BH108" s="202" t="str">
        <f t="shared" si="24"/>
        <v/>
      </c>
      <c r="BI108" s="203"/>
      <c r="BJ108" s="204">
        <f>IFERROR(__xludf.DUMMYFUNCTION("IF(AU108=data!A$5,
IF(AV108=data!A$8,
IF(T108=data!A$3,
VLOOKUP(S108,filter('🔒 Доп. информация'!D:H,'🔒 Доп. информация'!C:C=T108),4,FALSE)+VLOOKUP(S108,filter('🔒 Доп. информация'!D:H,'🔒 Доп. информация'!C:C=T108),5,FALSE)*AJ108,
IF(AND(MAX(AF108:AH108"&amp;")&lt;80,SUM(AF108:AH108)&lt;=160,AI108&lt;20,XLOOKUP(M108,'📄 Комиссии'!C:C,'📄 Комиссии'!B:B)&lt;&gt;""Продукты""),
VLOOKUP(S108,filter('🔒 Доп. информация'!D:H,'🔒 Доп. информация'!C:C=data!$A$3),4,FALSE)+VLOOKUP(S108,filter('🔒 Доп. информация'!D:H,'🔒 Доп. информаци"&amp;"я'!C:C=data!$A$3),5,FALSE)*AJ108,
VLOOKUP(S108,filter('🔒 Доп. информация'!D:H,'🔒 Доп. информация'!C:C=T108),4,FALSE)*ROUNDUP(AF108*AG108*AH108*L108/(120*80*175))/L108)
)
*(AE108/2)
,)
,)*0"),0.0)</f>
        <v>0</v>
      </c>
      <c r="BK108" s="204">
        <f>IFERROR(__xludf.DUMMYFUNCTION("IF(AU108=data!A$5,
IF(AI108&lt;=1,IF(AI108&lt;=0.8,IF(AI108&lt;=0.6,IF(AI108&lt;=0.4,IF(AI108&lt;=0.2,23,26),29),30),32)*VLOOKUP(S108,filter('🔒 Доп. информация'!D:E,'🔒 Доп. информация'!C:C=T108),2,FALSE)/'🔒 Доп. информация'!$K$9,
IF(AV108=data!A$8,U108,1)*VLOOKUP(S10"&amp;"8,filter('🔒 Доп. информация'!D:E,'🔒 Доп. информация'!C:C=T108),2,FALSE)+
IF(AV108=data!A$8,U108,1)*VLOOKUP(S108,filter('🔒 Доп. информация'!D:F,'🔒 Доп. информация'!C:C=T108),3,FALSE)*AJ108)
,0)"),69.0)</f>
        <v>69</v>
      </c>
      <c r="BL108" s="185" t="str">
        <f t="shared" ref="BL108:BM108" si="334">IF($D108,"🔒",)</f>
        <v/>
      </c>
      <c r="BM108" s="185" t="str">
        <f t="shared" si="334"/>
        <v/>
      </c>
      <c r="BN108" s="204">
        <f>VLOOKUP(T108,'🔒 Доп. информация'!J:P,7,false)</f>
        <v>50</v>
      </c>
      <c r="BO108" s="204">
        <f>IF(AV108=data!A$9,
(AA108+AO108+AP108+BJ108+BK108+BN108)+H108*AS108,
(BJ108+BK108+BN108)+H108*AS108
)</f>
        <v>119</v>
      </c>
      <c r="BP108" s="204">
        <f t="shared" si="26"/>
        <v>69</v>
      </c>
      <c r="BQ108" s="204">
        <f t="shared" si="27"/>
        <v>320</v>
      </c>
      <c r="BR108" s="204" t="str">
        <f t="shared" si="37"/>
        <v>#N/A</v>
      </c>
      <c r="BS108" s="204" t="str">
        <f t="array" ref="BS108">IF(VLOOKUP(AT108,{'▶️ Инструкция'!C:C,'▶️ Инструкция'!Y:Y},2,FALSE)=data!A$15,
H108*(1-I108),
(H108-BR108))
*VLOOKUP(AT108,{'▶️ Инструкция'!C:C,'▶️ Инструкция'!AD:AD},2,FALSE)/(1+VLOOKUP(AT108,{'▶️ Инструкция'!C:C,'▶️ Инструкция'!AD:AD},2,FALSE))</f>
        <v>#N/A</v>
      </c>
      <c r="BT108" s="204" t="str">
        <f t="array" ref="BT108">
IF(VLOOKUP(AT108,{'▶️ Инструкция'!C:C,'▶️ Инструкция'!Y:Y},2,FALSE)=data!A$15,
H108*(1-I108)-BS108,
(H108-BR108-BS108))
*
VLOOKUP(AT108,{'▶️ Инструкция'!C:C,'▶️ Инструкция'!R:R},2,FALSE)
+BS108</f>
        <v>#N/A</v>
      </c>
      <c r="BU108" s="204" t="str">
        <f>(G108*AR108)+if(AV108=data!A$9,AO108,AN108)+AP108+BR108+BT108</f>
        <v>#N/A</v>
      </c>
      <c r="BV108" s="204" t="str">
        <f>(G108*AR108)+if(AV108=data!A$9,AO108,AN108)+AP108+BT108+G108</f>
        <v>#N/A</v>
      </c>
      <c r="BW108" s="204" t="str">
        <f t="shared" si="28"/>
        <v>#N/A</v>
      </c>
      <c r="BX108" s="204" t="str">
        <f t="shared" si="29"/>
        <v>#N/A</v>
      </c>
    </row>
    <row r="109">
      <c r="A109" s="165" t="str">
        <f>if(D109=true,if(F109=data!A$1,data!A$10,data!A$11),)</f>
        <v/>
      </c>
      <c r="B109" s="166" t="str">
        <f t="shared" si="4"/>
        <v>FBS</v>
      </c>
      <c r="C109" s="167" t="s">
        <v>195</v>
      </c>
      <c r="D109" s="168" t="b">
        <v>0</v>
      </c>
      <c r="E109" s="169" t="s">
        <v>204</v>
      </c>
      <c r="F109" s="170" t="str">
        <f t="array" ref="F109">IF(D109=TRUE,IF(IF(BG$3=VLOOKUP(AT109,{'▶️ Инструкция'!C:C,'▶️ Инструкция'!G:G},2,FALSE),BG109,BH109)&gt;VLOOKUP(AT109,{'▶️ Инструкция'!C:C,'▶️ Инструкция'!N:N},2,FALSE),data!A$1,data!A$2),)</f>
        <v/>
      </c>
      <c r="G109" s="171">
        <v>0.0</v>
      </c>
      <c r="H109" s="172">
        <v>1000.0</v>
      </c>
      <c r="I109" s="173">
        <v>0.0</v>
      </c>
      <c r="J109" s="173">
        <v>0.0</v>
      </c>
      <c r="K109" s="174" t="str">
        <f t="shared" si="5"/>
        <v/>
      </c>
      <c r="L109" s="175">
        <v>0.0</v>
      </c>
      <c r="M109" s="176" t="s">
        <v>197</v>
      </c>
      <c r="N109" s="177">
        <f>IFERROR(__xludf.DUMMYFUNCTION("ArrayFormula(let(category,VLOOKUP($M109, {'📄 Комиссии'!$C:$C , '📄 Комиссии'!$B:$B}, 2, 0),
data,MATCH('🔒 Доп. информация'!$J$15:$J203,TRANSPOSE(SPLIT(INDEX('▶️ Инструкция'!$Q:$Q,MATCH($AT109,'▶️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commission,VLOOKUP($M109,'📄 Комиссии'!$C:$E,IF($AV109=data!A$8,2,3),0),
IF(NOT(ISBLANK($M109)),commission/100+
"&amp;"IFERROR(VLOOKUP($AT109,{'▶️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09" s="178" t="str">
        <f t="shared" si="6"/>
        <v/>
      </c>
      <c r="Q109" s="178" t="str">
        <f t="shared" si="7"/>
        <v/>
      </c>
      <c r="S109" s="179" t="s">
        <v>192</v>
      </c>
      <c r="T109" s="180" t="s">
        <v>193</v>
      </c>
      <c r="U109" s="181">
        <v>1.0</v>
      </c>
      <c r="V109" s="182" t="str">
        <f t="shared" ref="V109:Y109" si="335">IF($D109,"🔒",)</f>
        <v/>
      </c>
      <c r="W109" s="182" t="str">
        <f t="shared" si="335"/>
        <v/>
      </c>
      <c r="X109" s="182" t="str">
        <f t="shared" si="335"/>
        <v/>
      </c>
      <c r="Y109" s="182" t="str">
        <f t="shared" si="335"/>
        <v/>
      </c>
      <c r="Z109" s="183">
        <v>0.0</v>
      </c>
      <c r="AA109" s="184">
        <f t="shared" si="31"/>
        <v>0</v>
      </c>
      <c r="AB109" s="185" t="str">
        <f t="shared" ref="AB109:AD109" si="336">IF($D109,"🔒",)</f>
        <v/>
      </c>
      <c r="AC109" s="185" t="str">
        <f t="shared" si="336"/>
        <v/>
      </c>
      <c r="AD109" s="186" t="str">
        <f t="shared" si="336"/>
        <v/>
      </c>
      <c r="AE109" s="180">
        <v>30.0</v>
      </c>
      <c r="AF109" s="187">
        <v>0.0</v>
      </c>
      <c r="AG109" s="187">
        <v>0.0</v>
      </c>
      <c r="AH109" s="187">
        <v>0.0</v>
      </c>
      <c r="AI109" s="181">
        <f t="shared" si="10"/>
        <v>0</v>
      </c>
      <c r="AJ109" s="181">
        <f t="shared" si="11"/>
        <v>0</v>
      </c>
      <c r="AK109" s="185" t="str">
        <f t="shared" si="12"/>
        <v/>
      </c>
      <c r="AL109" s="188" t="str">
        <f t="array" ref="AL109">H109*(1-I109)*VLOOKUP(AT109,{'▶️ Инструкция'!C:C,'▶️ Инструкция'!AI:AI},2,false)</f>
        <v>#N/A</v>
      </c>
      <c r="AM109" s="186" t="str">
        <f t="shared" si="13"/>
        <v/>
      </c>
      <c r="AN109" s="189">
        <v>0.0</v>
      </c>
      <c r="AO109" s="189">
        <v>0.0</v>
      </c>
      <c r="AP109" s="189">
        <v>0.0</v>
      </c>
      <c r="AQ109" s="191">
        <v>1.0</v>
      </c>
      <c r="AR109" s="191">
        <v>0.0</v>
      </c>
      <c r="AS109" s="212">
        <v>0.0</v>
      </c>
      <c r="AT109" s="193" t="s">
        <v>206</v>
      </c>
      <c r="AU109" s="193" t="s">
        <v>121</v>
      </c>
      <c r="AV109" s="193" t="s">
        <v>199</v>
      </c>
      <c r="AW109" s="194">
        <f t="shared" si="14"/>
        <v>0</v>
      </c>
      <c r="AX109" s="195">
        <f t="shared" si="15"/>
        <v>0</v>
      </c>
      <c r="AY109" s="196" t="str">
        <f t="shared" si="16"/>
        <v>#N/A</v>
      </c>
      <c r="AZ109" s="213">
        <v>250.0</v>
      </c>
      <c r="BA109" s="196">
        <f t="shared" si="17"/>
        <v>0.25</v>
      </c>
      <c r="BB109" s="213">
        <f t="shared" si="18"/>
        <v>1000</v>
      </c>
      <c r="BC109" s="199" t="str">
        <f t="shared" si="19"/>
        <v>#N/A</v>
      </c>
      <c r="BD109" s="200" t="str">
        <f t="shared" si="20"/>
        <v>#N/A</v>
      </c>
      <c r="BE109" s="200">
        <f t="shared" si="21"/>
        <v>0</v>
      </c>
      <c r="BF109" s="201" t="str">
        <f t="shared" si="22"/>
        <v/>
      </c>
      <c r="BG109" s="201" t="str">
        <f t="shared" si="23"/>
        <v/>
      </c>
      <c r="BH109" s="202" t="str">
        <f t="shared" si="24"/>
        <v/>
      </c>
      <c r="BI109" s="203"/>
      <c r="BJ109" s="204">
        <f>IFERROR(__xludf.DUMMYFUNCTION("IF(AU109=data!A$5,
IF(AV109=data!A$8,
IF(T109=data!A$3,
VLOOKUP(S109,filter('🔒 Доп. информация'!D:H,'🔒 Доп. информация'!C:C=T109),4,FALSE)+VLOOKUP(S109,filter('🔒 Доп. информация'!D:H,'🔒 Доп. информация'!C:C=T109),5,FALSE)*AJ109,
IF(AND(MAX(AF109:AH109"&amp;")&lt;80,SUM(AF109:AH109)&lt;=160,AI109&lt;20,XLOOKUP(M109,'📄 Комиссии'!C:C,'📄 Комиссии'!B:B)&lt;&gt;""Продукты""),
VLOOKUP(S109,filter('🔒 Доп. информация'!D:H,'🔒 Доп. информация'!C:C=data!$A$3),4,FALSE)+VLOOKUP(S109,filter('🔒 Доп. информация'!D:H,'🔒 Доп. информаци"&amp;"я'!C:C=data!$A$3),5,FALSE)*AJ109,
VLOOKUP(S109,filter('🔒 Доп. информация'!D:H,'🔒 Доп. информация'!C:C=T109),4,FALSE)*ROUNDUP(AF109*AG109*AH109*L109/(120*80*175))/L109)
)
*(AE109/2)
,)
,)*0"),0.0)</f>
        <v>0</v>
      </c>
      <c r="BK109" s="204">
        <f>IFERROR(__xludf.DUMMYFUNCTION("IF(AU109=data!A$5,
IF(AI109&lt;=1,IF(AI109&lt;=0.8,IF(AI109&lt;=0.6,IF(AI109&lt;=0.4,IF(AI109&lt;=0.2,23,26),29),30),32)*VLOOKUP(S109,filter('🔒 Доп. информация'!D:E,'🔒 Доп. информация'!C:C=T109),2,FALSE)/'🔒 Доп. информация'!$K$9,
IF(AV109=data!A$8,U109,1)*VLOOKUP(S10"&amp;"9,filter('🔒 Доп. информация'!D:E,'🔒 Доп. информация'!C:C=T109),2,FALSE)+
IF(AV109=data!A$8,U109,1)*VLOOKUP(S109,filter('🔒 Доп. информация'!D:F,'🔒 Доп. информация'!C:C=T109),3,FALSE)*AJ109)
,0)"),69.0)</f>
        <v>69</v>
      </c>
      <c r="BL109" s="185" t="str">
        <f t="shared" ref="BL109:BM109" si="337">IF($D109,"🔒",)</f>
        <v/>
      </c>
      <c r="BM109" s="185" t="str">
        <f t="shared" si="337"/>
        <v/>
      </c>
      <c r="BN109" s="204">
        <f>VLOOKUP(T109,'🔒 Доп. информация'!J:P,7,false)</f>
        <v>50</v>
      </c>
      <c r="BO109" s="204">
        <f>IF(AV109=data!A$9,
(AA109+AO109+AP109+BJ109+BK109+BN109)+H109*AS109,
(BJ109+BK109+BN109)+H109*AS109
)</f>
        <v>119</v>
      </c>
      <c r="BP109" s="204">
        <f t="shared" si="26"/>
        <v>69</v>
      </c>
      <c r="BQ109" s="204">
        <f t="shared" si="27"/>
        <v>320</v>
      </c>
      <c r="BR109" s="204" t="str">
        <f t="shared" si="37"/>
        <v>#N/A</v>
      </c>
      <c r="BS109" s="204" t="str">
        <f t="array" ref="BS109">IF(VLOOKUP(AT109,{'▶️ Инструкция'!C:C,'▶️ Инструкция'!Y:Y},2,FALSE)=data!A$15,
H109*(1-I109),
(H109-BR109))
*VLOOKUP(AT109,{'▶️ Инструкция'!C:C,'▶️ Инструкция'!AD:AD},2,FALSE)/(1+VLOOKUP(AT109,{'▶️ Инструкция'!C:C,'▶️ Инструкция'!AD:AD},2,FALSE))</f>
        <v>#N/A</v>
      </c>
      <c r="BT109" s="204" t="str">
        <f t="array" ref="BT109">
IF(VLOOKUP(AT109,{'▶️ Инструкция'!C:C,'▶️ Инструкция'!Y:Y},2,FALSE)=data!A$15,
H109*(1-I109)-BS109,
(H109-BR109-BS109))
*
VLOOKUP(AT109,{'▶️ Инструкция'!C:C,'▶️ Инструкция'!R:R},2,FALSE)
+BS109</f>
        <v>#N/A</v>
      </c>
      <c r="BU109" s="204" t="str">
        <f>(G109*AR109)+if(AV109=data!A$9,AO109,AN109)+AP109+BR109+BT109</f>
        <v>#N/A</v>
      </c>
      <c r="BV109" s="204" t="str">
        <f>(G109*AR109)+if(AV109=data!A$9,AO109,AN109)+AP109+BT109+G109</f>
        <v>#N/A</v>
      </c>
      <c r="BW109" s="204" t="str">
        <f t="shared" si="28"/>
        <v>#N/A</v>
      </c>
      <c r="BX109" s="204" t="str">
        <f t="shared" si="29"/>
        <v>#N/A</v>
      </c>
    </row>
    <row r="110">
      <c r="A110" s="165" t="str">
        <f>if(D110=true,if(F110=data!A$1,data!A$10,data!A$11),)</f>
        <v/>
      </c>
      <c r="B110" s="166" t="str">
        <f t="shared" si="4"/>
        <v>FBS</v>
      </c>
      <c r="C110" s="167" t="s">
        <v>195</v>
      </c>
      <c r="D110" s="168" t="b">
        <v>0</v>
      </c>
      <c r="E110" s="169" t="s">
        <v>204</v>
      </c>
      <c r="F110" s="170" t="str">
        <f t="array" ref="F110">IF(D110=TRUE,IF(IF(BG$3=VLOOKUP(AT110,{'▶️ Инструкция'!C:C,'▶️ Инструкция'!G:G},2,FALSE),BG110,BH110)&gt;VLOOKUP(AT110,{'▶️ Инструкция'!C:C,'▶️ Инструкция'!N:N},2,FALSE),data!A$1,data!A$2),)</f>
        <v/>
      </c>
      <c r="G110" s="171">
        <v>0.0</v>
      </c>
      <c r="H110" s="172">
        <v>1000.0</v>
      </c>
      <c r="I110" s="173">
        <v>0.0</v>
      </c>
      <c r="J110" s="173">
        <v>0.0</v>
      </c>
      <c r="K110" s="174" t="str">
        <f t="shared" si="5"/>
        <v/>
      </c>
      <c r="L110" s="175">
        <v>0.0</v>
      </c>
      <c r="M110" s="176" t="s">
        <v>197</v>
      </c>
      <c r="N110" s="177">
        <f>IFERROR(__xludf.DUMMYFUNCTION("ArrayFormula(let(category,VLOOKUP($M110, {'📄 Комиссии'!$C:$C , '📄 Комиссии'!$B:$B}, 2, 0),
data,MATCH('🔒 Доп. информация'!$J$15:$J203,TRANSPOSE(SPLIT(INDEX('▶️ Инструкция'!$Q:$Q,MATCH($AT110,'▶️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commission,VLOOKUP($M110,'📄 Комиссии'!$C:$E,IF($AV110=data!A$8,2,3),0),
IF(NOT(ISBLANK($M110)),commission/100+
"&amp;"IFERROR(VLOOKUP($AT110,{'▶️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10" s="178" t="str">
        <f t="shared" si="6"/>
        <v/>
      </c>
      <c r="Q110" s="178" t="str">
        <f t="shared" si="7"/>
        <v/>
      </c>
      <c r="S110" s="179" t="s">
        <v>192</v>
      </c>
      <c r="T110" s="180" t="s">
        <v>193</v>
      </c>
      <c r="U110" s="181">
        <v>1.0</v>
      </c>
      <c r="V110" s="182" t="str">
        <f t="shared" ref="V110:Y110" si="338">IF($D110,"🔒",)</f>
        <v/>
      </c>
      <c r="W110" s="182" t="str">
        <f t="shared" si="338"/>
        <v/>
      </c>
      <c r="X110" s="182" t="str">
        <f t="shared" si="338"/>
        <v/>
      </c>
      <c r="Y110" s="182" t="str">
        <f t="shared" si="338"/>
        <v/>
      </c>
      <c r="Z110" s="183">
        <v>0.0</v>
      </c>
      <c r="AA110" s="184">
        <f t="shared" si="31"/>
        <v>0</v>
      </c>
      <c r="AB110" s="185" t="str">
        <f t="shared" ref="AB110:AD110" si="339">IF($D110,"🔒",)</f>
        <v/>
      </c>
      <c r="AC110" s="185" t="str">
        <f t="shared" si="339"/>
        <v/>
      </c>
      <c r="AD110" s="186" t="str">
        <f t="shared" si="339"/>
        <v/>
      </c>
      <c r="AE110" s="180">
        <v>30.0</v>
      </c>
      <c r="AF110" s="187">
        <v>0.0</v>
      </c>
      <c r="AG110" s="187">
        <v>0.0</v>
      </c>
      <c r="AH110" s="187">
        <v>0.0</v>
      </c>
      <c r="AI110" s="181">
        <f t="shared" si="10"/>
        <v>0</v>
      </c>
      <c r="AJ110" s="181">
        <f t="shared" si="11"/>
        <v>0</v>
      </c>
      <c r="AK110" s="185" t="str">
        <f t="shared" si="12"/>
        <v/>
      </c>
      <c r="AL110" s="188" t="str">
        <f t="array" ref="AL110">H110*(1-I110)*VLOOKUP(AT110,{'▶️ Инструкция'!C:C,'▶️ Инструкция'!AI:AI},2,false)</f>
        <v>#N/A</v>
      </c>
      <c r="AM110" s="186" t="str">
        <f t="shared" si="13"/>
        <v/>
      </c>
      <c r="AN110" s="189">
        <v>0.0</v>
      </c>
      <c r="AO110" s="189">
        <v>0.0</v>
      </c>
      <c r="AP110" s="189">
        <v>0.0</v>
      </c>
      <c r="AQ110" s="191">
        <v>1.0</v>
      </c>
      <c r="AR110" s="191">
        <v>0.0</v>
      </c>
      <c r="AS110" s="212">
        <v>0.0</v>
      </c>
      <c r="AT110" s="193" t="s">
        <v>206</v>
      </c>
      <c r="AU110" s="193" t="s">
        <v>121</v>
      </c>
      <c r="AV110" s="193" t="s">
        <v>199</v>
      </c>
      <c r="AW110" s="194">
        <f t="shared" si="14"/>
        <v>0</v>
      </c>
      <c r="AX110" s="195">
        <f t="shared" si="15"/>
        <v>0</v>
      </c>
      <c r="AY110" s="196" t="str">
        <f t="shared" si="16"/>
        <v>#N/A</v>
      </c>
      <c r="AZ110" s="213">
        <v>250.0</v>
      </c>
      <c r="BA110" s="196">
        <f t="shared" si="17"/>
        <v>0.25</v>
      </c>
      <c r="BB110" s="213">
        <f t="shared" si="18"/>
        <v>1000</v>
      </c>
      <c r="BC110" s="199" t="str">
        <f t="shared" si="19"/>
        <v>#N/A</v>
      </c>
      <c r="BD110" s="200" t="str">
        <f t="shared" si="20"/>
        <v>#N/A</v>
      </c>
      <c r="BE110" s="200">
        <f t="shared" si="21"/>
        <v>0</v>
      </c>
      <c r="BF110" s="201" t="str">
        <f t="shared" si="22"/>
        <v/>
      </c>
      <c r="BG110" s="201" t="str">
        <f t="shared" si="23"/>
        <v/>
      </c>
      <c r="BH110" s="202" t="str">
        <f t="shared" si="24"/>
        <v/>
      </c>
      <c r="BI110" s="203"/>
      <c r="BJ110" s="204">
        <f>IFERROR(__xludf.DUMMYFUNCTION("IF(AU110=data!A$5,
IF(AV110=data!A$8,
IF(T110=data!A$3,
VLOOKUP(S110,filter('🔒 Доп. информация'!D:H,'🔒 Доп. информация'!C:C=T110),4,FALSE)+VLOOKUP(S110,filter('🔒 Доп. информация'!D:H,'🔒 Доп. информация'!C:C=T110),5,FALSE)*AJ110,
IF(AND(MAX(AF110:AH110"&amp;")&lt;80,SUM(AF110:AH110)&lt;=160,AI110&lt;20,XLOOKUP(M110,'📄 Комиссии'!C:C,'📄 Комиссии'!B:B)&lt;&gt;""Продукты""),
VLOOKUP(S110,filter('🔒 Доп. информация'!D:H,'🔒 Доп. информация'!C:C=data!$A$3),4,FALSE)+VLOOKUP(S110,filter('🔒 Доп. информация'!D:H,'🔒 Доп. информаци"&amp;"я'!C:C=data!$A$3),5,FALSE)*AJ110,
VLOOKUP(S110,filter('🔒 Доп. информация'!D:H,'🔒 Доп. информация'!C:C=T110),4,FALSE)*ROUNDUP(AF110*AG110*AH110*L110/(120*80*175))/L110)
)
*(AE110/2)
,)
,)*0"),0.0)</f>
        <v>0</v>
      </c>
      <c r="BK110" s="204">
        <f>IFERROR(__xludf.DUMMYFUNCTION("IF(AU110=data!A$5,
IF(AI110&lt;=1,IF(AI110&lt;=0.8,IF(AI110&lt;=0.6,IF(AI110&lt;=0.4,IF(AI110&lt;=0.2,23,26),29),30),32)*VLOOKUP(S110,filter('🔒 Доп. информация'!D:E,'🔒 Доп. информация'!C:C=T110),2,FALSE)/'🔒 Доп. информация'!$K$9,
IF(AV110=data!A$8,U110,1)*VLOOKUP(S11"&amp;"0,filter('🔒 Доп. информация'!D:E,'🔒 Доп. информация'!C:C=T110),2,FALSE)+
IF(AV110=data!A$8,U110,1)*VLOOKUP(S110,filter('🔒 Доп. информация'!D:F,'🔒 Доп. информация'!C:C=T110),3,FALSE)*AJ110)
,0)"),69.0)</f>
        <v>69</v>
      </c>
      <c r="BL110" s="185" t="str">
        <f t="shared" ref="BL110:BM110" si="340">IF($D110,"🔒",)</f>
        <v/>
      </c>
      <c r="BM110" s="185" t="str">
        <f t="shared" si="340"/>
        <v/>
      </c>
      <c r="BN110" s="204">
        <f>VLOOKUP(T110,'🔒 Доп. информация'!J:P,7,false)</f>
        <v>50</v>
      </c>
      <c r="BO110" s="204">
        <f>IF(AV110=data!A$9,
(AA110+AO110+AP110+BJ110+BK110+BN110)+H110*AS110,
(BJ110+BK110+BN110)+H110*AS110
)</f>
        <v>119</v>
      </c>
      <c r="BP110" s="204">
        <f t="shared" si="26"/>
        <v>69</v>
      </c>
      <c r="BQ110" s="204">
        <f t="shared" si="27"/>
        <v>320</v>
      </c>
      <c r="BR110" s="204" t="str">
        <f t="shared" si="37"/>
        <v>#N/A</v>
      </c>
      <c r="BS110" s="204" t="str">
        <f t="array" ref="BS110">IF(VLOOKUP(AT110,{'▶️ Инструкция'!C:C,'▶️ Инструкция'!Y:Y},2,FALSE)=data!A$15,
H110*(1-I110),
(H110-BR110))
*VLOOKUP(AT110,{'▶️ Инструкция'!C:C,'▶️ Инструкция'!AD:AD},2,FALSE)/(1+VLOOKUP(AT110,{'▶️ Инструкция'!C:C,'▶️ Инструкция'!AD:AD},2,FALSE))</f>
        <v>#N/A</v>
      </c>
      <c r="BT110" s="204" t="str">
        <f t="array" ref="BT110">
IF(VLOOKUP(AT110,{'▶️ Инструкция'!C:C,'▶️ Инструкция'!Y:Y},2,FALSE)=data!A$15,
H110*(1-I110)-BS110,
(H110-BR110-BS110))
*
VLOOKUP(AT110,{'▶️ Инструкция'!C:C,'▶️ Инструкция'!R:R},2,FALSE)
+BS110</f>
        <v>#N/A</v>
      </c>
      <c r="BU110" s="204" t="str">
        <f>(G110*AR110)+if(AV110=data!A$9,AO110,AN110)+AP110+BR110+BT110</f>
        <v>#N/A</v>
      </c>
      <c r="BV110" s="204" t="str">
        <f>(G110*AR110)+if(AV110=data!A$9,AO110,AN110)+AP110+BT110+G110</f>
        <v>#N/A</v>
      </c>
      <c r="BW110" s="204" t="str">
        <f t="shared" si="28"/>
        <v>#N/A</v>
      </c>
      <c r="BX110" s="204" t="str">
        <f t="shared" si="29"/>
        <v>#N/A</v>
      </c>
    </row>
    <row r="111">
      <c r="A111" s="165" t="str">
        <f>if(D111=true,if(F111=data!A$1,data!A$10,data!A$11),)</f>
        <v/>
      </c>
      <c r="B111" s="166" t="str">
        <f t="shared" si="4"/>
        <v>FBS</v>
      </c>
      <c r="C111" s="167" t="s">
        <v>195</v>
      </c>
      <c r="D111" s="168" t="b">
        <v>0</v>
      </c>
      <c r="E111" s="169" t="s">
        <v>204</v>
      </c>
      <c r="F111" s="170" t="str">
        <f t="array" ref="F111">IF(D111=TRUE,IF(IF(BG$3=VLOOKUP(AT111,{'▶️ Инструкция'!C:C,'▶️ Инструкция'!G:G},2,FALSE),BG111,BH111)&gt;VLOOKUP(AT111,{'▶️ Инструкция'!C:C,'▶️ Инструкция'!N:N},2,FALSE),data!A$1,data!A$2),)</f>
        <v/>
      </c>
      <c r="G111" s="171">
        <v>0.0</v>
      </c>
      <c r="H111" s="172">
        <v>1000.0</v>
      </c>
      <c r="I111" s="173">
        <v>0.0</v>
      </c>
      <c r="J111" s="173">
        <v>0.0</v>
      </c>
      <c r="K111" s="174" t="str">
        <f t="shared" si="5"/>
        <v/>
      </c>
      <c r="L111" s="175">
        <v>0.0</v>
      </c>
      <c r="M111" s="176" t="s">
        <v>197</v>
      </c>
      <c r="N111" s="177">
        <f>IFERROR(__xludf.DUMMYFUNCTION("ArrayFormula(let(category,VLOOKUP($M111, {'📄 Комиссии'!$C:$C , '📄 Комиссии'!$B:$B}, 2, 0),
data,MATCH('🔒 Доп. информация'!$J$15:$J203,TRANSPOSE(SPLIT(INDEX('▶️ Инструкция'!$Q:$Q,MATCH($AT111,'▶️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commission,VLOOKUP($M111,'📄 Комиссии'!$C:$E,IF($AV111=data!A$8,2,3),0),
IF(NOT(ISBLANK($M111)),commission/100+
"&amp;"IFERROR(VLOOKUP($AT111,{'▶️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11" s="178" t="str">
        <f t="shared" si="6"/>
        <v/>
      </c>
      <c r="Q111" s="178" t="str">
        <f t="shared" si="7"/>
        <v/>
      </c>
      <c r="S111" s="179" t="s">
        <v>192</v>
      </c>
      <c r="T111" s="180" t="s">
        <v>193</v>
      </c>
      <c r="U111" s="181">
        <v>1.0</v>
      </c>
      <c r="V111" s="182" t="str">
        <f t="shared" ref="V111:Y111" si="341">IF($D111,"🔒",)</f>
        <v/>
      </c>
      <c r="W111" s="182" t="str">
        <f t="shared" si="341"/>
        <v/>
      </c>
      <c r="X111" s="182" t="str">
        <f t="shared" si="341"/>
        <v/>
      </c>
      <c r="Y111" s="182" t="str">
        <f t="shared" si="341"/>
        <v/>
      </c>
      <c r="Z111" s="183">
        <v>0.0</v>
      </c>
      <c r="AA111" s="184">
        <f t="shared" si="31"/>
        <v>0</v>
      </c>
      <c r="AB111" s="185" t="str">
        <f t="shared" ref="AB111:AD111" si="342">IF($D111,"🔒",)</f>
        <v/>
      </c>
      <c r="AC111" s="185" t="str">
        <f t="shared" si="342"/>
        <v/>
      </c>
      <c r="AD111" s="186" t="str">
        <f t="shared" si="342"/>
        <v/>
      </c>
      <c r="AE111" s="180">
        <v>30.0</v>
      </c>
      <c r="AF111" s="187">
        <v>0.0</v>
      </c>
      <c r="AG111" s="187">
        <v>0.0</v>
      </c>
      <c r="AH111" s="187">
        <v>0.0</v>
      </c>
      <c r="AI111" s="181">
        <f t="shared" si="10"/>
        <v>0</v>
      </c>
      <c r="AJ111" s="181">
        <f t="shared" si="11"/>
        <v>0</v>
      </c>
      <c r="AK111" s="185" t="str">
        <f t="shared" si="12"/>
        <v/>
      </c>
      <c r="AL111" s="188" t="str">
        <f t="array" ref="AL111">H111*(1-I111)*VLOOKUP(AT111,{'▶️ Инструкция'!C:C,'▶️ Инструкция'!AI:AI},2,false)</f>
        <v>#N/A</v>
      </c>
      <c r="AM111" s="186" t="str">
        <f t="shared" si="13"/>
        <v/>
      </c>
      <c r="AN111" s="189">
        <v>0.0</v>
      </c>
      <c r="AO111" s="189">
        <v>0.0</v>
      </c>
      <c r="AP111" s="189">
        <v>0.0</v>
      </c>
      <c r="AQ111" s="191">
        <v>1.0</v>
      </c>
      <c r="AR111" s="191">
        <v>0.0</v>
      </c>
      <c r="AS111" s="212">
        <v>0.0</v>
      </c>
      <c r="AT111" s="193" t="s">
        <v>206</v>
      </c>
      <c r="AU111" s="193" t="s">
        <v>121</v>
      </c>
      <c r="AV111" s="193" t="s">
        <v>199</v>
      </c>
      <c r="AW111" s="194">
        <f t="shared" si="14"/>
        <v>0</v>
      </c>
      <c r="AX111" s="195">
        <f t="shared" si="15"/>
        <v>0</v>
      </c>
      <c r="AY111" s="196" t="str">
        <f t="shared" si="16"/>
        <v>#N/A</v>
      </c>
      <c r="AZ111" s="213">
        <v>250.0</v>
      </c>
      <c r="BA111" s="196">
        <f t="shared" si="17"/>
        <v>0.25</v>
      </c>
      <c r="BB111" s="213">
        <f t="shared" si="18"/>
        <v>1000</v>
      </c>
      <c r="BC111" s="199" t="str">
        <f t="shared" si="19"/>
        <v>#N/A</v>
      </c>
      <c r="BD111" s="200" t="str">
        <f t="shared" si="20"/>
        <v>#N/A</v>
      </c>
      <c r="BE111" s="200">
        <f t="shared" si="21"/>
        <v>0</v>
      </c>
      <c r="BF111" s="201" t="str">
        <f t="shared" si="22"/>
        <v/>
      </c>
      <c r="BG111" s="201" t="str">
        <f t="shared" si="23"/>
        <v/>
      </c>
      <c r="BH111" s="202" t="str">
        <f t="shared" si="24"/>
        <v/>
      </c>
      <c r="BI111" s="203"/>
      <c r="BJ111" s="204">
        <f>IFERROR(__xludf.DUMMYFUNCTION("IF(AU111=data!A$5,
IF(AV111=data!A$8,
IF(T111=data!A$3,
VLOOKUP(S111,filter('🔒 Доп. информация'!D:H,'🔒 Доп. информация'!C:C=T111),4,FALSE)+VLOOKUP(S111,filter('🔒 Доп. информация'!D:H,'🔒 Доп. информация'!C:C=T111),5,FALSE)*AJ111,
IF(AND(MAX(AF111:AH111"&amp;")&lt;80,SUM(AF111:AH111)&lt;=160,AI111&lt;20,XLOOKUP(M111,'📄 Комиссии'!C:C,'📄 Комиссии'!B:B)&lt;&gt;""Продукты""),
VLOOKUP(S111,filter('🔒 Доп. информация'!D:H,'🔒 Доп. информация'!C:C=data!$A$3),4,FALSE)+VLOOKUP(S111,filter('🔒 Доп. информация'!D:H,'🔒 Доп. информаци"&amp;"я'!C:C=data!$A$3),5,FALSE)*AJ111,
VLOOKUP(S111,filter('🔒 Доп. информация'!D:H,'🔒 Доп. информация'!C:C=T111),4,FALSE)*ROUNDUP(AF111*AG111*AH111*L111/(120*80*175))/L111)
)
*(AE111/2)
,)
,)*0"),0.0)</f>
        <v>0</v>
      </c>
      <c r="BK111" s="204">
        <f>IFERROR(__xludf.DUMMYFUNCTION("IF(AU111=data!A$5,
IF(AI111&lt;=1,IF(AI111&lt;=0.8,IF(AI111&lt;=0.6,IF(AI111&lt;=0.4,IF(AI111&lt;=0.2,23,26),29),30),32)*VLOOKUP(S111,filter('🔒 Доп. информация'!D:E,'🔒 Доп. информация'!C:C=T111),2,FALSE)/'🔒 Доп. информация'!$K$9,
IF(AV111=data!A$8,U111,1)*VLOOKUP(S11"&amp;"1,filter('🔒 Доп. информация'!D:E,'🔒 Доп. информация'!C:C=T111),2,FALSE)+
IF(AV111=data!A$8,U111,1)*VLOOKUP(S111,filter('🔒 Доп. информация'!D:F,'🔒 Доп. информация'!C:C=T111),3,FALSE)*AJ111)
,0)"),69.0)</f>
        <v>69</v>
      </c>
      <c r="BL111" s="185" t="str">
        <f t="shared" ref="BL111:BM111" si="343">IF($D111,"🔒",)</f>
        <v/>
      </c>
      <c r="BM111" s="185" t="str">
        <f t="shared" si="343"/>
        <v/>
      </c>
      <c r="BN111" s="204">
        <f>VLOOKUP(T111,'🔒 Доп. информация'!J:P,7,false)</f>
        <v>50</v>
      </c>
      <c r="BO111" s="204">
        <f>IF(AV111=data!A$9,
(AA111+AO111+AP111+BJ111+BK111+BN111)+H111*AS111,
(BJ111+BK111+BN111)+H111*AS111
)</f>
        <v>119</v>
      </c>
      <c r="BP111" s="204">
        <f t="shared" si="26"/>
        <v>69</v>
      </c>
      <c r="BQ111" s="204">
        <f t="shared" si="27"/>
        <v>320</v>
      </c>
      <c r="BR111" s="204" t="str">
        <f t="shared" si="37"/>
        <v>#N/A</v>
      </c>
      <c r="BS111" s="204" t="str">
        <f t="array" ref="BS111">IF(VLOOKUP(AT111,{'▶️ Инструкция'!C:C,'▶️ Инструкция'!Y:Y},2,FALSE)=data!A$15,
H111*(1-I111),
(H111-BR111))
*VLOOKUP(AT111,{'▶️ Инструкция'!C:C,'▶️ Инструкция'!AD:AD},2,FALSE)/(1+VLOOKUP(AT111,{'▶️ Инструкция'!C:C,'▶️ Инструкция'!AD:AD},2,FALSE))</f>
        <v>#N/A</v>
      </c>
      <c r="BT111" s="204" t="str">
        <f t="array" ref="BT111">
IF(VLOOKUP(AT111,{'▶️ Инструкция'!C:C,'▶️ Инструкция'!Y:Y},2,FALSE)=data!A$15,
H111*(1-I111)-BS111,
(H111-BR111-BS111))
*
VLOOKUP(AT111,{'▶️ Инструкция'!C:C,'▶️ Инструкция'!R:R},2,FALSE)
+BS111</f>
        <v>#N/A</v>
      </c>
      <c r="BU111" s="204" t="str">
        <f>(G111*AR111)+if(AV111=data!A$9,AO111,AN111)+AP111+BR111+BT111</f>
        <v>#N/A</v>
      </c>
      <c r="BV111" s="204" t="str">
        <f>(G111*AR111)+if(AV111=data!A$9,AO111,AN111)+AP111+BT111+G111</f>
        <v>#N/A</v>
      </c>
      <c r="BW111" s="204" t="str">
        <f t="shared" si="28"/>
        <v>#N/A</v>
      </c>
      <c r="BX111" s="204" t="str">
        <f t="shared" si="29"/>
        <v>#N/A</v>
      </c>
    </row>
    <row r="112">
      <c r="A112" s="165" t="str">
        <f>if(D112=true,if(F112=data!A$1,data!A$10,data!A$11),)</f>
        <v/>
      </c>
      <c r="B112" s="166" t="str">
        <f t="shared" si="4"/>
        <v>FBS</v>
      </c>
      <c r="C112" s="167" t="s">
        <v>195</v>
      </c>
      <c r="D112" s="168" t="b">
        <v>0</v>
      </c>
      <c r="E112" s="169" t="s">
        <v>204</v>
      </c>
      <c r="F112" s="170" t="str">
        <f t="array" ref="F112">IF(D112=TRUE,IF(IF(BG$3=VLOOKUP(AT112,{'▶️ Инструкция'!C:C,'▶️ Инструкция'!G:G},2,FALSE),BG112,BH112)&gt;VLOOKUP(AT112,{'▶️ Инструкция'!C:C,'▶️ Инструкция'!N:N},2,FALSE),data!A$1,data!A$2),)</f>
        <v/>
      </c>
      <c r="G112" s="171">
        <v>0.0</v>
      </c>
      <c r="H112" s="172">
        <v>1000.0</v>
      </c>
      <c r="I112" s="173">
        <v>0.0</v>
      </c>
      <c r="J112" s="173">
        <v>0.0</v>
      </c>
      <c r="K112" s="174" t="str">
        <f t="shared" si="5"/>
        <v/>
      </c>
      <c r="L112" s="175">
        <v>0.0</v>
      </c>
      <c r="M112" s="176" t="s">
        <v>197</v>
      </c>
      <c r="N112" s="177">
        <f>IFERROR(__xludf.DUMMYFUNCTION("ArrayFormula(let(category,VLOOKUP($M112, {'📄 Комиссии'!$C:$C , '📄 Комиссии'!$B:$B}, 2, 0),
data,MATCH('🔒 Доп. информация'!$J$15:$J203,TRANSPOSE(SPLIT(INDEX('▶️ Инструкция'!$Q:$Q,MATCH($AT112,'▶️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commission,VLOOKUP($M112,'📄 Комиссии'!$C:$E,IF($AV112=data!A$8,2,3),0),
IF(NOT(ISBLANK($M112)),commission/100+
"&amp;"IFERROR(VLOOKUP($AT112,{'▶️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12" s="178" t="str">
        <f t="shared" si="6"/>
        <v/>
      </c>
      <c r="Q112" s="178" t="str">
        <f t="shared" si="7"/>
        <v/>
      </c>
      <c r="S112" s="179" t="s">
        <v>192</v>
      </c>
      <c r="T112" s="180" t="s">
        <v>193</v>
      </c>
      <c r="U112" s="181">
        <v>1.0</v>
      </c>
      <c r="V112" s="182" t="str">
        <f t="shared" ref="V112:Y112" si="344">IF($D112,"🔒",)</f>
        <v/>
      </c>
      <c r="W112" s="182" t="str">
        <f t="shared" si="344"/>
        <v/>
      </c>
      <c r="X112" s="182" t="str">
        <f t="shared" si="344"/>
        <v/>
      </c>
      <c r="Y112" s="182" t="str">
        <f t="shared" si="344"/>
        <v/>
      </c>
      <c r="Z112" s="183">
        <v>0.0</v>
      </c>
      <c r="AA112" s="184">
        <f t="shared" si="31"/>
        <v>0</v>
      </c>
      <c r="AB112" s="185" t="str">
        <f t="shared" ref="AB112:AD112" si="345">IF($D112,"🔒",)</f>
        <v/>
      </c>
      <c r="AC112" s="185" t="str">
        <f t="shared" si="345"/>
        <v/>
      </c>
      <c r="AD112" s="186" t="str">
        <f t="shared" si="345"/>
        <v/>
      </c>
      <c r="AE112" s="180">
        <v>30.0</v>
      </c>
      <c r="AF112" s="187">
        <v>0.0</v>
      </c>
      <c r="AG112" s="187">
        <v>0.0</v>
      </c>
      <c r="AH112" s="187">
        <v>0.0</v>
      </c>
      <c r="AI112" s="181">
        <f t="shared" si="10"/>
        <v>0</v>
      </c>
      <c r="AJ112" s="181">
        <f t="shared" si="11"/>
        <v>0</v>
      </c>
      <c r="AK112" s="185" t="str">
        <f t="shared" si="12"/>
        <v/>
      </c>
      <c r="AL112" s="188" t="str">
        <f t="array" ref="AL112">H112*(1-I112)*VLOOKUP(AT112,{'▶️ Инструкция'!C:C,'▶️ Инструкция'!AI:AI},2,false)</f>
        <v>#N/A</v>
      </c>
      <c r="AM112" s="186" t="str">
        <f t="shared" si="13"/>
        <v/>
      </c>
      <c r="AN112" s="189">
        <v>0.0</v>
      </c>
      <c r="AO112" s="189">
        <v>0.0</v>
      </c>
      <c r="AP112" s="189">
        <v>0.0</v>
      </c>
      <c r="AQ112" s="191">
        <v>1.0</v>
      </c>
      <c r="AR112" s="191">
        <v>0.0</v>
      </c>
      <c r="AS112" s="212">
        <v>0.0</v>
      </c>
      <c r="AT112" s="193" t="s">
        <v>206</v>
      </c>
      <c r="AU112" s="193" t="s">
        <v>121</v>
      </c>
      <c r="AV112" s="193" t="s">
        <v>199</v>
      </c>
      <c r="AW112" s="194">
        <f t="shared" si="14"/>
        <v>0</v>
      </c>
      <c r="AX112" s="195">
        <f t="shared" si="15"/>
        <v>0</v>
      </c>
      <c r="AY112" s="196" t="str">
        <f t="shared" si="16"/>
        <v>#N/A</v>
      </c>
      <c r="AZ112" s="213">
        <v>250.0</v>
      </c>
      <c r="BA112" s="196">
        <f t="shared" si="17"/>
        <v>0.25</v>
      </c>
      <c r="BB112" s="213">
        <f t="shared" si="18"/>
        <v>1000</v>
      </c>
      <c r="BC112" s="199" t="str">
        <f t="shared" si="19"/>
        <v>#N/A</v>
      </c>
      <c r="BD112" s="200" t="str">
        <f t="shared" si="20"/>
        <v>#N/A</v>
      </c>
      <c r="BE112" s="200">
        <f t="shared" si="21"/>
        <v>0</v>
      </c>
      <c r="BF112" s="201" t="str">
        <f t="shared" si="22"/>
        <v/>
      </c>
      <c r="BG112" s="201" t="str">
        <f t="shared" si="23"/>
        <v/>
      </c>
      <c r="BH112" s="202" t="str">
        <f t="shared" si="24"/>
        <v/>
      </c>
      <c r="BI112" s="203"/>
      <c r="BJ112" s="204">
        <f>IFERROR(__xludf.DUMMYFUNCTION("IF(AU112=data!A$5,
IF(AV112=data!A$8,
IF(T112=data!A$3,
VLOOKUP(S112,filter('🔒 Доп. информация'!D:H,'🔒 Доп. информация'!C:C=T112),4,FALSE)+VLOOKUP(S112,filter('🔒 Доп. информация'!D:H,'🔒 Доп. информация'!C:C=T112),5,FALSE)*AJ112,
IF(AND(MAX(AF112:AH112"&amp;")&lt;80,SUM(AF112:AH112)&lt;=160,AI112&lt;20,XLOOKUP(M112,'📄 Комиссии'!C:C,'📄 Комиссии'!B:B)&lt;&gt;""Продукты""),
VLOOKUP(S112,filter('🔒 Доп. информация'!D:H,'🔒 Доп. информация'!C:C=data!$A$3),4,FALSE)+VLOOKUP(S112,filter('🔒 Доп. информация'!D:H,'🔒 Доп. информаци"&amp;"я'!C:C=data!$A$3),5,FALSE)*AJ112,
VLOOKUP(S112,filter('🔒 Доп. информация'!D:H,'🔒 Доп. информация'!C:C=T112),4,FALSE)*ROUNDUP(AF112*AG112*AH112*L112/(120*80*175))/L112)
)
*(AE112/2)
,)
,)*0"),0.0)</f>
        <v>0</v>
      </c>
      <c r="BK112" s="204">
        <f>IFERROR(__xludf.DUMMYFUNCTION("IF(AU112=data!A$5,
IF(AI112&lt;=1,IF(AI112&lt;=0.8,IF(AI112&lt;=0.6,IF(AI112&lt;=0.4,IF(AI112&lt;=0.2,23,26),29),30),32)*VLOOKUP(S112,filter('🔒 Доп. информация'!D:E,'🔒 Доп. информация'!C:C=T112),2,FALSE)/'🔒 Доп. информация'!$K$9,
IF(AV112=data!A$8,U112,1)*VLOOKUP(S11"&amp;"2,filter('🔒 Доп. информация'!D:E,'🔒 Доп. информация'!C:C=T112),2,FALSE)+
IF(AV112=data!A$8,U112,1)*VLOOKUP(S112,filter('🔒 Доп. информация'!D:F,'🔒 Доп. информация'!C:C=T112),3,FALSE)*AJ112)
,0)"),69.0)</f>
        <v>69</v>
      </c>
      <c r="BL112" s="185" t="str">
        <f t="shared" ref="BL112:BM112" si="346">IF($D112,"🔒",)</f>
        <v/>
      </c>
      <c r="BM112" s="185" t="str">
        <f t="shared" si="346"/>
        <v/>
      </c>
      <c r="BN112" s="204">
        <f>VLOOKUP(T112,'🔒 Доп. информация'!J:P,7,false)</f>
        <v>50</v>
      </c>
      <c r="BO112" s="204">
        <f>IF(AV112=data!A$9,
(AA112+AO112+AP112+BJ112+BK112+BN112)+H112*AS112,
(BJ112+BK112+BN112)+H112*AS112
)</f>
        <v>119</v>
      </c>
      <c r="BP112" s="204">
        <f t="shared" si="26"/>
        <v>69</v>
      </c>
      <c r="BQ112" s="204">
        <f t="shared" si="27"/>
        <v>320</v>
      </c>
      <c r="BR112" s="204" t="str">
        <f t="shared" si="37"/>
        <v>#N/A</v>
      </c>
      <c r="BS112" s="204" t="str">
        <f t="array" ref="BS112">IF(VLOOKUP(AT112,{'▶️ Инструкция'!C:C,'▶️ Инструкция'!Y:Y},2,FALSE)=data!A$15,
H112*(1-I112),
(H112-BR112))
*VLOOKUP(AT112,{'▶️ Инструкция'!C:C,'▶️ Инструкция'!AD:AD},2,FALSE)/(1+VLOOKUP(AT112,{'▶️ Инструкция'!C:C,'▶️ Инструкция'!AD:AD},2,FALSE))</f>
        <v>#N/A</v>
      </c>
      <c r="BT112" s="204" t="str">
        <f t="array" ref="BT112">
IF(VLOOKUP(AT112,{'▶️ Инструкция'!C:C,'▶️ Инструкция'!Y:Y},2,FALSE)=data!A$15,
H112*(1-I112)-BS112,
(H112-BR112-BS112))
*
VLOOKUP(AT112,{'▶️ Инструкция'!C:C,'▶️ Инструкция'!R:R},2,FALSE)
+BS112</f>
        <v>#N/A</v>
      </c>
      <c r="BU112" s="204" t="str">
        <f>(G112*AR112)+if(AV112=data!A$9,AO112,AN112)+AP112+BR112+BT112</f>
        <v>#N/A</v>
      </c>
      <c r="BV112" s="204" t="str">
        <f>(G112*AR112)+if(AV112=data!A$9,AO112,AN112)+AP112+BT112+G112</f>
        <v>#N/A</v>
      </c>
      <c r="BW112" s="204" t="str">
        <f t="shared" si="28"/>
        <v>#N/A</v>
      </c>
      <c r="BX112" s="204" t="str">
        <f t="shared" si="29"/>
        <v>#N/A</v>
      </c>
    </row>
    <row r="113">
      <c r="A113" s="165" t="str">
        <f>if(D113=true,if(F113=data!A$1,data!A$10,data!A$11),)</f>
        <v/>
      </c>
      <c r="B113" s="166" t="str">
        <f t="shared" si="4"/>
        <v>FBS</v>
      </c>
      <c r="C113" s="167" t="s">
        <v>195</v>
      </c>
      <c r="D113" s="168" t="b">
        <v>0</v>
      </c>
      <c r="E113" s="169" t="s">
        <v>204</v>
      </c>
      <c r="F113" s="170" t="str">
        <f t="array" ref="F113">IF(D113=TRUE,IF(IF(BG$3=VLOOKUP(AT113,{'▶️ Инструкция'!C:C,'▶️ Инструкция'!G:G},2,FALSE),BG113,BH113)&gt;VLOOKUP(AT113,{'▶️ Инструкция'!C:C,'▶️ Инструкция'!N:N},2,FALSE),data!A$1,data!A$2),)</f>
        <v/>
      </c>
      <c r="G113" s="171">
        <v>0.0</v>
      </c>
      <c r="H113" s="172">
        <v>1000.0</v>
      </c>
      <c r="I113" s="173">
        <v>0.0</v>
      </c>
      <c r="J113" s="173">
        <v>0.0</v>
      </c>
      <c r="K113" s="174" t="str">
        <f t="shared" si="5"/>
        <v/>
      </c>
      <c r="L113" s="175">
        <v>0.0</v>
      </c>
      <c r="M113" s="176" t="s">
        <v>197</v>
      </c>
      <c r="N113" s="177">
        <f>IFERROR(__xludf.DUMMYFUNCTION("ArrayFormula(let(category,VLOOKUP($M113, {'📄 Комиссии'!$C:$C , '📄 Комиссии'!$B:$B}, 2, 0),
data,MATCH('🔒 Доп. информация'!$J$15:$J203,TRANSPOSE(SPLIT(INDEX('▶️ Инструкция'!$Q:$Q,MATCH($AT113,'▶️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commission,VLOOKUP($M113,'📄 Комиссии'!$C:$E,IF($AV113=data!A$8,2,3),0),
IF(NOT(ISBLANK($M113)),commission/100+
"&amp;"IFERROR(VLOOKUP($AT113,{'▶️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13" s="178" t="str">
        <f t="shared" si="6"/>
        <v/>
      </c>
      <c r="Q113" s="178" t="str">
        <f t="shared" si="7"/>
        <v/>
      </c>
      <c r="S113" s="179" t="s">
        <v>192</v>
      </c>
      <c r="T113" s="180" t="s">
        <v>193</v>
      </c>
      <c r="U113" s="181">
        <v>1.0</v>
      </c>
      <c r="V113" s="182" t="str">
        <f t="shared" ref="V113:Y113" si="347">IF($D113,"🔒",)</f>
        <v/>
      </c>
      <c r="W113" s="182" t="str">
        <f t="shared" si="347"/>
        <v/>
      </c>
      <c r="X113" s="182" t="str">
        <f t="shared" si="347"/>
        <v/>
      </c>
      <c r="Y113" s="182" t="str">
        <f t="shared" si="347"/>
        <v/>
      </c>
      <c r="Z113" s="183">
        <v>0.0</v>
      </c>
      <c r="AA113" s="184">
        <f t="shared" si="31"/>
        <v>0</v>
      </c>
      <c r="AB113" s="185" t="str">
        <f t="shared" ref="AB113:AD113" si="348">IF($D113,"🔒",)</f>
        <v/>
      </c>
      <c r="AC113" s="185" t="str">
        <f t="shared" si="348"/>
        <v/>
      </c>
      <c r="AD113" s="186" t="str">
        <f t="shared" si="348"/>
        <v/>
      </c>
      <c r="AE113" s="180">
        <v>30.0</v>
      </c>
      <c r="AF113" s="187">
        <v>0.0</v>
      </c>
      <c r="AG113" s="187">
        <v>0.0</v>
      </c>
      <c r="AH113" s="187">
        <v>0.0</v>
      </c>
      <c r="AI113" s="181">
        <f t="shared" si="10"/>
        <v>0</v>
      </c>
      <c r="AJ113" s="181">
        <f t="shared" si="11"/>
        <v>0</v>
      </c>
      <c r="AK113" s="185" t="str">
        <f t="shared" si="12"/>
        <v/>
      </c>
      <c r="AL113" s="188" t="str">
        <f t="array" ref="AL113">H113*(1-I113)*VLOOKUP(AT113,{'▶️ Инструкция'!C:C,'▶️ Инструкция'!AI:AI},2,false)</f>
        <v>#N/A</v>
      </c>
      <c r="AM113" s="186" t="str">
        <f t="shared" si="13"/>
        <v/>
      </c>
      <c r="AN113" s="189">
        <v>0.0</v>
      </c>
      <c r="AO113" s="189">
        <v>0.0</v>
      </c>
      <c r="AP113" s="189">
        <v>0.0</v>
      </c>
      <c r="AQ113" s="191">
        <v>1.0</v>
      </c>
      <c r="AR113" s="191">
        <v>0.0</v>
      </c>
      <c r="AS113" s="212">
        <v>0.0</v>
      </c>
      <c r="AT113" s="193" t="s">
        <v>206</v>
      </c>
      <c r="AU113" s="193" t="s">
        <v>121</v>
      </c>
      <c r="AV113" s="193" t="s">
        <v>199</v>
      </c>
      <c r="AW113" s="194">
        <f t="shared" si="14"/>
        <v>0</v>
      </c>
      <c r="AX113" s="195">
        <f t="shared" si="15"/>
        <v>0</v>
      </c>
      <c r="AY113" s="196" t="str">
        <f t="shared" si="16"/>
        <v>#N/A</v>
      </c>
      <c r="AZ113" s="213">
        <v>250.0</v>
      </c>
      <c r="BA113" s="196">
        <f t="shared" si="17"/>
        <v>0.25</v>
      </c>
      <c r="BB113" s="213">
        <f t="shared" si="18"/>
        <v>1000</v>
      </c>
      <c r="BC113" s="199" t="str">
        <f t="shared" si="19"/>
        <v>#N/A</v>
      </c>
      <c r="BD113" s="200" t="str">
        <f t="shared" si="20"/>
        <v>#N/A</v>
      </c>
      <c r="BE113" s="200">
        <f t="shared" si="21"/>
        <v>0</v>
      </c>
      <c r="BF113" s="201" t="str">
        <f t="shared" si="22"/>
        <v/>
      </c>
      <c r="BG113" s="201" t="str">
        <f t="shared" si="23"/>
        <v/>
      </c>
      <c r="BH113" s="202" t="str">
        <f t="shared" si="24"/>
        <v/>
      </c>
      <c r="BI113" s="203"/>
      <c r="BJ113" s="204">
        <f>IFERROR(__xludf.DUMMYFUNCTION("IF(AU113=data!A$5,
IF(AV113=data!A$8,
IF(T113=data!A$3,
VLOOKUP(S113,filter('🔒 Доп. информация'!D:H,'🔒 Доп. информация'!C:C=T113),4,FALSE)+VLOOKUP(S113,filter('🔒 Доп. информация'!D:H,'🔒 Доп. информация'!C:C=T113),5,FALSE)*AJ113,
IF(AND(MAX(AF113:AH113"&amp;")&lt;80,SUM(AF113:AH113)&lt;=160,AI113&lt;20,XLOOKUP(M113,'📄 Комиссии'!C:C,'📄 Комиссии'!B:B)&lt;&gt;""Продукты""),
VLOOKUP(S113,filter('🔒 Доп. информация'!D:H,'🔒 Доп. информация'!C:C=data!$A$3),4,FALSE)+VLOOKUP(S113,filter('🔒 Доп. информация'!D:H,'🔒 Доп. информаци"&amp;"я'!C:C=data!$A$3),5,FALSE)*AJ113,
VLOOKUP(S113,filter('🔒 Доп. информация'!D:H,'🔒 Доп. информация'!C:C=T113),4,FALSE)*ROUNDUP(AF113*AG113*AH113*L113/(120*80*175))/L113)
)
*(AE113/2)
,)
,)*0"),0.0)</f>
        <v>0</v>
      </c>
      <c r="BK113" s="204">
        <f>IFERROR(__xludf.DUMMYFUNCTION("IF(AU113=data!A$5,
IF(AI113&lt;=1,IF(AI113&lt;=0.8,IF(AI113&lt;=0.6,IF(AI113&lt;=0.4,IF(AI113&lt;=0.2,23,26),29),30),32)*VLOOKUP(S113,filter('🔒 Доп. информация'!D:E,'🔒 Доп. информация'!C:C=T113),2,FALSE)/'🔒 Доп. информация'!$K$9,
IF(AV113=data!A$8,U113,1)*VLOOKUP(S11"&amp;"3,filter('🔒 Доп. информация'!D:E,'🔒 Доп. информация'!C:C=T113),2,FALSE)+
IF(AV113=data!A$8,U113,1)*VLOOKUP(S113,filter('🔒 Доп. информация'!D:F,'🔒 Доп. информация'!C:C=T113),3,FALSE)*AJ113)
,0)"),69.0)</f>
        <v>69</v>
      </c>
      <c r="BL113" s="185" t="str">
        <f t="shared" ref="BL113:BM113" si="349">IF($D113,"🔒",)</f>
        <v/>
      </c>
      <c r="BM113" s="185" t="str">
        <f t="shared" si="349"/>
        <v/>
      </c>
      <c r="BN113" s="204">
        <f>VLOOKUP(T113,'🔒 Доп. информация'!J:P,7,false)</f>
        <v>50</v>
      </c>
      <c r="BO113" s="204">
        <f>IF(AV113=data!A$9,
(AA113+AO113+AP113+BJ113+BK113+BN113)+H113*AS113,
(BJ113+BK113+BN113)+H113*AS113
)</f>
        <v>119</v>
      </c>
      <c r="BP113" s="204">
        <f t="shared" si="26"/>
        <v>69</v>
      </c>
      <c r="BQ113" s="204">
        <f t="shared" si="27"/>
        <v>320</v>
      </c>
      <c r="BR113" s="204" t="str">
        <f t="shared" si="37"/>
        <v>#N/A</v>
      </c>
      <c r="BS113" s="204" t="str">
        <f t="array" ref="BS113">IF(VLOOKUP(AT113,{'▶️ Инструкция'!C:C,'▶️ Инструкция'!Y:Y},2,FALSE)=data!A$15,
H113*(1-I113),
(H113-BR113))
*VLOOKUP(AT113,{'▶️ Инструкция'!C:C,'▶️ Инструкция'!AD:AD},2,FALSE)/(1+VLOOKUP(AT113,{'▶️ Инструкция'!C:C,'▶️ Инструкция'!AD:AD},2,FALSE))</f>
        <v>#N/A</v>
      </c>
      <c r="BT113" s="204" t="str">
        <f t="array" ref="BT113">
IF(VLOOKUP(AT113,{'▶️ Инструкция'!C:C,'▶️ Инструкция'!Y:Y},2,FALSE)=data!A$15,
H113*(1-I113)-BS113,
(H113-BR113-BS113))
*
VLOOKUP(AT113,{'▶️ Инструкция'!C:C,'▶️ Инструкция'!R:R},2,FALSE)
+BS113</f>
        <v>#N/A</v>
      </c>
      <c r="BU113" s="204" t="str">
        <f>(G113*AR113)+if(AV113=data!A$9,AO113,AN113)+AP113+BR113+BT113</f>
        <v>#N/A</v>
      </c>
      <c r="BV113" s="204" t="str">
        <f>(G113*AR113)+if(AV113=data!A$9,AO113,AN113)+AP113+BT113+G113</f>
        <v>#N/A</v>
      </c>
      <c r="BW113" s="204" t="str">
        <f t="shared" si="28"/>
        <v>#N/A</v>
      </c>
      <c r="BX113" s="204" t="str">
        <f t="shared" si="29"/>
        <v>#N/A</v>
      </c>
    </row>
    <row r="114">
      <c r="A114" s="165" t="str">
        <f>if(D114=true,if(F114=data!A$1,data!A$10,data!A$11),)</f>
        <v/>
      </c>
      <c r="B114" s="166" t="str">
        <f t="shared" si="4"/>
        <v>FBS</v>
      </c>
      <c r="C114" s="167" t="s">
        <v>195</v>
      </c>
      <c r="D114" s="168" t="b">
        <v>0</v>
      </c>
      <c r="E114" s="169" t="s">
        <v>204</v>
      </c>
      <c r="F114" s="170" t="str">
        <f t="array" ref="F114">IF(D114=TRUE,IF(IF(BG$3=VLOOKUP(AT114,{'▶️ Инструкция'!C:C,'▶️ Инструкция'!G:G},2,FALSE),BG114,BH114)&gt;VLOOKUP(AT114,{'▶️ Инструкция'!C:C,'▶️ Инструкция'!N:N},2,FALSE),data!A$1,data!A$2),)</f>
        <v/>
      </c>
      <c r="G114" s="171">
        <v>0.0</v>
      </c>
      <c r="H114" s="172">
        <v>1000.0</v>
      </c>
      <c r="I114" s="173">
        <v>0.0</v>
      </c>
      <c r="J114" s="173">
        <v>0.0</v>
      </c>
      <c r="K114" s="174" t="str">
        <f t="shared" si="5"/>
        <v/>
      </c>
      <c r="L114" s="175">
        <v>0.0</v>
      </c>
      <c r="M114" s="176" t="s">
        <v>197</v>
      </c>
      <c r="N114" s="177">
        <f>IFERROR(__xludf.DUMMYFUNCTION("ArrayFormula(let(category,VLOOKUP($M114, {'📄 Комиссии'!$C:$C , '📄 Комиссии'!$B:$B}, 2, 0),
data,MATCH('🔒 Доп. информация'!$J$15:$J203,TRANSPOSE(SPLIT(INDEX('▶️ Инструкция'!$Q:$Q,MATCH($AT114,'▶️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commission,VLOOKUP($M114,'📄 Комиссии'!$C:$E,IF($AV114=data!A$8,2,3),0),
IF(NOT(ISBLANK($M114)),commission/100+
"&amp;"IFERROR(VLOOKUP($AT114,{'▶️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14" s="178" t="str">
        <f t="shared" si="6"/>
        <v/>
      </c>
      <c r="Q114" s="178" t="str">
        <f t="shared" si="7"/>
        <v/>
      </c>
      <c r="S114" s="179" t="s">
        <v>192</v>
      </c>
      <c r="T114" s="180" t="s">
        <v>193</v>
      </c>
      <c r="U114" s="181">
        <v>1.0</v>
      </c>
      <c r="V114" s="182" t="str">
        <f t="shared" ref="V114:Y114" si="350">IF($D114,"🔒",)</f>
        <v/>
      </c>
      <c r="W114" s="182" t="str">
        <f t="shared" si="350"/>
        <v/>
      </c>
      <c r="X114" s="182" t="str">
        <f t="shared" si="350"/>
        <v/>
      </c>
      <c r="Y114" s="182" t="str">
        <f t="shared" si="350"/>
        <v/>
      </c>
      <c r="Z114" s="183">
        <v>0.0</v>
      </c>
      <c r="AA114" s="184">
        <f t="shared" si="31"/>
        <v>0</v>
      </c>
      <c r="AB114" s="185" t="str">
        <f t="shared" ref="AB114:AD114" si="351">IF($D114,"🔒",)</f>
        <v/>
      </c>
      <c r="AC114" s="185" t="str">
        <f t="shared" si="351"/>
        <v/>
      </c>
      <c r="AD114" s="186" t="str">
        <f t="shared" si="351"/>
        <v/>
      </c>
      <c r="AE114" s="180">
        <v>30.0</v>
      </c>
      <c r="AF114" s="187">
        <v>0.0</v>
      </c>
      <c r="AG114" s="187">
        <v>0.0</v>
      </c>
      <c r="AH114" s="187">
        <v>0.0</v>
      </c>
      <c r="AI114" s="181">
        <f t="shared" si="10"/>
        <v>0</v>
      </c>
      <c r="AJ114" s="181">
        <f t="shared" si="11"/>
        <v>0</v>
      </c>
      <c r="AK114" s="185" t="str">
        <f t="shared" si="12"/>
        <v/>
      </c>
      <c r="AL114" s="188" t="str">
        <f t="array" ref="AL114">H114*(1-I114)*VLOOKUP(AT114,{'▶️ Инструкция'!C:C,'▶️ Инструкция'!AI:AI},2,false)</f>
        <v>#N/A</v>
      </c>
      <c r="AM114" s="186" t="str">
        <f t="shared" si="13"/>
        <v/>
      </c>
      <c r="AN114" s="189">
        <v>0.0</v>
      </c>
      <c r="AO114" s="189">
        <v>0.0</v>
      </c>
      <c r="AP114" s="189">
        <v>0.0</v>
      </c>
      <c r="AQ114" s="191">
        <v>1.0</v>
      </c>
      <c r="AR114" s="191">
        <v>0.0</v>
      </c>
      <c r="AS114" s="212">
        <v>0.0</v>
      </c>
      <c r="AT114" s="193" t="s">
        <v>206</v>
      </c>
      <c r="AU114" s="193" t="s">
        <v>121</v>
      </c>
      <c r="AV114" s="193" t="s">
        <v>199</v>
      </c>
      <c r="AW114" s="194">
        <f t="shared" si="14"/>
        <v>0</v>
      </c>
      <c r="AX114" s="195">
        <f t="shared" si="15"/>
        <v>0</v>
      </c>
      <c r="AY114" s="196" t="str">
        <f t="shared" si="16"/>
        <v>#N/A</v>
      </c>
      <c r="AZ114" s="213">
        <v>250.0</v>
      </c>
      <c r="BA114" s="196">
        <f t="shared" si="17"/>
        <v>0.25</v>
      </c>
      <c r="BB114" s="213">
        <f t="shared" si="18"/>
        <v>1000</v>
      </c>
      <c r="BC114" s="199" t="str">
        <f t="shared" si="19"/>
        <v>#N/A</v>
      </c>
      <c r="BD114" s="200" t="str">
        <f t="shared" si="20"/>
        <v>#N/A</v>
      </c>
      <c r="BE114" s="200">
        <f t="shared" si="21"/>
        <v>0</v>
      </c>
      <c r="BF114" s="201" t="str">
        <f t="shared" si="22"/>
        <v/>
      </c>
      <c r="BG114" s="201" t="str">
        <f t="shared" si="23"/>
        <v/>
      </c>
      <c r="BH114" s="202" t="str">
        <f t="shared" si="24"/>
        <v/>
      </c>
      <c r="BI114" s="203"/>
      <c r="BJ114" s="204">
        <f>IFERROR(__xludf.DUMMYFUNCTION("IF(AU114=data!A$5,
IF(AV114=data!A$8,
IF(T114=data!A$3,
VLOOKUP(S114,filter('🔒 Доп. информация'!D:H,'🔒 Доп. информация'!C:C=T114),4,FALSE)+VLOOKUP(S114,filter('🔒 Доп. информация'!D:H,'🔒 Доп. информация'!C:C=T114),5,FALSE)*AJ114,
IF(AND(MAX(AF114:AH114"&amp;")&lt;80,SUM(AF114:AH114)&lt;=160,AI114&lt;20,XLOOKUP(M114,'📄 Комиссии'!C:C,'📄 Комиссии'!B:B)&lt;&gt;""Продукты""),
VLOOKUP(S114,filter('🔒 Доп. информация'!D:H,'🔒 Доп. информация'!C:C=data!$A$3),4,FALSE)+VLOOKUP(S114,filter('🔒 Доп. информация'!D:H,'🔒 Доп. информаци"&amp;"я'!C:C=data!$A$3),5,FALSE)*AJ114,
VLOOKUP(S114,filter('🔒 Доп. информация'!D:H,'🔒 Доп. информация'!C:C=T114),4,FALSE)*ROUNDUP(AF114*AG114*AH114*L114/(120*80*175))/L114)
)
*(AE114/2)
,)
,)*0"),0.0)</f>
        <v>0</v>
      </c>
      <c r="BK114" s="204">
        <f>IFERROR(__xludf.DUMMYFUNCTION("IF(AU114=data!A$5,
IF(AI114&lt;=1,IF(AI114&lt;=0.8,IF(AI114&lt;=0.6,IF(AI114&lt;=0.4,IF(AI114&lt;=0.2,23,26),29),30),32)*VLOOKUP(S114,filter('🔒 Доп. информация'!D:E,'🔒 Доп. информация'!C:C=T114),2,FALSE)/'🔒 Доп. информация'!$K$9,
IF(AV114=data!A$8,U114,1)*VLOOKUP(S11"&amp;"4,filter('🔒 Доп. информация'!D:E,'🔒 Доп. информация'!C:C=T114),2,FALSE)+
IF(AV114=data!A$8,U114,1)*VLOOKUP(S114,filter('🔒 Доп. информация'!D:F,'🔒 Доп. информация'!C:C=T114),3,FALSE)*AJ114)
,0)"),69.0)</f>
        <v>69</v>
      </c>
      <c r="BL114" s="185" t="str">
        <f t="shared" ref="BL114:BM114" si="352">IF($D114,"🔒",)</f>
        <v/>
      </c>
      <c r="BM114" s="185" t="str">
        <f t="shared" si="352"/>
        <v/>
      </c>
      <c r="BN114" s="204">
        <f>VLOOKUP(T114,'🔒 Доп. информация'!J:P,7,false)</f>
        <v>50</v>
      </c>
      <c r="BO114" s="204">
        <f>IF(AV114=data!A$9,
(AA114+AO114+AP114+BJ114+BK114+BN114)+H114*AS114,
(BJ114+BK114+BN114)+H114*AS114
)</f>
        <v>119</v>
      </c>
      <c r="BP114" s="204">
        <f t="shared" si="26"/>
        <v>69</v>
      </c>
      <c r="BQ114" s="204">
        <f t="shared" si="27"/>
        <v>320</v>
      </c>
      <c r="BR114" s="204" t="str">
        <f t="shared" si="37"/>
        <v>#N/A</v>
      </c>
      <c r="BS114" s="204" t="str">
        <f t="array" ref="BS114">IF(VLOOKUP(AT114,{'▶️ Инструкция'!C:C,'▶️ Инструкция'!Y:Y},2,FALSE)=data!A$15,
H114*(1-I114),
(H114-BR114))
*VLOOKUP(AT114,{'▶️ Инструкция'!C:C,'▶️ Инструкция'!AD:AD},2,FALSE)/(1+VLOOKUP(AT114,{'▶️ Инструкция'!C:C,'▶️ Инструкция'!AD:AD},2,FALSE))</f>
        <v>#N/A</v>
      </c>
      <c r="BT114" s="204" t="str">
        <f t="array" ref="BT114">
IF(VLOOKUP(AT114,{'▶️ Инструкция'!C:C,'▶️ Инструкция'!Y:Y},2,FALSE)=data!A$15,
H114*(1-I114)-BS114,
(H114-BR114-BS114))
*
VLOOKUP(AT114,{'▶️ Инструкция'!C:C,'▶️ Инструкция'!R:R},2,FALSE)
+BS114</f>
        <v>#N/A</v>
      </c>
      <c r="BU114" s="204" t="str">
        <f>(G114*AR114)+if(AV114=data!A$9,AO114,AN114)+AP114+BR114+BT114</f>
        <v>#N/A</v>
      </c>
      <c r="BV114" s="204" t="str">
        <f>(G114*AR114)+if(AV114=data!A$9,AO114,AN114)+AP114+BT114+G114</f>
        <v>#N/A</v>
      </c>
      <c r="BW114" s="204" t="str">
        <f t="shared" si="28"/>
        <v>#N/A</v>
      </c>
      <c r="BX114" s="204" t="str">
        <f t="shared" si="29"/>
        <v>#N/A</v>
      </c>
    </row>
    <row r="115">
      <c r="A115" s="165" t="str">
        <f>if(D115=true,if(F115=data!A$1,data!A$10,data!A$11),)</f>
        <v/>
      </c>
      <c r="B115" s="166" t="str">
        <f t="shared" si="4"/>
        <v>FBS</v>
      </c>
      <c r="C115" s="167" t="s">
        <v>195</v>
      </c>
      <c r="D115" s="168" t="b">
        <v>0</v>
      </c>
      <c r="E115" s="169" t="s">
        <v>204</v>
      </c>
      <c r="F115" s="170" t="str">
        <f t="array" ref="F115">IF(D115=TRUE,IF(IF(BG$3=VLOOKUP(AT115,{'▶️ Инструкция'!C:C,'▶️ Инструкция'!G:G},2,FALSE),BG115,BH115)&gt;VLOOKUP(AT115,{'▶️ Инструкция'!C:C,'▶️ Инструкция'!N:N},2,FALSE),data!A$1,data!A$2),)</f>
        <v/>
      </c>
      <c r="G115" s="171">
        <v>0.0</v>
      </c>
      <c r="H115" s="172">
        <v>1000.0</v>
      </c>
      <c r="I115" s="173">
        <v>0.0</v>
      </c>
      <c r="J115" s="173">
        <v>0.0</v>
      </c>
      <c r="K115" s="174" t="str">
        <f t="shared" si="5"/>
        <v/>
      </c>
      <c r="L115" s="175">
        <v>0.0</v>
      </c>
      <c r="M115" s="176" t="s">
        <v>197</v>
      </c>
      <c r="N115" s="177">
        <f>IFERROR(__xludf.DUMMYFUNCTION("ArrayFormula(let(category,VLOOKUP($M115, {'📄 Комиссии'!$C:$C , '📄 Комиссии'!$B:$B}, 2, 0),
data,MATCH('🔒 Доп. информация'!$J$15:$J203,TRANSPOSE(SPLIT(INDEX('▶️ Инструкция'!$Q:$Q,MATCH($AT115,'▶️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commission,VLOOKUP($M115,'📄 Комиссии'!$C:$E,IF($AV115=data!A$8,2,3),0),
IF(NOT(ISBLANK($M115)),commission/100+
"&amp;"IFERROR(VLOOKUP($AT115,{'▶️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15" s="178" t="str">
        <f t="shared" si="6"/>
        <v/>
      </c>
      <c r="Q115" s="178" t="str">
        <f t="shared" si="7"/>
        <v/>
      </c>
      <c r="S115" s="179" t="s">
        <v>192</v>
      </c>
      <c r="T115" s="180" t="s">
        <v>193</v>
      </c>
      <c r="U115" s="181">
        <v>1.0</v>
      </c>
      <c r="V115" s="182" t="str">
        <f t="shared" ref="V115:Y115" si="353">IF($D115,"🔒",)</f>
        <v/>
      </c>
      <c r="W115" s="182" t="str">
        <f t="shared" si="353"/>
        <v/>
      </c>
      <c r="X115" s="182" t="str">
        <f t="shared" si="353"/>
        <v/>
      </c>
      <c r="Y115" s="182" t="str">
        <f t="shared" si="353"/>
        <v/>
      </c>
      <c r="Z115" s="183">
        <v>0.0</v>
      </c>
      <c r="AA115" s="184">
        <f t="shared" si="31"/>
        <v>0</v>
      </c>
      <c r="AB115" s="185" t="str">
        <f t="shared" ref="AB115:AD115" si="354">IF($D115,"🔒",)</f>
        <v/>
      </c>
      <c r="AC115" s="185" t="str">
        <f t="shared" si="354"/>
        <v/>
      </c>
      <c r="AD115" s="186" t="str">
        <f t="shared" si="354"/>
        <v/>
      </c>
      <c r="AE115" s="180">
        <v>30.0</v>
      </c>
      <c r="AF115" s="187">
        <v>0.0</v>
      </c>
      <c r="AG115" s="187">
        <v>0.0</v>
      </c>
      <c r="AH115" s="187">
        <v>0.0</v>
      </c>
      <c r="AI115" s="181">
        <f t="shared" si="10"/>
        <v>0</v>
      </c>
      <c r="AJ115" s="181">
        <f t="shared" si="11"/>
        <v>0</v>
      </c>
      <c r="AK115" s="185" t="str">
        <f t="shared" si="12"/>
        <v/>
      </c>
      <c r="AL115" s="188" t="str">
        <f t="array" ref="AL115">H115*(1-I115)*VLOOKUP(AT115,{'▶️ Инструкция'!C:C,'▶️ Инструкция'!AI:AI},2,false)</f>
        <v>#N/A</v>
      </c>
      <c r="AM115" s="186" t="str">
        <f t="shared" si="13"/>
        <v/>
      </c>
      <c r="AN115" s="189">
        <v>0.0</v>
      </c>
      <c r="AO115" s="189">
        <v>0.0</v>
      </c>
      <c r="AP115" s="189">
        <v>0.0</v>
      </c>
      <c r="AQ115" s="191">
        <v>1.0</v>
      </c>
      <c r="AR115" s="191">
        <v>0.0</v>
      </c>
      <c r="AS115" s="212">
        <v>0.0</v>
      </c>
      <c r="AT115" s="193" t="s">
        <v>206</v>
      </c>
      <c r="AU115" s="193" t="s">
        <v>121</v>
      </c>
      <c r="AV115" s="193" t="s">
        <v>199</v>
      </c>
      <c r="AW115" s="194">
        <f t="shared" si="14"/>
        <v>0</v>
      </c>
      <c r="AX115" s="195">
        <f t="shared" si="15"/>
        <v>0</v>
      </c>
      <c r="AY115" s="196" t="str">
        <f t="shared" si="16"/>
        <v>#N/A</v>
      </c>
      <c r="AZ115" s="213">
        <v>250.0</v>
      </c>
      <c r="BA115" s="196">
        <f t="shared" si="17"/>
        <v>0.25</v>
      </c>
      <c r="BB115" s="213">
        <f t="shared" si="18"/>
        <v>1000</v>
      </c>
      <c r="BC115" s="199" t="str">
        <f t="shared" si="19"/>
        <v>#N/A</v>
      </c>
      <c r="BD115" s="200" t="str">
        <f t="shared" si="20"/>
        <v>#N/A</v>
      </c>
      <c r="BE115" s="200">
        <f t="shared" si="21"/>
        <v>0</v>
      </c>
      <c r="BF115" s="201" t="str">
        <f t="shared" si="22"/>
        <v/>
      </c>
      <c r="BG115" s="201" t="str">
        <f t="shared" si="23"/>
        <v/>
      </c>
      <c r="BH115" s="202" t="str">
        <f t="shared" si="24"/>
        <v/>
      </c>
      <c r="BI115" s="203"/>
      <c r="BJ115" s="204">
        <f>IFERROR(__xludf.DUMMYFUNCTION("IF(AU115=data!A$5,
IF(AV115=data!A$8,
IF(T115=data!A$3,
VLOOKUP(S115,filter('🔒 Доп. информация'!D:H,'🔒 Доп. информация'!C:C=T115),4,FALSE)+VLOOKUP(S115,filter('🔒 Доп. информация'!D:H,'🔒 Доп. информация'!C:C=T115),5,FALSE)*AJ115,
IF(AND(MAX(AF115:AH115"&amp;")&lt;80,SUM(AF115:AH115)&lt;=160,AI115&lt;20,XLOOKUP(M115,'📄 Комиссии'!C:C,'📄 Комиссии'!B:B)&lt;&gt;""Продукты""),
VLOOKUP(S115,filter('🔒 Доп. информация'!D:H,'🔒 Доп. информация'!C:C=data!$A$3),4,FALSE)+VLOOKUP(S115,filter('🔒 Доп. информация'!D:H,'🔒 Доп. информаци"&amp;"я'!C:C=data!$A$3),5,FALSE)*AJ115,
VLOOKUP(S115,filter('🔒 Доп. информация'!D:H,'🔒 Доп. информация'!C:C=T115),4,FALSE)*ROUNDUP(AF115*AG115*AH115*L115/(120*80*175))/L115)
)
*(AE115/2)
,)
,)*0"),0.0)</f>
        <v>0</v>
      </c>
      <c r="BK115" s="204">
        <f>IFERROR(__xludf.DUMMYFUNCTION("IF(AU115=data!A$5,
IF(AI115&lt;=1,IF(AI115&lt;=0.8,IF(AI115&lt;=0.6,IF(AI115&lt;=0.4,IF(AI115&lt;=0.2,23,26),29),30),32)*VLOOKUP(S115,filter('🔒 Доп. информация'!D:E,'🔒 Доп. информация'!C:C=T115),2,FALSE)/'🔒 Доп. информация'!$K$9,
IF(AV115=data!A$8,U115,1)*VLOOKUP(S11"&amp;"5,filter('🔒 Доп. информация'!D:E,'🔒 Доп. информация'!C:C=T115),2,FALSE)+
IF(AV115=data!A$8,U115,1)*VLOOKUP(S115,filter('🔒 Доп. информация'!D:F,'🔒 Доп. информация'!C:C=T115),3,FALSE)*AJ115)
,0)"),69.0)</f>
        <v>69</v>
      </c>
      <c r="BL115" s="185" t="str">
        <f t="shared" ref="BL115:BM115" si="355">IF($D115,"🔒",)</f>
        <v/>
      </c>
      <c r="BM115" s="185" t="str">
        <f t="shared" si="355"/>
        <v/>
      </c>
      <c r="BN115" s="204">
        <f>VLOOKUP(T115,'🔒 Доп. информация'!J:P,7,false)</f>
        <v>50</v>
      </c>
      <c r="BO115" s="204">
        <f>IF(AV115=data!A$9,
(AA115+AO115+AP115+BJ115+BK115+BN115)+H115*AS115,
(BJ115+BK115+BN115)+H115*AS115
)</f>
        <v>119</v>
      </c>
      <c r="BP115" s="204">
        <f t="shared" si="26"/>
        <v>69</v>
      </c>
      <c r="BQ115" s="204">
        <f t="shared" si="27"/>
        <v>320</v>
      </c>
      <c r="BR115" s="204" t="str">
        <f t="shared" si="37"/>
        <v>#N/A</v>
      </c>
      <c r="BS115" s="204" t="str">
        <f t="array" ref="BS115">IF(VLOOKUP(AT115,{'▶️ Инструкция'!C:C,'▶️ Инструкция'!Y:Y},2,FALSE)=data!A$15,
H115*(1-I115),
(H115-BR115))
*VLOOKUP(AT115,{'▶️ Инструкция'!C:C,'▶️ Инструкция'!AD:AD},2,FALSE)/(1+VLOOKUP(AT115,{'▶️ Инструкция'!C:C,'▶️ Инструкция'!AD:AD},2,FALSE))</f>
        <v>#N/A</v>
      </c>
      <c r="BT115" s="204" t="str">
        <f t="array" ref="BT115">
IF(VLOOKUP(AT115,{'▶️ Инструкция'!C:C,'▶️ Инструкция'!Y:Y},2,FALSE)=data!A$15,
H115*(1-I115)-BS115,
(H115-BR115-BS115))
*
VLOOKUP(AT115,{'▶️ Инструкция'!C:C,'▶️ Инструкция'!R:R},2,FALSE)
+BS115</f>
        <v>#N/A</v>
      </c>
      <c r="BU115" s="204" t="str">
        <f>(G115*AR115)+if(AV115=data!A$9,AO115,AN115)+AP115+BR115+BT115</f>
        <v>#N/A</v>
      </c>
      <c r="BV115" s="204" t="str">
        <f>(G115*AR115)+if(AV115=data!A$9,AO115,AN115)+AP115+BT115+G115</f>
        <v>#N/A</v>
      </c>
      <c r="BW115" s="204" t="str">
        <f t="shared" si="28"/>
        <v>#N/A</v>
      </c>
      <c r="BX115" s="204" t="str">
        <f t="shared" si="29"/>
        <v>#N/A</v>
      </c>
    </row>
    <row r="116">
      <c r="A116" s="165" t="str">
        <f>if(D116=true,if(F116=data!A$1,data!A$10,data!A$11),)</f>
        <v/>
      </c>
      <c r="B116" s="166" t="str">
        <f t="shared" si="4"/>
        <v>FBS</v>
      </c>
      <c r="C116" s="167" t="s">
        <v>195</v>
      </c>
      <c r="D116" s="168" t="b">
        <v>0</v>
      </c>
      <c r="E116" s="169" t="s">
        <v>204</v>
      </c>
      <c r="F116" s="170" t="str">
        <f t="array" ref="F116">IF(D116=TRUE,IF(IF(BG$3=VLOOKUP(AT116,{'▶️ Инструкция'!C:C,'▶️ Инструкция'!G:G},2,FALSE),BG116,BH116)&gt;VLOOKUP(AT116,{'▶️ Инструкция'!C:C,'▶️ Инструкция'!N:N},2,FALSE),data!A$1,data!A$2),)</f>
        <v/>
      </c>
      <c r="G116" s="171">
        <v>0.0</v>
      </c>
      <c r="H116" s="172">
        <v>1000.0</v>
      </c>
      <c r="I116" s="173">
        <v>0.0</v>
      </c>
      <c r="J116" s="173">
        <v>0.0</v>
      </c>
      <c r="K116" s="174" t="str">
        <f t="shared" si="5"/>
        <v/>
      </c>
      <c r="L116" s="175">
        <v>0.0</v>
      </c>
      <c r="M116" s="176" t="s">
        <v>197</v>
      </c>
      <c r="N116" s="177">
        <f>IFERROR(__xludf.DUMMYFUNCTION("ArrayFormula(let(category,VLOOKUP($M116, {'📄 Комиссии'!$C:$C , '📄 Комиссии'!$B:$B}, 2, 0),
data,MATCH('🔒 Доп. информация'!$J$15:$J203,TRANSPOSE(SPLIT(INDEX('▶️ Инструкция'!$Q:$Q,MATCH($AT116,'▶️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commission,VLOOKUP($M116,'📄 Комиссии'!$C:$E,IF($AV116=data!A$8,2,3),0),
IF(NOT(ISBLANK($M116)),commission/100+
"&amp;"IFERROR(VLOOKUP($AT116,{'▶️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16" s="178" t="str">
        <f t="shared" si="6"/>
        <v/>
      </c>
      <c r="Q116" s="178" t="str">
        <f t="shared" si="7"/>
        <v/>
      </c>
      <c r="S116" s="179" t="s">
        <v>192</v>
      </c>
      <c r="T116" s="180" t="s">
        <v>193</v>
      </c>
      <c r="U116" s="181">
        <v>1.0</v>
      </c>
      <c r="V116" s="182" t="str">
        <f t="shared" ref="V116:Y116" si="356">IF($D116,"🔒",)</f>
        <v/>
      </c>
      <c r="W116" s="182" t="str">
        <f t="shared" si="356"/>
        <v/>
      </c>
      <c r="X116" s="182" t="str">
        <f t="shared" si="356"/>
        <v/>
      </c>
      <c r="Y116" s="182" t="str">
        <f t="shared" si="356"/>
        <v/>
      </c>
      <c r="Z116" s="183">
        <v>0.0</v>
      </c>
      <c r="AA116" s="184">
        <f t="shared" si="31"/>
        <v>0</v>
      </c>
      <c r="AB116" s="185" t="str">
        <f t="shared" ref="AB116:AD116" si="357">IF($D116,"🔒",)</f>
        <v/>
      </c>
      <c r="AC116" s="185" t="str">
        <f t="shared" si="357"/>
        <v/>
      </c>
      <c r="AD116" s="186" t="str">
        <f t="shared" si="357"/>
        <v/>
      </c>
      <c r="AE116" s="180">
        <v>30.0</v>
      </c>
      <c r="AF116" s="187">
        <v>0.0</v>
      </c>
      <c r="AG116" s="187">
        <v>0.0</v>
      </c>
      <c r="AH116" s="187">
        <v>0.0</v>
      </c>
      <c r="AI116" s="181">
        <f t="shared" si="10"/>
        <v>0</v>
      </c>
      <c r="AJ116" s="181">
        <f t="shared" si="11"/>
        <v>0</v>
      </c>
      <c r="AK116" s="185" t="str">
        <f t="shared" si="12"/>
        <v/>
      </c>
      <c r="AL116" s="188" t="str">
        <f t="array" ref="AL116">H116*(1-I116)*VLOOKUP(AT116,{'▶️ Инструкция'!C:C,'▶️ Инструкция'!AI:AI},2,false)</f>
        <v>#N/A</v>
      </c>
      <c r="AM116" s="186" t="str">
        <f t="shared" si="13"/>
        <v/>
      </c>
      <c r="AN116" s="189">
        <v>0.0</v>
      </c>
      <c r="AO116" s="189">
        <v>0.0</v>
      </c>
      <c r="AP116" s="189">
        <v>0.0</v>
      </c>
      <c r="AQ116" s="191">
        <v>1.0</v>
      </c>
      <c r="AR116" s="191">
        <v>0.0</v>
      </c>
      <c r="AS116" s="212">
        <v>0.0</v>
      </c>
      <c r="AT116" s="193" t="s">
        <v>206</v>
      </c>
      <c r="AU116" s="193" t="s">
        <v>121</v>
      </c>
      <c r="AV116" s="193" t="s">
        <v>199</v>
      </c>
      <c r="AW116" s="194">
        <f t="shared" si="14"/>
        <v>0</v>
      </c>
      <c r="AX116" s="195">
        <f t="shared" si="15"/>
        <v>0</v>
      </c>
      <c r="AY116" s="196" t="str">
        <f t="shared" si="16"/>
        <v>#N/A</v>
      </c>
      <c r="AZ116" s="213">
        <v>250.0</v>
      </c>
      <c r="BA116" s="196">
        <f t="shared" si="17"/>
        <v>0.25</v>
      </c>
      <c r="BB116" s="213">
        <f t="shared" si="18"/>
        <v>1000</v>
      </c>
      <c r="BC116" s="199" t="str">
        <f t="shared" si="19"/>
        <v>#N/A</v>
      </c>
      <c r="BD116" s="200" t="str">
        <f t="shared" si="20"/>
        <v>#N/A</v>
      </c>
      <c r="BE116" s="200">
        <f t="shared" si="21"/>
        <v>0</v>
      </c>
      <c r="BF116" s="201" t="str">
        <f t="shared" si="22"/>
        <v/>
      </c>
      <c r="BG116" s="201" t="str">
        <f t="shared" si="23"/>
        <v/>
      </c>
      <c r="BH116" s="202" t="str">
        <f t="shared" si="24"/>
        <v/>
      </c>
      <c r="BI116" s="203"/>
      <c r="BJ116" s="204">
        <f>IFERROR(__xludf.DUMMYFUNCTION("IF(AU116=data!A$5,
IF(AV116=data!A$8,
IF(T116=data!A$3,
VLOOKUP(S116,filter('🔒 Доп. информация'!D:H,'🔒 Доп. информация'!C:C=T116),4,FALSE)+VLOOKUP(S116,filter('🔒 Доп. информация'!D:H,'🔒 Доп. информация'!C:C=T116),5,FALSE)*AJ116,
IF(AND(MAX(AF116:AH116"&amp;")&lt;80,SUM(AF116:AH116)&lt;=160,AI116&lt;20,XLOOKUP(M116,'📄 Комиссии'!C:C,'📄 Комиссии'!B:B)&lt;&gt;""Продукты""),
VLOOKUP(S116,filter('🔒 Доп. информация'!D:H,'🔒 Доп. информация'!C:C=data!$A$3),4,FALSE)+VLOOKUP(S116,filter('🔒 Доп. информация'!D:H,'🔒 Доп. информаци"&amp;"я'!C:C=data!$A$3),5,FALSE)*AJ116,
VLOOKUP(S116,filter('🔒 Доп. информация'!D:H,'🔒 Доп. информация'!C:C=T116),4,FALSE)*ROUNDUP(AF116*AG116*AH116*L116/(120*80*175))/L116)
)
*(AE116/2)
,)
,)*0"),0.0)</f>
        <v>0</v>
      </c>
      <c r="BK116" s="204">
        <f>IFERROR(__xludf.DUMMYFUNCTION("IF(AU116=data!A$5,
IF(AI116&lt;=1,IF(AI116&lt;=0.8,IF(AI116&lt;=0.6,IF(AI116&lt;=0.4,IF(AI116&lt;=0.2,23,26),29),30),32)*VLOOKUP(S116,filter('🔒 Доп. информация'!D:E,'🔒 Доп. информация'!C:C=T116),2,FALSE)/'🔒 Доп. информация'!$K$9,
IF(AV116=data!A$8,U116,1)*VLOOKUP(S11"&amp;"6,filter('🔒 Доп. информация'!D:E,'🔒 Доп. информация'!C:C=T116),2,FALSE)+
IF(AV116=data!A$8,U116,1)*VLOOKUP(S116,filter('🔒 Доп. информация'!D:F,'🔒 Доп. информация'!C:C=T116),3,FALSE)*AJ116)
,0)"),69.0)</f>
        <v>69</v>
      </c>
      <c r="BL116" s="185" t="str">
        <f t="shared" ref="BL116:BM116" si="358">IF($D116,"🔒",)</f>
        <v/>
      </c>
      <c r="BM116" s="185" t="str">
        <f t="shared" si="358"/>
        <v/>
      </c>
      <c r="BN116" s="204">
        <f>VLOOKUP(T116,'🔒 Доп. информация'!J:P,7,false)</f>
        <v>50</v>
      </c>
      <c r="BO116" s="204">
        <f>IF(AV116=data!A$9,
(AA116+AO116+AP116+BJ116+BK116+BN116)+H116*AS116,
(BJ116+BK116+BN116)+H116*AS116
)</f>
        <v>119</v>
      </c>
      <c r="BP116" s="204">
        <f t="shared" si="26"/>
        <v>69</v>
      </c>
      <c r="BQ116" s="204">
        <f t="shared" si="27"/>
        <v>320</v>
      </c>
      <c r="BR116" s="204" t="str">
        <f t="shared" si="37"/>
        <v>#N/A</v>
      </c>
      <c r="BS116" s="204" t="str">
        <f t="array" ref="BS116">IF(VLOOKUP(AT116,{'▶️ Инструкция'!C:C,'▶️ Инструкция'!Y:Y},2,FALSE)=data!A$15,
H116*(1-I116),
(H116-BR116))
*VLOOKUP(AT116,{'▶️ Инструкция'!C:C,'▶️ Инструкция'!AD:AD},2,FALSE)/(1+VLOOKUP(AT116,{'▶️ Инструкция'!C:C,'▶️ Инструкция'!AD:AD},2,FALSE))</f>
        <v>#N/A</v>
      </c>
      <c r="BT116" s="204" t="str">
        <f t="array" ref="BT116">
IF(VLOOKUP(AT116,{'▶️ Инструкция'!C:C,'▶️ Инструкция'!Y:Y},2,FALSE)=data!A$15,
H116*(1-I116)-BS116,
(H116-BR116-BS116))
*
VLOOKUP(AT116,{'▶️ Инструкция'!C:C,'▶️ Инструкция'!R:R},2,FALSE)
+BS116</f>
        <v>#N/A</v>
      </c>
      <c r="BU116" s="204" t="str">
        <f>(G116*AR116)+if(AV116=data!A$9,AO116,AN116)+AP116+BR116+BT116</f>
        <v>#N/A</v>
      </c>
      <c r="BV116" s="204" t="str">
        <f>(G116*AR116)+if(AV116=data!A$9,AO116,AN116)+AP116+BT116+G116</f>
        <v>#N/A</v>
      </c>
      <c r="BW116" s="204" t="str">
        <f t="shared" si="28"/>
        <v>#N/A</v>
      </c>
      <c r="BX116" s="204" t="str">
        <f t="shared" si="29"/>
        <v>#N/A</v>
      </c>
    </row>
    <row r="117">
      <c r="A117" s="165" t="str">
        <f>if(D117=true,if(F117=data!A$1,data!A$10,data!A$11),)</f>
        <v/>
      </c>
      <c r="B117" s="166" t="str">
        <f t="shared" si="4"/>
        <v>FBS</v>
      </c>
      <c r="C117" s="167" t="s">
        <v>195</v>
      </c>
      <c r="D117" s="168" t="b">
        <v>0</v>
      </c>
      <c r="E117" s="169" t="s">
        <v>204</v>
      </c>
      <c r="F117" s="170" t="str">
        <f t="array" ref="F117">IF(D117=TRUE,IF(IF(BG$3=VLOOKUP(AT117,{'▶️ Инструкция'!C:C,'▶️ Инструкция'!G:G},2,FALSE),BG117,BH117)&gt;VLOOKUP(AT117,{'▶️ Инструкция'!C:C,'▶️ Инструкция'!N:N},2,FALSE),data!A$1,data!A$2),)</f>
        <v/>
      </c>
      <c r="G117" s="171">
        <v>0.0</v>
      </c>
      <c r="H117" s="172">
        <v>1000.0</v>
      </c>
      <c r="I117" s="173">
        <v>0.0</v>
      </c>
      <c r="J117" s="173">
        <v>0.0</v>
      </c>
      <c r="K117" s="174" t="str">
        <f t="shared" si="5"/>
        <v/>
      </c>
      <c r="L117" s="175">
        <v>0.0</v>
      </c>
      <c r="M117" s="176" t="s">
        <v>197</v>
      </c>
      <c r="N117" s="177">
        <f>IFERROR(__xludf.DUMMYFUNCTION("ArrayFormula(let(category,VLOOKUP($M117, {'📄 Комиссии'!$C:$C , '📄 Комиссии'!$B:$B}, 2, 0),
data,MATCH('🔒 Доп. информация'!$J$15:$J203,TRANSPOSE(SPLIT(INDEX('▶️ Инструкция'!$Q:$Q,MATCH($AT117,'▶️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commission,VLOOKUP($M117,'📄 Комиссии'!$C:$E,IF($AV117=data!A$8,2,3),0),
IF(NOT(ISBLANK($M117)),commission/100+
"&amp;"IFERROR(VLOOKUP($AT117,{'▶️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17" s="178" t="str">
        <f t="shared" si="6"/>
        <v/>
      </c>
      <c r="Q117" s="178" t="str">
        <f t="shared" si="7"/>
        <v/>
      </c>
      <c r="S117" s="179" t="s">
        <v>192</v>
      </c>
      <c r="T117" s="180" t="s">
        <v>193</v>
      </c>
      <c r="U117" s="181">
        <v>1.0</v>
      </c>
      <c r="V117" s="182" t="str">
        <f t="shared" ref="V117:Y117" si="359">IF($D117,"🔒",)</f>
        <v/>
      </c>
      <c r="W117" s="182" t="str">
        <f t="shared" si="359"/>
        <v/>
      </c>
      <c r="X117" s="182" t="str">
        <f t="shared" si="359"/>
        <v/>
      </c>
      <c r="Y117" s="182" t="str">
        <f t="shared" si="359"/>
        <v/>
      </c>
      <c r="Z117" s="183">
        <v>0.0</v>
      </c>
      <c r="AA117" s="184">
        <f t="shared" si="31"/>
        <v>0</v>
      </c>
      <c r="AB117" s="185" t="str">
        <f t="shared" ref="AB117:AD117" si="360">IF($D117,"🔒",)</f>
        <v/>
      </c>
      <c r="AC117" s="185" t="str">
        <f t="shared" si="360"/>
        <v/>
      </c>
      <c r="AD117" s="186" t="str">
        <f t="shared" si="360"/>
        <v/>
      </c>
      <c r="AE117" s="180">
        <v>30.0</v>
      </c>
      <c r="AF117" s="187">
        <v>0.0</v>
      </c>
      <c r="AG117" s="187">
        <v>0.0</v>
      </c>
      <c r="AH117" s="187">
        <v>0.0</v>
      </c>
      <c r="AI117" s="181">
        <f t="shared" si="10"/>
        <v>0</v>
      </c>
      <c r="AJ117" s="181">
        <f t="shared" si="11"/>
        <v>0</v>
      </c>
      <c r="AK117" s="185" t="str">
        <f t="shared" si="12"/>
        <v/>
      </c>
      <c r="AL117" s="188" t="str">
        <f t="array" ref="AL117">H117*(1-I117)*VLOOKUP(AT117,{'▶️ Инструкция'!C:C,'▶️ Инструкция'!AI:AI},2,false)</f>
        <v>#N/A</v>
      </c>
      <c r="AM117" s="186" t="str">
        <f t="shared" si="13"/>
        <v/>
      </c>
      <c r="AN117" s="189">
        <v>0.0</v>
      </c>
      <c r="AO117" s="189">
        <v>0.0</v>
      </c>
      <c r="AP117" s="189">
        <v>0.0</v>
      </c>
      <c r="AQ117" s="191">
        <v>1.0</v>
      </c>
      <c r="AR117" s="191">
        <v>0.0</v>
      </c>
      <c r="AS117" s="212">
        <v>0.0</v>
      </c>
      <c r="AT117" s="193" t="s">
        <v>206</v>
      </c>
      <c r="AU117" s="193" t="s">
        <v>121</v>
      </c>
      <c r="AV117" s="193" t="s">
        <v>199</v>
      </c>
      <c r="AW117" s="194">
        <f t="shared" si="14"/>
        <v>0</v>
      </c>
      <c r="AX117" s="195">
        <f t="shared" si="15"/>
        <v>0</v>
      </c>
      <c r="AY117" s="196" t="str">
        <f t="shared" si="16"/>
        <v>#N/A</v>
      </c>
      <c r="AZ117" s="213">
        <v>250.0</v>
      </c>
      <c r="BA117" s="196">
        <f t="shared" si="17"/>
        <v>0.25</v>
      </c>
      <c r="BB117" s="213">
        <f t="shared" si="18"/>
        <v>1000</v>
      </c>
      <c r="BC117" s="199" t="str">
        <f t="shared" si="19"/>
        <v>#N/A</v>
      </c>
      <c r="BD117" s="200" t="str">
        <f t="shared" si="20"/>
        <v>#N/A</v>
      </c>
      <c r="BE117" s="200">
        <f t="shared" si="21"/>
        <v>0</v>
      </c>
      <c r="BF117" s="201" t="str">
        <f t="shared" si="22"/>
        <v/>
      </c>
      <c r="BG117" s="201" t="str">
        <f t="shared" si="23"/>
        <v/>
      </c>
      <c r="BH117" s="202" t="str">
        <f t="shared" si="24"/>
        <v/>
      </c>
      <c r="BI117" s="203"/>
      <c r="BJ117" s="204">
        <f>IFERROR(__xludf.DUMMYFUNCTION("IF(AU117=data!A$5,
IF(AV117=data!A$8,
IF(T117=data!A$3,
VLOOKUP(S117,filter('🔒 Доп. информация'!D:H,'🔒 Доп. информация'!C:C=T117),4,FALSE)+VLOOKUP(S117,filter('🔒 Доп. информация'!D:H,'🔒 Доп. информация'!C:C=T117),5,FALSE)*AJ117,
IF(AND(MAX(AF117:AH117"&amp;")&lt;80,SUM(AF117:AH117)&lt;=160,AI117&lt;20,XLOOKUP(M117,'📄 Комиссии'!C:C,'📄 Комиссии'!B:B)&lt;&gt;""Продукты""),
VLOOKUP(S117,filter('🔒 Доп. информация'!D:H,'🔒 Доп. информация'!C:C=data!$A$3),4,FALSE)+VLOOKUP(S117,filter('🔒 Доп. информация'!D:H,'🔒 Доп. информаци"&amp;"я'!C:C=data!$A$3),5,FALSE)*AJ117,
VLOOKUP(S117,filter('🔒 Доп. информация'!D:H,'🔒 Доп. информация'!C:C=T117),4,FALSE)*ROUNDUP(AF117*AG117*AH117*L117/(120*80*175))/L117)
)
*(AE117/2)
,)
,)*0"),0.0)</f>
        <v>0</v>
      </c>
      <c r="BK117" s="204">
        <f>IFERROR(__xludf.DUMMYFUNCTION("IF(AU117=data!A$5,
IF(AI117&lt;=1,IF(AI117&lt;=0.8,IF(AI117&lt;=0.6,IF(AI117&lt;=0.4,IF(AI117&lt;=0.2,23,26),29),30),32)*VLOOKUP(S117,filter('🔒 Доп. информация'!D:E,'🔒 Доп. информация'!C:C=T117),2,FALSE)/'🔒 Доп. информация'!$K$9,
IF(AV117=data!A$8,U117,1)*VLOOKUP(S11"&amp;"7,filter('🔒 Доп. информация'!D:E,'🔒 Доп. информация'!C:C=T117),2,FALSE)+
IF(AV117=data!A$8,U117,1)*VLOOKUP(S117,filter('🔒 Доп. информация'!D:F,'🔒 Доп. информация'!C:C=T117),3,FALSE)*AJ117)
,0)"),69.0)</f>
        <v>69</v>
      </c>
      <c r="BL117" s="185" t="str">
        <f t="shared" ref="BL117:BM117" si="361">IF($D117,"🔒",)</f>
        <v/>
      </c>
      <c r="BM117" s="185" t="str">
        <f t="shared" si="361"/>
        <v/>
      </c>
      <c r="BN117" s="204">
        <f>VLOOKUP(T117,'🔒 Доп. информация'!J:P,7,false)</f>
        <v>50</v>
      </c>
      <c r="BO117" s="204">
        <f>IF(AV117=data!A$9,
(AA117+AO117+AP117+BJ117+BK117+BN117)+H117*AS117,
(BJ117+BK117+BN117)+H117*AS117
)</f>
        <v>119</v>
      </c>
      <c r="BP117" s="204">
        <f t="shared" si="26"/>
        <v>69</v>
      </c>
      <c r="BQ117" s="204">
        <f t="shared" si="27"/>
        <v>320</v>
      </c>
      <c r="BR117" s="204" t="str">
        <f t="shared" si="37"/>
        <v>#N/A</v>
      </c>
      <c r="BS117" s="204" t="str">
        <f t="array" ref="BS117">IF(VLOOKUP(AT117,{'▶️ Инструкция'!C:C,'▶️ Инструкция'!Y:Y},2,FALSE)=data!A$15,
H117*(1-I117),
(H117-BR117))
*VLOOKUP(AT117,{'▶️ Инструкция'!C:C,'▶️ Инструкция'!AD:AD},2,FALSE)/(1+VLOOKUP(AT117,{'▶️ Инструкция'!C:C,'▶️ Инструкция'!AD:AD},2,FALSE))</f>
        <v>#N/A</v>
      </c>
      <c r="BT117" s="204" t="str">
        <f t="array" ref="BT117">
IF(VLOOKUP(AT117,{'▶️ Инструкция'!C:C,'▶️ Инструкция'!Y:Y},2,FALSE)=data!A$15,
H117*(1-I117)-BS117,
(H117-BR117-BS117))
*
VLOOKUP(AT117,{'▶️ Инструкция'!C:C,'▶️ Инструкция'!R:R},2,FALSE)
+BS117</f>
        <v>#N/A</v>
      </c>
      <c r="BU117" s="204" t="str">
        <f>(G117*AR117)+if(AV117=data!A$9,AO117,AN117)+AP117+BR117+BT117</f>
        <v>#N/A</v>
      </c>
      <c r="BV117" s="204" t="str">
        <f>(G117*AR117)+if(AV117=data!A$9,AO117,AN117)+AP117+BT117+G117</f>
        <v>#N/A</v>
      </c>
      <c r="BW117" s="204" t="str">
        <f t="shared" si="28"/>
        <v>#N/A</v>
      </c>
      <c r="BX117" s="204" t="str">
        <f t="shared" si="29"/>
        <v>#N/A</v>
      </c>
    </row>
    <row r="118">
      <c r="A118" s="165" t="str">
        <f>if(D118=true,if(F118=data!A$1,data!A$10,data!A$11),)</f>
        <v/>
      </c>
      <c r="B118" s="166" t="str">
        <f t="shared" si="4"/>
        <v>FBS</v>
      </c>
      <c r="C118" s="167" t="s">
        <v>195</v>
      </c>
      <c r="D118" s="168" t="b">
        <v>0</v>
      </c>
      <c r="E118" s="169" t="s">
        <v>204</v>
      </c>
      <c r="F118" s="170" t="str">
        <f t="array" ref="F118">IF(D118=TRUE,IF(IF(BG$3=VLOOKUP(AT118,{'▶️ Инструкция'!C:C,'▶️ Инструкция'!G:G},2,FALSE),BG118,BH118)&gt;VLOOKUP(AT118,{'▶️ Инструкция'!C:C,'▶️ Инструкция'!N:N},2,FALSE),data!A$1,data!A$2),)</f>
        <v/>
      </c>
      <c r="G118" s="171">
        <v>0.0</v>
      </c>
      <c r="H118" s="172">
        <v>1000.0</v>
      </c>
      <c r="I118" s="173">
        <v>0.0</v>
      </c>
      <c r="J118" s="173">
        <v>0.0</v>
      </c>
      <c r="K118" s="174" t="str">
        <f t="shared" si="5"/>
        <v/>
      </c>
      <c r="L118" s="175">
        <v>0.0</v>
      </c>
      <c r="M118" s="176" t="s">
        <v>197</v>
      </c>
      <c r="N118" s="177">
        <f>IFERROR(__xludf.DUMMYFUNCTION("ArrayFormula(let(category,VLOOKUP($M118, {'📄 Комиссии'!$C:$C , '📄 Комиссии'!$B:$B}, 2, 0),
data,MATCH('🔒 Доп. информация'!$J$15:$J203,TRANSPOSE(SPLIT(INDEX('▶️ Инструкция'!$Q:$Q,MATCH($AT118,'▶️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commission,VLOOKUP($M118,'📄 Комиссии'!$C:$E,IF($AV118=data!A$8,2,3),0),
IF(NOT(ISBLANK($M118)),commission/100+
"&amp;"IFERROR(VLOOKUP($AT118,{'▶️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18" s="178" t="str">
        <f t="shared" si="6"/>
        <v/>
      </c>
      <c r="Q118" s="178" t="str">
        <f t="shared" si="7"/>
        <v/>
      </c>
      <c r="S118" s="179" t="s">
        <v>192</v>
      </c>
      <c r="T118" s="180" t="s">
        <v>193</v>
      </c>
      <c r="U118" s="181">
        <v>1.0</v>
      </c>
      <c r="V118" s="182" t="str">
        <f t="shared" ref="V118:Y118" si="362">IF($D118,"🔒",)</f>
        <v/>
      </c>
      <c r="W118" s="182" t="str">
        <f t="shared" si="362"/>
        <v/>
      </c>
      <c r="X118" s="182" t="str">
        <f t="shared" si="362"/>
        <v/>
      </c>
      <c r="Y118" s="182" t="str">
        <f t="shared" si="362"/>
        <v/>
      </c>
      <c r="Z118" s="183">
        <v>0.0</v>
      </c>
      <c r="AA118" s="184">
        <f t="shared" si="31"/>
        <v>0</v>
      </c>
      <c r="AB118" s="185" t="str">
        <f t="shared" ref="AB118:AD118" si="363">IF($D118,"🔒",)</f>
        <v/>
      </c>
      <c r="AC118" s="185" t="str">
        <f t="shared" si="363"/>
        <v/>
      </c>
      <c r="AD118" s="186" t="str">
        <f t="shared" si="363"/>
        <v/>
      </c>
      <c r="AE118" s="180">
        <v>30.0</v>
      </c>
      <c r="AF118" s="187">
        <v>0.0</v>
      </c>
      <c r="AG118" s="187">
        <v>0.0</v>
      </c>
      <c r="AH118" s="187">
        <v>0.0</v>
      </c>
      <c r="AI118" s="181">
        <f t="shared" si="10"/>
        <v>0</v>
      </c>
      <c r="AJ118" s="181">
        <f t="shared" si="11"/>
        <v>0</v>
      </c>
      <c r="AK118" s="185" t="str">
        <f t="shared" si="12"/>
        <v/>
      </c>
      <c r="AL118" s="188" t="str">
        <f t="array" ref="AL118">H118*(1-I118)*VLOOKUP(AT118,{'▶️ Инструкция'!C:C,'▶️ Инструкция'!AI:AI},2,false)</f>
        <v>#N/A</v>
      </c>
      <c r="AM118" s="186" t="str">
        <f t="shared" si="13"/>
        <v/>
      </c>
      <c r="AN118" s="189">
        <v>0.0</v>
      </c>
      <c r="AO118" s="189">
        <v>0.0</v>
      </c>
      <c r="AP118" s="189">
        <v>0.0</v>
      </c>
      <c r="AQ118" s="191">
        <v>1.0</v>
      </c>
      <c r="AR118" s="191">
        <v>0.0</v>
      </c>
      <c r="AS118" s="212">
        <v>0.0</v>
      </c>
      <c r="AT118" s="193" t="s">
        <v>206</v>
      </c>
      <c r="AU118" s="193" t="s">
        <v>121</v>
      </c>
      <c r="AV118" s="193" t="s">
        <v>199</v>
      </c>
      <c r="AW118" s="194">
        <f t="shared" si="14"/>
        <v>0</v>
      </c>
      <c r="AX118" s="195">
        <f t="shared" si="15"/>
        <v>0</v>
      </c>
      <c r="AY118" s="196" t="str">
        <f t="shared" si="16"/>
        <v>#N/A</v>
      </c>
      <c r="AZ118" s="213">
        <v>250.0</v>
      </c>
      <c r="BA118" s="196">
        <f t="shared" si="17"/>
        <v>0.25</v>
      </c>
      <c r="BB118" s="213">
        <f t="shared" si="18"/>
        <v>1000</v>
      </c>
      <c r="BC118" s="199" t="str">
        <f t="shared" si="19"/>
        <v>#N/A</v>
      </c>
      <c r="BD118" s="200" t="str">
        <f t="shared" si="20"/>
        <v>#N/A</v>
      </c>
      <c r="BE118" s="200">
        <f t="shared" si="21"/>
        <v>0</v>
      </c>
      <c r="BF118" s="201" t="str">
        <f t="shared" si="22"/>
        <v/>
      </c>
      <c r="BG118" s="201" t="str">
        <f t="shared" si="23"/>
        <v/>
      </c>
      <c r="BH118" s="202" t="str">
        <f t="shared" si="24"/>
        <v/>
      </c>
      <c r="BI118" s="203"/>
      <c r="BJ118" s="204">
        <f>IFERROR(__xludf.DUMMYFUNCTION("IF(AU118=data!A$5,
IF(AV118=data!A$8,
IF(T118=data!A$3,
VLOOKUP(S118,filter('🔒 Доп. информация'!D:H,'🔒 Доп. информация'!C:C=T118),4,FALSE)+VLOOKUP(S118,filter('🔒 Доп. информация'!D:H,'🔒 Доп. информация'!C:C=T118),5,FALSE)*AJ118,
IF(AND(MAX(AF118:AH118"&amp;")&lt;80,SUM(AF118:AH118)&lt;=160,AI118&lt;20,XLOOKUP(M118,'📄 Комиссии'!C:C,'📄 Комиссии'!B:B)&lt;&gt;""Продукты""),
VLOOKUP(S118,filter('🔒 Доп. информация'!D:H,'🔒 Доп. информация'!C:C=data!$A$3),4,FALSE)+VLOOKUP(S118,filter('🔒 Доп. информация'!D:H,'🔒 Доп. информаци"&amp;"я'!C:C=data!$A$3),5,FALSE)*AJ118,
VLOOKUP(S118,filter('🔒 Доп. информация'!D:H,'🔒 Доп. информация'!C:C=T118),4,FALSE)*ROUNDUP(AF118*AG118*AH118*L118/(120*80*175))/L118)
)
*(AE118/2)
,)
,)*0"),0.0)</f>
        <v>0</v>
      </c>
      <c r="BK118" s="204">
        <f>IFERROR(__xludf.DUMMYFUNCTION("IF(AU118=data!A$5,
IF(AI118&lt;=1,IF(AI118&lt;=0.8,IF(AI118&lt;=0.6,IF(AI118&lt;=0.4,IF(AI118&lt;=0.2,23,26),29),30),32)*VLOOKUP(S118,filter('🔒 Доп. информация'!D:E,'🔒 Доп. информация'!C:C=T118),2,FALSE)/'🔒 Доп. информация'!$K$9,
IF(AV118=data!A$8,U118,1)*VLOOKUP(S11"&amp;"8,filter('🔒 Доп. информация'!D:E,'🔒 Доп. информация'!C:C=T118),2,FALSE)+
IF(AV118=data!A$8,U118,1)*VLOOKUP(S118,filter('🔒 Доп. информация'!D:F,'🔒 Доп. информация'!C:C=T118),3,FALSE)*AJ118)
,0)"),69.0)</f>
        <v>69</v>
      </c>
      <c r="BL118" s="185" t="str">
        <f t="shared" ref="BL118:BM118" si="364">IF($D118,"🔒",)</f>
        <v/>
      </c>
      <c r="BM118" s="185" t="str">
        <f t="shared" si="364"/>
        <v/>
      </c>
      <c r="BN118" s="204">
        <f>VLOOKUP(T118,'🔒 Доп. информация'!J:P,7,false)</f>
        <v>50</v>
      </c>
      <c r="BO118" s="204">
        <f>IF(AV118=data!A$9,
(AA118+AO118+AP118+BJ118+BK118+BN118)+H118*AS118,
(BJ118+BK118+BN118)+H118*AS118
)</f>
        <v>119</v>
      </c>
      <c r="BP118" s="204">
        <f t="shared" si="26"/>
        <v>69</v>
      </c>
      <c r="BQ118" s="204">
        <f t="shared" si="27"/>
        <v>320</v>
      </c>
      <c r="BR118" s="204" t="str">
        <f t="shared" si="37"/>
        <v>#N/A</v>
      </c>
      <c r="BS118" s="204" t="str">
        <f t="array" ref="BS118">IF(VLOOKUP(AT118,{'▶️ Инструкция'!C:C,'▶️ Инструкция'!Y:Y},2,FALSE)=data!A$15,
H118*(1-I118),
(H118-BR118))
*VLOOKUP(AT118,{'▶️ Инструкция'!C:C,'▶️ Инструкция'!AD:AD},2,FALSE)/(1+VLOOKUP(AT118,{'▶️ Инструкция'!C:C,'▶️ Инструкция'!AD:AD},2,FALSE))</f>
        <v>#N/A</v>
      </c>
      <c r="BT118" s="204" t="str">
        <f t="array" ref="BT118">
IF(VLOOKUP(AT118,{'▶️ Инструкция'!C:C,'▶️ Инструкция'!Y:Y},2,FALSE)=data!A$15,
H118*(1-I118)-BS118,
(H118-BR118-BS118))
*
VLOOKUP(AT118,{'▶️ Инструкция'!C:C,'▶️ Инструкция'!R:R},2,FALSE)
+BS118</f>
        <v>#N/A</v>
      </c>
      <c r="BU118" s="204" t="str">
        <f>(G118*AR118)+if(AV118=data!A$9,AO118,AN118)+AP118+BR118+BT118</f>
        <v>#N/A</v>
      </c>
      <c r="BV118" s="204" t="str">
        <f>(G118*AR118)+if(AV118=data!A$9,AO118,AN118)+AP118+BT118+G118</f>
        <v>#N/A</v>
      </c>
      <c r="BW118" s="204" t="str">
        <f t="shared" si="28"/>
        <v>#N/A</v>
      </c>
      <c r="BX118" s="204" t="str">
        <f t="shared" si="29"/>
        <v>#N/A</v>
      </c>
    </row>
    <row r="119">
      <c r="A119" s="165" t="str">
        <f>if(D119=true,if(F119=data!A$1,data!A$10,data!A$11),)</f>
        <v/>
      </c>
      <c r="B119" s="166" t="str">
        <f t="shared" si="4"/>
        <v>FBS</v>
      </c>
      <c r="C119" s="167" t="s">
        <v>195</v>
      </c>
      <c r="D119" s="168" t="b">
        <v>0</v>
      </c>
      <c r="E119" s="169" t="s">
        <v>204</v>
      </c>
      <c r="F119" s="170" t="str">
        <f t="array" ref="F119">IF(D119=TRUE,IF(IF(BG$3=VLOOKUP(AT119,{'▶️ Инструкция'!C:C,'▶️ Инструкция'!G:G},2,FALSE),BG119,BH119)&gt;VLOOKUP(AT119,{'▶️ Инструкция'!C:C,'▶️ Инструкция'!N:N},2,FALSE),data!A$1,data!A$2),)</f>
        <v/>
      </c>
      <c r="G119" s="171">
        <v>0.0</v>
      </c>
      <c r="H119" s="172">
        <v>1000.0</v>
      </c>
      <c r="I119" s="173">
        <v>0.0</v>
      </c>
      <c r="J119" s="173">
        <v>0.0</v>
      </c>
      <c r="K119" s="174" t="str">
        <f t="shared" si="5"/>
        <v/>
      </c>
      <c r="L119" s="175">
        <v>0.0</v>
      </c>
      <c r="M119" s="176" t="s">
        <v>197</v>
      </c>
      <c r="N119" s="177">
        <f>IFERROR(__xludf.DUMMYFUNCTION("ArrayFormula(let(category,VLOOKUP($M119, {'📄 Комиссии'!$C:$C , '📄 Комиссии'!$B:$B}, 2, 0),
data,MATCH('🔒 Доп. информация'!$J$15:$J203,TRANSPOSE(SPLIT(INDEX('▶️ Инструкция'!$Q:$Q,MATCH($AT119,'▶️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commission,VLOOKUP($M119,'📄 Комиссии'!$C:$E,IF($AV119=data!A$8,2,3),0),
IF(NOT(ISBLANK($M119)),commission/100+
"&amp;"IFERROR(VLOOKUP($AT119,{'▶️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19" s="178" t="str">
        <f t="shared" si="6"/>
        <v/>
      </c>
      <c r="Q119" s="178" t="str">
        <f t="shared" si="7"/>
        <v/>
      </c>
      <c r="S119" s="179" t="s">
        <v>192</v>
      </c>
      <c r="T119" s="180" t="s">
        <v>193</v>
      </c>
      <c r="U119" s="181">
        <v>1.0</v>
      </c>
      <c r="V119" s="182" t="str">
        <f t="shared" ref="V119:Y119" si="365">IF($D119,"🔒",)</f>
        <v/>
      </c>
      <c r="W119" s="182" t="str">
        <f t="shared" si="365"/>
        <v/>
      </c>
      <c r="X119" s="182" t="str">
        <f t="shared" si="365"/>
        <v/>
      </c>
      <c r="Y119" s="182" t="str">
        <f t="shared" si="365"/>
        <v/>
      </c>
      <c r="Z119" s="183">
        <v>0.0</v>
      </c>
      <c r="AA119" s="184">
        <f t="shared" si="31"/>
        <v>0</v>
      </c>
      <c r="AB119" s="185" t="str">
        <f t="shared" ref="AB119:AD119" si="366">IF($D119,"🔒",)</f>
        <v/>
      </c>
      <c r="AC119" s="185" t="str">
        <f t="shared" si="366"/>
        <v/>
      </c>
      <c r="AD119" s="186" t="str">
        <f t="shared" si="366"/>
        <v/>
      </c>
      <c r="AE119" s="180">
        <v>30.0</v>
      </c>
      <c r="AF119" s="187">
        <v>0.0</v>
      </c>
      <c r="AG119" s="187">
        <v>0.0</v>
      </c>
      <c r="AH119" s="187">
        <v>0.0</v>
      </c>
      <c r="AI119" s="181">
        <f t="shared" si="10"/>
        <v>0</v>
      </c>
      <c r="AJ119" s="181">
        <f t="shared" si="11"/>
        <v>0</v>
      </c>
      <c r="AK119" s="185" t="str">
        <f t="shared" si="12"/>
        <v/>
      </c>
      <c r="AL119" s="188" t="str">
        <f t="array" ref="AL119">H119*(1-I119)*VLOOKUP(AT119,{'▶️ Инструкция'!C:C,'▶️ Инструкция'!AI:AI},2,false)</f>
        <v>#N/A</v>
      </c>
      <c r="AM119" s="186" t="str">
        <f t="shared" si="13"/>
        <v/>
      </c>
      <c r="AN119" s="189">
        <v>0.0</v>
      </c>
      <c r="AO119" s="189">
        <v>0.0</v>
      </c>
      <c r="AP119" s="189">
        <v>0.0</v>
      </c>
      <c r="AQ119" s="191">
        <v>1.0</v>
      </c>
      <c r="AR119" s="191">
        <v>0.0</v>
      </c>
      <c r="AS119" s="212">
        <v>0.0</v>
      </c>
      <c r="AT119" s="193" t="s">
        <v>206</v>
      </c>
      <c r="AU119" s="193" t="s">
        <v>121</v>
      </c>
      <c r="AV119" s="193" t="s">
        <v>199</v>
      </c>
      <c r="AW119" s="194">
        <f t="shared" si="14"/>
        <v>0</v>
      </c>
      <c r="AX119" s="195">
        <f t="shared" si="15"/>
        <v>0</v>
      </c>
      <c r="AY119" s="196" t="str">
        <f t="shared" si="16"/>
        <v>#N/A</v>
      </c>
      <c r="AZ119" s="213">
        <v>250.0</v>
      </c>
      <c r="BA119" s="196">
        <f t="shared" si="17"/>
        <v>0.25</v>
      </c>
      <c r="BB119" s="213">
        <f t="shared" si="18"/>
        <v>1000</v>
      </c>
      <c r="BC119" s="199" t="str">
        <f t="shared" si="19"/>
        <v>#N/A</v>
      </c>
      <c r="BD119" s="200" t="str">
        <f t="shared" si="20"/>
        <v>#N/A</v>
      </c>
      <c r="BE119" s="200">
        <f t="shared" si="21"/>
        <v>0</v>
      </c>
      <c r="BF119" s="201" t="str">
        <f t="shared" si="22"/>
        <v/>
      </c>
      <c r="BG119" s="201" t="str">
        <f t="shared" si="23"/>
        <v/>
      </c>
      <c r="BH119" s="202" t="str">
        <f t="shared" si="24"/>
        <v/>
      </c>
      <c r="BI119" s="203"/>
      <c r="BJ119" s="204">
        <f>IFERROR(__xludf.DUMMYFUNCTION("IF(AU119=data!A$5,
IF(AV119=data!A$8,
IF(T119=data!A$3,
VLOOKUP(S119,filter('🔒 Доп. информация'!D:H,'🔒 Доп. информация'!C:C=T119),4,FALSE)+VLOOKUP(S119,filter('🔒 Доп. информация'!D:H,'🔒 Доп. информация'!C:C=T119),5,FALSE)*AJ119,
IF(AND(MAX(AF119:AH119"&amp;")&lt;80,SUM(AF119:AH119)&lt;=160,AI119&lt;20,XLOOKUP(M119,'📄 Комиссии'!C:C,'📄 Комиссии'!B:B)&lt;&gt;""Продукты""),
VLOOKUP(S119,filter('🔒 Доп. информация'!D:H,'🔒 Доп. информация'!C:C=data!$A$3),4,FALSE)+VLOOKUP(S119,filter('🔒 Доп. информация'!D:H,'🔒 Доп. информаци"&amp;"я'!C:C=data!$A$3),5,FALSE)*AJ119,
VLOOKUP(S119,filter('🔒 Доп. информация'!D:H,'🔒 Доп. информация'!C:C=T119),4,FALSE)*ROUNDUP(AF119*AG119*AH119*L119/(120*80*175))/L119)
)
*(AE119/2)
,)
,)*0"),0.0)</f>
        <v>0</v>
      </c>
      <c r="BK119" s="204">
        <f>IFERROR(__xludf.DUMMYFUNCTION("IF(AU119=data!A$5,
IF(AI119&lt;=1,IF(AI119&lt;=0.8,IF(AI119&lt;=0.6,IF(AI119&lt;=0.4,IF(AI119&lt;=0.2,23,26),29),30),32)*VLOOKUP(S119,filter('🔒 Доп. информация'!D:E,'🔒 Доп. информация'!C:C=T119),2,FALSE)/'🔒 Доп. информация'!$K$9,
IF(AV119=data!A$8,U119,1)*VLOOKUP(S11"&amp;"9,filter('🔒 Доп. информация'!D:E,'🔒 Доп. информация'!C:C=T119),2,FALSE)+
IF(AV119=data!A$8,U119,1)*VLOOKUP(S119,filter('🔒 Доп. информация'!D:F,'🔒 Доп. информация'!C:C=T119),3,FALSE)*AJ119)
,0)"),69.0)</f>
        <v>69</v>
      </c>
      <c r="BL119" s="185" t="str">
        <f t="shared" ref="BL119:BM119" si="367">IF($D119,"🔒",)</f>
        <v/>
      </c>
      <c r="BM119" s="185" t="str">
        <f t="shared" si="367"/>
        <v/>
      </c>
      <c r="BN119" s="204">
        <f>VLOOKUP(T119,'🔒 Доп. информация'!J:P,7,false)</f>
        <v>50</v>
      </c>
      <c r="BO119" s="204">
        <f>IF(AV119=data!A$9,
(AA119+AO119+AP119+BJ119+BK119+BN119)+H119*AS119,
(BJ119+BK119+BN119)+H119*AS119
)</f>
        <v>119</v>
      </c>
      <c r="BP119" s="204">
        <f t="shared" si="26"/>
        <v>69</v>
      </c>
      <c r="BQ119" s="204">
        <f t="shared" si="27"/>
        <v>320</v>
      </c>
      <c r="BR119" s="204" t="str">
        <f t="shared" si="37"/>
        <v>#N/A</v>
      </c>
      <c r="BS119" s="204" t="str">
        <f t="array" ref="BS119">IF(VLOOKUP(AT119,{'▶️ Инструкция'!C:C,'▶️ Инструкция'!Y:Y},2,FALSE)=data!A$15,
H119*(1-I119),
(H119-BR119))
*VLOOKUP(AT119,{'▶️ Инструкция'!C:C,'▶️ Инструкция'!AD:AD},2,FALSE)/(1+VLOOKUP(AT119,{'▶️ Инструкция'!C:C,'▶️ Инструкция'!AD:AD},2,FALSE))</f>
        <v>#N/A</v>
      </c>
      <c r="BT119" s="204" t="str">
        <f t="array" ref="BT119">
IF(VLOOKUP(AT119,{'▶️ Инструкция'!C:C,'▶️ Инструкция'!Y:Y},2,FALSE)=data!A$15,
H119*(1-I119)-BS119,
(H119-BR119-BS119))
*
VLOOKUP(AT119,{'▶️ Инструкция'!C:C,'▶️ Инструкция'!R:R},2,FALSE)
+BS119</f>
        <v>#N/A</v>
      </c>
      <c r="BU119" s="204" t="str">
        <f>(G119*AR119)+if(AV119=data!A$9,AO119,AN119)+AP119+BR119+BT119</f>
        <v>#N/A</v>
      </c>
      <c r="BV119" s="204" t="str">
        <f>(G119*AR119)+if(AV119=data!A$9,AO119,AN119)+AP119+BT119+G119</f>
        <v>#N/A</v>
      </c>
      <c r="BW119" s="204" t="str">
        <f t="shared" si="28"/>
        <v>#N/A</v>
      </c>
      <c r="BX119" s="204" t="str">
        <f t="shared" si="29"/>
        <v>#N/A</v>
      </c>
    </row>
    <row r="120">
      <c r="A120" s="165" t="str">
        <f>if(D120=true,if(F120=data!A$1,data!A$10,data!A$11),)</f>
        <v/>
      </c>
      <c r="B120" s="166" t="str">
        <f t="shared" si="4"/>
        <v>FBS</v>
      </c>
      <c r="C120" s="167" t="s">
        <v>195</v>
      </c>
      <c r="D120" s="168" t="b">
        <v>0</v>
      </c>
      <c r="E120" s="169" t="s">
        <v>204</v>
      </c>
      <c r="F120" s="170" t="str">
        <f t="array" ref="F120">IF(D120=TRUE,IF(IF(BG$3=VLOOKUP(AT120,{'▶️ Инструкция'!C:C,'▶️ Инструкция'!G:G},2,FALSE),BG120,BH120)&gt;VLOOKUP(AT120,{'▶️ Инструкция'!C:C,'▶️ Инструкция'!N:N},2,FALSE),data!A$1,data!A$2),)</f>
        <v/>
      </c>
      <c r="G120" s="171">
        <v>0.0</v>
      </c>
      <c r="H120" s="172">
        <v>1000.0</v>
      </c>
      <c r="I120" s="173">
        <v>0.0</v>
      </c>
      <c r="J120" s="173">
        <v>0.0</v>
      </c>
      <c r="K120" s="174" t="str">
        <f t="shared" si="5"/>
        <v/>
      </c>
      <c r="L120" s="175">
        <v>0.0</v>
      </c>
      <c r="M120" s="176" t="s">
        <v>197</v>
      </c>
      <c r="N120" s="177">
        <f>IFERROR(__xludf.DUMMYFUNCTION("ArrayFormula(let(category,VLOOKUP($M120, {'📄 Комиссии'!$C:$C , '📄 Комиссии'!$B:$B}, 2, 0),
data,MATCH('🔒 Доп. информация'!$J$15:$J203,TRANSPOSE(SPLIT(INDEX('▶️ Инструкция'!$Q:$Q,MATCH($AT120,'▶️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commission,VLOOKUP($M120,'📄 Комиссии'!$C:$E,IF($AV120=data!A$8,2,3),0),
IF(NOT(ISBLANK($M120)),commission/100+
"&amp;"IFERROR(VLOOKUP($AT120,{'▶️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20" s="178" t="str">
        <f t="shared" si="6"/>
        <v/>
      </c>
      <c r="Q120" s="178" t="str">
        <f t="shared" si="7"/>
        <v/>
      </c>
      <c r="S120" s="179" t="s">
        <v>192</v>
      </c>
      <c r="T120" s="180" t="s">
        <v>193</v>
      </c>
      <c r="U120" s="181">
        <v>1.0</v>
      </c>
      <c r="V120" s="182" t="str">
        <f t="shared" ref="V120:Y120" si="368">IF($D120,"🔒",)</f>
        <v/>
      </c>
      <c r="W120" s="182" t="str">
        <f t="shared" si="368"/>
        <v/>
      </c>
      <c r="X120" s="182" t="str">
        <f t="shared" si="368"/>
        <v/>
      </c>
      <c r="Y120" s="182" t="str">
        <f t="shared" si="368"/>
        <v/>
      </c>
      <c r="Z120" s="183">
        <v>0.0</v>
      </c>
      <c r="AA120" s="184">
        <f t="shared" si="31"/>
        <v>0</v>
      </c>
      <c r="AB120" s="185" t="str">
        <f t="shared" ref="AB120:AD120" si="369">IF($D120,"🔒",)</f>
        <v/>
      </c>
      <c r="AC120" s="185" t="str">
        <f t="shared" si="369"/>
        <v/>
      </c>
      <c r="AD120" s="186" t="str">
        <f t="shared" si="369"/>
        <v/>
      </c>
      <c r="AE120" s="180">
        <v>30.0</v>
      </c>
      <c r="AF120" s="187">
        <v>0.0</v>
      </c>
      <c r="AG120" s="187">
        <v>0.0</v>
      </c>
      <c r="AH120" s="187">
        <v>0.0</v>
      </c>
      <c r="AI120" s="181">
        <f t="shared" si="10"/>
        <v>0</v>
      </c>
      <c r="AJ120" s="181">
        <f t="shared" si="11"/>
        <v>0</v>
      </c>
      <c r="AK120" s="185" t="str">
        <f t="shared" si="12"/>
        <v/>
      </c>
      <c r="AL120" s="188" t="str">
        <f t="array" ref="AL120">H120*(1-I120)*VLOOKUP(AT120,{'▶️ Инструкция'!C:C,'▶️ Инструкция'!AI:AI},2,false)</f>
        <v>#N/A</v>
      </c>
      <c r="AM120" s="186" t="str">
        <f t="shared" si="13"/>
        <v/>
      </c>
      <c r="AN120" s="189">
        <v>0.0</v>
      </c>
      <c r="AO120" s="189">
        <v>0.0</v>
      </c>
      <c r="AP120" s="189">
        <v>0.0</v>
      </c>
      <c r="AQ120" s="191">
        <v>1.0</v>
      </c>
      <c r="AR120" s="191">
        <v>0.0</v>
      </c>
      <c r="AS120" s="212">
        <v>0.0</v>
      </c>
      <c r="AT120" s="193" t="s">
        <v>206</v>
      </c>
      <c r="AU120" s="193" t="s">
        <v>121</v>
      </c>
      <c r="AV120" s="193" t="s">
        <v>199</v>
      </c>
      <c r="AW120" s="194">
        <f t="shared" si="14"/>
        <v>0</v>
      </c>
      <c r="AX120" s="195">
        <f t="shared" si="15"/>
        <v>0</v>
      </c>
      <c r="AY120" s="196" t="str">
        <f t="shared" si="16"/>
        <v>#N/A</v>
      </c>
      <c r="AZ120" s="213">
        <v>250.0</v>
      </c>
      <c r="BA120" s="196">
        <f t="shared" si="17"/>
        <v>0.25</v>
      </c>
      <c r="BB120" s="213">
        <f t="shared" si="18"/>
        <v>1000</v>
      </c>
      <c r="BC120" s="199" t="str">
        <f t="shared" si="19"/>
        <v>#N/A</v>
      </c>
      <c r="BD120" s="200" t="str">
        <f t="shared" si="20"/>
        <v>#N/A</v>
      </c>
      <c r="BE120" s="200">
        <f t="shared" si="21"/>
        <v>0</v>
      </c>
      <c r="BF120" s="201" t="str">
        <f t="shared" si="22"/>
        <v/>
      </c>
      <c r="BG120" s="201" t="str">
        <f t="shared" si="23"/>
        <v/>
      </c>
      <c r="BH120" s="202" t="str">
        <f t="shared" si="24"/>
        <v/>
      </c>
      <c r="BI120" s="203"/>
      <c r="BJ120" s="204">
        <f>IFERROR(__xludf.DUMMYFUNCTION("IF(AU120=data!A$5,
IF(AV120=data!A$8,
IF(T120=data!A$3,
VLOOKUP(S120,filter('🔒 Доп. информация'!D:H,'🔒 Доп. информация'!C:C=T120),4,FALSE)+VLOOKUP(S120,filter('🔒 Доп. информация'!D:H,'🔒 Доп. информация'!C:C=T120),5,FALSE)*AJ120,
IF(AND(MAX(AF120:AH120"&amp;")&lt;80,SUM(AF120:AH120)&lt;=160,AI120&lt;20,XLOOKUP(M120,'📄 Комиссии'!C:C,'📄 Комиссии'!B:B)&lt;&gt;""Продукты""),
VLOOKUP(S120,filter('🔒 Доп. информация'!D:H,'🔒 Доп. информация'!C:C=data!$A$3),4,FALSE)+VLOOKUP(S120,filter('🔒 Доп. информация'!D:H,'🔒 Доп. информаци"&amp;"я'!C:C=data!$A$3),5,FALSE)*AJ120,
VLOOKUP(S120,filter('🔒 Доп. информация'!D:H,'🔒 Доп. информация'!C:C=T120),4,FALSE)*ROUNDUP(AF120*AG120*AH120*L120/(120*80*175))/L120)
)
*(AE120/2)
,)
,)*0"),0.0)</f>
        <v>0</v>
      </c>
      <c r="BK120" s="204">
        <f>IFERROR(__xludf.DUMMYFUNCTION("IF(AU120=data!A$5,
IF(AI120&lt;=1,IF(AI120&lt;=0.8,IF(AI120&lt;=0.6,IF(AI120&lt;=0.4,IF(AI120&lt;=0.2,23,26),29),30),32)*VLOOKUP(S120,filter('🔒 Доп. информация'!D:E,'🔒 Доп. информация'!C:C=T120),2,FALSE)/'🔒 Доп. информация'!$K$9,
IF(AV120=data!A$8,U120,1)*VLOOKUP(S12"&amp;"0,filter('🔒 Доп. информация'!D:E,'🔒 Доп. информация'!C:C=T120),2,FALSE)+
IF(AV120=data!A$8,U120,1)*VLOOKUP(S120,filter('🔒 Доп. информация'!D:F,'🔒 Доп. информация'!C:C=T120),3,FALSE)*AJ120)
,0)"),69.0)</f>
        <v>69</v>
      </c>
      <c r="BL120" s="185" t="str">
        <f t="shared" ref="BL120:BM120" si="370">IF($D120,"🔒",)</f>
        <v/>
      </c>
      <c r="BM120" s="185" t="str">
        <f t="shared" si="370"/>
        <v/>
      </c>
      <c r="BN120" s="204">
        <f>VLOOKUP(T120,'🔒 Доп. информация'!J:P,7,false)</f>
        <v>50</v>
      </c>
      <c r="BO120" s="204">
        <f>IF(AV120=data!A$9,
(AA120+AO120+AP120+BJ120+BK120+BN120)+H120*AS120,
(BJ120+BK120+BN120)+H120*AS120
)</f>
        <v>119</v>
      </c>
      <c r="BP120" s="204">
        <f t="shared" si="26"/>
        <v>69</v>
      </c>
      <c r="BQ120" s="204">
        <f t="shared" si="27"/>
        <v>320</v>
      </c>
      <c r="BR120" s="204" t="str">
        <f t="shared" si="37"/>
        <v>#N/A</v>
      </c>
      <c r="BS120" s="204" t="str">
        <f t="array" ref="BS120">IF(VLOOKUP(AT120,{'▶️ Инструкция'!C:C,'▶️ Инструкция'!Y:Y},2,FALSE)=data!A$15,
H120*(1-I120),
(H120-BR120))
*VLOOKUP(AT120,{'▶️ Инструкция'!C:C,'▶️ Инструкция'!AD:AD},2,FALSE)/(1+VLOOKUP(AT120,{'▶️ Инструкция'!C:C,'▶️ Инструкция'!AD:AD},2,FALSE))</f>
        <v>#N/A</v>
      </c>
      <c r="BT120" s="204" t="str">
        <f t="array" ref="BT120">
IF(VLOOKUP(AT120,{'▶️ Инструкция'!C:C,'▶️ Инструкция'!Y:Y},2,FALSE)=data!A$15,
H120*(1-I120)-BS120,
(H120-BR120-BS120))
*
VLOOKUP(AT120,{'▶️ Инструкция'!C:C,'▶️ Инструкция'!R:R},2,FALSE)
+BS120</f>
        <v>#N/A</v>
      </c>
      <c r="BU120" s="204" t="str">
        <f>(G120*AR120)+if(AV120=data!A$9,AO120,AN120)+AP120+BR120+BT120</f>
        <v>#N/A</v>
      </c>
      <c r="BV120" s="204" t="str">
        <f>(G120*AR120)+if(AV120=data!A$9,AO120,AN120)+AP120+BT120+G120</f>
        <v>#N/A</v>
      </c>
      <c r="BW120" s="204" t="str">
        <f t="shared" si="28"/>
        <v>#N/A</v>
      </c>
      <c r="BX120" s="204" t="str">
        <f t="shared" si="29"/>
        <v>#N/A</v>
      </c>
    </row>
    <row r="121">
      <c r="A121" s="165" t="str">
        <f>if(D121=true,if(F121=data!A$1,data!A$10,data!A$11),)</f>
        <v/>
      </c>
      <c r="B121" s="166" t="str">
        <f t="shared" si="4"/>
        <v>FBS</v>
      </c>
      <c r="C121" s="167" t="s">
        <v>195</v>
      </c>
      <c r="D121" s="168" t="b">
        <v>0</v>
      </c>
      <c r="E121" s="169" t="s">
        <v>204</v>
      </c>
      <c r="F121" s="170" t="str">
        <f t="array" ref="F121">IF(D121=TRUE,IF(IF(BG$3=VLOOKUP(AT121,{'▶️ Инструкция'!C:C,'▶️ Инструкция'!G:G},2,FALSE),BG121,BH121)&gt;VLOOKUP(AT121,{'▶️ Инструкция'!C:C,'▶️ Инструкция'!N:N},2,FALSE),data!A$1,data!A$2),)</f>
        <v/>
      </c>
      <c r="G121" s="171">
        <v>0.0</v>
      </c>
      <c r="H121" s="172">
        <v>1000.0</v>
      </c>
      <c r="I121" s="173">
        <v>0.0</v>
      </c>
      <c r="J121" s="173">
        <v>0.0</v>
      </c>
      <c r="K121" s="174" t="str">
        <f t="shared" si="5"/>
        <v/>
      </c>
      <c r="L121" s="175">
        <v>0.0</v>
      </c>
      <c r="M121" s="176" t="s">
        <v>197</v>
      </c>
      <c r="N121" s="177">
        <f>IFERROR(__xludf.DUMMYFUNCTION("ArrayFormula(let(category,VLOOKUP($M121, {'📄 Комиссии'!$C:$C , '📄 Комиссии'!$B:$B}, 2, 0),
data,MATCH('🔒 Доп. информация'!$J$15:$J203,TRANSPOSE(SPLIT(INDEX('▶️ Инструкция'!$Q:$Q,MATCH($AT121,'▶️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commission,VLOOKUP($M121,'📄 Комиссии'!$C:$E,IF($AV121=data!A$8,2,3),0),
IF(NOT(ISBLANK($M121)),commission/100+
"&amp;"IFERROR(VLOOKUP($AT121,{'▶️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21" s="178" t="str">
        <f t="shared" si="6"/>
        <v/>
      </c>
      <c r="Q121" s="178" t="str">
        <f t="shared" si="7"/>
        <v/>
      </c>
      <c r="S121" s="179" t="s">
        <v>192</v>
      </c>
      <c r="T121" s="180" t="s">
        <v>193</v>
      </c>
      <c r="U121" s="181">
        <v>1.0</v>
      </c>
      <c r="V121" s="182" t="str">
        <f t="shared" ref="V121:Y121" si="371">IF($D121,"🔒",)</f>
        <v/>
      </c>
      <c r="W121" s="182" t="str">
        <f t="shared" si="371"/>
        <v/>
      </c>
      <c r="X121" s="182" t="str">
        <f t="shared" si="371"/>
        <v/>
      </c>
      <c r="Y121" s="182" t="str">
        <f t="shared" si="371"/>
        <v/>
      </c>
      <c r="Z121" s="183">
        <v>0.0</v>
      </c>
      <c r="AA121" s="184">
        <f t="shared" si="31"/>
        <v>0</v>
      </c>
      <c r="AB121" s="185" t="str">
        <f t="shared" ref="AB121:AD121" si="372">IF($D121,"🔒",)</f>
        <v/>
      </c>
      <c r="AC121" s="185" t="str">
        <f t="shared" si="372"/>
        <v/>
      </c>
      <c r="AD121" s="186" t="str">
        <f t="shared" si="372"/>
        <v/>
      </c>
      <c r="AE121" s="180">
        <v>30.0</v>
      </c>
      <c r="AF121" s="187">
        <v>0.0</v>
      </c>
      <c r="AG121" s="187">
        <v>0.0</v>
      </c>
      <c r="AH121" s="187">
        <v>0.0</v>
      </c>
      <c r="AI121" s="181">
        <f t="shared" si="10"/>
        <v>0</v>
      </c>
      <c r="AJ121" s="181">
        <f t="shared" si="11"/>
        <v>0</v>
      </c>
      <c r="AK121" s="185" t="str">
        <f t="shared" si="12"/>
        <v/>
      </c>
      <c r="AL121" s="188" t="str">
        <f t="array" ref="AL121">H121*(1-I121)*VLOOKUP(AT121,{'▶️ Инструкция'!C:C,'▶️ Инструкция'!AI:AI},2,false)</f>
        <v>#N/A</v>
      </c>
      <c r="AM121" s="186" t="str">
        <f t="shared" si="13"/>
        <v/>
      </c>
      <c r="AN121" s="189">
        <v>0.0</v>
      </c>
      <c r="AO121" s="189">
        <v>0.0</v>
      </c>
      <c r="AP121" s="189">
        <v>0.0</v>
      </c>
      <c r="AQ121" s="191">
        <v>1.0</v>
      </c>
      <c r="AR121" s="191">
        <v>0.0</v>
      </c>
      <c r="AS121" s="212">
        <v>0.0</v>
      </c>
      <c r="AT121" s="193" t="s">
        <v>206</v>
      </c>
      <c r="AU121" s="193" t="s">
        <v>121</v>
      </c>
      <c r="AV121" s="193" t="s">
        <v>199</v>
      </c>
      <c r="AW121" s="194">
        <f t="shared" si="14"/>
        <v>0</v>
      </c>
      <c r="AX121" s="195">
        <f t="shared" si="15"/>
        <v>0</v>
      </c>
      <c r="AY121" s="196" t="str">
        <f t="shared" si="16"/>
        <v>#N/A</v>
      </c>
      <c r="AZ121" s="213">
        <v>250.0</v>
      </c>
      <c r="BA121" s="196">
        <f t="shared" si="17"/>
        <v>0.25</v>
      </c>
      <c r="BB121" s="213">
        <f t="shared" si="18"/>
        <v>1000</v>
      </c>
      <c r="BC121" s="199" t="str">
        <f t="shared" si="19"/>
        <v>#N/A</v>
      </c>
      <c r="BD121" s="200" t="str">
        <f t="shared" si="20"/>
        <v>#N/A</v>
      </c>
      <c r="BE121" s="200">
        <f t="shared" si="21"/>
        <v>0</v>
      </c>
      <c r="BF121" s="201" t="str">
        <f t="shared" si="22"/>
        <v/>
      </c>
      <c r="BG121" s="201" t="str">
        <f t="shared" si="23"/>
        <v/>
      </c>
      <c r="BH121" s="202" t="str">
        <f t="shared" si="24"/>
        <v/>
      </c>
      <c r="BI121" s="203"/>
      <c r="BJ121" s="204">
        <f>IFERROR(__xludf.DUMMYFUNCTION("IF(AU121=data!A$5,
IF(AV121=data!A$8,
IF(T121=data!A$3,
VLOOKUP(S121,filter('🔒 Доп. информация'!D:H,'🔒 Доп. информация'!C:C=T121),4,FALSE)+VLOOKUP(S121,filter('🔒 Доп. информация'!D:H,'🔒 Доп. информация'!C:C=T121),5,FALSE)*AJ121,
IF(AND(MAX(AF121:AH121"&amp;")&lt;80,SUM(AF121:AH121)&lt;=160,AI121&lt;20,XLOOKUP(M121,'📄 Комиссии'!C:C,'📄 Комиссии'!B:B)&lt;&gt;""Продукты""),
VLOOKUP(S121,filter('🔒 Доп. информация'!D:H,'🔒 Доп. информация'!C:C=data!$A$3),4,FALSE)+VLOOKUP(S121,filter('🔒 Доп. информация'!D:H,'🔒 Доп. информаци"&amp;"я'!C:C=data!$A$3),5,FALSE)*AJ121,
VLOOKUP(S121,filter('🔒 Доп. информация'!D:H,'🔒 Доп. информация'!C:C=T121),4,FALSE)*ROUNDUP(AF121*AG121*AH121*L121/(120*80*175))/L121)
)
*(AE121/2)
,)
,)*0"),0.0)</f>
        <v>0</v>
      </c>
      <c r="BK121" s="204">
        <f>IFERROR(__xludf.DUMMYFUNCTION("IF(AU121=data!A$5,
IF(AI121&lt;=1,IF(AI121&lt;=0.8,IF(AI121&lt;=0.6,IF(AI121&lt;=0.4,IF(AI121&lt;=0.2,23,26),29),30),32)*VLOOKUP(S121,filter('🔒 Доп. информация'!D:E,'🔒 Доп. информация'!C:C=T121),2,FALSE)/'🔒 Доп. информация'!$K$9,
IF(AV121=data!A$8,U121,1)*VLOOKUP(S12"&amp;"1,filter('🔒 Доп. информация'!D:E,'🔒 Доп. информация'!C:C=T121),2,FALSE)+
IF(AV121=data!A$8,U121,1)*VLOOKUP(S121,filter('🔒 Доп. информация'!D:F,'🔒 Доп. информация'!C:C=T121),3,FALSE)*AJ121)
,0)"),69.0)</f>
        <v>69</v>
      </c>
      <c r="BL121" s="185" t="str">
        <f t="shared" ref="BL121:BM121" si="373">IF($D121,"🔒",)</f>
        <v/>
      </c>
      <c r="BM121" s="185" t="str">
        <f t="shared" si="373"/>
        <v/>
      </c>
      <c r="BN121" s="204">
        <f>VLOOKUP(T121,'🔒 Доп. информация'!J:P,7,false)</f>
        <v>50</v>
      </c>
      <c r="BO121" s="204">
        <f>IF(AV121=data!A$9,
(AA121+AO121+AP121+BJ121+BK121+BN121)+H121*AS121,
(BJ121+BK121+BN121)+H121*AS121
)</f>
        <v>119</v>
      </c>
      <c r="BP121" s="204">
        <f t="shared" si="26"/>
        <v>69</v>
      </c>
      <c r="BQ121" s="204">
        <f t="shared" si="27"/>
        <v>320</v>
      </c>
      <c r="BR121" s="204" t="str">
        <f t="shared" si="37"/>
        <v>#N/A</v>
      </c>
      <c r="BS121" s="204" t="str">
        <f t="array" ref="BS121">IF(VLOOKUP(AT121,{'▶️ Инструкция'!C:C,'▶️ Инструкция'!Y:Y},2,FALSE)=data!A$15,
H121*(1-I121),
(H121-BR121))
*VLOOKUP(AT121,{'▶️ Инструкция'!C:C,'▶️ Инструкция'!AD:AD},2,FALSE)/(1+VLOOKUP(AT121,{'▶️ Инструкция'!C:C,'▶️ Инструкция'!AD:AD},2,FALSE))</f>
        <v>#N/A</v>
      </c>
      <c r="BT121" s="204" t="str">
        <f t="array" ref="BT121">
IF(VLOOKUP(AT121,{'▶️ Инструкция'!C:C,'▶️ Инструкция'!Y:Y},2,FALSE)=data!A$15,
H121*(1-I121)-BS121,
(H121-BR121-BS121))
*
VLOOKUP(AT121,{'▶️ Инструкция'!C:C,'▶️ Инструкция'!R:R},2,FALSE)
+BS121</f>
        <v>#N/A</v>
      </c>
      <c r="BU121" s="204" t="str">
        <f>(G121*AR121)+if(AV121=data!A$9,AO121,AN121)+AP121+BR121+BT121</f>
        <v>#N/A</v>
      </c>
      <c r="BV121" s="204" t="str">
        <f>(G121*AR121)+if(AV121=data!A$9,AO121,AN121)+AP121+BT121+G121</f>
        <v>#N/A</v>
      </c>
      <c r="BW121" s="204" t="str">
        <f t="shared" si="28"/>
        <v>#N/A</v>
      </c>
      <c r="BX121" s="204" t="str">
        <f t="shared" si="29"/>
        <v>#N/A</v>
      </c>
    </row>
    <row r="122">
      <c r="A122" s="165" t="str">
        <f>if(D122=true,if(F122=data!A$1,data!A$10,data!A$11),)</f>
        <v/>
      </c>
      <c r="B122" s="166" t="str">
        <f t="shared" si="4"/>
        <v>FBS</v>
      </c>
      <c r="C122" s="167" t="s">
        <v>195</v>
      </c>
      <c r="D122" s="168" t="b">
        <v>0</v>
      </c>
      <c r="E122" s="169" t="s">
        <v>204</v>
      </c>
      <c r="F122" s="170" t="str">
        <f t="array" ref="F122">IF(D122=TRUE,IF(IF(BG$3=VLOOKUP(AT122,{'▶️ Инструкция'!C:C,'▶️ Инструкция'!G:G},2,FALSE),BG122,BH122)&gt;VLOOKUP(AT122,{'▶️ Инструкция'!C:C,'▶️ Инструкция'!N:N},2,FALSE),data!A$1,data!A$2),)</f>
        <v/>
      </c>
      <c r="G122" s="171">
        <v>0.0</v>
      </c>
      <c r="H122" s="172">
        <v>1000.0</v>
      </c>
      <c r="I122" s="173">
        <v>0.0</v>
      </c>
      <c r="J122" s="173">
        <v>0.0</v>
      </c>
      <c r="K122" s="174" t="str">
        <f t="shared" si="5"/>
        <v/>
      </c>
      <c r="L122" s="175">
        <v>0.0</v>
      </c>
      <c r="M122" s="176" t="s">
        <v>197</v>
      </c>
      <c r="N122" s="177">
        <f>IFERROR(__xludf.DUMMYFUNCTION("ArrayFormula(let(category,VLOOKUP($M122, {'📄 Комиссии'!$C:$C , '📄 Комиссии'!$B:$B}, 2, 0),
data,MATCH('🔒 Доп. информация'!$J$15:$J203,TRANSPOSE(SPLIT(INDEX('▶️ Инструкция'!$Q:$Q,MATCH($AT122,'▶️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commission,VLOOKUP($M122,'📄 Комиссии'!$C:$E,IF($AV122=data!A$8,2,3),0),
IF(NOT(ISBLANK($M122)),commission/100+
"&amp;"IFERROR(VLOOKUP($AT122,{'▶️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22" s="178" t="str">
        <f t="shared" si="6"/>
        <v/>
      </c>
      <c r="Q122" s="178" t="str">
        <f t="shared" si="7"/>
        <v/>
      </c>
      <c r="S122" s="179" t="s">
        <v>192</v>
      </c>
      <c r="T122" s="180" t="s">
        <v>193</v>
      </c>
      <c r="U122" s="181">
        <v>1.0</v>
      </c>
      <c r="V122" s="182" t="str">
        <f t="shared" ref="V122:Y122" si="374">IF($D122,"🔒",)</f>
        <v/>
      </c>
      <c r="W122" s="182" t="str">
        <f t="shared" si="374"/>
        <v/>
      </c>
      <c r="X122" s="182" t="str">
        <f t="shared" si="374"/>
        <v/>
      </c>
      <c r="Y122" s="182" t="str">
        <f t="shared" si="374"/>
        <v/>
      </c>
      <c r="Z122" s="183">
        <v>0.0</v>
      </c>
      <c r="AA122" s="184">
        <f t="shared" si="31"/>
        <v>0</v>
      </c>
      <c r="AB122" s="185" t="str">
        <f t="shared" ref="AB122:AD122" si="375">IF($D122,"🔒",)</f>
        <v/>
      </c>
      <c r="AC122" s="185" t="str">
        <f t="shared" si="375"/>
        <v/>
      </c>
      <c r="AD122" s="186" t="str">
        <f t="shared" si="375"/>
        <v/>
      </c>
      <c r="AE122" s="180">
        <v>30.0</v>
      </c>
      <c r="AF122" s="187">
        <v>0.0</v>
      </c>
      <c r="AG122" s="187">
        <v>0.0</v>
      </c>
      <c r="AH122" s="187">
        <v>0.0</v>
      </c>
      <c r="AI122" s="181">
        <f t="shared" si="10"/>
        <v>0</v>
      </c>
      <c r="AJ122" s="181">
        <f t="shared" si="11"/>
        <v>0</v>
      </c>
      <c r="AK122" s="185" t="str">
        <f t="shared" si="12"/>
        <v/>
      </c>
      <c r="AL122" s="188" t="str">
        <f t="array" ref="AL122">H122*(1-I122)*VLOOKUP(AT122,{'▶️ Инструкция'!C:C,'▶️ Инструкция'!AI:AI},2,false)</f>
        <v>#N/A</v>
      </c>
      <c r="AM122" s="186" t="str">
        <f t="shared" si="13"/>
        <v/>
      </c>
      <c r="AN122" s="189">
        <v>0.0</v>
      </c>
      <c r="AO122" s="189">
        <v>0.0</v>
      </c>
      <c r="AP122" s="189">
        <v>0.0</v>
      </c>
      <c r="AQ122" s="191">
        <v>1.0</v>
      </c>
      <c r="AR122" s="191">
        <v>0.0</v>
      </c>
      <c r="AS122" s="212">
        <v>0.0</v>
      </c>
      <c r="AT122" s="193" t="s">
        <v>206</v>
      </c>
      <c r="AU122" s="193" t="s">
        <v>121</v>
      </c>
      <c r="AV122" s="193" t="s">
        <v>199</v>
      </c>
      <c r="AW122" s="194">
        <f t="shared" si="14"/>
        <v>0</v>
      </c>
      <c r="AX122" s="195">
        <f t="shared" si="15"/>
        <v>0</v>
      </c>
      <c r="AY122" s="196" t="str">
        <f t="shared" si="16"/>
        <v>#N/A</v>
      </c>
      <c r="AZ122" s="213">
        <v>250.0</v>
      </c>
      <c r="BA122" s="196">
        <f t="shared" si="17"/>
        <v>0.25</v>
      </c>
      <c r="BB122" s="213">
        <f t="shared" si="18"/>
        <v>1000</v>
      </c>
      <c r="BC122" s="199" t="str">
        <f t="shared" si="19"/>
        <v>#N/A</v>
      </c>
      <c r="BD122" s="200" t="str">
        <f t="shared" si="20"/>
        <v>#N/A</v>
      </c>
      <c r="BE122" s="200">
        <f t="shared" si="21"/>
        <v>0</v>
      </c>
      <c r="BF122" s="201" t="str">
        <f t="shared" si="22"/>
        <v/>
      </c>
      <c r="BG122" s="201" t="str">
        <f t="shared" si="23"/>
        <v/>
      </c>
      <c r="BH122" s="202" t="str">
        <f t="shared" si="24"/>
        <v/>
      </c>
      <c r="BI122" s="203"/>
      <c r="BJ122" s="204">
        <f>IFERROR(__xludf.DUMMYFUNCTION("IF(AU122=data!A$5,
IF(AV122=data!A$8,
IF(T122=data!A$3,
VLOOKUP(S122,filter('🔒 Доп. информация'!D:H,'🔒 Доп. информация'!C:C=T122),4,FALSE)+VLOOKUP(S122,filter('🔒 Доп. информация'!D:H,'🔒 Доп. информация'!C:C=T122),5,FALSE)*AJ122,
IF(AND(MAX(AF122:AH122"&amp;")&lt;80,SUM(AF122:AH122)&lt;=160,AI122&lt;20,XLOOKUP(M122,'📄 Комиссии'!C:C,'📄 Комиссии'!B:B)&lt;&gt;""Продукты""),
VLOOKUP(S122,filter('🔒 Доп. информация'!D:H,'🔒 Доп. информация'!C:C=data!$A$3),4,FALSE)+VLOOKUP(S122,filter('🔒 Доп. информация'!D:H,'🔒 Доп. информаци"&amp;"я'!C:C=data!$A$3),5,FALSE)*AJ122,
VLOOKUP(S122,filter('🔒 Доп. информация'!D:H,'🔒 Доп. информация'!C:C=T122),4,FALSE)*ROUNDUP(AF122*AG122*AH122*L122/(120*80*175))/L122)
)
*(AE122/2)
,)
,)*0"),0.0)</f>
        <v>0</v>
      </c>
      <c r="BK122" s="204">
        <f>IFERROR(__xludf.DUMMYFUNCTION("IF(AU122=data!A$5,
IF(AI122&lt;=1,IF(AI122&lt;=0.8,IF(AI122&lt;=0.6,IF(AI122&lt;=0.4,IF(AI122&lt;=0.2,23,26),29),30),32)*VLOOKUP(S122,filter('🔒 Доп. информация'!D:E,'🔒 Доп. информация'!C:C=T122),2,FALSE)/'🔒 Доп. информация'!$K$9,
IF(AV122=data!A$8,U122,1)*VLOOKUP(S12"&amp;"2,filter('🔒 Доп. информация'!D:E,'🔒 Доп. информация'!C:C=T122),2,FALSE)+
IF(AV122=data!A$8,U122,1)*VLOOKUP(S122,filter('🔒 Доп. информация'!D:F,'🔒 Доп. информация'!C:C=T122),3,FALSE)*AJ122)
,0)"),69.0)</f>
        <v>69</v>
      </c>
      <c r="BL122" s="185" t="str">
        <f t="shared" ref="BL122:BM122" si="376">IF($D122,"🔒",)</f>
        <v/>
      </c>
      <c r="BM122" s="185" t="str">
        <f t="shared" si="376"/>
        <v/>
      </c>
      <c r="BN122" s="204">
        <f>VLOOKUP(T122,'🔒 Доп. информация'!J:P,7,false)</f>
        <v>50</v>
      </c>
      <c r="BO122" s="204">
        <f>IF(AV122=data!A$9,
(AA122+AO122+AP122+BJ122+BK122+BN122)+H122*AS122,
(BJ122+BK122+BN122)+H122*AS122
)</f>
        <v>119</v>
      </c>
      <c r="BP122" s="204">
        <f t="shared" si="26"/>
        <v>69</v>
      </c>
      <c r="BQ122" s="204">
        <f t="shared" si="27"/>
        <v>320</v>
      </c>
      <c r="BR122" s="204" t="str">
        <f t="shared" si="37"/>
        <v>#N/A</v>
      </c>
      <c r="BS122" s="204" t="str">
        <f t="array" ref="BS122">IF(VLOOKUP(AT122,{'▶️ Инструкция'!C:C,'▶️ Инструкция'!Y:Y},2,FALSE)=data!A$15,
H122*(1-I122),
(H122-BR122))
*VLOOKUP(AT122,{'▶️ Инструкция'!C:C,'▶️ Инструкция'!AD:AD},2,FALSE)/(1+VLOOKUP(AT122,{'▶️ Инструкция'!C:C,'▶️ Инструкция'!AD:AD},2,FALSE))</f>
        <v>#N/A</v>
      </c>
      <c r="BT122" s="204" t="str">
        <f t="array" ref="BT122">
IF(VLOOKUP(AT122,{'▶️ Инструкция'!C:C,'▶️ Инструкция'!Y:Y},2,FALSE)=data!A$15,
H122*(1-I122)-BS122,
(H122-BR122-BS122))
*
VLOOKUP(AT122,{'▶️ Инструкция'!C:C,'▶️ Инструкция'!R:R},2,FALSE)
+BS122</f>
        <v>#N/A</v>
      </c>
      <c r="BU122" s="204" t="str">
        <f>(G122*AR122)+if(AV122=data!A$9,AO122,AN122)+AP122+BR122+BT122</f>
        <v>#N/A</v>
      </c>
      <c r="BV122" s="204" t="str">
        <f>(G122*AR122)+if(AV122=data!A$9,AO122,AN122)+AP122+BT122+G122</f>
        <v>#N/A</v>
      </c>
      <c r="BW122" s="204" t="str">
        <f t="shared" si="28"/>
        <v>#N/A</v>
      </c>
      <c r="BX122" s="204" t="str">
        <f t="shared" si="29"/>
        <v>#N/A</v>
      </c>
    </row>
    <row r="123">
      <c r="A123" s="165" t="str">
        <f>if(D123=true,if(F123=data!A$1,data!A$10,data!A$11),)</f>
        <v/>
      </c>
      <c r="B123" s="166" t="str">
        <f t="shared" si="4"/>
        <v>FBS</v>
      </c>
      <c r="C123" s="167" t="s">
        <v>195</v>
      </c>
      <c r="D123" s="168" t="b">
        <v>0</v>
      </c>
      <c r="E123" s="169" t="s">
        <v>204</v>
      </c>
      <c r="F123" s="170" t="str">
        <f t="array" ref="F123">IF(D123=TRUE,IF(IF(BG$3=VLOOKUP(AT123,{'▶️ Инструкция'!C:C,'▶️ Инструкция'!G:G},2,FALSE),BG123,BH123)&gt;VLOOKUP(AT123,{'▶️ Инструкция'!C:C,'▶️ Инструкция'!N:N},2,FALSE),data!A$1,data!A$2),)</f>
        <v/>
      </c>
      <c r="G123" s="171">
        <v>0.0</v>
      </c>
      <c r="H123" s="172">
        <v>1000.0</v>
      </c>
      <c r="I123" s="173">
        <v>0.0</v>
      </c>
      <c r="J123" s="173">
        <v>0.0</v>
      </c>
      <c r="K123" s="174" t="str">
        <f t="shared" si="5"/>
        <v/>
      </c>
      <c r="L123" s="175">
        <v>0.0</v>
      </c>
      <c r="M123" s="176" t="s">
        <v>197</v>
      </c>
      <c r="N123" s="177">
        <f>IFERROR(__xludf.DUMMYFUNCTION("ArrayFormula(let(category,VLOOKUP($M123, {'📄 Комиссии'!$C:$C , '📄 Комиссии'!$B:$B}, 2, 0),
data,MATCH('🔒 Доп. информация'!$J$15:$J203,TRANSPOSE(SPLIT(INDEX('▶️ Инструкция'!$Q:$Q,MATCH($AT123,'▶️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commission,VLOOKUP($M123,'📄 Комиссии'!$C:$E,IF($AV123=data!A$8,2,3),0),
IF(NOT(ISBLANK($M123)),commission/100+
"&amp;"IFERROR(VLOOKUP($AT123,{'▶️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23" s="178" t="str">
        <f t="shared" si="6"/>
        <v/>
      </c>
      <c r="Q123" s="178" t="str">
        <f t="shared" si="7"/>
        <v/>
      </c>
      <c r="S123" s="179" t="s">
        <v>192</v>
      </c>
      <c r="T123" s="180" t="s">
        <v>193</v>
      </c>
      <c r="U123" s="181">
        <v>1.0</v>
      </c>
      <c r="V123" s="182" t="str">
        <f t="shared" ref="V123:Y123" si="377">IF($D123,"🔒",)</f>
        <v/>
      </c>
      <c r="W123" s="182" t="str">
        <f t="shared" si="377"/>
        <v/>
      </c>
      <c r="X123" s="182" t="str">
        <f t="shared" si="377"/>
        <v/>
      </c>
      <c r="Y123" s="182" t="str">
        <f t="shared" si="377"/>
        <v/>
      </c>
      <c r="Z123" s="183">
        <v>0.0</v>
      </c>
      <c r="AA123" s="184">
        <f t="shared" si="31"/>
        <v>0</v>
      </c>
      <c r="AB123" s="185" t="str">
        <f t="shared" ref="AB123:AD123" si="378">IF($D123,"🔒",)</f>
        <v/>
      </c>
      <c r="AC123" s="185" t="str">
        <f t="shared" si="378"/>
        <v/>
      </c>
      <c r="AD123" s="186" t="str">
        <f t="shared" si="378"/>
        <v/>
      </c>
      <c r="AE123" s="180">
        <v>30.0</v>
      </c>
      <c r="AF123" s="187">
        <v>0.0</v>
      </c>
      <c r="AG123" s="187">
        <v>0.0</v>
      </c>
      <c r="AH123" s="187">
        <v>0.0</v>
      </c>
      <c r="AI123" s="181">
        <f t="shared" si="10"/>
        <v>0</v>
      </c>
      <c r="AJ123" s="181">
        <f t="shared" si="11"/>
        <v>0</v>
      </c>
      <c r="AK123" s="185" t="str">
        <f t="shared" si="12"/>
        <v/>
      </c>
      <c r="AL123" s="188" t="str">
        <f t="array" ref="AL123">H123*(1-I123)*VLOOKUP(AT123,{'▶️ Инструкция'!C:C,'▶️ Инструкция'!AI:AI},2,false)</f>
        <v>#N/A</v>
      </c>
      <c r="AM123" s="186" t="str">
        <f t="shared" si="13"/>
        <v/>
      </c>
      <c r="AN123" s="189">
        <v>0.0</v>
      </c>
      <c r="AO123" s="189">
        <v>0.0</v>
      </c>
      <c r="AP123" s="189">
        <v>0.0</v>
      </c>
      <c r="AQ123" s="191">
        <v>1.0</v>
      </c>
      <c r="AR123" s="191">
        <v>0.0</v>
      </c>
      <c r="AS123" s="212">
        <v>0.0</v>
      </c>
      <c r="AT123" s="193" t="s">
        <v>206</v>
      </c>
      <c r="AU123" s="193" t="s">
        <v>121</v>
      </c>
      <c r="AV123" s="193" t="s">
        <v>199</v>
      </c>
      <c r="AW123" s="194">
        <f t="shared" si="14"/>
        <v>0</v>
      </c>
      <c r="AX123" s="195">
        <f t="shared" si="15"/>
        <v>0</v>
      </c>
      <c r="AY123" s="196" t="str">
        <f t="shared" si="16"/>
        <v>#N/A</v>
      </c>
      <c r="AZ123" s="213">
        <v>250.0</v>
      </c>
      <c r="BA123" s="196">
        <f t="shared" si="17"/>
        <v>0.25</v>
      </c>
      <c r="BB123" s="213">
        <f t="shared" si="18"/>
        <v>1000</v>
      </c>
      <c r="BC123" s="199" t="str">
        <f t="shared" si="19"/>
        <v>#N/A</v>
      </c>
      <c r="BD123" s="200" t="str">
        <f t="shared" si="20"/>
        <v>#N/A</v>
      </c>
      <c r="BE123" s="200">
        <f t="shared" si="21"/>
        <v>0</v>
      </c>
      <c r="BF123" s="201" t="str">
        <f t="shared" si="22"/>
        <v/>
      </c>
      <c r="BG123" s="201" t="str">
        <f t="shared" si="23"/>
        <v/>
      </c>
      <c r="BH123" s="202" t="str">
        <f t="shared" si="24"/>
        <v/>
      </c>
      <c r="BI123" s="203"/>
      <c r="BJ123" s="204">
        <f>IFERROR(__xludf.DUMMYFUNCTION("IF(AU123=data!A$5,
IF(AV123=data!A$8,
IF(T123=data!A$3,
VLOOKUP(S123,filter('🔒 Доп. информация'!D:H,'🔒 Доп. информация'!C:C=T123),4,FALSE)+VLOOKUP(S123,filter('🔒 Доп. информация'!D:H,'🔒 Доп. информация'!C:C=T123),5,FALSE)*AJ123,
IF(AND(MAX(AF123:AH123"&amp;")&lt;80,SUM(AF123:AH123)&lt;=160,AI123&lt;20,XLOOKUP(M123,'📄 Комиссии'!C:C,'📄 Комиссии'!B:B)&lt;&gt;""Продукты""),
VLOOKUP(S123,filter('🔒 Доп. информация'!D:H,'🔒 Доп. информация'!C:C=data!$A$3),4,FALSE)+VLOOKUP(S123,filter('🔒 Доп. информация'!D:H,'🔒 Доп. информаци"&amp;"я'!C:C=data!$A$3),5,FALSE)*AJ123,
VLOOKUP(S123,filter('🔒 Доп. информация'!D:H,'🔒 Доп. информация'!C:C=T123),4,FALSE)*ROUNDUP(AF123*AG123*AH123*L123/(120*80*175))/L123)
)
*(AE123/2)
,)
,)*0"),0.0)</f>
        <v>0</v>
      </c>
      <c r="BK123" s="204">
        <f>IFERROR(__xludf.DUMMYFUNCTION("IF(AU123=data!A$5,
IF(AI123&lt;=1,IF(AI123&lt;=0.8,IF(AI123&lt;=0.6,IF(AI123&lt;=0.4,IF(AI123&lt;=0.2,23,26),29),30),32)*VLOOKUP(S123,filter('🔒 Доп. информация'!D:E,'🔒 Доп. информация'!C:C=T123),2,FALSE)/'🔒 Доп. информация'!$K$9,
IF(AV123=data!A$8,U123,1)*VLOOKUP(S12"&amp;"3,filter('🔒 Доп. информация'!D:E,'🔒 Доп. информация'!C:C=T123),2,FALSE)+
IF(AV123=data!A$8,U123,1)*VLOOKUP(S123,filter('🔒 Доп. информация'!D:F,'🔒 Доп. информация'!C:C=T123),3,FALSE)*AJ123)
,0)"),69.0)</f>
        <v>69</v>
      </c>
      <c r="BL123" s="185" t="str">
        <f t="shared" ref="BL123:BM123" si="379">IF($D123,"🔒",)</f>
        <v/>
      </c>
      <c r="BM123" s="185" t="str">
        <f t="shared" si="379"/>
        <v/>
      </c>
      <c r="BN123" s="204">
        <f>VLOOKUP(T123,'🔒 Доп. информация'!J:P,7,false)</f>
        <v>50</v>
      </c>
      <c r="BO123" s="204">
        <f>IF(AV123=data!A$9,
(AA123+AO123+AP123+BJ123+BK123+BN123)+H123*AS123,
(BJ123+BK123+BN123)+H123*AS123
)</f>
        <v>119</v>
      </c>
      <c r="BP123" s="204">
        <f t="shared" si="26"/>
        <v>69</v>
      </c>
      <c r="BQ123" s="204">
        <f t="shared" si="27"/>
        <v>320</v>
      </c>
      <c r="BR123" s="204" t="str">
        <f t="shared" si="37"/>
        <v>#N/A</v>
      </c>
      <c r="BS123" s="204" t="str">
        <f t="array" ref="BS123">IF(VLOOKUP(AT123,{'▶️ Инструкция'!C:C,'▶️ Инструкция'!Y:Y},2,FALSE)=data!A$15,
H123*(1-I123),
(H123-BR123))
*VLOOKUP(AT123,{'▶️ Инструкция'!C:C,'▶️ Инструкция'!AD:AD},2,FALSE)/(1+VLOOKUP(AT123,{'▶️ Инструкция'!C:C,'▶️ Инструкция'!AD:AD},2,FALSE))</f>
        <v>#N/A</v>
      </c>
      <c r="BT123" s="204" t="str">
        <f t="array" ref="BT123">
IF(VLOOKUP(AT123,{'▶️ Инструкция'!C:C,'▶️ Инструкция'!Y:Y},2,FALSE)=data!A$15,
H123*(1-I123)-BS123,
(H123-BR123-BS123))
*
VLOOKUP(AT123,{'▶️ Инструкция'!C:C,'▶️ Инструкция'!R:R},2,FALSE)
+BS123</f>
        <v>#N/A</v>
      </c>
      <c r="BU123" s="204" t="str">
        <f>(G123*AR123)+if(AV123=data!A$9,AO123,AN123)+AP123+BR123+BT123</f>
        <v>#N/A</v>
      </c>
      <c r="BV123" s="204" t="str">
        <f>(G123*AR123)+if(AV123=data!A$9,AO123,AN123)+AP123+BT123+G123</f>
        <v>#N/A</v>
      </c>
      <c r="BW123" s="204" t="str">
        <f t="shared" si="28"/>
        <v>#N/A</v>
      </c>
      <c r="BX123" s="204" t="str">
        <f t="shared" si="29"/>
        <v>#N/A</v>
      </c>
    </row>
    <row r="124">
      <c r="A124" s="165" t="str">
        <f>if(D124=true,if(F124=data!A$1,data!A$10,data!A$11),)</f>
        <v/>
      </c>
      <c r="B124" s="166" t="str">
        <f t="shared" si="4"/>
        <v>FBS</v>
      </c>
      <c r="C124" s="167" t="s">
        <v>195</v>
      </c>
      <c r="D124" s="168" t="b">
        <v>0</v>
      </c>
      <c r="E124" s="169" t="s">
        <v>204</v>
      </c>
      <c r="F124" s="170" t="str">
        <f t="array" ref="F124">IF(D124=TRUE,IF(IF(BG$3=VLOOKUP(AT124,{'▶️ Инструкция'!C:C,'▶️ Инструкция'!G:G},2,FALSE),BG124,BH124)&gt;VLOOKUP(AT124,{'▶️ Инструкция'!C:C,'▶️ Инструкция'!N:N},2,FALSE),data!A$1,data!A$2),)</f>
        <v/>
      </c>
      <c r="G124" s="171">
        <v>0.0</v>
      </c>
      <c r="H124" s="172">
        <v>1000.0</v>
      </c>
      <c r="I124" s="173">
        <v>0.0</v>
      </c>
      <c r="J124" s="173">
        <v>0.0</v>
      </c>
      <c r="K124" s="174" t="str">
        <f t="shared" si="5"/>
        <v/>
      </c>
      <c r="L124" s="175">
        <v>0.0</v>
      </c>
      <c r="M124" s="176" t="s">
        <v>197</v>
      </c>
      <c r="N124" s="177">
        <f>IFERROR(__xludf.DUMMYFUNCTION("ArrayFormula(let(category,VLOOKUP($M124, {'📄 Комиссии'!$C:$C , '📄 Комиссии'!$B:$B}, 2, 0),
data,MATCH('🔒 Доп. информация'!$J$15:$J203,TRANSPOSE(SPLIT(INDEX('▶️ Инструкция'!$Q:$Q,MATCH($AT124,'▶️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commission,VLOOKUP($M124,'📄 Комиссии'!$C:$E,IF($AV124=data!A$8,2,3),0),
IF(NOT(ISBLANK($M124)),commission/100+
"&amp;"IFERROR(VLOOKUP($AT124,{'▶️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24" s="178" t="str">
        <f t="shared" si="6"/>
        <v/>
      </c>
      <c r="Q124" s="178" t="str">
        <f t="shared" si="7"/>
        <v/>
      </c>
      <c r="S124" s="179" t="s">
        <v>192</v>
      </c>
      <c r="T124" s="180" t="s">
        <v>193</v>
      </c>
      <c r="U124" s="181">
        <v>1.0</v>
      </c>
      <c r="V124" s="182" t="str">
        <f t="shared" ref="V124:Y124" si="380">IF($D124,"🔒",)</f>
        <v/>
      </c>
      <c r="W124" s="182" t="str">
        <f t="shared" si="380"/>
        <v/>
      </c>
      <c r="X124" s="182" t="str">
        <f t="shared" si="380"/>
        <v/>
      </c>
      <c r="Y124" s="182" t="str">
        <f t="shared" si="380"/>
        <v/>
      </c>
      <c r="Z124" s="183">
        <v>0.0</v>
      </c>
      <c r="AA124" s="184">
        <f t="shared" si="31"/>
        <v>0</v>
      </c>
      <c r="AB124" s="185" t="str">
        <f t="shared" ref="AB124:AD124" si="381">IF($D124,"🔒",)</f>
        <v/>
      </c>
      <c r="AC124" s="185" t="str">
        <f t="shared" si="381"/>
        <v/>
      </c>
      <c r="AD124" s="186" t="str">
        <f t="shared" si="381"/>
        <v/>
      </c>
      <c r="AE124" s="180">
        <v>30.0</v>
      </c>
      <c r="AF124" s="187">
        <v>0.0</v>
      </c>
      <c r="AG124" s="187">
        <v>0.0</v>
      </c>
      <c r="AH124" s="187">
        <v>0.0</v>
      </c>
      <c r="AI124" s="181">
        <f t="shared" si="10"/>
        <v>0</v>
      </c>
      <c r="AJ124" s="181">
        <f t="shared" si="11"/>
        <v>0</v>
      </c>
      <c r="AK124" s="185" t="str">
        <f t="shared" si="12"/>
        <v/>
      </c>
      <c r="AL124" s="188" t="str">
        <f t="array" ref="AL124">H124*(1-I124)*VLOOKUP(AT124,{'▶️ Инструкция'!C:C,'▶️ Инструкция'!AI:AI},2,false)</f>
        <v>#N/A</v>
      </c>
      <c r="AM124" s="186" t="str">
        <f t="shared" si="13"/>
        <v/>
      </c>
      <c r="AN124" s="189">
        <v>0.0</v>
      </c>
      <c r="AO124" s="189">
        <v>0.0</v>
      </c>
      <c r="AP124" s="189">
        <v>0.0</v>
      </c>
      <c r="AQ124" s="191">
        <v>1.0</v>
      </c>
      <c r="AR124" s="191">
        <v>0.0</v>
      </c>
      <c r="AS124" s="212">
        <v>0.0</v>
      </c>
      <c r="AT124" s="193" t="s">
        <v>206</v>
      </c>
      <c r="AU124" s="193" t="s">
        <v>121</v>
      </c>
      <c r="AV124" s="193" t="s">
        <v>199</v>
      </c>
      <c r="AW124" s="194">
        <f t="shared" si="14"/>
        <v>0</v>
      </c>
      <c r="AX124" s="195">
        <f t="shared" si="15"/>
        <v>0</v>
      </c>
      <c r="AY124" s="196" t="str">
        <f t="shared" si="16"/>
        <v>#N/A</v>
      </c>
      <c r="AZ124" s="213">
        <v>250.0</v>
      </c>
      <c r="BA124" s="196">
        <f t="shared" si="17"/>
        <v>0.25</v>
      </c>
      <c r="BB124" s="213">
        <f t="shared" si="18"/>
        <v>1000</v>
      </c>
      <c r="BC124" s="199" t="str">
        <f t="shared" si="19"/>
        <v>#N/A</v>
      </c>
      <c r="BD124" s="200" t="str">
        <f t="shared" si="20"/>
        <v>#N/A</v>
      </c>
      <c r="BE124" s="200">
        <f t="shared" si="21"/>
        <v>0</v>
      </c>
      <c r="BF124" s="201" t="str">
        <f t="shared" si="22"/>
        <v/>
      </c>
      <c r="BG124" s="201" t="str">
        <f t="shared" si="23"/>
        <v/>
      </c>
      <c r="BH124" s="202" t="str">
        <f t="shared" si="24"/>
        <v/>
      </c>
      <c r="BI124" s="203"/>
      <c r="BJ124" s="204">
        <f>IFERROR(__xludf.DUMMYFUNCTION("IF(AU124=data!A$5,
IF(AV124=data!A$8,
IF(T124=data!A$3,
VLOOKUP(S124,filter('🔒 Доп. информация'!D:H,'🔒 Доп. информация'!C:C=T124),4,FALSE)+VLOOKUP(S124,filter('🔒 Доп. информация'!D:H,'🔒 Доп. информация'!C:C=T124),5,FALSE)*AJ124,
IF(AND(MAX(AF124:AH124"&amp;")&lt;80,SUM(AF124:AH124)&lt;=160,AI124&lt;20,XLOOKUP(M124,'📄 Комиссии'!C:C,'📄 Комиссии'!B:B)&lt;&gt;""Продукты""),
VLOOKUP(S124,filter('🔒 Доп. информация'!D:H,'🔒 Доп. информация'!C:C=data!$A$3),4,FALSE)+VLOOKUP(S124,filter('🔒 Доп. информация'!D:H,'🔒 Доп. информаци"&amp;"я'!C:C=data!$A$3),5,FALSE)*AJ124,
VLOOKUP(S124,filter('🔒 Доп. информация'!D:H,'🔒 Доп. информация'!C:C=T124),4,FALSE)*ROUNDUP(AF124*AG124*AH124*L124/(120*80*175))/L124)
)
*(AE124/2)
,)
,)*0"),0.0)</f>
        <v>0</v>
      </c>
      <c r="BK124" s="204">
        <f>IFERROR(__xludf.DUMMYFUNCTION("IF(AU124=data!A$5,
IF(AI124&lt;=1,IF(AI124&lt;=0.8,IF(AI124&lt;=0.6,IF(AI124&lt;=0.4,IF(AI124&lt;=0.2,23,26),29),30),32)*VLOOKUP(S124,filter('🔒 Доп. информация'!D:E,'🔒 Доп. информация'!C:C=T124),2,FALSE)/'🔒 Доп. информация'!$K$9,
IF(AV124=data!A$8,U124,1)*VLOOKUP(S12"&amp;"4,filter('🔒 Доп. информация'!D:E,'🔒 Доп. информация'!C:C=T124),2,FALSE)+
IF(AV124=data!A$8,U124,1)*VLOOKUP(S124,filter('🔒 Доп. информация'!D:F,'🔒 Доп. информация'!C:C=T124),3,FALSE)*AJ124)
,0)"),69.0)</f>
        <v>69</v>
      </c>
      <c r="BL124" s="185" t="str">
        <f t="shared" ref="BL124:BM124" si="382">IF($D124,"🔒",)</f>
        <v/>
      </c>
      <c r="BM124" s="185" t="str">
        <f t="shared" si="382"/>
        <v/>
      </c>
      <c r="BN124" s="204">
        <f>VLOOKUP(T124,'🔒 Доп. информация'!J:P,7,false)</f>
        <v>50</v>
      </c>
      <c r="BO124" s="204">
        <f>IF(AV124=data!A$9,
(AA124+AO124+AP124+BJ124+BK124+BN124)+H124*AS124,
(BJ124+BK124+BN124)+H124*AS124
)</f>
        <v>119</v>
      </c>
      <c r="BP124" s="204">
        <f t="shared" si="26"/>
        <v>69</v>
      </c>
      <c r="BQ124" s="204">
        <f t="shared" si="27"/>
        <v>320</v>
      </c>
      <c r="BR124" s="204" t="str">
        <f t="shared" si="37"/>
        <v>#N/A</v>
      </c>
      <c r="BS124" s="204" t="str">
        <f t="array" ref="BS124">IF(VLOOKUP(AT124,{'▶️ Инструкция'!C:C,'▶️ Инструкция'!Y:Y},2,FALSE)=data!A$15,
H124*(1-I124),
(H124-BR124))
*VLOOKUP(AT124,{'▶️ Инструкция'!C:C,'▶️ Инструкция'!AD:AD},2,FALSE)/(1+VLOOKUP(AT124,{'▶️ Инструкция'!C:C,'▶️ Инструкция'!AD:AD},2,FALSE))</f>
        <v>#N/A</v>
      </c>
      <c r="BT124" s="204" t="str">
        <f t="array" ref="BT124">
IF(VLOOKUP(AT124,{'▶️ Инструкция'!C:C,'▶️ Инструкция'!Y:Y},2,FALSE)=data!A$15,
H124*(1-I124)-BS124,
(H124-BR124-BS124))
*
VLOOKUP(AT124,{'▶️ Инструкция'!C:C,'▶️ Инструкция'!R:R},2,FALSE)
+BS124</f>
        <v>#N/A</v>
      </c>
      <c r="BU124" s="204" t="str">
        <f>(G124*AR124)+if(AV124=data!A$9,AO124,AN124)+AP124+BR124+BT124</f>
        <v>#N/A</v>
      </c>
      <c r="BV124" s="204" t="str">
        <f>(G124*AR124)+if(AV124=data!A$9,AO124,AN124)+AP124+BT124+G124</f>
        <v>#N/A</v>
      </c>
      <c r="BW124" s="204" t="str">
        <f t="shared" si="28"/>
        <v>#N/A</v>
      </c>
      <c r="BX124" s="204" t="str">
        <f t="shared" si="29"/>
        <v>#N/A</v>
      </c>
    </row>
    <row r="125">
      <c r="A125" s="165" t="str">
        <f>if(D125=true,if(F125=data!A$1,data!A$10,data!A$11),)</f>
        <v/>
      </c>
      <c r="B125" s="166" t="str">
        <f t="shared" si="4"/>
        <v>FBS</v>
      </c>
      <c r="C125" s="167" t="s">
        <v>195</v>
      </c>
      <c r="D125" s="168" t="b">
        <v>0</v>
      </c>
      <c r="E125" s="169" t="s">
        <v>204</v>
      </c>
      <c r="F125" s="170" t="str">
        <f t="array" ref="F125">IF(D125=TRUE,IF(IF(BG$3=VLOOKUP(AT125,{'▶️ Инструкция'!C:C,'▶️ Инструкция'!G:G},2,FALSE),BG125,BH125)&gt;VLOOKUP(AT125,{'▶️ Инструкция'!C:C,'▶️ Инструкция'!N:N},2,FALSE),data!A$1,data!A$2),)</f>
        <v/>
      </c>
      <c r="G125" s="171">
        <v>0.0</v>
      </c>
      <c r="H125" s="172">
        <v>1000.0</v>
      </c>
      <c r="I125" s="173">
        <v>0.0</v>
      </c>
      <c r="J125" s="173">
        <v>0.0</v>
      </c>
      <c r="K125" s="174" t="str">
        <f t="shared" si="5"/>
        <v/>
      </c>
      <c r="L125" s="175">
        <v>0.0</v>
      </c>
      <c r="M125" s="176" t="s">
        <v>197</v>
      </c>
      <c r="N125" s="177">
        <f>IFERROR(__xludf.DUMMYFUNCTION("ArrayFormula(let(category,VLOOKUP($M125, {'📄 Комиссии'!$C:$C , '📄 Комиссии'!$B:$B}, 2, 0),
data,MATCH('🔒 Доп. информация'!$J$15:$J203,TRANSPOSE(SPLIT(INDEX('▶️ Инструкция'!$Q:$Q,MATCH($AT125,'▶️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commission,VLOOKUP($M125,'📄 Комиссии'!$C:$E,IF($AV125=data!A$8,2,3),0),
IF(NOT(ISBLANK($M125)),commission/100+
"&amp;"IFERROR(VLOOKUP($AT125,{'▶️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25" s="178" t="str">
        <f t="shared" si="6"/>
        <v/>
      </c>
      <c r="Q125" s="178" t="str">
        <f t="shared" si="7"/>
        <v/>
      </c>
      <c r="S125" s="179" t="s">
        <v>192</v>
      </c>
      <c r="T125" s="180" t="s">
        <v>193</v>
      </c>
      <c r="U125" s="181">
        <v>1.0</v>
      </c>
      <c r="V125" s="182" t="str">
        <f t="shared" ref="V125:Y125" si="383">IF($D125,"🔒",)</f>
        <v/>
      </c>
      <c r="W125" s="182" t="str">
        <f t="shared" si="383"/>
        <v/>
      </c>
      <c r="X125" s="182" t="str">
        <f t="shared" si="383"/>
        <v/>
      </c>
      <c r="Y125" s="182" t="str">
        <f t="shared" si="383"/>
        <v/>
      </c>
      <c r="Z125" s="183">
        <v>0.0</v>
      </c>
      <c r="AA125" s="184">
        <f t="shared" si="31"/>
        <v>0</v>
      </c>
      <c r="AB125" s="185" t="str">
        <f t="shared" ref="AB125:AD125" si="384">IF($D125,"🔒",)</f>
        <v/>
      </c>
      <c r="AC125" s="185" t="str">
        <f t="shared" si="384"/>
        <v/>
      </c>
      <c r="AD125" s="186" t="str">
        <f t="shared" si="384"/>
        <v/>
      </c>
      <c r="AE125" s="180">
        <v>30.0</v>
      </c>
      <c r="AF125" s="187">
        <v>0.0</v>
      </c>
      <c r="AG125" s="187">
        <v>0.0</v>
      </c>
      <c r="AH125" s="187">
        <v>0.0</v>
      </c>
      <c r="AI125" s="181">
        <f t="shared" si="10"/>
        <v>0</v>
      </c>
      <c r="AJ125" s="181">
        <f t="shared" si="11"/>
        <v>0</v>
      </c>
      <c r="AK125" s="185" t="str">
        <f t="shared" si="12"/>
        <v/>
      </c>
      <c r="AL125" s="188" t="str">
        <f t="array" ref="AL125">H125*(1-I125)*VLOOKUP(AT125,{'▶️ Инструкция'!C:C,'▶️ Инструкция'!AI:AI},2,false)</f>
        <v>#N/A</v>
      </c>
      <c r="AM125" s="186" t="str">
        <f t="shared" si="13"/>
        <v/>
      </c>
      <c r="AN125" s="189">
        <v>0.0</v>
      </c>
      <c r="AO125" s="189">
        <v>0.0</v>
      </c>
      <c r="AP125" s="189">
        <v>0.0</v>
      </c>
      <c r="AQ125" s="191">
        <v>1.0</v>
      </c>
      <c r="AR125" s="191">
        <v>0.0</v>
      </c>
      <c r="AS125" s="212">
        <v>0.0</v>
      </c>
      <c r="AT125" s="193" t="s">
        <v>206</v>
      </c>
      <c r="AU125" s="193" t="s">
        <v>121</v>
      </c>
      <c r="AV125" s="193" t="s">
        <v>199</v>
      </c>
      <c r="AW125" s="194">
        <f t="shared" si="14"/>
        <v>0</v>
      </c>
      <c r="AX125" s="195">
        <f t="shared" si="15"/>
        <v>0</v>
      </c>
      <c r="AY125" s="196" t="str">
        <f t="shared" si="16"/>
        <v>#N/A</v>
      </c>
      <c r="AZ125" s="213">
        <v>250.0</v>
      </c>
      <c r="BA125" s="196">
        <f t="shared" si="17"/>
        <v>0.25</v>
      </c>
      <c r="BB125" s="213">
        <f t="shared" si="18"/>
        <v>1000</v>
      </c>
      <c r="BC125" s="199" t="str">
        <f t="shared" si="19"/>
        <v>#N/A</v>
      </c>
      <c r="BD125" s="200" t="str">
        <f t="shared" si="20"/>
        <v>#N/A</v>
      </c>
      <c r="BE125" s="200">
        <f t="shared" si="21"/>
        <v>0</v>
      </c>
      <c r="BF125" s="201" t="str">
        <f t="shared" si="22"/>
        <v/>
      </c>
      <c r="BG125" s="201" t="str">
        <f t="shared" si="23"/>
        <v/>
      </c>
      <c r="BH125" s="202" t="str">
        <f t="shared" si="24"/>
        <v/>
      </c>
      <c r="BI125" s="203"/>
      <c r="BJ125" s="204">
        <f>IFERROR(__xludf.DUMMYFUNCTION("IF(AU125=data!A$5,
IF(AV125=data!A$8,
IF(T125=data!A$3,
VLOOKUP(S125,filter('🔒 Доп. информация'!D:H,'🔒 Доп. информация'!C:C=T125),4,FALSE)+VLOOKUP(S125,filter('🔒 Доп. информация'!D:H,'🔒 Доп. информация'!C:C=T125),5,FALSE)*AJ125,
IF(AND(MAX(AF125:AH125"&amp;")&lt;80,SUM(AF125:AH125)&lt;=160,AI125&lt;20,XLOOKUP(M125,'📄 Комиссии'!C:C,'📄 Комиссии'!B:B)&lt;&gt;""Продукты""),
VLOOKUP(S125,filter('🔒 Доп. информация'!D:H,'🔒 Доп. информация'!C:C=data!$A$3),4,FALSE)+VLOOKUP(S125,filter('🔒 Доп. информация'!D:H,'🔒 Доп. информаци"&amp;"я'!C:C=data!$A$3),5,FALSE)*AJ125,
VLOOKUP(S125,filter('🔒 Доп. информация'!D:H,'🔒 Доп. информация'!C:C=T125),4,FALSE)*ROUNDUP(AF125*AG125*AH125*L125/(120*80*175))/L125)
)
*(AE125/2)
,)
,)*0"),0.0)</f>
        <v>0</v>
      </c>
      <c r="BK125" s="204">
        <f>IFERROR(__xludf.DUMMYFUNCTION("IF(AU125=data!A$5,
IF(AI125&lt;=1,IF(AI125&lt;=0.8,IF(AI125&lt;=0.6,IF(AI125&lt;=0.4,IF(AI125&lt;=0.2,23,26),29),30),32)*VLOOKUP(S125,filter('🔒 Доп. информация'!D:E,'🔒 Доп. информация'!C:C=T125),2,FALSE)/'🔒 Доп. информация'!$K$9,
IF(AV125=data!A$8,U125,1)*VLOOKUP(S12"&amp;"5,filter('🔒 Доп. информация'!D:E,'🔒 Доп. информация'!C:C=T125),2,FALSE)+
IF(AV125=data!A$8,U125,1)*VLOOKUP(S125,filter('🔒 Доп. информация'!D:F,'🔒 Доп. информация'!C:C=T125),3,FALSE)*AJ125)
,0)"),69.0)</f>
        <v>69</v>
      </c>
      <c r="BL125" s="185" t="str">
        <f t="shared" ref="BL125:BM125" si="385">IF($D125,"🔒",)</f>
        <v/>
      </c>
      <c r="BM125" s="185" t="str">
        <f t="shared" si="385"/>
        <v/>
      </c>
      <c r="BN125" s="204">
        <f>VLOOKUP(T125,'🔒 Доп. информация'!J:P,7,false)</f>
        <v>50</v>
      </c>
      <c r="BO125" s="204">
        <f>IF(AV125=data!A$9,
(AA125+AO125+AP125+BJ125+BK125+BN125)+H125*AS125,
(BJ125+BK125+BN125)+H125*AS125
)</f>
        <v>119</v>
      </c>
      <c r="BP125" s="204">
        <f t="shared" si="26"/>
        <v>69</v>
      </c>
      <c r="BQ125" s="204">
        <f t="shared" si="27"/>
        <v>320</v>
      </c>
      <c r="BR125" s="204" t="str">
        <f t="shared" si="37"/>
        <v>#N/A</v>
      </c>
      <c r="BS125" s="204" t="str">
        <f t="array" ref="BS125">IF(VLOOKUP(AT125,{'▶️ Инструкция'!C:C,'▶️ Инструкция'!Y:Y},2,FALSE)=data!A$15,
H125*(1-I125),
(H125-BR125))
*VLOOKUP(AT125,{'▶️ Инструкция'!C:C,'▶️ Инструкция'!AD:AD},2,FALSE)/(1+VLOOKUP(AT125,{'▶️ Инструкция'!C:C,'▶️ Инструкция'!AD:AD},2,FALSE))</f>
        <v>#N/A</v>
      </c>
      <c r="BT125" s="204" t="str">
        <f t="array" ref="BT125">
IF(VLOOKUP(AT125,{'▶️ Инструкция'!C:C,'▶️ Инструкция'!Y:Y},2,FALSE)=data!A$15,
H125*(1-I125)-BS125,
(H125-BR125-BS125))
*
VLOOKUP(AT125,{'▶️ Инструкция'!C:C,'▶️ Инструкция'!R:R},2,FALSE)
+BS125</f>
        <v>#N/A</v>
      </c>
      <c r="BU125" s="204" t="str">
        <f>(G125*AR125)+if(AV125=data!A$9,AO125,AN125)+AP125+BR125+BT125</f>
        <v>#N/A</v>
      </c>
      <c r="BV125" s="204" t="str">
        <f>(G125*AR125)+if(AV125=data!A$9,AO125,AN125)+AP125+BT125+G125</f>
        <v>#N/A</v>
      </c>
      <c r="BW125" s="204" t="str">
        <f t="shared" si="28"/>
        <v>#N/A</v>
      </c>
      <c r="BX125" s="204" t="str">
        <f t="shared" si="29"/>
        <v>#N/A</v>
      </c>
    </row>
    <row r="126">
      <c r="A126" s="165" t="str">
        <f>if(D126=true,if(F126=data!A$1,data!A$10,data!A$11),)</f>
        <v/>
      </c>
      <c r="B126" s="166" t="str">
        <f t="shared" si="4"/>
        <v>FBS</v>
      </c>
      <c r="C126" s="167" t="s">
        <v>195</v>
      </c>
      <c r="D126" s="168" t="b">
        <v>0</v>
      </c>
      <c r="E126" s="169" t="s">
        <v>204</v>
      </c>
      <c r="F126" s="170" t="str">
        <f t="array" ref="F126">IF(D126=TRUE,IF(IF(BG$3=VLOOKUP(AT126,{'▶️ Инструкция'!C:C,'▶️ Инструкция'!G:G},2,FALSE),BG126,BH126)&gt;VLOOKUP(AT126,{'▶️ Инструкция'!C:C,'▶️ Инструкция'!N:N},2,FALSE),data!A$1,data!A$2),)</f>
        <v/>
      </c>
      <c r="G126" s="171">
        <v>0.0</v>
      </c>
      <c r="H126" s="172">
        <v>1000.0</v>
      </c>
      <c r="I126" s="173">
        <v>0.0</v>
      </c>
      <c r="J126" s="173">
        <v>0.0</v>
      </c>
      <c r="K126" s="174" t="str">
        <f t="shared" si="5"/>
        <v/>
      </c>
      <c r="L126" s="175">
        <v>0.0</v>
      </c>
      <c r="M126" s="176" t="s">
        <v>197</v>
      </c>
      <c r="N126" s="177">
        <f>IFERROR(__xludf.DUMMYFUNCTION("ArrayFormula(let(category,VLOOKUP($M126, {'📄 Комиссии'!$C:$C , '📄 Комиссии'!$B:$B}, 2, 0),
data,MATCH('🔒 Доп. информация'!$J$15:$J203,TRANSPOSE(SPLIT(INDEX('▶️ Инструкция'!$Q:$Q,MATCH($AT126,'▶️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commission,VLOOKUP($M126,'📄 Комиссии'!$C:$E,IF($AV126=data!A$8,2,3),0),
IF(NOT(ISBLANK($M126)),commission/100+
"&amp;"IFERROR(VLOOKUP($AT126,{'▶️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26" s="178" t="str">
        <f t="shared" si="6"/>
        <v/>
      </c>
      <c r="Q126" s="178" t="str">
        <f t="shared" si="7"/>
        <v/>
      </c>
      <c r="S126" s="179" t="s">
        <v>192</v>
      </c>
      <c r="T126" s="180" t="s">
        <v>193</v>
      </c>
      <c r="U126" s="181">
        <v>1.0</v>
      </c>
      <c r="V126" s="182" t="str">
        <f t="shared" ref="V126:Y126" si="386">IF($D126,"🔒",)</f>
        <v/>
      </c>
      <c r="W126" s="182" t="str">
        <f t="shared" si="386"/>
        <v/>
      </c>
      <c r="X126" s="182" t="str">
        <f t="shared" si="386"/>
        <v/>
      </c>
      <c r="Y126" s="182" t="str">
        <f t="shared" si="386"/>
        <v/>
      </c>
      <c r="Z126" s="183">
        <v>0.0</v>
      </c>
      <c r="AA126" s="184">
        <f t="shared" si="31"/>
        <v>0</v>
      </c>
      <c r="AB126" s="185" t="str">
        <f t="shared" ref="AB126:AD126" si="387">IF($D126,"🔒",)</f>
        <v/>
      </c>
      <c r="AC126" s="185" t="str">
        <f t="shared" si="387"/>
        <v/>
      </c>
      <c r="AD126" s="186" t="str">
        <f t="shared" si="387"/>
        <v/>
      </c>
      <c r="AE126" s="180">
        <v>30.0</v>
      </c>
      <c r="AF126" s="187">
        <v>0.0</v>
      </c>
      <c r="AG126" s="187">
        <v>0.0</v>
      </c>
      <c r="AH126" s="187">
        <v>0.0</v>
      </c>
      <c r="AI126" s="181">
        <f t="shared" si="10"/>
        <v>0</v>
      </c>
      <c r="AJ126" s="181">
        <f t="shared" si="11"/>
        <v>0</v>
      </c>
      <c r="AK126" s="185" t="str">
        <f t="shared" si="12"/>
        <v/>
      </c>
      <c r="AL126" s="188" t="str">
        <f t="array" ref="AL126">H126*(1-I126)*VLOOKUP(AT126,{'▶️ Инструкция'!C:C,'▶️ Инструкция'!AI:AI},2,false)</f>
        <v>#N/A</v>
      </c>
      <c r="AM126" s="186" t="str">
        <f t="shared" si="13"/>
        <v/>
      </c>
      <c r="AN126" s="189">
        <v>0.0</v>
      </c>
      <c r="AO126" s="189">
        <v>0.0</v>
      </c>
      <c r="AP126" s="189">
        <v>0.0</v>
      </c>
      <c r="AQ126" s="191">
        <v>1.0</v>
      </c>
      <c r="AR126" s="191">
        <v>0.0</v>
      </c>
      <c r="AS126" s="212">
        <v>0.0</v>
      </c>
      <c r="AT126" s="193" t="s">
        <v>206</v>
      </c>
      <c r="AU126" s="193" t="s">
        <v>121</v>
      </c>
      <c r="AV126" s="193" t="s">
        <v>199</v>
      </c>
      <c r="AW126" s="194">
        <f t="shared" si="14"/>
        <v>0</v>
      </c>
      <c r="AX126" s="195">
        <f t="shared" si="15"/>
        <v>0</v>
      </c>
      <c r="AY126" s="196" t="str">
        <f t="shared" si="16"/>
        <v>#N/A</v>
      </c>
      <c r="AZ126" s="213">
        <v>250.0</v>
      </c>
      <c r="BA126" s="196">
        <f t="shared" si="17"/>
        <v>0.25</v>
      </c>
      <c r="BB126" s="213">
        <f t="shared" si="18"/>
        <v>1000</v>
      </c>
      <c r="BC126" s="199" t="str">
        <f t="shared" si="19"/>
        <v>#N/A</v>
      </c>
      <c r="BD126" s="200" t="str">
        <f t="shared" si="20"/>
        <v>#N/A</v>
      </c>
      <c r="BE126" s="200">
        <f t="shared" si="21"/>
        <v>0</v>
      </c>
      <c r="BF126" s="201" t="str">
        <f t="shared" si="22"/>
        <v/>
      </c>
      <c r="BG126" s="201" t="str">
        <f t="shared" si="23"/>
        <v/>
      </c>
      <c r="BH126" s="202" t="str">
        <f t="shared" si="24"/>
        <v/>
      </c>
      <c r="BI126" s="203"/>
      <c r="BJ126" s="204">
        <f>IFERROR(__xludf.DUMMYFUNCTION("IF(AU126=data!A$5,
IF(AV126=data!A$8,
IF(T126=data!A$3,
VLOOKUP(S126,filter('🔒 Доп. информация'!D:H,'🔒 Доп. информация'!C:C=T126),4,FALSE)+VLOOKUP(S126,filter('🔒 Доп. информация'!D:H,'🔒 Доп. информация'!C:C=T126),5,FALSE)*AJ126,
IF(AND(MAX(AF126:AH126"&amp;")&lt;80,SUM(AF126:AH126)&lt;=160,AI126&lt;20,XLOOKUP(M126,'📄 Комиссии'!C:C,'📄 Комиссии'!B:B)&lt;&gt;""Продукты""),
VLOOKUP(S126,filter('🔒 Доп. информация'!D:H,'🔒 Доп. информация'!C:C=data!$A$3),4,FALSE)+VLOOKUP(S126,filter('🔒 Доп. информация'!D:H,'🔒 Доп. информаци"&amp;"я'!C:C=data!$A$3),5,FALSE)*AJ126,
VLOOKUP(S126,filter('🔒 Доп. информация'!D:H,'🔒 Доп. информация'!C:C=T126),4,FALSE)*ROUNDUP(AF126*AG126*AH126*L126/(120*80*175))/L126)
)
*(AE126/2)
,)
,)*0"),0.0)</f>
        <v>0</v>
      </c>
      <c r="BK126" s="204">
        <f>IFERROR(__xludf.DUMMYFUNCTION("IF(AU126=data!A$5,
IF(AI126&lt;=1,IF(AI126&lt;=0.8,IF(AI126&lt;=0.6,IF(AI126&lt;=0.4,IF(AI126&lt;=0.2,23,26),29),30),32)*VLOOKUP(S126,filter('🔒 Доп. информация'!D:E,'🔒 Доп. информация'!C:C=T126),2,FALSE)/'🔒 Доп. информация'!$K$9,
IF(AV126=data!A$8,U126,1)*VLOOKUP(S12"&amp;"6,filter('🔒 Доп. информация'!D:E,'🔒 Доп. информация'!C:C=T126),2,FALSE)+
IF(AV126=data!A$8,U126,1)*VLOOKUP(S126,filter('🔒 Доп. информация'!D:F,'🔒 Доп. информация'!C:C=T126),3,FALSE)*AJ126)
,0)"),69.0)</f>
        <v>69</v>
      </c>
      <c r="BL126" s="185" t="str">
        <f t="shared" ref="BL126:BM126" si="388">IF($D126,"🔒",)</f>
        <v/>
      </c>
      <c r="BM126" s="185" t="str">
        <f t="shared" si="388"/>
        <v/>
      </c>
      <c r="BN126" s="204">
        <f>VLOOKUP(T126,'🔒 Доп. информация'!J:P,7,false)</f>
        <v>50</v>
      </c>
      <c r="BO126" s="204">
        <f>IF(AV126=data!A$9,
(AA126+AO126+AP126+BJ126+BK126+BN126)+H126*AS126,
(BJ126+BK126+BN126)+H126*AS126
)</f>
        <v>119</v>
      </c>
      <c r="BP126" s="204">
        <f t="shared" si="26"/>
        <v>69</v>
      </c>
      <c r="BQ126" s="204">
        <f t="shared" si="27"/>
        <v>320</v>
      </c>
      <c r="BR126" s="204" t="str">
        <f t="shared" si="37"/>
        <v>#N/A</v>
      </c>
      <c r="BS126" s="204" t="str">
        <f t="array" ref="BS126">IF(VLOOKUP(AT126,{'▶️ Инструкция'!C:C,'▶️ Инструкция'!Y:Y},2,FALSE)=data!A$15,
H126*(1-I126),
(H126-BR126))
*VLOOKUP(AT126,{'▶️ Инструкция'!C:C,'▶️ Инструкция'!AD:AD},2,FALSE)/(1+VLOOKUP(AT126,{'▶️ Инструкция'!C:C,'▶️ Инструкция'!AD:AD},2,FALSE))</f>
        <v>#N/A</v>
      </c>
      <c r="BT126" s="204" t="str">
        <f t="array" ref="BT126">
IF(VLOOKUP(AT126,{'▶️ Инструкция'!C:C,'▶️ Инструкция'!Y:Y},2,FALSE)=data!A$15,
H126*(1-I126)-BS126,
(H126-BR126-BS126))
*
VLOOKUP(AT126,{'▶️ Инструкция'!C:C,'▶️ Инструкция'!R:R},2,FALSE)
+BS126</f>
        <v>#N/A</v>
      </c>
      <c r="BU126" s="204" t="str">
        <f>(G126*AR126)+if(AV126=data!A$9,AO126,AN126)+AP126+BR126+BT126</f>
        <v>#N/A</v>
      </c>
      <c r="BV126" s="204" t="str">
        <f>(G126*AR126)+if(AV126=data!A$9,AO126,AN126)+AP126+BT126+G126</f>
        <v>#N/A</v>
      </c>
      <c r="BW126" s="204" t="str">
        <f t="shared" si="28"/>
        <v>#N/A</v>
      </c>
      <c r="BX126" s="204" t="str">
        <f t="shared" si="29"/>
        <v>#N/A</v>
      </c>
    </row>
    <row r="127">
      <c r="A127" s="165" t="str">
        <f>if(D127=true,if(F127=data!A$1,data!A$10,data!A$11),)</f>
        <v/>
      </c>
      <c r="B127" s="166" t="str">
        <f t="shared" si="4"/>
        <v>FBS</v>
      </c>
      <c r="C127" s="167" t="s">
        <v>195</v>
      </c>
      <c r="D127" s="168" t="b">
        <v>0</v>
      </c>
      <c r="E127" s="169" t="s">
        <v>204</v>
      </c>
      <c r="F127" s="170" t="str">
        <f t="array" ref="F127">IF(D127=TRUE,IF(IF(BG$3=VLOOKUP(AT127,{'▶️ Инструкция'!C:C,'▶️ Инструкция'!G:G},2,FALSE),BG127,BH127)&gt;VLOOKUP(AT127,{'▶️ Инструкция'!C:C,'▶️ Инструкция'!N:N},2,FALSE),data!A$1,data!A$2),)</f>
        <v/>
      </c>
      <c r="G127" s="171">
        <v>0.0</v>
      </c>
      <c r="H127" s="172">
        <v>1000.0</v>
      </c>
      <c r="I127" s="173">
        <v>0.0</v>
      </c>
      <c r="J127" s="173">
        <v>0.0</v>
      </c>
      <c r="K127" s="174" t="str">
        <f t="shared" si="5"/>
        <v/>
      </c>
      <c r="L127" s="175">
        <v>0.0</v>
      </c>
      <c r="M127" s="176" t="s">
        <v>197</v>
      </c>
      <c r="N127" s="177">
        <f>IFERROR(__xludf.DUMMYFUNCTION("ArrayFormula(let(category,VLOOKUP($M127, {'📄 Комиссии'!$C:$C , '📄 Комиссии'!$B:$B}, 2, 0),
data,MATCH('🔒 Доп. информация'!$J$15:$J203,TRANSPOSE(SPLIT(INDEX('▶️ Инструкция'!$Q:$Q,MATCH($AT127,'▶️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commission,VLOOKUP($M127,'📄 Комиссии'!$C:$E,IF($AV127=data!A$8,2,3),0),
IF(NOT(ISBLANK($M127)),commission/100+
"&amp;"IFERROR(VLOOKUP($AT127,{'▶️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27" s="178" t="str">
        <f t="shared" si="6"/>
        <v/>
      </c>
      <c r="Q127" s="178" t="str">
        <f t="shared" si="7"/>
        <v/>
      </c>
      <c r="S127" s="179" t="s">
        <v>192</v>
      </c>
      <c r="T127" s="180" t="s">
        <v>193</v>
      </c>
      <c r="U127" s="181">
        <v>1.0</v>
      </c>
      <c r="V127" s="182" t="str">
        <f t="shared" ref="V127:Y127" si="389">IF($D127,"🔒",)</f>
        <v/>
      </c>
      <c r="W127" s="182" t="str">
        <f t="shared" si="389"/>
        <v/>
      </c>
      <c r="X127" s="182" t="str">
        <f t="shared" si="389"/>
        <v/>
      </c>
      <c r="Y127" s="182" t="str">
        <f t="shared" si="389"/>
        <v/>
      </c>
      <c r="Z127" s="183">
        <v>0.0</v>
      </c>
      <c r="AA127" s="184">
        <f t="shared" si="31"/>
        <v>0</v>
      </c>
      <c r="AB127" s="185" t="str">
        <f t="shared" ref="AB127:AD127" si="390">IF($D127,"🔒",)</f>
        <v/>
      </c>
      <c r="AC127" s="185" t="str">
        <f t="shared" si="390"/>
        <v/>
      </c>
      <c r="AD127" s="186" t="str">
        <f t="shared" si="390"/>
        <v/>
      </c>
      <c r="AE127" s="180">
        <v>30.0</v>
      </c>
      <c r="AF127" s="187">
        <v>0.0</v>
      </c>
      <c r="AG127" s="187">
        <v>0.0</v>
      </c>
      <c r="AH127" s="187">
        <v>0.0</v>
      </c>
      <c r="AI127" s="181">
        <f t="shared" si="10"/>
        <v>0</v>
      </c>
      <c r="AJ127" s="181">
        <f t="shared" si="11"/>
        <v>0</v>
      </c>
      <c r="AK127" s="185" t="str">
        <f t="shared" si="12"/>
        <v/>
      </c>
      <c r="AL127" s="188" t="str">
        <f t="array" ref="AL127">H127*(1-I127)*VLOOKUP(AT127,{'▶️ Инструкция'!C:C,'▶️ Инструкция'!AI:AI},2,false)</f>
        <v>#N/A</v>
      </c>
      <c r="AM127" s="186" t="str">
        <f t="shared" si="13"/>
        <v/>
      </c>
      <c r="AN127" s="189">
        <v>0.0</v>
      </c>
      <c r="AO127" s="189">
        <v>0.0</v>
      </c>
      <c r="AP127" s="189">
        <v>0.0</v>
      </c>
      <c r="AQ127" s="191">
        <v>1.0</v>
      </c>
      <c r="AR127" s="191">
        <v>0.0</v>
      </c>
      <c r="AS127" s="212">
        <v>0.0</v>
      </c>
      <c r="AT127" s="193" t="s">
        <v>206</v>
      </c>
      <c r="AU127" s="193" t="s">
        <v>121</v>
      </c>
      <c r="AV127" s="193" t="s">
        <v>199</v>
      </c>
      <c r="AW127" s="194">
        <f t="shared" si="14"/>
        <v>0</v>
      </c>
      <c r="AX127" s="195">
        <f t="shared" si="15"/>
        <v>0</v>
      </c>
      <c r="AY127" s="196" t="str">
        <f t="shared" si="16"/>
        <v>#N/A</v>
      </c>
      <c r="AZ127" s="213">
        <v>250.0</v>
      </c>
      <c r="BA127" s="196">
        <f t="shared" si="17"/>
        <v>0.25</v>
      </c>
      <c r="BB127" s="213">
        <f t="shared" si="18"/>
        <v>1000</v>
      </c>
      <c r="BC127" s="199" t="str">
        <f t="shared" si="19"/>
        <v>#N/A</v>
      </c>
      <c r="BD127" s="200" t="str">
        <f t="shared" si="20"/>
        <v>#N/A</v>
      </c>
      <c r="BE127" s="200">
        <f t="shared" si="21"/>
        <v>0</v>
      </c>
      <c r="BF127" s="201" t="str">
        <f t="shared" si="22"/>
        <v/>
      </c>
      <c r="BG127" s="201" t="str">
        <f t="shared" si="23"/>
        <v/>
      </c>
      <c r="BH127" s="202" t="str">
        <f t="shared" si="24"/>
        <v/>
      </c>
      <c r="BI127" s="203"/>
      <c r="BJ127" s="204">
        <f>IFERROR(__xludf.DUMMYFUNCTION("IF(AU127=data!A$5,
IF(AV127=data!A$8,
IF(T127=data!A$3,
VLOOKUP(S127,filter('🔒 Доп. информация'!D:H,'🔒 Доп. информация'!C:C=T127),4,FALSE)+VLOOKUP(S127,filter('🔒 Доп. информация'!D:H,'🔒 Доп. информация'!C:C=T127),5,FALSE)*AJ127,
IF(AND(MAX(AF127:AH127"&amp;")&lt;80,SUM(AF127:AH127)&lt;=160,AI127&lt;20,XLOOKUP(M127,'📄 Комиссии'!C:C,'📄 Комиссии'!B:B)&lt;&gt;""Продукты""),
VLOOKUP(S127,filter('🔒 Доп. информация'!D:H,'🔒 Доп. информация'!C:C=data!$A$3),4,FALSE)+VLOOKUP(S127,filter('🔒 Доп. информация'!D:H,'🔒 Доп. информаци"&amp;"я'!C:C=data!$A$3),5,FALSE)*AJ127,
VLOOKUP(S127,filter('🔒 Доп. информация'!D:H,'🔒 Доп. информация'!C:C=T127),4,FALSE)*ROUNDUP(AF127*AG127*AH127*L127/(120*80*175))/L127)
)
*(AE127/2)
,)
,)*0"),0.0)</f>
        <v>0</v>
      </c>
      <c r="BK127" s="204">
        <f>IFERROR(__xludf.DUMMYFUNCTION("IF(AU127=data!A$5,
IF(AI127&lt;=1,IF(AI127&lt;=0.8,IF(AI127&lt;=0.6,IF(AI127&lt;=0.4,IF(AI127&lt;=0.2,23,26),29),30),32)*VLOOKUP(S127,filter('🔒 Доп. информация'!D:E,'🔒 Доп. информация'!C:C=T127),2,FALSE)/'🔒 Доп. информация'!$K$9,
IF(AV127=data!A$8,U127,1)*VLOOKUP(S12"&amp;"7,filter('🔒 Доп. информация'!D:E,'🔒 Доп. информация'!C:C=T127),2,FALSE)+
IF(AV127=data!A$8,U127,1)*VLOOKUP(S127,filter('🔒 Доп. информация'!D:F,'🔒 Доп. информация'!C:C=T127),3,FALSE)*AJ127)
,0)"),69.0)</f>
        <v>69</v>
      </c>
      <c r="BL127" s="185" t="str">
        <f t="shared" ref="BL127:BM127" si="391">IF($D127,"🔒",)</f>
        <v/>
      </c>
      <c r="BM127" s="185" t="str">
        <f t="shared" si="391"/>
        <v/>
      </c>
      <c r="BN127" s="204">
        <f>VLOOKUP(T127,'🔒 Доп. информация'!J:P,7,false)</f>
        <v>50</v>
      </c>
      <c r="BO127" s="204">
        <f>IF(AV127=data!A$9,
(AA127+AO127+AP127+BJ127+BK127+BN127)+H127*AS127,
(BJ127+BK127+BN127)+H127*AS127
)</f>
        <v>119</v>
      </c>
      <c r="BP127" s="204">
        <f t="shared" si="26"/>
        <v>69</v>
      </c>
      <c r="BQ127" s="204">
        <f t="shared" si="27"/>
        <v>320</v>
      </c>
      <c r="BR127" s="204" t="str">
        <f t="shared" si="37"/>
        <v>#N/A</v>
      </c>
      <c r="BS127" s="204" t="str">
        <f t="array" ref="BS127">IF(VLOOKUP(AT127,{'▶️ Инструкция'!C:C,'▶️ Инструкция'!Y:Y},2,FALSE)=data!A$15,
H127*(1-I127),
(H127-BR127))
*VLOOKUP(AT127,{'▶️ Инструкция'!C:C,'▶️ Инструкция'!AD:AD},2,FALSE)/(1+VLOOKUP(AT127,{'▶️ Инструкция'!C:C,'▶️ Инструкция'!AD:AD},2,FALSE))</f>
        <v>#N/A</v>
      </c>
      <c r="BT127" s="204" t="str">
        <f t="array" ref="BT127">
IF(VLOOKUP(AT127,{'▶️ Инструкция'!C:C,'▶️ Инструкция'!Y:Y},2,FALSE)=data!A$15,
H127*(1-I127)-BS127,
(H127-BR127-BS127))
*
VLOOKUP(AT127,{'▶️ Инструкция'!C:C,'▶️ Инструкция'!R:R},2,FALSE)
+BS127</f>
        <v>#N/A</v>
      </c>
      <c r="BU127" s="204" t="str">
        <f>(G127*AR127)+if(AV127=data!A$9,AO127,AN127)+AP127+BR127+BT127</f>
        <v>#N/A</v>
      </c>
      <c r="BV127" s="204" t="str">
        <f>(G127*AR127)+if(AV127=data!A$9,AO127,AN127)+AP127+BT127+G127</f>
        <v>#N/A</v>
      </c>
      <c r="BW127" s="204" t="str">
        <f t="shared" si="28"/>
        <v>#N/A</v>
      </c>
      <c r="BX127" s="204" t="str">
        <f t="shared" si="29"/>
        <v>#N/A</v>
      </c>
    </row>
    <row r="128">
      <c r="A128" s="165" t="str">
        <f>if(D128=true,if(F128=data!A$1,data!A$10,data!A$11),)</f>
        <v/>
      </c>
      <c r="B128" s="166" t="str">
        <f t="shared" si="4"/>
        <v>FBS</v>
      </c>
      <c r="C128" s="167" t="s">
        <v>195</v>
      </c>
      <c r="D128" s="168" t="b">
        <v>0</v>
      </c>
      <c r="E128" s="169" t="s">
        <v>204</v>
      </c>
      <c r="F128" s="170" t="str">
        <f t="array" ref="F128">IF(D128=TRUE,IF(IF(BG$3=VLOOKUP(AT128,{'▶️ Инструкция'!C:C,'▶️ Инструкция'!G:G},2,FALSE),BG128,BH128)&gt;VLOOKUP(AT128,{'▶️ Инструкция'!C:C,'▶️ Инструкция'!N:N},2,FALSE),data!A$1,data!A$2),)</f>
        <v/>
      </c>
      <c r="G128" s="171">
        <v>0.0</v>
      </c>
      <c r="H128" s="172">
        <v>1000.0</v>
      </c>
      <c r="I128" s="173">
        <v>0.0</v>
      </c>
      <c r="J128" s="173">
        <v>0.0</v>
      </c>
      <c r="K128" s="174" t="str">
        <f t="shared" si="5"/>
        <v/>
      </c>
      <c r="L128" s="175">
        <v>0.0</v>
      </c>
      <c r="M128" s="176" t="s">
        <v>197</v>
      </c>
      <c r="N128" s="177">
        <f>IFERROR(__xludf.DUMMYFUNCTION("ArrayFormula(let(category,VLOOKUP($M128, {'📄 Комиссии'!$C:$C , '📄 Комиссии'!$B:$B}, 2, 0),
data,MATCH('🔒 Доп. информация'!$J$15:$J203,TRANSPOSE(SPLIT(INDEX('▶️ Инструкция'!$Q:$Q,MATCH($AT128,'▶️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commission,VLOOKUP($M128,'📄 Комиссии'!$C:$E,IF($AV128=data!A$8,2,3),0),
IF(NOT(ISBLANK($M128)),commission/100+
"&amp;"IFERROR(VLOOKUP($AT128,{'▶️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28" s="178" t="str">
        <f t="shared" si="6"/>
        <v/>
      </c>
      <c r="Q128" s="178" t="str">
        <f t="shared" si="7"/>
        <v/>
      </c>
      <c r="S128" s="179" t="s">
        <v>192</v>
      </c>
      <c r="T128" s="180" t="s">
        <v>193</v>
      </c>
      <c r="U128" s="181">
        <v>1.0</v>
      </c>
      <c r="V128" s="182" t="str">
        <f t="shared" ref="V128:Y128" si="392">IF($D128,"🔒",)</f>
        <v/>
      </c>
      <c r="W128" s="182" t="str">
        <f t="shared" si="392"/>
        <v/>
      </c>
      <c r="X128" s="182" t="str">
        <f t="shared" si="392"/>
        <v/>
      </c>
      <c r="Y128" s="182" t="str">
        <f t="shared" si="392"/>
        <v/>
      </c>
      <c r="Z128" s="183">
        <v>0.0</v>
      </c>
      <c r="AA128" s="184">
        <f t="shared" si="31"/>
        <v>0</v>
      </c>
      <c r="AB128" s="185" t="str">
        <f t="shared" ref="AB128:AD128" si="393">IF($D128,"🔒",)</f>
        <v/>
      </c>
      <c r="AC128" s="185" t="str">
        <f t="shared" si="393"/>
        <v/>
      </c>
      <c r="AD128" s="186" t="str">
        <f t="shared" si="393"/>
        <v/>
      </c>
      <c r="AE128" s="180">
        <v>30.0</v>
      </c>
      <c r="AF128" s="187">
        <v>0.0</v>
      </c>
      <c r="AG128" s="187">
        <v>0.0</v>
      </c>
      <c r="AH128" s="187">
        <v>0.0</v>
      </c>
      <c r="AI128" s="181">
        <f t="shared" si="10"/>
        <v>0</v>
      </c>
      <c r="AJ128" s="181">
        <f t="shared" si="11"/>
        <v>0</v>
      </c>
      <c r="AK128" s="185" t="str">
        <f t="shared" si="12"/>
        <v/>
      </c>
      <c r="AL128" s="188" t="str">
        <f t="array" ref="AL128">H128*(1-I128)*VLOOKUP(AT128,{'▶️ Инструкция'!C:C,'▶️ Инструкция'!AI:AI},2,false)</f>
        <v>#N/A</v>
      </c>
      <c r="AM128" s="186" t="str">
        <f t="shared" si="13"/>
        <v/>
      </c>
      <c r="AN128" s="189">
        <v>0.0</v>
      </c>
      <c r="AO128" s="189">
        <v>0.0</v>
      </c>
      <c r="AP128" s="189">
        <v>0.0</v>
      </c>
      <c r="AQ128" s="191">
        <v>1.0</v>
      </c>
      <c r="AR128" s="191">
        <v>0.0</v>
      </c>
      <c r="AS128" s="212">
        <v>0.0</v>
      </c>
      <c r="AT128" s="193" t="s">
        <v>206</v>
      </c>
      <c r="AU128" s="193" t="s">
        <v>121</v>
      </c>
      <c r="AV128" s="193" t="s">
        <v>199</v>
      </c>
      <c r="AW128" s="194">
        <f t="shared" si="14"/>
        <v>0</v>
      </c>
      <c r="AX128" s="195">
        <f t="shared" si="15"/>
        <v>0</v>
      </c>
      <c r="AY128" s="196" t="str">
        <f t="shared" si="16"/>
        <v>#N/A</v>
      </c>
      <c r="AZ128" s="213">
        <v>250.0</v>
      </c>
      <c r="BA128" s="196">
        <f t="shared" si="17"/>
        <v>0.25</v>
      </c>
      <c r="BB128" s="213">
        <f t="shared" si="18"/>
        <v>1000</v>
      </c>
      <c r="BC128" s="199" t="str">
        <f t="shared" si="19"/>
        <v>#N/A</v>
      </c>
      <c r="BD128" s="200" t="str">
        <f t="shared" si="20"/>
        <v>#N/A</v>
      </c>
      <c r="BE128" s="200">
        <f t="shared" si="21"/>
        <v>0</v>
      </c>
      <c r="BF128" s="201" t="str">
        <f t="shared" si="22"/>
        <v/>
      </c>
      <c r="BG128" s="201" t="str">
        <f t="shared" si="23"/>
        <v/>
      </c>
      <c r="BH128" s="202" t="str">
        <f t="shared" si="24"/>
        <v/>
      </c>
      <c r="BI128" s="203"/>
      <c r="BJ128" s="204">
        <f>IFERROR(__xludf.DUMMYFUNCTION("IF(AU128=data!A$5,
IF(AV128=data!A$8,
IF(T128=data!A$3,
VLOOKUP(S128,filter('🔒 Доп. информация'!D:H,'🔒 Доп. информация'!C:C=T128),4,FALSE)+VLOOKUP(S128,filter('🔒 Доп. информация'!D:H,'🔒 Доп. информация'!C:C=T128),5,FALSE)*AJ128,
IF(AND(MAX(AF128:AH128"&amp;")&lt;80,SUM(AF128:AH128)&lt;=160,AI128&lt;20,XLOOKUP(M128,'📄 Комиссии'!C:C,'📄 Комиссии'!B:B)&lt;&gt;""Продукты""),
VLOOKUP(S128,filter('🔒 Доп. информация'!D:H,'🔒 Доп. информация'!C:C=data!$A$3),4,FALSE)+VLOOKUP(S128,filter('🔒 Доп. информация'!D:H,'🔒 Доп. информаци"&amp;"я'!C:C=data!$A$3),5,FALSE)*AJ128,
VLOOKUP(S128,filter('🔒 Доп. информация'!D:H,'🔒 Доп. информация'!C:C=T128),4,FALSE)*ROUNDUP(AF128*AG128*AH128*L128/(120*80*175))/L128)
)
*(AE128/2)
,)
,)*0"),0.0)</f>
        <v>0</v>
      </c>
      <c r="BK128" s="204">
        <f>IFERROR(__xludf.DUMMYFUNCTION("IF(AU128=data!A$5,
IF(AI128&lt;=1,IF(AI128&lt;=0.8,IF(AI128&lt;=0.6,IF(AI128&lt;=0.4,IF(AI128&lt;=0.2,23,26),29),30),32)*VLOOKUP(S128,filter('🔒 Доп. информация'!D:E,'🔒 Доп. информация'!C:C=T128),2,FALSE)/'🔒 Доп. информация'!$K$9,
IF(AV128=data!A$8,U128,1)*VLOOKUP(S12"&amp;"8,filter('🔒 Доп. информация'!D:E,'🔒 Доп. информация'!C:C=T128),2,FALSE)+
IF(AV128=data!A$8,U128,1)*VLOOKUP(S128,filter('🔒 Доп. информация'!D:F,'🔒 Доп. информация'!C:C=T128),3,FALSE)*AJ128)
,0)"),69.0)</f>
        <v>69</v>
      </c>
      <c r="BL128" s="185" t="str">
        <f t="shared" ref="BL128:BM128" si="394">IF($D128,"🔒",)</f>
        <v/>
      </c>
      <c r="BM128" s="185" t="str">
        <f t="shared" si="394"/>
        <v/>
      </c>
      <c r="BN128" s="204">
        <f>VLOOKUP(T128,'🔒 Доп. информация'!J:P,7,false)</f>
        <v>50</v>
      </c>
      <c r="BO128" s="204">
        <f>IF(AV128=data!A$9,
(AA128+AO128+AP128+BJ128+BK128+BN128)+H128*AS128,
(BJ128+BK128+BN128)+H128*AS128
)</f>
        <v>119</v>
      </c>
      <c r="BP128" s="204">
        <f t="shared" si="26"/>
        <v>69</v>
      </c>
      <c r="BQ128" s="204">
        <f t="shared" si="27"/>
        <v>320</v>
      </c>
      <c r="BR128" s="204" t="str">
        <f t="shared" si="37"/>
        <v>#N/A</v>
      </c>
      <c r="BS128" s="204" t="str">
        <f t="array" ref="BS128">IF(VLOOKUP(AT128,{'▶️ Инструкция'!C:C,'▶️ Инструкция'!Y:Y},2,FALSE)=data!A$15,
H128*(1-I128),
(H128-BR128))
*VLOOKUP(AT128,{'▶️ Инструкция'!C:C,'▶️ Инструкция'!AD:AD},2,FALSE)/(1+VLOOKUP(AT128,{'▶️ Инструкция'!C:C,'▶️ Инструкция'!AD:AD},2,FALSE))</f>
        <v>#N/A</v>
      </c>
      <c r="BT128" s="204" t="str">
        <f t="array" ref="BT128">
IF(VLOOKUP(AT128,{'▶️ Инструкция'!C:C,'▶️ Инструкция'!Y:Y},2,FALSE)=data!A$15,
H128*(1-I128)-BS128,
(H128-BR128-BS128))
*
VLOOKUP(AT128,{'▶️ Инструкция'!C:C,'▶️ Инструкция'!R:R},2,FALSE)
+BS128</f>
        <v>#N/A</v>
      </c>
      <c r="BU128" s="204" t="str">
        <f>(G128*AR128)+if(AV128=data!A$9,AO128,AN128)+AP128+BR128+BT128</f>
        <v>#N/A</v>
      </c>
      <c r="BV128" s="204" t="str">
        <f>(G128*AR128)+if(AV128=data!A$9,AO128,AN128)+AP128+BT128+G128</f>
        <v>#N/A</v>
      </c>
      <c r="BW128" s="204" t="str">
        <f t="shared" si="28"/>
        <v>#N/A</v>
      </c>
      <c r="BX128" s="204" t="str">
        <f t="shared" si="29"/>
        <v>#N/A</v>
      </c>
    </row>
    <row r="129">
      <c r="A129" s="165" t="str">
        <f>if(D129=true,if(F129=data!A$1,data!A$10,data!A$11),)</f>
        <v/>
      </c>
      <c r="B129" s="166" t="str">
        <f t="shared" si="4"/>
        <v>FBS</v>
      </c>
      <c r="C129" s="167" t="s">
        <v>195</v>
      </c>
      <c r="D129" s="168" t="b">
        <v>0</v>
      </c>
      <c r="E129" s="169" t="s">
        <v>204</v>
      </c>
      <c r="F129" s="170" t="str">
        <f t="array" ref="F129">IF(D129=TRUE,IF(IF(BG$3=VLOOKUP(AT129,{'▶️ Инструкция'!C:C,'▶️ Инструкция'!G:G},2,FALSE),BG129,BH129)&gt;VLOOKUP(AT129,{'▶️ Инструкция'!C:C,'▶️ Инструкция'!N:N},2,FALSE),data!A$1,data!A$2),)</f>
        <v/>
      </c>
      <c r="G129" s="171">
        <v>0.0</v>
      </c>
      <c r="H129" s="172">
        <v>1000.0</v>
      </c>
      <c r="I129" s="173">
        <v>0.0</v>
      </c>
      <c r="J129" s="173">
        <v>0.0</v>
      </c>
      <c r="K129" s="174" t="str">
        <f t="shared" si="5"/>
        <v/>
      </c>
      <c r="L129" s="175">
        <v>0.0</v>
      </c>
      <c r="M129" s="176" t="s">
        <v>197</v>
      </c>
      <c r="N129" s="177">
        <f>IFERROR(__xludf.DUMMYFUNCTION("ArrayFormula(let(category,VLOOKUP($M129, {'📄 Комиссии'!$C:$C , '📄 Комиссии'!$B:$B}, 2, 0),
data,MATCH('🔒 Доп. информация'!$J$15:$J203,TRANSPOSE(SPLIT(INDEX('▶️ Инструкция'!$Q:$Q,MATCH($AT129,'▶️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commission,VLOOKUP($M129,'📄 Комиссии'!$C:$E,IF($AV129=data!A$8,2,3),0),
IF(NOT(ISBLANK($M129)),commission/100+
"&amp;"IFERROR(VLOOKUP($AT129,{'▶️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29" s="178" t="str">
        <f t="shared" si="6"/>
        <v/>
      </c>
      <c r="Q129" s="178" t="str">
        <f t="shared" si="7"/>
        <v/>
      </c>
      <c r="S129" s="179" t="s">
        <v>192</v>
      </c>
      <c r="T129" s="180" t="s">
        <v>193</v>
      </c>
      <c r="U129" s="181">
        <v>1.0</v>
      </c>
      <c r="V129" s="182" t="str">
        <f t="shared" ref="V129:Y129" si="395">IF($D129,"🔒",)</f>
        <v/>
      </c>
      <c r="W129" s="182" t="str">
        <f t="shared" si="395"/>
        <v/>
      </c>
      <c r="X129" s="182" t="str">
        <f t="shared" si="395"/>
        <v/>
      </c>
      <c r="Y129" s="182" t="str">
        <f t="shared" si="395"/>
        <v/>
      </c>
      <c r="Z129" s="183">
        <v>0.0</v>
      </c>
      <c r="AA129" s="184">
        <f t="shared" si="31"/>
        <v>0</v>
      </c>
      <c r="AB129" s="185" t="str">
        <f t="shared" ref="AB129:AD129" si="396">IF($D129,"🔒",)</f>
        <v/>
      </c>
      <c r="AC129" s="185" t="str">
        <f t="shared" si="396"/>
        <v/>
      </c>
      <c r="AD129" s="186" t="str">
        <f t="shared" si="396"/>
        <v/>
      </c>
      <c r="AE129" s="180">
        <v>30.0</v>
      </c>
      <c r="AF129" s="187">
        <v>0.0</v>
      </c>
      <c r="AG129" s="187">
        <v>0.0</v>
      </c>
      <c r="AH129" s="187">
        <v>0.0</v>
      </c>
      <c r="AI129" s="181">
        <f t="shared" si="10"/>
        <v>0</v>
      </c>
      <c r="AJ129" s="181">
        <f t="shared" si="11"/>
        <v>0</v>
      </c>
      <c r="AK129" s="185" t="str">
        <f t="shared" si="12"/>
        <v/>
      </c>
      <c r="AL129" s="188" t="str">
        <f t="array" ref="AL129">H129*(1-I129)*VLOOKUP(AT129,{'▶️ Инструкция'!C:C,'▶️ Инструкция'!AI:AI},2,false)</f>
        <v>#N/A</v>
      </c>
      <c r="AM129" s="186" t="str">
        <f t="shared" si="13"/>
        <v/>
      </c>
      <c r="AN129" s="189">
        <v>0.0</v>
      </c>
      <c r="AO129" s="189">
        <v>0.0</v>
      </c>
      <c r="AP129" s="189">
        <v>0.0</v>
      </c>
      <c r="AQ129" s="191">
        <v>1.0</v>
      </c>
      <c r="AR129" s="191">
        <v>0.0</v>
      </c>
      <c r="AS129" s="212">
        <v>0.0</v>
      </c>
      <c r="AT129" s="193" t="s">
        <v>206</v>
      </c>
      <c r="AU129" s="193" t="s">
        <v>121</v>
      </c>
      <c r="AV129" s="193" t="s">
        <v>199</v>
      </c>
      <c r="AW129" s="194">
        <f t="shared" si="14"/>
        <v>0</v>
      </c>
      <c r="AX129" s="195">
        <f t="shared" si="15"/>
        <v>0</v>
      </c>
      <c r="AY129" s="196" t="str">
        <f t="shared" si="16"/>
        <v>#N/A</v>
      </c>
      <c r="AZ129" s="213">
        <v>250.0</v>
      </c>
      <c r="BA129" s="196">
        <f t="shared" si="17"/>
        <v>0.25</v>
      </c>
      <c r="BB129" s="213">
        <f t="shared" si="18"/>
        <v>1000</v>
      </c>
      <c r="BC129" s="199" t="str">
        <f t="shared" si="19"/>
        <v>#N/A</v>
      </c>
      <c r="BD129" s="200" t="str">
        <f t="shared" si="20"/>
        <v>#N/A</v>
      </c>
      <c r="BE129" s="200">
        <f t="shared" si="21"/>
        <v>0</v>
      </c>
      <c r="BF129" s="201" t="str">
        <f t="shared" si="22"/>
        <v/>
      </c>
      <c r="BG129" s="201" t="str">
        <f t="shared" si="23"/>
        <v/>
      </c>
      <c r="BH129" s="202" t="str">
        <f t="shared" si="24"/>
        <v/>
      </c>
      <c r="BI129" s="203"/>
      <c r="BJ129" s="204">
        <f>IFERROR(__xludf.DUMMYFUNCTION("IF(AU129=data!A$5,
IF(AV129=data!A$8,
IF(T129=data!A$3,
VLOOKUP(S129,filter('🔒 Доп. информация'!D:H,'🔒 Доп. информация'!C:C=T129),4,FALSE)+VLOOKUP(S129,filter('🔒 Доп. информация'!D:H,'🔒 Доп. информация'!C:C=T129),5,FALSE)*AJ129,
IF(AND(MAX(AF129:AH129"&amp;")&lt;80,SUM(AF129:AH129)&lt;=160,AI129&lt;20,XLOOKUP(M129,'📄 Комиссии'!C:C,'📄 Комиссии'!B:B)&lt;&gt;""Продукты""),
VLOOKUP(S129,filter('🔒 Доп. информация'!D:H,'🔒 Доп. информация'!C:C=data!$A$3),4,FALSE)+VLOOKUP(S129,filter('🔒 Доп. информация'!D:H,'🔒 Доп. информаци"&amp;"я'!C:C=data!$A$3),5,FALSE)*AJ129,
VLOOKUP(S129,filter('🔒 Доп. информация'!D:H,'🔒 Доп. информация'!C:C=T129),4,FALSE)*ROUNDUP(AF129*AG129*AH129*L129/(120*80*175))/L129)
)
*(AE129/2)
,)
,)*0"),0.0)</f>
        <v>0</v>
      </c>
      <c r="BK129" s="204">
        <f>IFERROR(__xludf.DUMMYFUNCTION("IF(AU129=data!A$5,
IF(AI129&lt;=1,IF(AI129&lt;=0.8,IF(AI129&lt;=0.6,IF(AI129&lt;=0.4,IF(AI129&lt;=0.2,23,26),29),30),32)*VLOOKUP(S129,filter('🔒 Доп. информация'!D:E,'🔒 Доп. информация'!C:C=T129),2,FALSE)/'🔒 Доп. информация'!$K$9,
IF(AV129=data!A$8,U129,1)*VLOOKUP(S12"&amp;"9,filter('🔒 Доп. информация'!D:E,'🔒 Доп. информация'!C:C=T129),2,FALSE)+
IF(AV129=data!A$8,U129,1)*VLOOKUP(S129,filter('🔒 Доп. информация'!D:F,'🔒 Доп. информация'!C:C=T129),3,FALSE)*AJ129)
,0)"),69.0)</f>
        <v>69</v>
      </c>
      <c r="BL129" s="185" t="str">
        <f t="shared" ref="BL129:BM129" si="397">IF($D129,"🔒",)</f>
        <v/>
      </c>
      <c r="BM129" s="185" t="str">
        <f t="shared" si="397"/>
        <v/>
      </c>
      <c r="BN129" s="204">
        <f>VLOOKUP(T129,'🔒 Доп. информация'!J:P,7,false)</f>
        <v>50</v>
      </c>
      <c r="BO129" s="204">
        <f>IF(AV129=data!A$9,
(AA129+AO129+AP129+BJ129+BK129+BN129)+H129*AS129,
(BJ129+BK129+BN129)+H129*AS129
)</f>
        <v>119</v>
      </c>
      <c r="BP129" s="204">
        <f t="shared" si="26"/>
        <v>69</v>
      </c>
      <c r="BQ129" s="204">
        <f t="shared" si="27"/>
        <v>320</v>
      </c>
      <c r="BR129" s="204" t="str">
        <f t="shared" si="37"/>
        <v>#N/A</v>
      </c>
      <c r="BS129" s="204" t="str">
        <f t="array" ref="BS129">IF(VLOOKUP(AT129,{'▶️ Инструкция'!C:C,'▶️ Инструкция'!Y:Y},2,FALSE)=data!A$15,
H129*(1-I129),
(H129-BR129))
*VLOOKUP(AT129,{'▶️ Инструкция'!C:C,'▶️ Инструкция'!AD:AD},2,FALSE)/(1+VLOOKUP(AT129,{'▶️ Инструкция'!C:C,'▶️ Инструкция'!AD:AD},2,FALSE))</f>
        <v>#N/A</v>
      </c>
      <c r="BT129" s="204" t="str">
        <f t="array" ref="BT129">
IF(VLOOKUP(AT129,{'▶️ Инструкция'!C:C,'▶️ Инструкция'!Y:Y},2,FALSE)=data!A$15,
H129*(1-I129)-BS129,
(H129-BR129-BS129))
*
VLOOKUP(AT129,{'▶️ Инструкция'!C:C,'▶️ Инструкция'!R:R},2,FALSE)
+BS129</f>
        <v>#N/A</v>
      </c>
      <c r="BU129" s="204" t="str">
        <f>(G129*AR129)+if(AV129=data!A$9,AO129,AN129)+AP129+BR129+BT129</f>
        <v>#N/A</v>
      </c>
      <c r="BV129" s="204" t="str">
        <f>(G129*AR129)+if(AV129=data!A$9,AO129,AN129)+AP129+BT129+G129</f>
        <v>#N/A</v>
      </c>
      <c r="BW129" s="204" t="str">
        <f t="shared" si="28"/>
        <v>#N/A</v>
      </c>
      <c r="BX129" s="204" t="str">
        <f t="shared" si="29"/>
        <v>#N/A</v>
      </c>
    </row>
    <row r="130">
      <c r="A130" s="165" t="str">
        <f>if(D130=true,if(F130=data!A$1,data!A$10,data!A$11),)</f>
        <v/>
      </c>
      <c r="B130" s="166" t="str">
        <f t="shared" si="4"/>
        <v>FBS</v>
      </c>
      <c r="C130" s="167" t="s">
        <v>195</v>
      </c>
      <c r="D130" s="168" t="b">
        <v>0</v>
      </c>
      <c r="E130" s="169" t="s">
        <v>204</v>
      </c>
      <c r="F130" s="170" t="str">
        <f t="array" ref="F130">IF(D130=TRUE,IF(IF(BG$3=VLOOKUP(AT130,{'▶️ Инструкция'!C:C,'▶️ Инструкция'!G:G},2,FALSE),BG130,BH130)&gt;VLOOKUP(AT130,{'▶️ Инструкция'!C:C,'▶️ Инструкция'!N:N},2,FALSE),data!A$1,data!A$2),)</f>
        <v/>
      </c>
      <c r="G130" s="171">
        <v>0.0</v>
      </c>
      <c r="H130" s="172">
        <v>1000.0</v>
      </c>
      <c r="I130" s="173">
        <v>0.0</v>
      </c>
      <c r="J130" s="173">
        <v>0.0</v>
      </c>
      <c r="K130" s="174" t="str">
        <f t="shared" si="5"/>
        <v/>
      </c>
      <c r="L130" s="175">
        <v>0.0</v>
      </c>
      <c r="M130" s="176" t="s">
        <v>197</v>
      </c>
      <c r="N130" s="177">
        <f>IFERROR(__xludf.DUMMYFUNCTION("ArrayFormula(let(category,VLOOKUP($M130, {'📄 Комиссии'!$C:$C , '📄 Комиссии'!$B:$B}, 2, 0),
data,MATCH('🔒 Доп. информация'!$J$15:$J203,TRANSPOSE(SPLIT(INDEX('▶️ Инструкция'!$Q:$Q,MATCH($AT130,'▶️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commission,VLOOKUP($M130,'📄 Комиссии'!$C:$E,IF($AV130=data!A$8,2,3),0),
IF(NOT(ISBLANK($M130)),commission/100+
"&amp;"IFERROR(VLOOKUP($AT130,{'▶️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30" s="178" t="str">
        <f t="shared" si="6"/>
        <v/>
      </c>
      <c r="Q130" s="178" t="str">
        <f t="shared" si="7"/>
        <v/>
      </c>
      <c r="S130" s="179" t="s">
        <v>192</v>
      </c>
      <c r="T130" s="180" t="s">
        <v>193</v>
      </c>
      <c r="U130" s="181">
        <v>1.0</v>
      </c>
      <c r="V130" s="182" t="str">
        <f t="shared" ref="V130:Y130" si="398">IF($D130,"🔒",)</f>
        <v/>
      </c>
      <c r="W130" s="182" t="str">
        <f t="shared" si="398"/>
        <v/>
      </c>
      <c r="X130" s="182" t="str">
        <f t="shared" si="398"/>
        <v/>
      </c>
      <c r="Y130" s="182" t="str">
        <f t="shared" si="398"/>
        <v/>
      </c>
      <c r="Z130" s="183">
        <v>0.0</v>
      </c>
      <c r="AA130" s="184">
        <f t="shared" si="31"/>
        <v>0</v>
      </c>
      <c r="AB130" s="185" t="str">
        <f t="shared" ref="AB130:AD130" si="399">IF($D130,"🔒",)</f>
        <v/>
      </c>
      <c r="AC130" s="185" t="str">
        <f t="shared" si="399"/>
        <v/>
      </c>
      <c r="AD130" s="186" t="str">
        <f t="shared" si="399"/>
        <v/>
      </c>
      <c r="AE130" s="180">
        <v>30.0</v>
      </c>
      <c r="AF130" s="187">
        <v>0.0</v>
      </c>
      <c r="AG130" s="187">
        <v>0.0</v>
      </c>
      <c r="AH130" s="187">
        <v>0.0</v>
      </c>
      <c r="AI130" s="181">
        <f t="shared" si="10"/>
        <v>0</v>
      </c>
      <c r="AJ130" s="181">
        <f t="shared" si="11"/>
        <v>0</v>
      </c>
      <c r="AK130" s="185" t="str">
        <f t="shared" si="12"/>
        <v/>
      </c>
      <c r="AL130" s="188" t="str">
        <f t="array" ref="AL130">H130*(1-I130)*VLOOKUP(AT130,{'▶️ Инструкция'!C:C,'▶️ Инструкция'!AI:AI},2,false)</f>
        <v>#N/A</v>
      </c>
      <c r="AM130" s="186" t="str">
        <f t="shared" si="13"/>
        <v/>
      </c>
      <c r="AN130" s="189">
        <v>0.0</v>
      </c>
      <c r="AO130" s="189">
        <v>0.0</v>
      </c>
      <c r="AP130" s="189">
        <v>0.0</v>
      </c>
      <c r="AQ130" s="191">
        <v>1.0</v>
      </c>
      <c r="AR130" s="191">
        <v>0.0</v>
      </c>
      <c r="AS130" s="212">
        <v>0.0</v>
      </c>
      <c r="AT130" s="193" t="s">
        <v>206</v>
      </c>
      <c r="AU130" s="193" t="s">
        <v>121</v>
      </c>
      <c r="AV130" s="193" t="s">
        <v>199</v>
      </c>
      <c r="AW130" s="194">
        <f t="shared" si="14"/>
        <v>0</v>
      </c>
      <c r="AX130" s="195">
        <f t="shared" si="15"/>
        <v>0</v>
      </c>
      <c r="AY130" s="196" t="str">
        <f t="shared" si="16"/>
        <v>#N/A</v>
      </c>
      <c r="AZ130" s="213">
        <v>250.0</v>
      </c>
      <c r="BA130" s="196">
        <f t="shared" si="17"/>
        <v>0.25</v>
      </c>
      <c r="BB130" s="213">
        <f t="shared" si="18"/>
        <v>1000</v>
      </c>
      <c r="BC130" s="199" t="str">
        <f t="shared" si="19"/>
        <v>#N/A</v>
      </c>
      <c r="BD130" s="200" t="str">
        <f t="shared" si="20"/>
        <v>#N/A</v>
      </c>
      <c r="BE130" s="200">
        <f t="shared" si="21"/>
        <v>0</v>
      </c>
      <c r="BF130" s="201" t="str">
        <f t="shared" si="22"/>
        <v/>
      </c>
      <c r="BG130" s="201" t="str">
        <f t="shared" si="23"/>
        <v/>
      </c>
      <c r="BH130" s="202" t="str">
        <f t="shared" si="24"/>
        <v/>
      </c>
      <c r="BI130" s="203"/>
      <c r="BJ130" s="204">
        <f>IFERROR(__xludf.DUMMYFUNCTION("IF(AU130=data!A$5,
IF(AV130=data!A$8,
IF(T130=data!A$3,
VLOOKUP(S130,filter('🔒 Доп. информация'!D:H,'🔒 Доп. информация'!C:C=T130),4,FALSE)+VLOOKUP(S130,filter('🔒 Доп. информация'!D:H,'🔒 Доп. информация'!C:C=T130),5,FALSE)*AJ130,
IF(AND(MAX(AF130:AH130"&amp;")&lt;80,SUM(AF130:AH130)&lt;=160,AI130&lt;20,XLOOKUP(M130,'📄 Комиссии'!C:C,'📄 Комиссии'!B:B)&lt;&gt;""Продукты""),
VLOOKUP(S130,filter('🔒 Доп. информация'!D:H,'🔒 Доп. информация'!C:C=data!$A$3),4,FALSE)+VLOOKUP(S130,filter('🔒 Доп. информация'!D:H,'🔒 Доп. информаци"&amp;"я'!C:C=data!$A$3),5,FALSE)*AJ130,
VLOOKUP(S130,filter('🔒 Доп. информация'!D:H,'🔒 Доп. информация'!C:C=T130),4,FALSE)*ROUNDUP(AF130*AG130*AH130*L130/(120*80*175))/L130)
)
*(AE130/2)
,)
,)*0"),0.0)</f>
        <v>0</v>
      </c>
      <c r="BK130" s="204">
        <f>IFERROR(__xludf.DUMMYFUNCTION("IF(AU130=data!A$5,
IF(AI130&lt;=1,IF(AI130&lt;=0.8,IF(AI130&lt;=0.6,IF(AI130&lt;=0.4,IF(AI130&lt;=0.2,23,26),29),30),32)*VLOOKUP(S130,filter('🔒 Доп. информация'!D:E,'🔒 Доп. информация'!C:C=T130),2,FALSE)/'🔒 Доп. информация'!$K$9,
IF(AV130=data!A$8,U130,1)*VLOOKUP(S13"&amp;"0,filter('🔒 Доп. информация'!D:E,'🔒 Доп. информация'!C:C=T130),2,FALSE)+
IF(AV130=data!A$8,U130,1)*VLOOKUP(S130,filter('🔒 Доп. информация'!D:F,'🔒 Доп. информация'!C:C=T130),3,FALSE)*AJ130)
,0)"),69.0)</f>
        <v>69</v>
      </c>
      <c r="BL130" s="185" t="str">
        <f t="shared" ref="BL130:BM130" si="400">IF($D130,"🔒",)</f>
        <v/>
      </c>
      <c r="BM130" s="185" t="str">
        <f t="shared" si="400"/>
        <v/>
      </c>
      <c r="BN130" s="204">
        <f>VLOOKUP(T130,'🔒 Доп. информация'!J:P,7,false)</f>
        <v>50</v>
      </c>
      <c r="BO130" s="204">
        <f>IF(AV130=data!A$9,
(AA130+AO130+AP130+BJ130+BK130+BN130)+H130*AS130,
(BJ130+BK130+BN130)+H130*AS130
)</f>
        <v>119</v>
      </c>
      <c r="BP130" s="204">
        <f t="shared" si="26"/>
        <v>69</v>
      </c>
      <c r="BQ130" s="204">
        <f t="shared" si="27"/>
        <v>320</v>
      </c>
      <c r="BR130" s="204" t="str">
        <f t="shared" si="37"/>
        <v>#N/A</v>
      </c>
      <c r="BS130" s="204" t="str">
        <f t="array" ref="BS130">IF(VLOOKUP(AT130,{'▶️ Инструкция'!C:C,'▶️ Инструкция'!Y:Y},2,FALSE)=data!A$15,
H130*(1-I130),
(H130-BR130))
*VLOOKUP(AT130,{'▶️ Инструкция'!C:C,'▶️ Инструкция'!AD:AD},2,FALSE)/(1+VLOOKUP(AT130,{'▶️ Инструкция'!C:C,'▶️ Инструкция'!AD:AD},2,FALSE))</f>
        <v>#N/A</v>
      </c>
      <c r="BT130" s="204" t="str">
        <f t="array" ref="BT130">
IF(VLOOKUP(AT130,{'▶️ Инструкция'!C:C,'▶️ Инструкция'!Y:Y},2,FALSE)=data!A$15,
H130*(1-I130)-BS130,
(H130-BR130-BS130))
*
VLOOKUP(AT130,{'▶️ Инструкция'!C:C,'▶️ Инструкция'!R:R},2,FALSE)
+BS130</f>
        <v>#N/A</v>
      </c>
      <c r="BU130" s="204" t="str">
        <f>(G130*AR130)+if(AV130=data!A$9,AO130,AN130)+AP130+BR130+BT130</f>
        <v>#N/A</v>
      </c>
      <c r="BV130" s="204" t="str">
        <f>(G130*AR130)+if(AV130=data!A$9,AO130,AN130)+AP130+BT130+G130</f>
        <v>#N/A</v>
      </c>
      <c r="BW130" s="204" t="str">
        <f t="shared" si="28"/>
        <v>#N/A</v>
      </c>
      <c r="BX130" s="204" t="str">
        <f t="shared" si="29"/>
        <v>#N/A</v>
      </c>
    </row>
    <row r="131">
      <c r="A131" s="165" t="str">
        <f>if(D131=true,if(F131=data!A$1,data!A$10,data!A$11),)</f>
        <v/>
      </c>
      <c r="B131" s="166" t="str">
        <f t="shared" si="4"/>
        <v>FBS</v>
      </c>
      <c r="C131" s="167" t="s">
        <v>195</v>
      </c>
      <c r="D131" s="168" t="b">
        <v>0</v>
      </c>
      <c r="E131" s="169" t="s">
        <v>204</v>
      </c>
      <c r="F131" s="170" t="str">
        <f t="array" ref="F131">IF(D131=TRUE,IF(IF(BG$3=VLOOKUP(AT131,{'▶️ Инструкция'!C:C,'▶️ Инструкция'!G:G},2,FALSE),BG131,BH131)&gt;VLOOKUP(AT131,{'▶️ Инструкция'!C:C,'▶️ Инструкция'!N:N},2,FALSE),data!A$1,data!A$2),)</f>
        <v/>
      </c>
      <c r="G131" s="171">
        <v>0.0</v>
      </c>
      <c r="H131" s="172">
        <v>1000.0</v>
      </c>
      <c r="I131" s="173">
        <v>0.0</v>
      </c>
      <c r="J131" s="173">
        <v>0.0</v>
      </c>
      <c r="K131" s="174" t="str">
        <f t="shared" si="5"/>
        <v/>
      </c>
      <c r="L131" s="175">
        <v>0.0</v>
      </c>
      <c r="M131" s="176" t="s">
        <v>197</v>
      </c>
      <c r="N131" s="177">
        <f>IFERROR(__xludf.DUMMYFUNCTION("ArrayFormula(let(category,VLOOKUP($M131, {'📄 Комиссии'!$C:$C , '📄 Комиссии'!$B:$B}, 2, 0),
data,MATCH('🔒 Доп. информация'!$J$15:$J203,TRANSPOSE(SPLIT(INDEX('▶️ Инструкция'!$Q:$Q,MATCH($AT131,'▶️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commission,VLOOKUP($M131,'📄 Комиссии'!$C:$E,IF($AV131=data!A$8,2,3),0),
IF(NOT(ISBLANK($M131)),commission/100+
"&amp;"IFERROR(VLOOKUP($AT131,{'▶️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31" s="178" t="str">
        <f t="shared" si="6"/>
        <v/>
      </c>
      <c r="Q131" s="178" t="str">
        <f t="shared" si="7"/>
        <v/>
      </c>
      <c r="S131" s="179" t="s">
        <v>192</v>
      </c>
      <c r="T131" s="180" t="s">
        <v>193</v>
      </c>
      <c r="U131" s="181">
        <v>1.0</v>
      </c>
      <c r="V131" s="182" t="str">
        <f t="shared" ref="V131:Y131" si="401">IF($D131,"🔒",)</f>
        <v/>
      </c>
      <c r="W131" s="182" t="str">
        <f t="shared" si="401"/>
        <v/>
      </c>
      <c r="X131" s="182" t="str">
        <f t="shared" si="401"/>
        <v/>
      </c>
      <c r="Y131" s="182" t="str">
        <f t="shared" si="401"/>
        <v/>
      </c>
      <c r="Z131" s="183">
        <v>0.0</v>
      </c>
      <c r="AA131" s="184">
        <f t="shared" si="31"/>
        <v>0</v>
      </c>
      <c r="AB131" s="185" t="str">
        <f t="shared" ref="AB131:AD131" si="402">IF($D131,"🔒",)</f>
        <v/>
      </c>
      <c r="AC131" s="185" t="str">
        <f t="shared" si="402"/>
        <v/>
      </c>
      <c r="AD131" s="186" t="str">
        <f t="shared" si="402"/>
        <v/>
      </c>
      <c r="AE131" s="180">
        <v>30.0</v>
      </c>
      <c r="AF131" s="187">
        <v>0.0</v>
      </c>
      <c r="AG131" s="187">
        <v>0.0</v>
      </c>
      <c r="AH131" s="187">
        <v>0.0</v>
      </c>
      <c r="AI131" s="181">
        <f t="shared" si="10"/>
        <v>0</v>
      </c>
      <c r="AJ131" s="181">
        <f t="shared" si="11"/>
        <v>0</v>
      </c>
      <c r="AK131" s="185" t="str">
        <f t="shared" si="12"/>
        <v/>
      </c>
      <c r="AL131" s="188" t="str">
        <f t="array" ref="AL131">H131*(1-I131)*VLOOKUP(AT131,{'▶️ Инструкция'!C:C,'▶️ Инструкция'!AI:AI},2,false)</f>
        <v>#N/A</v>
      </c>
      <c r="AM131" s="186" t="str">
        <f t="shared" si="13"/>
        <v/>
      </c>
      <c r="AN131" s="189">
        <v>0.0</v>
      </c>
      <c r="AO131" s="189">
        <v>0.0</v>
      </c>
      <c r="AP131" s="189">
        <v>0.0</v>
      </c>
      <c r="AQ131" s="191">
        <v>1.0</v>
      </c>
      <c r="AR131" s="191">
        <v>0.0</v>
      </c>
      <c r="AS131" s="212">
        <v>0.0</v>
      </c>
      <c r="AT131" s="193" t="s">
        <v>206</v>
      </c>
      <c r="AU131" s="193" t="s">
        <v>121</v>
      </c>
      <c r="AV131" s="193" t="s">
        <v>199</v>
      </c>
      <c r="AW131" s="194">
        <f t="shared" si="14"/>
        <v>0</v>
      </c>
      <c r="AX131" s="195">
        <f t="shared" si="15"/>
        <v>0</v>
      </c>
      <c r="AY131" s="196" t="str">
        <f t="shared" si="16"/>
        <v>#N/A</v>
      </c>
      <c r="AZ131" s="213">
        <v>250.0</v>
      </c>
      <c r="BA131" s="196">
        <f t="shared" si="17"/>
        <v>0.25</v>
      </c>
      <c r="BB131" s="213">
        <f t="shared" si="18"/>
        <v>1000</v>
      </c>
      <c r="BC131" s="199" t="str">
        <f t="shared" si="19"/>
        <v>#N/A</v>
      </c>
      <c r="BD131" s="200" t="str">
        <f t="shared" si="20"/>
        <v>#N/A</v>
      </c>
      <c r="BE131" s="200">
        <f t="shared" si="21"/>
        <v>0</v>
      </c>
      <c r="BF131" s="201" t="str">
        <f t="shared" si="22"/>
        <v/>
      </c>
      <c r="BG131" s="201" t="str">
        <f t="shared" si="23"/>
        <v/>
      </c>
      <c r="BH131" s="202" t="str">
        <f t="shared" si="24"/>
        <v/>
      </c>
      <c r="BI131" s="203"/>
      <c r="BJ131" s="204">
        <f>IFERROR(__xludf.DUMMYFUNCTION("IF(AU131=data!A$5,
IF(AV131=data!A$8,
IF(T131=data!A$3,
VLOOKUP(S131,filter('🔒 Доп. информация'!D:H,'🔒 Доп. информация'!C:C=T131),4,FALSE)+VLOOKUP(S131,filter('🔒 Доп. информация'!D:H,'🔒 Доп. информация'!C:C=T131),5,FALSE)*AJ131,
IF(AND(MAX(AF131:AH131"&amp;")&lt;80,SUM(AF131:AH131)&lt;=160,AI131&lt;20,XLOOKUP(M131,'📄 Комиссии'!C:C,'📄 Комиссии'!B:B)&lt;&gt;""Продукты""),
VLOOKUP(S131,filter('🔒 Доп. информация'!D:H,'🔒 Доп. информация'!C:C=data!$A$3),4,FALSE)+VLOOKUP(S131,filter('🔒 Доп. информация'!D:H,'🔒 Доп. информаци"&amp;"я'!C:C=data!$A$3),5,FALSE)*AJ131,
VLOOKUP(S131,filter('🔒 Доп. информация'!D:H,'🔒 Доп. информация'!C:C=T131),4,FALSE)*ROUNDUP(AF131*AG131*AH131*L131/(120*80*175))/L131)
)
*(AE131/2)
,)
,)*0"),0.0)</f>
        <v>0</v>
      </c>
      <c r="BK131" s="204">
        <f>IFERROR(__xludf.DUMMYFUNCTION("IF(AU131=data!A$5,
IF(AI131&lt;=1,IF(AI131&lt;=0.8,IF(AI131&lt;=0.6,IF(AI131&lt;=0.4,IF(AI131&lt;=0.2,23,26),29),30),32)*VLOOKUP(S131,filter('🔒 Доп. информация'!D:E,'🔒 Доп. информация'!C:C=T131),2,FALSE)/'🔒 Доп. информация'!$K$9,
IF(AV131=data!A$8,U131,1)*VLOOKUP(S13"&amp;"1,filter('🔒 Доп. информация'!D:E,'🔒 Доп. информация'!C:C=T131),2,FALSE)+
IF(AV131=data!A$8,U131,1)*VLOOKUP(S131,filter('🔒 Доп. информация'!D:F,'🔒 Доп. информация'!C:C=T131),3,FALSE)*AJ131)
,0)"),69.0)</f>
        <v>69</v>
      </c>
      <c r="BL131" s="185" t="str">
        <f t="shared" ref="BL131:BM131" si="403">IF($D131,"🔒",)</f>
        <v/>
      </c>
      <c r="BM131" s="185" t="str">
        <f t="shared" si="403"/>
        <v/>
      </c>
      <c r="BN131" s="204">
        <f>VLOOKUP(T131,'🔒 Доп. информация'!J:P,7,false)</f>
        <v>50</v>
      </c>
      <c r="BO131" s="204">
        <f>IF(AV131=data!A$9,
(AA131+AO131+AP131+BJ131+BK131+BN131)+H131*AS131,
(BJ131+BK131+BN131)+H131*AS131
)</f>
        <v>119</v>
      </c>
      <c r="BP131" s="204">
        <f t="shared" si="26"/>
        <v>69</v>
      </c>
      <c r="BQ131" s="204">
        <f t="shared" si="27"/>
        <v>320</v>
      </c>
      <c r="BR131" s="204" t="str">
        <f t="shared" si="37"/>
        <v>#N/A</v>
      </c>
      <c r="BS131" s="204" t="str">
        <f t="array" ref="BS131">IF(VLOOKUP(AT131,{'▶️ Инструкция'!C:C,'▶️ Инструкция'!Y:Y},2,FALSE)=data!A$15,
H131*(1-I131),
(H131-BR131))
*VLOOKUP(AT131,{'▶️ Инструкция'!C:C,'▶️ Инструкция'!AD:AD},2,FALSE)/(1+VLOOKUP(AT131,{'▶️ Инструкция'!C:C,'▶️ Инструкция'!AD:AD},2,FALSE))</f>
        <v>#N/A</v>
      </c>
      <c r="BT131" s="204" t="str">
        <f t="array" ref="BT131">
IF(VLOOKUP(AT131,{'▶️ Инструкция'!C:C,'▶️ Инструкция'!Y:Y},2,FALSE)=data!A$15,
H131*(1-I131)-BS131,
(H131-BR131-BS131))
*
VLOOKUP(AT131,{'▶️ Инструкция'!C:C,'▶️ Инструкция'!R:R},2,FALSE)
+BS131</f>
        <v>#N/A</v>
      </c>
      <c r="BU131" s="204" t="str">
        <f>(G131*AR131)+if(AV131=data!A$9,AO131,AN131)+AP131+BR131+BT131</f>
        <v>#N/A</v>
      </c>
      <c r="BV131" s="204" t="str">
        <f>(G131*AR131)+if(AV131=data!A$9,AO131,AN131)+AP131+BT131+G131</f>
        <v>#N/A</v>
      </c>
      <c r="BW131" s="204" t="str">
        <f t="shared" si="28"/>
        <v>#N/A</v>
      </c>
      <c r="BX131" s="204" t="str">
        <f t="shared" si="29"/>
        <v>#N/A</v>
      </c>
    </row>
    <row r="132">
      <c r="A132" s="165" t="str">
        <f>if(D132=true,if(F132=data!A$1,data!A$10,data!A$11),)</f>
        <v/>
      </c>
      <c r="B132" s="166" t="str">
        <f t="shared" si="4"/>
        <v>FBS</v>
      </c>
      <c r="C132" s="167" t="s">
        <v>195</v>
      </c>
      <c r="D132" s="168" t="b">
        <v>0</v>
      </c>
      <c r="E132" s="169" t="s">
        <v>204</v>
      </c>
      <c r="F132" s="170" t="str">
        <f t="array" ref="F132">IF(D132=TRUE,IF(IF(BG$3=VLOOKUP(AT132,{'▶️ Инструкция'!C:C,'▶️ Инструкция'!G:G},2,FALSE),BG132,BH132)&gt;VLOOKUP(AT132,{'▶️ Инструкция'!C:C,'▶️ Инструкция'!N:N},2,FALSE),data!A$1,data!A$2),)</f>
        <v/>
      </c>
      <c r="G132" s="171">
        <v>0.0</v>
      </c>
      <c r="H132" s="172">
        <v>1000.0</v>
      </c>
      <c r="I132" s="173">
        <v>0.0</v>
      </c>
      <c r="J132" s="173">
        <v>0.0</v>
      </c>
      <c r="K132" s="174" t="str">
        <f t="shared" si="5"/>
        <v/>
      </c>
      <c r="L132" s="175">
        <v>0.0</v>
      </c>
      <c r="M132" s="176" t="s">
        <v>197</v>
      </c>
      <c r="N132" s="177">
        <f>IFERROR(__xludf.DUMMYFUNCTION("ArrayFormula(let(category,VLOOKUP($M132, {'📄 Комиссии'!$C:$C , '📄 Комиссии'!$B:$B}, 2, 0),
data,MATCH('🔒 Доп. информация'!$J$15:$J203,TRANSPOSE(SPLIT(INDEX('▶️ Инструкция'!$Q:$Q,MATCH($AT132,'▶️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commission,VLOOKUP($M132,'📄 Комиссии'!$C:$E,IF($AV132=data!A$8,2,3),0),
IF(NOT(ISBLANK($M132)),commission/100+
"&amp;"IFERROR(VLOOKUP($AT132,{'▶️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32" s="178" t="str">
        <f t="shared" si="6"/>
        <v/>
      </c>
      <c r="Q132" s="178" t="str">
        <f t="shared" si="7"/>
        <v/>
      </c>
      <c r="S132" s="179" t="s">
        <v>192</v>
      </c>
      <c r="T132" s="180" t="s">
        <v>193</v>
      </c>
      <c r="U132" s="181">
        <v>1.0</v>
      </c>
      <c r="V132" s="182" t="str">
        <f t="shared" ref="V132:Y132" si="404">IF($D132,"🔒",)</f>
        <v/>
      </c>
      <c r="W132" s="182" t="str">
        <f t="shared" si="404"/>
        <v/>
      </c>
      <c r="X132" s="182" t="str">
        <f t="shared" si="404"/>
        <v/>
      </c>
      <c r="Y132" s="182" t="str">
        <f t="shared" si="404"/>
        <v/>
      </c>
      <c r="Z132" s="183">
        <v>0.0</v>
      </c>
      <c r="AA132" s="184">
        <f t="shared" si="31"/>
        <v>0</v>
      </c>
      <c r="AB132" s="185" t="str">
        <f t="shared" ref="AB132:AD132" si="405">IF($D132,"🔒",)</f>
        <v/>
      </c>
      <c r="AC132" s="185" t="str">
        <f t="shared" si="405"/>
        <v/>
      </c>
      <c r="AD132" s="186" t="str">
        <f t="shared" si="405"/>
        <v/>
      </c>
      <c r="AE132" s="180">
        <v>30.0</v>
      </c>
      <c r="AF132" s="187">
        <v>0.0</v>
      </c>
      <c r="AG132" s="187">
        <v>0.0</v>
      </c>
      <c r="AH132" s="187">
        <v>0.0</v>
      </c>
      <c r="AI132" s="181">
        <f t="shared" si="10"/>
        <v>0</v>
      </c>
      <c r="AJ132" s="181">
        <f t="shared" si="11"/>
        <v>0</v>
      </c>
      <c r="AK132" s="185" t="str">
        <f t="shared" si="12"/>
        <v/>
      </c>
      <c r="AL132" s="188" t="str">
        <f t="array" ref="AL132">H132*(1-I132)*VLOOKUP(AT132,{'▶️ Инструкция'!C:C,'▶️ Инструкция'!AI:AI},2,false)</f>
        <v>#N/A</v>
      </c>
      <c r="AM132" s="186" t="str">
        <f t="shared" si="13"/>
        <v/>
      </c>
      <c r="AN132" s="189">
        <v>0.0</v>
      </c>
      <c r="AO132" s="189">
        <v>0.0</v>
      </c>
      <c r="AP132" s="189">
        <v>0.0</v>
      </c>
      <c r="AQ132" s="191">
        <v>1.0</v>
      </c>
      <c r="AR132" s="191">
        <v>0.0</v>
      </c>
      <c r="AS132" s="212">
        <v>0.0</v>
      </c>
      <c r="AT132" s="193" t="s">
        <v>206</v>
      </c>
      <c r="AU132" s="193" t="s">
        <v>121</v>
      </c>
      <c r="AV132" s="193" t="s">
        <v>199</v>
      </c>
      <c r="AW132" s="194">
        <f t="shared" si="14"/>
        <v>0</v>
      </c>
      <c r="AX132" s="195">
        <f t="shared" si="15"/>
        <v>0</v>
      </c>
      <c r="AY132" s="196" t="str">
        <f t="shared" si="16"/>
        <v>#N/A</v>
      </c>
      <c r="AZ132" s="213">
        <v>250.0</v>
      </c>
      <c r="BA132" s="196">
        <f t="shared" si="17"/>
        <v>0.25</v>
      </c>
      <c r="BB132" s="213">
        <f t="shared" si="18"/>
        <v>1000</v>
      </c>
      <c r="BC132" s="199" t="str">
        <f t="shared" si="19"/>
        <v>#N/A</v>
      </c>
      <c r="BD132" s="200" t="str">
        <f t="shared" si="20"/>
        <v>#N/A</v>
      </c>
      <c r="BE132" s="200">
        <f t="shared" si="21"/>
        <v>0</v>
      </c>
      <c r="BF132" s="201" t="str">
        <f t="shared" si="22"/>
        <v/>
      </c>
      <c r="BG132" s="201" t="str">
        <f t="shared" si="23"/>
        <v/>
      </c>
      <c r="BH132" s="202" t="str">
        <f t="shared" si="24"/>
        <v/>
      </c>
      <c r="BI132" s="203"/>
      <c r="BJ132" s="204">
        <f>IFERROR(__xludf.DUMMYFUNCTION("IF(AU132=data!A$5,
IF(AV132=data!A$8,
IF(T132=data!A$3,
VLOOKUP(S132,filter('🔒 Доп. информация'!D:H,'🔒 Доп. информация'!C:C=T132),4,FALSE)+VLOOKUP(S132,filter('🔒 Доп. информация'!D:H,'🔒 Доп. информация'!C:C=T132),5,FALSE)*AJ132,
IF(AND(MAX(AF132:AH132"&amp;")&lt;80,SUM(AF132:AH132)&lt;=160,AI132&lt;20,XLOOKUP(M132,'📄 Комиссии'!C:C,'📄 Комиссии'!B:B)&lt;&gt;""Продукты""),
VLOOKUP(S132,filter('🔒 Доп. информация'!D:H,'🔒 Доп. информация'!C:C=data!$A$3),4,FALSE)+VLOOKUP(S132,filter('🔒 Доп. информация'!D:H,'🔒 Доп. информаци"&amp;"я'!C:C=data!$A$3),5,FALSE)*AJ132,
VLOOKUP(S132,filter('🔒 Доп. информация'!D:H,'🔒 Доп. информация'!C:C=T132),4,FALSE)*ROUNDUP(AF132*AG132*AH132*L132/(120*80*175))/L132)
)
*(AE132/2)
,)
,)*0"),0.0)</f>
        <v>0</v>
      </c>
      <c r="BK132" s="204">
        <f>IFERROR(__xludf.DUMMYFUNCTION("IF(AU132=data!A$5,
IF(AI132&lt;=1,IF(AI132&lt;=0.8,IF(AI132&lt;=0.6,IF(AI132&lt;=0.4,IF(AI132&lt;=0.2,23,26),29),30),32)*VLOOKUP(S132,filter('🔒 Доп. информация'!D:E,'🔒 Доп. информация'!C:C=T132),2,FALSE)/'🔒 Доп. информация'!$K$9,
IF(AV132=data!A$8,U132,1)*VLOOKUP(S13"&amp;"2,filter('🔒 Доп. информация'!D:E,'🔒 Доп. информация'!C:C=T132),2,FALSE)+
IF(AV132=data!A$8,U132,1)*VLOOKUP(S132,filter('🔒 Доп. информация'!D:F,'🔒 Доп. информация'!C:C=T132),3,FALSE)*AJ132)
,0)"),69.0)</f>
        <v>69</v>
      </c>
      <c r="BL132" s="185" t="str">
        <f t="shared" ref="BL132:BM132" si="406">IF($D132,"🔒",)</f>
        <v/>
      </c>
      <c r="BM132" s="185" t="str">
        <f t="shared" si="406"/>
        <v/>
      </c>
      <c r="BN132" s="204">
        <f>VLOOKUP(T132,'🔒 Доп. информация'!J:P,7,false)</f>
        <v>50</v>
      </c>
      <c r="BO132" s="204">
        <f>IF(AV132=data!A$9,
(AA132+AO132+AP132+BJ132+BK132+BN132)+H132*AS132,
(BJ132+BK132+BN132)+H132*AS132
)</f>
        <v>119</v>
      </c>
      <c r="BP132" s="204">
        <f t="shared" si="26"/>
        <v>69</v>
      </c>
      <c r="BQ132" s="204">
        <f t="shared" si="27"/>
        <v>320</v>
      </c>
      <c r="BR132" s="204" t="str">
        <f t="shared" si="37"/>
        <v>#N/A</v>
      </c>
      <c r="BS132" s="204" t="str">
        <f t="array" ref="BS132">IF(VLOOKUP(AT132,{'▶️ Инструкция'!C:C,'▶️ Инструкция'!Y:Y},2,FALSE)=data!A$15,
H132*(1-I132),
(H132-BR132))
*VLOOKUP(AT132,{'▶️ Инструкция'!C:C,'▶️ Инструкция'!AD:AD},2,FALSE)/(1+VLOOKUP(AT132,{'▶️ Инструкция'!C:C,'▶️ Инструкция'!AD:AD},2,FALSE))</f>
        <v>#N/A</v>
      </c>
      <c r="BT132" s="204" t="str">
        <f t="array" ref="BT132">
IF(VLOOKUP(AT132,{'▶️ Инструкция'!C:C,'▶️ Инструкция'!Y:Y},2,FALSE)=data!A$15,
H132*(1-I132)-BS132,
(H132-BR132-BS132))
*
VLOOKUP(AT132,{'▶️ Инструкция'!C:C,'▶️ Инструкция'!R:R},2,FALSE)
+BS132</f>
        <v>#N/A</v>
      </c>
      <c r="BU132" s="204" t="str">
        <f>(G132*AR132)+if(AV132=data!A$9,AO132,AN132)+AP132+BR132+BT132</f>
        <v>#N/A</v>
      </c>
      <c r="BV132" s="204" t="str">
        <f>(G132*AR132)+if(AV132=data!A$9,AO132,AN132)+AP132+BT132+G132</f>
        <v>#N/A</v>
      </c>
      <c r="BW132" s="204" t="str">
        <f t="shared" si="28"/>
        <v>#N/A</v>
      </c>
      <c r="BX132" s="204" t="str">
        <f t="shared" si="29"/>
        <v>#N/A</v>
      </c>
    </row>
    <row r="133">
      <c r="A133" s="165" t="str">
        <f>if(D133=true,if(F133=data!A$1,data!A$10,data!A$11),)</f>
        <v/>
      </c>
      <c r="B133" s="166" t="str">
        <f t="shared" si="4"/>
        <v>FBS</v>
      </c>
      <c r="C133" s="167" t="s">
        <v>195</v>
      </c>
      <c r="D133" s="168" t="b">
        <v>0</v>
      </c>
      <c r="E133" s="169" t="s">
        <v>204</v>
      </c>
      <c r="F133" s="170" t="str">
        <f t="array" ref="F133">IF(D133=TRUE,IF(IF(BG$3=VLOOKUP(AT133,{'▶️ Инструкция'!C:C,'▶️ Инструкция'!G:G},2,FALSE),BG133,BH133)&gt;VLOOKUP(AT133,{'▶️ Инструкция'!C:C,'▶️ Инструкция'!N:N},2,FALSE),data!A$1,data!A$2),)</f>
        <v/>
      </c>
      <c r="G133" s="171">
        <v>0.0</v>
      </c>
      <c r="H133" s="172">
        <v>1000.0</v>
      </c>
      <c r="I133" s="173">
        <v>0.0</v>
      </c>
      <c r="J133" s="173">
        <v>0.0</v>
      </c>
      <c r="K133" s="174" t="str">
        <f t="shared" si="5"/>
        <v/>
      </c>
      <c r="L133" s="175">
        <v>0.0</v>
      </c>
      <c r="M133" s="176" t="s">
        <v>197</v>
      </c>
      <c r="N133" s="177">
        <f>IFERROR(__xludf.DUMMYFUNCTION("ArrayFormula(let(category,VLOOKUP($M133, {'📄 Комиссии'!$C:$C , '📄 Комиссии'!$B:$B}, 2, 0),
data,MATCH('🔒 Доп. информация'!$J$15:$J203,TRANSPOSE(SPLIT(INDEX('▶️ Инструкция'!$Q:$Q,MATCH($AT133,'▶️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commission,VLOOKUP($M133,'📄 Комиссии'!$C:$E,IF($AV133=data!A$8,2,3),0),
IF(NOT(ISBLANK($M133)),commission/100+
"&amp;"IFERROR(VLOOKUP($AT133,{'▶️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33" s="178" t="str">
        <f t="shared" si="6"/>
        <v/>
      </c>
      <c r="Q133" s="178" t="str">
        <f t="shared" si="7"/>
        <v/>
      </c>
      <c r="S133" s="179" t="s">
        <v>192</v>
      </c>
      <c r="T133" s="180" t="s">
        <v>193</v>
      </c>
      <c r="U133" s="181">
        <v>1.0</v>
      </c>
      <c r="V133" s="182" t="str">
        <f t="shared" ref="V133:Y133" si="407">IF($D133,"🔒",)</f>
        <v/>
      </c>
      <c r="W133" s="182" t="str">
        <f t="shared" si="407"/>
        <v/>
      </c>
      <c r="X133" s="182" t="str">
        <f t="shared" si="407"/>
        <v/>
      </c>
      <c r="Y133" s="182" t="str">
        <f t="shared" si="407"/>
        <v/>
      </c>
      <c r="Z133" s="183">
        <v>0.0</v>
      </c>
      <c r="AA133" s="184">
        <f t="shared" si="31"/>
        <v>0</v>
      </c>
      <c r="AB133" s="185" t="str">
        <f t="shared" ref="AB133:AD133" si="408">IF($D133,"🔒",)</f>
        <v/>
      </c>
      <c r="AC133" s="185" t="str">
        <f t="shared" si="408"/>
        <v/>
      </c>
      <c r="AD133" s="186" t="str">
        <f t="shared" si="408"/>
        <v/>
      </c>
      <c r="AE133" s="180">
        <v>30.0</v>
      </c>
      <c r="AF133" s="187">
        <v>0.0</v>
      </c>
      <c r="AG133" s="187">
        <v>0.0</v>
      </c>
      <c r="AH133" s="187">
        <v>0.0</v>
      </c>
      <c r="AI133" s="181">
        <f t="shared" si="10"/>
        <v>0</v>
      </c>
      <c r="AJ133" s="181">
        <f t="shared" si="11"/>
        <v>0</v>
      </c>
      <c r="AK133" s="185" t="str">
        <f t="shared" si="12"/>
        <v/>
      </c>
      <c r="AL133" s="188" t="str">
        <f t="array" ref="AL133">H133*(1-I133)*VLOOKUP(AT133,{'▶️ Инструкция'!C:C,'▶️ Инструкция'!AI:AI},2,false)</f>
        <v>#N/A</v>
      </c>
      <c r="AM133" s="186" t="str">
        <f t="shared" si="13"/>
        <v/>
      </c>
      <c r="AN133" s="189">
        <v>0.0</v>
      </c>
      <c r="AO133" s="189">
        <v>0.0</v>
      </c>
      <c r="AP133" s="189">
        <v>0.0</v>
      </c>
      <c r="AQ133" s="191">
        <v>1.0</v>
      </c>
      <c r="AR133" s="191">
        <v>0.0</v>
      </c>
      <c r="AS133" s="212">
        <v>0.0</v>
      </c>
      <c r="AT133" s="193" t="s">
        <v>206</v>
      </c>
      <c r="AU133" s="193" t="s">
        <v>121</v>
      </c>
      <c r="AV133" s="193" t="s">
        <v>199</v>
      </c>
      <c r="AW133" s="194">
        <f t="shared" si="14"/>
        <v>0</v>
      </c>
      <c r="AX133" s="195">
        <f t="shared" si="15"/>
        <v>0</v>
      </c>
      <c r="AY133" s="196" t="str">
        <f t="shared" si="16"/>
        <v>#N/A</v>
      </c>
      <c r="AZ133" s="213">
        <v>250.0</v>
      </c>
      <c r="BA133" s="196">
        <f t="shared" si="17"/>
        <v>0.25</v>
      </c>
      <c r="BB133" s="213">
        <f t="shared" si="18"/>
        <v>1000</v>
      </c>
      <c r="BC133" s="199" t="str">
        <f t="shared" si="19"/>
        <v>#N/A</v>
      </c>
      <c r="BD133" s="200" t="str">
        <f t="shared" si="20"/>
        <v>#N/A</v>
      </c>
      <c r="BE133" s="200">
        <f t="shared" si="21"/>
        <v>0</v>
      </c>
      <c r="BF133" s="201" t="str">
        <f t="shared" si="22"/>
        <v/>
      </c>
      <c r="BG133" s="201" t="str">
        <f t="shared" si="23"/>
        <v/>
      </c>
      <c r="BH133" s="202" t="str">
        <f t="shared" si="24"/>
        <v/>
      </c>
      <c r="BI133" s="203"/>
      <c r="BJ133" s="204">
        <f>IFERROR(__xludf.DUMMYFUNCTION("IF(AU133=data!A$5,
IF(AV133=data!A$8,
IF(T133=data!A$3,
VLOOKUP(S133,filter('🔒 Доп. информация'!D:H,'🔒 Доп. информация'!C:C=T133),4,FALSE)+VLOOKUP(S133,filter('🔒 Доп. информация'!D:H,'🔒 Доп. информация'!C:C=T133),5,FALSE)*AJ133,
IF(AND(MAX(AF133:AH133"&amp;")&lt;80,SUM(AF133:AH133)&lt;=160,AI133&lt;20,XLOOKUP(M133,'📄 Комиссии'!C:C,'📄 Комиссии'!B:B)&lt;&gt;""Продукты""),
VLOOKUP(S133,filter('🔒 Доп. информация'!D:H,'🔒 Доп. информация'!C:C=data!$A$3),4,FALSE)+VLOOKUP(S133,filter('🔒 Доп. информация'!D:H,'🔒 Доп. информаци"&amp;"я'!C:C=data!$A$3),5,FALSE)*AJ133,
VLOOKUP(S133,filter('🔒 Доп. информация'!D:H,'🔒 Доп. информация'!C:C=T133),4,FALSE)*ROUNDUP(AF133*AG133*AH133*L133/(120*80*175))/L133)
)
*(AE133/2)
,)
,)*0"),0.0)</f>
        <v>0</v>
      </c>
      <c r="BK133" s="204">
        <f>IFERROR(__xludf.DUMMYFUNCTION("IF(AU133=data!A$5,
IF(AI133&lt;=1,IF(AI133&lt;=0.8,IF(AI133&lt;=0.6,IF(AI133&lt;=0.4,IF(AI133&lt;=0.2,23,26),29),30),32)*VLOOKUP(S133,filter('🔒 Доп. информация'!D:E,'🔒 Доп. информация'!C:C=T133),2,FALSE)/'🔒 Доп. информация'!$K$9,
IF(AV133=data!A$8,U133,1)*VLOOKUP(S13"&amp;"3,filter('🔒 Доп. информация'!D:E,'🔒 Доп. информация'!C:C=T133),2,FALSE)+
IF(AV133=data!A$8,U133,1)*VLOOKUP(S133,filter('🔒 Доп. информация'!D:F,'🔒 Доп. информация'!C:C=T133),3,FALSE)*AJ133)
,0)"),69.0)</f>
        <v>69</v>
      </c>
      <c r="BL133" s="185" t="str">
        <f t="shared" ref="BL133:BM133" si="409">IF($D133,"🔒",)</f>
        <v/>
      </c>
      <c r="BM133" s="185" t="str">
        <f t="shared" si="409"/>
        <v/>
      </c>
      <c r="BN133" s="204">
        <f>VLOOKUP(T133,'🔒 Доп. информация'!J:P,7,false)</f>
        <v>50</v>
      </c>
      <c r="BO133" s="204">
        <f>IF(AV133=data!A$9,
(AA133+AO133+AP133+BJ133+BK133+BN133)+H133*AS133,
(BJ133+BK133+BN133)+H133*AS133
)</f>
        <v>119</v>
      </c>
      <c r="BP133" s="204">
        <f t="shared" si="26"/>
        <v>69</v>
      </c>
      <c r="BQ133" s="204">
        <f t="shared" si="27"/>
        <v>320</v>
      </c>
      <c r="BR133" s="204" t="str">
        <f t="shared" si="37"/>
        <v>#N/A</v>
      </c>
      <c r="BS133" s="204" t="str">
        <f t="array" ref="BS133">IF(VLOOKUP(AT133,{'▶️ Инструкция'!C:C,'▶️ Инструкция'!Y:Y},2,FALSE)=data!A$15,
H133*(1-I133),
(H133-BR133))
*VLOOKUP(AT133,{'▶️ Инструкция'!C:C,'▶️ Инструкция'!AD:AD},2,FALSE)/(1+VLOOKUP(AT133,{'▶️ Инструкция'!C:C,'▶️ Инструкция'!AD:AD},2,FALSE))</f>
        <v>#N/A</v>
      </c>
      <c r="BT133" s="204" t="str">
        <f t="array" ref="BT133">
IF(VLOOKUP(AT133,{'▶️ Инструкция'!C:C,'▶️ Инструкция'!Y:Y},2,FALSE)=data!A$15,
H133*(1-I133)-BS133,
(H133-BR133-BS133))
*
VLOOKUP(AT133,{'▶️ Инструкция'!C:C,'▶️ Инструкция'!R:R},2,FALSE)
+BS133</f>
        <v>#N/A</v>
      </c>
      <c r="BU133" s="204" t="str">
        <f>(G133*AR133)+if(AV133=data!A$9,AO133,AN133)+AP133+BR133+BT133</f>
        <v>#N/A</v>
      </c>
      <c r="BV133" s="204" t="str">
        <f>(G133*AR133)+if(AV133=data!A$9,AO133,AN133)+AP133+BT133+G133</f>
        <v>#N/A</v>
      </c>
      <c r="BW133" s="204" t="str">
        <f t="shared" si="28"/>
        <v>#N/A</v>
      </c>
      <c r="BX133" s="204" t="str">
        <f t="shared" si="29"/>
        <v>#N/A</v>
      </c>
    </row>
    <row r="134">
      <c r="A134" s="165" t="str">
        <f>if(D134=true,if(F134=data!A$1,data!A$10,data!A$11),)</f>
        <v/>
      </c>
      <c r="B134" s="166" t="str">
        <f t="shared" si="4"/>
        <v>FBS</v>
      </c>
      <c r="C134" s="167" t="s">
        <v>195</v>
      </c>
      <c r="D134" s="168" t="b">
        <v>0</v>
      </c>
      <c r="E134" s="169" t="s">
        <v>204</v>
      </c>
      <c r="F134" s="170" t="str">
        <f t="array" ref="F134">IF(D134=TRUE,IF(IF(BG$3=VLOOKUP(AT134,{'▶️ Инструкция'!C:C,'▶️ Инструкция'!G:G},2,FALSE),BG134,BH134)&gt;VLOOKUP(AT134,{'▶️ Инструкция'!C:C,'▶️ Инструкция'!N:N},2,FALSE),data!A$1,data!A$2),)</f>
        <v/>
      </c>
      <c r="G134" s="171">
        <v>0.0</v>
      </c>
      <c r="H134" s="172">
        <v>1000.0</v>
      </c>
      <c r="I134" s="173">
        <v>0.0</v>
      </c>
      <c r="J134" s="173">
        <v>0.0</v>
      </c>
      <c r="K134" s="174" t="str">
        <f t="shared" si="5"/>
        <v/>
      </c>
      <c r="L134" s="175">
        <v>0.0</v>
      </c>
      <c r="M134" s="176" t="s">
        <v>197</v>
      </c>
      <c r="N134" s="177">
        <f>IFERROR(__xludf.DUMMYFUNCTION("ArrayFormula(let(category,VLOOKUP($M134, {'📄 Комиссии'!$C:$C , '📄 Комиссии'!$B:$B}, 2, 0),
data,MATCH('🔒 Доп. информация'!$J$15:$J203,TRANSPOSE(SPLIT(INDEX('▶️ Инструкция'!$Q:$Q,MATCH($AT134,'▶️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commission,VLOOKUP($M134,'📄 Комиссии'!$C:$E,IF($AV134=data!A$8,2,3),0),
IF(NOT(ISBLANK($M134)),commission/100+
"&amp;"IFERROR(VLOOKUP($AT134,{'▶️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34" s="178" t="str">
        <f t="shared" si="6"/>
        <v/>
      </c>
      <c r="Q134" s="178" t="str">
        <f t="shared" si="7"/>
        <v/>
      </c>
      <c r="S134" s="179" t="s">
        <v>192</v>
      </c>
      <c r="T134" s="180" t="s">
        <v>193</v>
      </c>
      <c r="U134" s="181">
        <v>1.0</v>
      </c>
      <c r="V134" s="182" t="str">
        <f t="shared" ref="V134:Y134" si="410">IF($D134,"🔒",)</f>
        <v/>
      </c>
      <c r="W134" s="182" t="str">
        <f t="shared" si="410"/>
        <v/>
      </c>
      <c r="X134" s="182" t="str">
        <f t="shared" si="410"/>
        <v/>
      </c>
      <c r="Y134" s="182" t="str">
        <f t="shared" si="410"/>
        <v/>
      </c>
      <c r="Z134" s="183">
        <v>0.0</v>
      </c>
      <c r="AA134" s="184">
        <f t="shared" si="31"/>
        <v>0</v>
      </c>
      <c r="AB134" s="185" t="str">
        <f t="shared" ref="AB134:AD134" si="411">IF($D134,"🔒",)</f>
        <v/>
      </c>
      <c r="AC134" s="185" t="str">
        <f t="shared" si="411"/>
        <v/>
      </c>
      <c r="AD134" s="186" t="str">
        <f t="shared" si="411"/>
        <v/>
      </c>
      <c r="AE134" s="180">
        <v>30.0</v>
      </c>
      <c r="AF134" s="187">
        <v>0.0</v>
      </c>
      <c r="AG134" s="187">
        <v>0.0</v>
      </c>
      <c r="AH134" s="187">
        <v>0.0</v>
      </c>
      <c r="AI134" s="181">
        <f t="shared" si="10"/>
        <v>0</v>
      </c>
      <c r="AJ134" s="181">
        <f t="shared" si="11"/>
        <v>0</v>
      </c>
      <c r="AK134" s="185" t="str">
        <f t="shared" si="12"/>
        <v/>
      </c>
      <c r="AL134" s="188" t="str">
        <f t="array" ref="AL134">H134*(1-I134)*VLOOKUP(AT134,{'▶️ Инструкция'!C:C,'▶️ Инструкция'!AI:AI},2,false)</f>
        <v>#N/A</v>
      </c>
      <c r="AM134" s="186" t="str">
        <f t="shared" si="13"/>
        <v/>
      </c>
      <c r="AN134" s="189">
        <v>0.0</v>
      </c>
      <c r="AO134" s="189">
        <v>0.0</v>
      </c>
      <c r="AP134" s="189">
        <v>0.0</v>
      </c>
      <c r="AQ134" s="191">
        <v>1.0</v>
      </c>
      <c r="AR134" s="191">
        <v>0.0</v>
      </c>
      <c r="AS134" s="212">
        <v>0.0</v>
      </c>
      <c r="AT134" s="193" t="s">
        <v>206</v>
      </c>
      <c r="AU134" s="193" t="s">
        <v>121</v>
      </c>
      <c r="AV134" s="193" t="s">
        <v>199</v>
      </c>
      <c r="AW134" s="194">
        <f t="shared" si="14"/>
        <v>0</v>
      </c>
      <c r="AX134" s="195">
        <f t="shared" si="15"/>
        <v>0</v>
      </c>
      <c r="AY134" s="196" t="str">
        <f t="shared" si="16"/>
        <v>#N/A</v>
      </c>
      <c r="AZ134" s="213">
        <v>250.0</v>
      </c>
      <c r="BA134" s="196">
        <f t="shared" si="17"/>
        <v>0.25</v>
      </c>
      <c r="BB134" s="213">
        <f t="shared" si="18"/>
        <v>1000</v>
      </c>
      <c r="BC134" s="199" t="str">
        <f t="shared" si="19"/>
        <v>#N/A</v>
      </c>
      <c r="BD134" s="200" t="str">
        <f t="shared" si="20"/>
        <v>#N/A</v>
      </c>
      <c r="BE134" s="200">
        <f t="shared" si="21"/>
        <v>0</v>
      </c>
      <c r="BF134" s="201" t="str">
        <f t="shared" si="22"/>
        <v/>
      </c>
      <c r="BG134" s="201" t="str">
        <f t="shared" si="23"/>
        <v/>
      </c>
      <c r="BH134" s="202" t="str">
        <f t="shared" si="24"/>
        <v/>
      </c>
      <c r="BI134" s="203"/>
      <c r="BJ134" s="204">
        <f>IFERROR(__xludf.DUMMYFUNCTION("IF(AU134=data!A$5,
IF(AV134=data!A$8,
IF(T134=data!A$3,
VLOOKUP(S134,filter('🔒 Доп. информация'!D:H,'🔒 Доп. информация'!C:C=T134),4,FALSE)+VLOOKUP(S134,filter('🔒 Доп. информация'!D:H,'🔒 Доп. информация'!C:C=T134),5,FALSE)*AJ134,
IF(AND(MAX(AF134:AH134"&amp;")&lt;80,SUM(AF134:AH134)&lt;=160,AI134&lt;20,XLOOKUP(M134,'📄 Комиссии'!C:C,'📄 Комиссии'!B:B)&lt;&gt;""Продукты""),
VLOOKUP(S134,filter('🔒 Доп. информация'!D:H,'🔒 Доп. информация'!C:C=data!$A$3),4,FALSE)+VLOOKUP(S134,filter('🔒 Доп. информация'!D:H,'🔒 Доп. информаци"&amp;"я'!C:C=data!$A$3),5,FALSE)*AJ134,
VLOOKUP(S134,filter('🔒 Доп. информация'!D:H,'🔒 Доп. информация'!C:C=T134),4,FALSE)*ROUNDUP(AF134*AG134*AH134*L134/(120*80*175))/L134)
)
*(AE134/2)
,)
,)*0"),0.0)</f>
        <v>0</v>
      </c>
      <c r="BK134" s="204">
        <f>IFERROR(__xludf.DUMMYFUNCTION("IF(AU134=data!A$5,
IF(AI134&lt;=1,IF(AI134&lt;=0.8,IF(AI134&lt;=0.6,IF(AI134&lt;=0.4,IF(AI134&lt;=0.2,23,26),29),30),32)*VLOOKUP(S134,filter('🔒 Доп. информация'!D:E,'🔒 Доп. информация'!C:C=T134),2,FALSE)/'🔒 Доп. информация'!$K$9,
IF(AV134=data!A$8,U134,1)*VLOOKUP(S13"&amp;"4,filter('🔒 Доп. информация'!D:E,'🔒 Доп. информация'!C:C=T134),2,FALSE)+
IF(AV134=data!A$8,U134,1)*VLOOKUP(S134,filter('🔒 Доп. информация'!D:F,'🔒 Доп. информация'!C:C=T134),3,FALSE)*AJ134)
,0)"),69.0)</f>
        <v>69</v>
      </c>
      <c r="BL134" s="185" t="str">
        <f t="shared" ref="BL134:BM134" si="412">IF($D134,"🔒",)</f>
        <v/>
      </c>
      <c r="BM134" s="185" t="str">
        <f t="shared" si="412"/>
        <v/>
      </c>
      <c r="BN134" s="204">
        <f>VLOOKUP(T134,'🔒 Доп. информация'!J:P,7,false)</f>
        <v>50</v>
      </c>
      <c r="BO134" s="204">
        <f>IF(AV134=data!A$9,
(AA134+AO134+AP134+BJ134+BK134+BN134)+H134*AS134,
(BJ134+BK134+BN134)+H134*AS134
)</f>
        <v>119</v>
      </c>
      <c r="BP134" s="204">
        <f t="shared" si="26"/>
        <v>69</v>
      </c>
      <c r="BQ134" s="204">
        <f t="shared" si="27"/>
        <v>320</v>
      </c>
      <c r="BR134" s="204" t="str">
        <f t="shared" si="37"/>
        <v>#N/A</v>
      </c>
      <c r="BS134" s="204" t="str">
        <f t="array" ref="BS134">IF(VLOOKUP(AT134,{'▶️ Инструкция'!C:C,'▶️ Инструкция'!Y:Y},2,FALSE)=data!A$15,
H134*(1-I134),
(H134-BR134))
*VLOOKUP(AT134,{'▶️ Инструкция'!C:C,'▶️ Инструкция'!AD:AD},2,FALSE)/(1+VLOOKUP(AT134,{'▶️ Инструкция'!C:C,'▶️ Инструкция'!AD:AD},2,FALSE))</f>
        <v>#N/A</v>
      </c>
      <c r="BT134" s="204" t="str">
        <f t="array" ref="BT134">
IF(VLOOKUP(AT134,{'▶️ Инструкция'!C:C,'▶️ Инструкция'!Y:Y},2,FALSE)=data!A$15,
H134*(1-I134)-BS134,
(H134-BR134-BS134))
*
VLOOKUP(AT134,{'▶️ Инструкция'!C:C,'▶️ Инструкция'!R:R},2,FALSE)
+BS134</f>
        <v>#N/A</v>
      </c>
      <c r="BU134" s="204" t="str">
        <f>(G134*AR134)+if(AV134=data!A$9,AO134,AN134)+AP134+BR134+BT134</f>
        <v>#N/A</v>
      </c>
      <c r="BV134" s="204" t="str">
        <f>(G134*AR134)+if(AV134=data!A$9,AO134,AN134)+AP134+BT134+G134</f>
        <v>#N/A</v>
      </c>
      <c r="BW134" s="204" t="str">
        <f t="shared" si="28"/>
        <v>#N/A</v>
      </c>
      <c r="BX134" s="204" t="str">
        <f t="shared" si="29"/>
        <v>#N/A</v>
      </c>
    </row>
    <row r="135">
      <c r="A135" s="165" t="str">
        <f>if(D135=true,if(F135=data!A$1,data!A$10,data!A$11),)</f>
        <v/>
      </c>
      <c r="B135" s="166" t="str">
        <f t="shared" si="4"/>
        <v>FBS</v>
      </c>
      <c r="C135" s="167" t="s">
        <v>195</v>
      </c>
      <c r="D135" s="168" t="b">
        <v>0</v>
      </c>
      <c r="E135" s="169" t="s">
        <v>204</v>
      </c>
      <c r="F135" s="170" t="str">
        <f t="array" ref="F135">IF(D135=TRUE,IF(IF(BG$3=VLOOKUP(AT135,{'▶️ Инструкция'!C:C,'▶️ Инструкция'!G:G},2,FALSE),BG135,BH135)&gt;VLOOKUP(AT135,{'▶️ Инструкция'!C:C,'▶️ Инструкция'!N:N},2,FALSE),data!A$1,data!A$2),)</f>
        <v/>
      </c>
      <c r="G135" s="171">
        <v>0.0</v>
      </c>
      <c r="H135" s="172">
        <v>1000.0</v>
      </c>
      <c r="I135" s="173">
        <v>0.0</v>
      </c>
      <c r="J135" s="173">
        <v>0.0</v>
      </c>
      <c r="K135" s="174" t="str">
        <f t="shared" si="5"/>
        <v/>
      </c>
      <c r="L135" s="175">
        <v>0.0</v>
      </c>
      <c r="M135" s="176" t="s">
        <v>197</v>
      </c>
      <c r="N135" s="177">
        <f>IFERROR(__xludf.DUMMYFUNCTION("ArrayFormula(let(category,VLOOKUP($M135, {'📄 Комиссии'!$C:$C , '📄 Комиссии'!$B:$B}, 2, 0),
data,MATCH('🔒 Доп. информация'!$J$15:$J203,TRANSPOSE(SPLIT(INDEX('▶️ Инструкция'!$Q:$Q,MATCH($AT135,'▶️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commission,VLOOKUP($M135,'📄 Комиссии'!$C:$E,IF($AV135=data!A$8,2,3),0),
IF(NOT(ISBLANK($M135)),commission/100+
"&amp;"IFERROR(VLOOKUP($AT135,{'▶️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35" s="178" t="str">
        <f t="shared" si="6"/>
        <v/>
      </c>
      <c r="Q135" s="178" t="str">
        <f t="shared" si="7"/>
        <v/>
      </c>
      <c r="S135" s="179" t="s">
        <v>192</v>
      </c>
      <c r="T135" s="180" t="s">
        <v>193</v>
      </c>
      <c r="U135" s="181">
        <v>1.0</v>
      </c>
      <c r="V135" s="182" t="str">
        <f t="shared" ref="V135:Y135" si="413">IF($D135,"🔒",)</f>
        <v/>
      </c>
      <c r="W135" s="182" t="str">
        <f t="shared" si="413"/>
        <v/>
      </c>
      <c r="X135" s="182" t="str">
        <f t="shared" si="413"/>
        <v/>
      </c>
      <c r="Y135" s="182" t="str">
        <f t="shared" si="413"/>
        <v/>
      </c>
      <c r="Z135" s="183">
        <v>0.0</v>
      </c>
      <c r="AA135" s="184">
        <f t="shared" si="31"/>
        <v>0</v>
      </c>
      <c r="AB135" s="185" t="str">
        <f t="shared" ref="AB135:AD135" si="414">IF($D135,"🔒",)</f>
        <v/>
      </c>
      <c r="AC135" s="185" t="str">
        <f t="shared" si="414"/>
        <v/>
      </c>
      <c r="AD135" s="186" t="str">
        <f t="shared" si="414"/>
        <v/>
      </c>
      <c r="AE135" s="180">
        <v>30.0</v>
      </c>
      <c r="AF135" s="187">
        <v>0.0</v>
      </c>
      <c r="AG135" s="187">
        <v>0.0</v>
      </c>
      <c r="AH135" s="187">
        <v>0.0</v>
      </c>
      <c r="AI135" s="181">
        <f t="shared" si="10"/>
        <v>0</v>
      </c>
      <c r="AJ135" s="181">
        <f t="shared" si="11"/>
        <v>0</v>
      </c>
      <c r="AK135" s="185" t="str">
        <f t="shared" si="12"/>
        <v/>
      </c>
      <c r="AL135" s="188" t="str">
        <f t="array" ref="AL135">H135*(1-I135)*VLOOKUP(AT135,{'▶️ Инструкция'!C:C,'▶️ Инструкция'!AI:AI},2,false)</f>
        <v>#N/A</v>
      </c>
      <c r="AM135" s="186" t="str">
        <f t="shared" si="13"/>
        <v/>
      </c>
      <c r="AN135" s="189">
        <v>0.0</v>
      </c>
      <c r="AO135" s="189">
        <v>0.0</v>
      </c>
      <c r="AP135" s="189">
        <v>0.0</v>
      </c>
      <c r="AQ135" s="191">
        <v>1.0</v>
      </c>
      <c r="AR135" s="191">
        <v>0.0</v>
      </c>
      <c r="AS135" s="212">
        <v>0.0</v>
      </c>
      <c r="AT135" s="193" t="s">
        <v>206</v>
      </c>
      <c r="AU135" s="193" t="s">
        <v>121</v>
      </c>
      <c r="AV135" s="193" t="s">
        <v>199</v>
      </c>
      <c r="AW135" s="194">
        <f t="shared" si="14"/>
        <v>0</v>
      </c>
      <c r="AX135" s="195">
        <f t="shared" si="15"/>
        <v>0</v>
      </c>
      <c r="AY135" s="196" t="str">
        <f t="shared" si="16"/>
        <v>#N/A</v>
      </c>
      <c r="AZ135" s="213">
        <v>250.0</v>
      </c>
      <c r="BA135" s="196">
        <f t="shared" si="17"/>
        <v>0.25</v>
      </c>
      <c r="BB135" s="213">
        <f t="shared" si="18"/>
        <v>1000</v>
      </c>
      <c r="BC135" s="199" t="str">
        <f t="shared" si="19"/>
        <v>#N/A</v>
      </c>
      <c r="BD135" s="200" t="str">
        <f t="shared" si="20"/>
        <v>#N/A</v>
      </c>
      <c r="BE135" s="200">
        <f t="shared" si="21"/>
        <v>0</v>
      </c>
      <c r="BF135" s="201" t="str">
        <f t="shared" si="22"/>
        <v/>
      </c>
      <c r="BG135" s="201" t="str">
        <f t="shared" si="23"/>
        <v/>
      </c>
      <c r="BH135" s="202" t="str">
        <f t="shared" si="24"/>
        <v/>
      </c>
      <c r="BI135" s="203"/>
      <c r="BJ135" s="204">
        <f>IFERROR(__xludf.DUMMYFUNCTION("IF(AU135=data!A$5,
IF(AV135=data!A$8,
IF(T135=data!A$3,
VLOOKUP(S135,filter('🔒 Доп. информация'!D:H,'🔒 Доп. информация'!C:C=T135),4,FALSE)+VLOOKUP(S135,filter('🔒 Доп. информация'!D:H,'🔒 Доп. информация'!C:C=T135),5,FALSE)*AJ135,
IF(AND(MAX(AF135:AH135"&amp;")&lt;80,SUM(AF135:AH135)&lt;=160,AI135&lt;20,XLOOKUP(M135,'📄 Комиссии'!C:C,'📄 Комиссии'!B:B)&lt;&gt;""Продукты""),
VLOOKUP(S135,filter('🔒 Доп. информация'!D:H,'🔒 Доп. информация'!C:C=data!$A$3),4,FALSE)+VLOOKUP(S135,filter('🔒 Доп. информация'!D:H,'🔒 Доп. информаци"&amp;"я'!C:C=data!$A$3),5,FALSE)*AJ135,
VLOOKUP(S135,filter('🔒 Доп. информация'!D:H,'🔒 Доп. информация'!C:C=T135),4,FALSE)*ROUNDUP(AF135*AG135*AH135*L135/(120*80*175))/L135)
)
*(AE135/2)
,)
,)*0"),0.0)</f>
        <v>0</v>
      </c>
      <c r="BK135" s="204">
        <f>IFERROR(__xludf.DUMMYFUNCTION("IF(AU135=data!A$5,
IF(AI135&lt;=1,IF(AI135&lt;=0.8,IF(AI135&lt;=0.6,IF(AI135&lt;=0.4,IF(AI135&lt;=0.2,23,26),29),30),32)*VLOOKUP(S135,filter('🔒 Доп. информация'!D:E,'🔒 Доп. информация'!C:C=T135),2,FALSE)/'🔒 Доп. информация'!$K$9,
IF(AV135=data!A$8,U135,1)*VLOOKUP(S13"&amp;"5,filter('🔒 Доп. информация'!D:E,'🔒 Доп. информация'!C:C=T135),2,FALSE)+
IF(AV135=data!A$8,U135,1)*VLOOKUP(S135,filter('🔒 Доп. информация'!D:F,'🔒 Доп. информация'!C:C=T135),3,FALSE)*AJ135)
,0)"),69.0)</f>
        <v>69</v>
      </c>
      <c r="BL135" s="185" t="str">
        <f t="shared" ref="BL135:BM135" si="415">IF($D135,"🔒",)</f>
        <v/>
      </c>
      <c r="BM135" s="185" t="str">
        <f t="shared" si="415"/>
        <v/>
      </c>
      <c r="BN135" s="204">
        <f>VLOOKUP(T135,'🔒 Доп. информация'!J:P,7,false)</f>
        <v>50</v>
      </c>
      <c r="BO135" s="204">
        <f>IF(AV135=data!A$9,
(AA135+AO135+AP135+BJ135+BK135+BN135)+H135*AS135,
(BJ135+BK135+BN135)+H135*AS135
)</f>
        <v>119</v>
      </c>
      <c r="BP135" s="204">
        <f t="shared" si="26"/>
        <v>69</v>
      </c>
      <c r="BQ135" s="204">
        <f t="shared" si="27"/>
        <v>320</v>
      </c>
      <c r="BR135" s="204" t="str">
        <f t="shared" si="37"/>
        <v>#N/A</v>
      </c>
      <c r="BS135" s="204" t="str">
        <f t="array" ref="BS135">IF(VLOOKUP(AT135,{'▶️ Инструкция'!C:C,'▶️ Инструкция'!Y:Y},2,FALSE)=data!A$15,
H135*(1-I135),
(H135-BR135))
*VLOOKUP(AT135,{'▶️ Инструкция'!C:C,'▶️ Инструкция'!AD:AD},2,FALSE)/(1+VLOOKUP(AT135,{'▶️ Инструкция'!C:C,'▶️ Инструкция'!AD:AD},2,FALSE))</f>
        <v>#N/A</v>
      </c>
      <c r="BT135" s="204" t="str">
        <f t="array" ref="BT135">
IF(VLOOKUP(AT135,{'▶️ Инструкция'!C:C,'▶️ Инструкция'!Y:Y},2,FALSE)=data!A$15,
H135*(1-I135)-BS135,
(H135-BR135-BS135))
*
VLOOKUP(AT135,{'▶️ Инструкция'!C:C,'▶️ Инструкция'!R:R},2,FALSE)
+BS135</f>
        <v>#N/A</v>
      </c>
      <c r="BU135" s="204" t="str">
        <f>(G135*AR135)+if(AV135=data!A$9,AO135,AN135)+AP135+BR135+BT135</f>
        <v>#N/A</v>
      </c>
      <c r="BV135" s="204" t="str">
        <f>(G135*AR135)+if(AV135=data!A$9,AO135,AN135)+AP135+BT135+G135</f>
        <v>#N/A</v>
      </c>
      <c r="BW135" s="204" t="str">
        <f t="shared" si="28"/>
        <v>#N/A</v>
      </c>
      <c r="BX135" s="204" t="str">
        <f t="shared" si="29"/>
        <v>#N/A</v>
      </c>
    </row>
    <row r="136">
      <c r="A136" s="165" t="str">
        <f>if(D136=true,if(F136=data!A$1,data!A$10,data!A$11),)</f>
        <v/>
      </c>
      <c r="B136" s="166" t="str">
        <f t="shared" si="4"/>
        <v>FBS</v>
      </c>
      <c r="C136" s="167" t="s">
        <v>195</v>
      </c>
      <c r="D136" s="168" t="b">
        <v>0</v>
      </c>
      <c r="E136" s="169" t="s">
        <v>204</v>
      </c>
      <c r="F136" s="170" t="str">
        <f t="array" ref="F136">IF(D136=TRUE,IF(IF(BG$3=VLOOKUP(AT136,{'▶️ Инструкция'!C:C,'▶️ Инструкция'!G:G},2,FALSE),BG136,BH136)&gt;VLOOKUP(AT136,{'▶️ Инструкция'!C:C,'▶️ Инструкция'!N:N},2,FALSE),data!A$1,data!A$2),)</f>
        <v/>
      </c>
      <c r="G136" s="171">
        <v>0.0</v>
      </c>
      <c r="H136" s="172">
        <v>1000.0</v>
      </c>
      <c r="I136" s="173">
        <v>0.0</v>
      </c>
      <c r="J136" s="173">
        <v>0.0</v>
      </c>
      <c r="K136" s="174" t="str">
        <f t="shared" si="5"/>
        <v/>
      </c>
      <c r="L136" s="175">
        <v>0.0</v>
      </c>
      <c r="M136" s="176" t="s">
        <v>197</v>
      </c>
      <c r="N136" s="177">
        <f>IFERROR(__xludf.DUMMYFUNCTION("ArrayFormula(let(category,VLOOKUP($M136, {'📄 Комиссии'!$C:$C , '📄 Комиссии'!$B:$B}, 2, 0),
data,MATCH('🔒 Доп. информация'!$J$15:$J203,TRANSPOSE(SPLIT(INDEX('▶️ Инструкция'!$Q:$Q,MATCH($AT136,'▶️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commission,VLOOKUP($M136,'📄 Комиссии'!$C:$E,IF($AV136=data!A$8,2,3),0),
IF(NOT(ISBLANK($M136)),commission/100+
"&amp;"IFERROR(VLOOKUP($AT136,{'▶️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36" s="178" t="str">
        <f t="shared" si="6"/>
        <v/>
      </c>
      <c r="Q136" s="178" t="str">
        <f t="shared" si="7"/>
        <v/>
      </c>
      <c r="S136" s="179" t="s">
        <v>192</v>
      </c>
      <c r="T136" s="180" t="s">
        <v>193</v>
      </c>
      <c r="U136" s="181">
        <v>1.0</v>
      </c>
      <c r="V136" s="182" t="str">
        <f t="shared" ref="V136:Y136" si="416">IF($D136,"🔒",)</f>
        <v/>
      </c>
      <c r="W136" s="182" t="str">
        <f t="shared" si="416"/>
        <v/>
      </c>
      <c r="X136" s="182" t="str">
        <f t="shared" si="416"/>
        <v/>
      </c>
      <c r="Y136" s="182" t="str">
        <f t="shared" si="416"/>
        <v/>
      </c>
      <c r="Z136" s="183">
        <v>0.0</v>
      </c>
      <c r="AA136" s="184">
        <f t="shared" si="31"/>
        <v>0</v>
      </c>
      <c r="AB136" s="185" t="str">
        <f t="shared" ref="AB136:AD136" si="417">IF($D136,"🔒",)</f>
        <v/>
      </c>
      <c r="AC136" s="185" t="str">
        <f t="shared" si="417"/>
        <v/>
      </c>
      <c r="AD136" s="186" t="str">
        <f t="shared" si="417"/>
        <v/>
      </c>
      <c r="AE136" s="180">
        <v>30.0</v>
      </c>
      <c r="AF136" s="187">
        <v>0.0</v>
      </c>
      <c r="AG136" s="187">
        <v>0.0</v>
      </c>
      <c r="AH136" s="187">
        <v>0.0</v>
      </c>
      <c r="AI136" s="181">
        <f t="shared" si="10"/>
        <v>0</v>
      </c>
      <c r="AJ136" s="181">
        <f t="shared" si="11"/>
        <v>0</v>
      </c>
      <c r="AK136" s="185" t="str">
        <f t="shared" si="12"/>
        <v/>
      </c>
      <c r="AL136" s="188" t="str">
        <f t="array" ref="AL136">H136*(1-I136)*VLOOKUP(AT136,{'▶️ Инструкция'!C:C,'▶️ Инструкция'!AI:AI},2,false)</f>
        <v>#N/A</v>
      </c>
      <c r="AM136" s="186" t="str">
        <f t="shared" si="13"/>
        <v/>
      </c>
      <c r="AN136" s="189">
        <v>0.0</v>
      </c>
      <c r="AO136" s="189">
        <v>0.0</v>
      </c>
      <c r="AP136" s="189">
        <v>0.0</v>
      </c>
      <c r="AQ136" s="191">
        <v>1.0</v>
      </c>
      <c r="AR136" s="191">
        <v>0.0</v>
      </c>
      <c r="AS136" s="212">
        <v>0.0</v>
      </c>
      <c r="AT136" s="193" t="s">
        <v>206</v>
      </c>
      <c r="AU136" s="193" t="s">
        <v>121</v>
      </c>
      <c r="AV136" s="193" t="s">
        <v>199</v>
      </c>
      <c r="AW136" s="194">
        <f t="shared" si="14"/>
        <v>0</v>
      </c>
      <c r="AX136" s="195">
        <f t="shared" si="15"/>
        <v>0</v>
      </c>
      <c r="AY136" s="196" t="str">
        <f t="shared" si="16"/>
        <v>#N/A</v>
      </c>
      <c r="AZ136" s="213">
        <v>250.0</v>
      </c>
      <c r="BA136" s="196">
        <f t="shared" si="17"/>
        <v>0.25</v>
      </c>
      <c r="BB136" s="213">
        <f t="shared" si="18"/>
        <v>1000</v>
      </c>
      <c r="BC136" s="199" t="str">
        <f t="shared" si="19"/>
        <v>#N/A</v>
      </c>
      <c r="BD136" s="200" t="str">
        <f t="shared" si="20"/>
        <v>#N/A</v>
      </c>
      <c r="BE136" s="200">
        <f t="shared" si="21"/>
        <v>0</v>
      </c>
      <c r="BF136" s="201" t="str">
        <f t="shared" si="22"/>
        <v/>
      </c>
      <c r="BG136" s="201" t="str">
        <f t="shared" si="23"/>
        <v/>
      </c>
      <c r="BH136" s="202" t="str">
        <f t="shared" si="24"/>
        <v/>
      </c>
      <c r="BI136" s="203"/>
      <c r="BJ136" s="204">
        <f>IFERROR(__xludf.DUMMYFUNCTION("IF(AU136=data!A$5,
IF(AV136=data!A$8,
IF(T136=data!A$3,
VLOOKUP(S136,filter('🔒 Доп. информация'!D:H,'🔒 Доп. информация'!C:C=T136),4,FALSE)+VLOOKUP(S136,filter('🔒 Доп. информация'!D:H,'🔒 Доп. информация'!C:C=T136),5,FALSE)*AJ136,
IF(AND(MAX(AF136:AH136"&amp;")&lt;80,SUM(AF136:AH136)&lt;=160,AI136&lt;20,XLOOKUP(M136,'📄 Комиссии'!C:C,'📄 Комиссии'!B:B)&lt;&gt;""Продукты""),
VLOOKUP(S136,filter('🔒 Доп. информация'!D:H,'🔒 Доп. информация'!C:C=data!$A$3),4,FALSE)+VLOOKUP(S136,filter('🔒 Доп. информация'!D:H,'🔒 Доп. информаци"&amp;"я'!C:C=data!$A$3),5,FALSE)*AJ136,
VLOOKUP(S136,filter('🔒 Доп. информация'!D:H,'🔒 Доп. информация'!C:C=T136),4,FALSE)*ROUNDUP(AF136*AG136*AH136*L136/(120*80*175))/L136)
)
*(AE136/2)
,)
,)*0"),0.0)</f>
        <v>0</v>
      </c>
      <c r="BK136" s="204">
        <f>IFERROR(__xludf.DUMMYFUNCTION("IF(AU136=data!A$5,
IF(AI136&lt;=1,IF(AI136&lt;=0.8,IF(AI136&lt;=0.6,IF(AI136&lt;=0.4,IF(AI136&lt;=0.2,23,26),29),30),32)*VLOOKUP(S136,filter('🔒 Доп. информация'!D:E,'🔒 Доп. информация'!C:C=T136),2,FALSE)/'🔒 Доп. информация'!$K$9,
IF(AV136=data!A$8,U136,1)*VLOOKUP(S13"&amp;"6,filter('🔒 Доп. информация'!D:E,'🔒 Доп. информация'!C:C=T136),2,FALSE)+
IF(AV136=data!A$8,U136,1)*VLOOKUP(S136,filter('🔒 Доп. информация'!D:F,'🔒 Доп. информация'!C:C=T136),3,FALSE)*AJ136)
,0)"),69.0)</f>
        <v>69</v>
      </c>
      <c r="BL136" s="185" t="str">
        <f t="shared" ref="BL136:BM136" si="418">IF($D136,"🔒",)</f>
        <v/>
      </c>
      <c r="BM136" s="185" t="str">
        <f t="shared" si="418"/>
        <v/>
      </c>
      <c r="BN136" s="204">
        <f>VLOOKUP(T136,'🔒 Доп. информация'!J:P,7,false)</f>
        <v>50</v>
      </c>
      <c r="BO136" s="204">
        <f>IF(AV136=data!A$9,
(AA136+AO136+AP136+BJ136+BK136+BN136)+H136*AS136,
(BJ136+BK136+BN136)+H136*AS136
)</f>
        <v>119</v>
      </c>
      <c r="BP136" s="204">
        <f t="shared" si="26"/>
        <v>69</v>
      </c>
      <c r="BQ136" s="204">
        <f t="shared" si="27"/>
        <v>320</v>
      </c>
      <c r="BR136" s="204" t="str">
        <f t="shared" si="37"/>
        <v>#N/A</v>
      </c>
      <c r="BS136" s="204" t="str">
        <f t="array" ref="BS136">IF(VLOOKUP(AT136,{'▶️ Инструкция'!C:C,'▶️ Инструкция'!Y:Y},2,FALSE)=data!A$15,
H136*(1-I136),
(H136-BR136))
*VLOOKUP(AT136,{'▶️ Инструкция'!C:C,'▶️ Инструкция'!AD:AD},2,FALSE)/(1+VLOOKUP(AT136,{'▶️ Инструкция'!C:C,'▶️ Инструкция'!AD:AD},2,FALSE))</f>
        <v>#N/A</v>
      </c>
      <c r="BT136" s="204" t="str">
        <f t="array" ref="BT136">
IF(VLOOKUP(AT136,{'▶️ Инструкция'!C:C,'▶️ Инструкция'!Y:Y},2,FALSE)=data!A$15,
H136*(1-I136)-BS136,
(H136-BR136-BS136))
*
VLOOKUP(AT136,{'▶️ Инструкция'!C:C,'▶️ Инструкция'!R:R},2,FALSE)
+BS136</f>
        <v>#N/A</v>
      </c>
      <c r="BU136" s="204" t="str">
        <f>(G136*AR136)+if(AV136=data!A$9,AO136,AN136)+AP136+BR136+BT136</f>
        <v>#N/A</v>
      </c>
      <c r="BV136" s="204" t="str">
        <f>(G136*AR136)+if(AV136=data!A$9,AO136,AN136)+AP136+BT136+G136</f>
        <v>#N/A</v>
      </c>
      <c r="BW136" s="204" t="str">
        <f t="shared" si="28"/>
        <v>#N/A</v>
      </c>
      <c r="BX136" s="204" t="str">
        <f t="shared" si="29"/>
        <v>#N/A</v>
      </c>
    </row>
    <row r="137">
      <c r="A137" s="165" t="str">
        <f>if(D137=true,if(F137=data!A$1,data!A$10,data!A$11),)</f>
        <v/>
      </c>
      <c r="B137" s="166" t="str">
        <f t="shared" si="4"/>
        <v>FBS</v>
      </c>
      <c r="C137" s="167" t="s">
        <v>195</v>
      </c>
      <c r="D137" s="168" t="b">
        <v>0</v>
      </c>
      <c r="E137" s="169" t="s">
        <v>204</v>
      </c>
      <c r="F137" s="170" t="str">
        <f t="array" ref="F137">IF(D137=TRUE,IF(IF(BG$3=VLOOKUP(AT137,{'▶️ Инструкция'!C:C,'▶️ Инструкция'!G:G},2,FALSE),BG137,BH137)&gt;VLOOKUP(AT137,{'▶️ Инструкция'!C:C,'▶️ Инструкция'!N:N},2,FALSE),data!A$1,data!A$2),)</f>
        <v/>
      </c>
      <c r="G137" s="171">
        <v>0.0</v>
      </c>
      <c r="H137" s="172">
        <v>1000.0</v>
      </c>
      <c r="I137" s="173">
        <v>0.0</v>
      </c>
      <c r="J137" s="173">
        <v>0.0</v>
      </c>
      <c r="K137" s="174" t="str">
        <f t="shared" si="5"/>
        <v/>
      </c>
      <c r="L137" s="175">
        <v>0.0</v>
      </c>
      <c r="M137" s="176" t="s">
        <v>197</v>
      </c>
      <c r="N137" s="177">
        <f>IFERROR(__xludf.DUMMYFUNCTION("ArrayFormula(let(category,VLOOKUP($M137, {'📄 Комиссии'!$C:$C , '📄 Комиссии'!$B:$B}, 2, 0),
data,MATCH('🔒 Доп. информация'!$J$15:$J203,TRANSPOSE(SPLIT(INDEX('▶️ Инструкция'!$Q:$Q,MATCH($AT137,'▶️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commission,VLOOKUP($M137,'📄 Комиссии'!$C:$E,IF($AV137=data!A$8,2,3),0),
IF(NOT(ISBLANK($M137)),commission/100+
"&amp;"IFERROR(VLOOKUP($AT137,{'▶️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37" s="178" t="str">
        <f t="shared" si="6"/>
        <v/>
      </c>
      <c r="Q137" s="178" t="str">
        <f t="shared" si="7"/>
        <v/>
      </c>
      <c r="S137" s="179" t="s">
        <v>192</v>
      </c>
      <c r="T137" s="180" t="s">
        <v>193</v>
      </c>
      <c r="U137" s="181">
        <v>1.0</v>
      </c>
      <c r="V137" s="182" t="str">
        <f t="shared" ref="V137:Y137" si="419">IF($D137,"🔒",)</f>
        <v/>
      </c>
      <c r="W137" s="182" t="str">
        <f t="shared" si="419"/>
        <v/>
      </c>
      <c r="X137" s="182" t="str">
        <f t="shared" si="419"/>
        <v/>
      </c>
      <c r="Y137" s="182" t="str">
        <f t="shared" si="419"/>
        <v/>
      </c>
      <c r="Z137" s="183">
        <v>0.0</v>
      </c>
      <c r="AA137" s="184">
        <f t="shared" si="31"/>
        <v>0</v>
      </c>
      <c r="AB137" s="185" t="str">
        <f t="shared" ref="AB137:AD137" si="420">IF($D137,"🔒",)</f>
        <v/>
      </c>
      <c r="AC137" s="185" t="str">
        <f t="shared" si="420"/>
        <v/>
      </c>
      <c r="AD137" s="186" t="str">
        <f t="shared" si="420"/>
        <v/>
      </c>
      <c r="AE137" s="180">
        <v>30.0</v>
      </c>
      <c r="AF137" s="187">
        <v>0.0</v>
      </c>
      <c r="AG137" s="187">
        <v>0.0</v>
      </c>
      <c r="AH137" s="187">
        <v>0.0</v>
      </c>
      <c r="AI137" s="181">
        <f t="shared" si="10"/>
        <v>0</v>
      </c>
      <c r="AJ137" s="181">
        <f t="shared" si="11"/>
        <v>0</v>
      </c>
      <c r="AK137" s="185" t="str">
        <f t="shared" si="12"/>
        <v/>
      </c>
      <c r="AL137" s="188" t="str">
        <f t="array" ref="AL137">H137*(1-I137)*VLOOKUP(AT137,{'▶️ Инструкция'!C:C,'▶️ Инструкция'!AI:AI},2,false)</f>
        <v>#N/A</v>
      </c>
      <c r="AM137" s="186" t="str">
        <f t="shared" si="13"/>
        <v/>
      </c>
      <c r="AN137" s="189">
        <v>0.0</v>
      </c>
      <c r="AO137" s="189">
        <v>0.0</v>
      </c>
      <c r="AP137" s="189">
        <v>0.0</v>
      </c>
      <c r="AQ137" s="191">
        <v>1.0</v>
      </c>
      <c r="AR137" s="191">
        <v>0.0</v>
      </c>
      <c r="AS137" s="212">
        <v>0.0</v>
      </c>
      <c r="AT137" s="193" t="s">
        <v>206</v>
      </c>
      <c r="AU137" s="193" t="s">
        <v>121</v>
      </c>
      <c r="AV137" s="193" t="s">
        <v>199</v>
      </c>
      <c r="AW137" s="194">
        <f t="shared" si="14"/>
        <v>0</v>
      </c>
      <c r="AX137" s="195">
        <f t="shared" si="15"/>
        <v>0</v>
      </c>
      <c r="AY137" s="196" t="str">
        <f t="shared" si="16"/>
        <v>#N/A</v>
      </c>
      <c r="AZ137" s="213">
        <v>250.0</v>
      </c>
      <c r="BA137" s="196">
        <f t="shared" si="17"/>
        <v>0.25</v>
      </c>
      <c r="BB137" s="213">
        <f t="shared" si="18"/>
        <v>1000</v>
      </c>
      <c r="BC137" s="199" t="str">
        <f t="shared" si="19"/>
        <v>#N/A</v>
      </c>
      <c r="BD137" s="200" t="str">
        <f t="shared" si="20"/>
        <v>#N/A</v>
      </c>
      <c r="BE137" s="200">
        <f t="shared" si="21"/>
        <v>0</v>
      </c>
      <c r="BF137" s="201" t="str">
        <f t="shared" si="22"/>
        <v/>
      </c>
      <c r="BG137" s="201" t="str">
        <f t="shared" si="23"/>
        <v/>
      </c>
      <c r="BH137" s="202" t="str">
        <f t="shared" si="24"/>
        <v/>
      </c>
      <c r="BI137" s="203"/>
      <c r="BJ137" s="204">
        <f>IFERROR(__xludf.DUMMYFUNCTION("IF(AU137=data!A$5,
IF(AV137=data!A$8,
IF(T137=data!A$3,
VLOOKUP(S137,filter('🔒 Доп. информация'!D:H,'🔒 Доп. информация'!C:C=T137),4,FALSE)+VLOOKUP(S137,filter('🔒 Доп. информация'!D:H,'🔒 Доп. информация'!C:C=T137),5,FALSE)*AJ137,
IF(AND(MAX(AF137:AH137"&amp;")&lt;80,SUM(AF137:AH137)&lt;=160,AI137&lt;20,XLOOKUP(M137,'📄 Комиссии'!C:C,'📄 Комиссии'!B:B)&lt;&gt;""Продукты""),
VLOOKUP(S137,filter('🔒 Доп. информация'!D:H,'🔒 Доп. информация'!C:C=data!$A$3),4,FALSE)+VLOOKUP(S137,filter('🔒 Доп. информация'!D:H,'🔒 Доп. информаци"&amp;"я'!C:C=data!$A$3),5,FALSE)*AJ137,
VLOOKUP(S137,filter('🔒 Доп. информация'!D:H,'🔒 Доп. информация'!C:C=T137),4,FALSE)*ROUNDUP(AF137*AG137*AH137*L137/(120*80*175))/L137)
)
*(AE137/2)
,)
,)*0"),0.0)</f>
        <v>0</v>
      </c>
      <c r="BK137" s="204">
        <f>IFERROR(__xludf.DUMMYFUNCTION("IF(AU137=data!A$5,
IF(AI137&lt;=1,IF(AI137&lt;=0.8,IF(AI137&lt;=0.6,IF(AI137&lt;=0.4,IF(AI137&lt;=0.2,23,26),29),30),32)*VLOOKUP(S137,filter('🔒 Доп. информация'!D:E,'🔒 Доп. информация'!C:C=T137),2,FALSE)/'🔒 Доп. информация'!$K$9,
IF(AV137=data!A$8,U137,1)*VLOOKUP(S13"&amp;"7,filter('🔒 Доп. информация'!D:E,'🔒 Доп. информация'!C:C=T137),2,FALSE)+
IF(AV137=data!A$8,U137,1)*VLOOKUP(S137,filter('🔒 Доп. информация'!D:F,'🔒 Доп. информация'!C:C=T137),3,FALSE)*AJ137)
,0)"),69.0)</f>
        <v>69</v>
      </c>
      <c r="BL137" s="185" t="str">
        <f t="shared" ref="BL137:BM137" si="421">IF($D137,"🔒",)</f>
        <v/>
      </c>
      <c r="BM137" s="185" t="str">
        <f t="shared" si="421"/>
        <v/>
      </c>
      <c r="BN137" s="204">
        <f>VLOOKUP(T137,'🔒 Доп. информация'!J:P,7,false)</f>
        <v>50</v>
      </c>
      <c r="BO137" s="204">
        <f>IF(AV137=data!A$9,
(AA137+AO137+AP137+BJ137+BK137+BN137)+H137*AS137,
(BJ137+BK137+BN137)+H137*AS137
)</f>
        <v>119</v>
      </c>
      <c r="BP137" s="204">
        <f t="shared" si="26"/>
        <v>69</v>
      </c>
      <c r="BQ137" s="204">
        <f t="shared" si="27"/>
        <v>320</v>
      </c>
      <c r="BR137" s="204" t="str">
        <f t="shared" si="37"/>
        <v>#N/A</v>
      </c>
      <c r="BS137" s="204" t="str">
        <f t="array" ref="BS137">IF(VLOOKUP(AT137,{'▶️ Инструкция'!C:C,'▶️ Инструкция'!Y:Y},2,FALSE)=data!A$15,
H137*(1-I137),
(H137-BR137))
*VLOOKUP(AT137,{'▶️ Инструкция'!C:C,'▶️ Инструкция'!AD:AD},2,FALSE)/(1+VLOOKUP(AT137,{'▶️ Инструкция'!C:C,'▶️ Инструкция'!AD:AD},2,FALSE))</f>
        <v>#N/A</v>
      </c>
      <c r="BT137" s="204" t="str">
        <f t="array" ref="BT137">
IF(VLOOKUP(AT137,{'▶️ Инструкция'!C:C,'▶️ Инструкция'!Y:Y},2,FALSE)=data!A$15,
H137*(1-I137)-BS137,
(H137-BR137-BS137))
*
VLOOKUP(AT137,{'▶️ Инструкция'!C:C,'▶️ Инструкция'!R:R},2,FALSE)
+BS137</f>
        <v>#N/A</v>
      </c>
      <c r="BU137" s="204" t="str">
        <f>(G137*AR137)+if(AV137=data!A$9,AO137,AN137)+AP137+BR137+BT137</f>
        <v>#N/A</v>
      </c>
      <c r="BV137" s="204" t="str">
        <f>(G137*AR137)+if(AV137=data!A$9,AO137,AN137)+AP137+BT137+G137</f>
        <v>#N/A</v>
      </c>
      <c r="BW137" s="204" t="str">
        <f t="shared" si="28"/>
        <v>#N/A</v>
      </c>
      <c r="BX137" s="204" t="str">
        <f t="shared" si="29"/>
        <v>#N/A</v>
      </c>
    </row>
    <row r="138">
      <c r="A138" s="165" t="str">
        <f>if(D138=true,if(F138=data!A$1,data!A$10,data!A$11),)</f>
        <v/>
      </c>
      <c r="B138" s="166" t="str">
        <f t="shared" si="4"/>
        <v>FBS</v>
      </c>
      <c r="C138" s="167" t="s">
        <v>195</v>
      </c>
      <c r="D138" s="168" t="b">
        <v>0</v>
      </c>
      <c r="E138" s="169" t="s">
        <v>204</v>
      </c>
      <c r="F138" s="170" t="str">
        <f t="array" ref="F138">IF(D138=TRUE,IF(IF(BG$3=VLOOKUP(AT138,{'▶️ Инструкция'!C:C,'▶️ Инструкция'!G:G},2,FALSE),BG138,BH138)&gt;VLOOKUP(AT138,{'▶️ Инструкция'!C:C,'▶️ Инструкция'!N:N},2,FALSE),data!A$1,data!A$2),)</f>
        <v/>
      </c>
      <c r="G138" s="171">
        <v>0.0</v>
      </c>
      <c r="H138" s="172">
        <v>1000.0</v>
      </c>
      <c r="I138" s="173">
        <v>0.0</v>
      </c>
      <c r="J138" s="173">
        <v>0.0</v>
      </c>
      <c r="K138" s="174" t="str">
        <f t="shared" si="5"/>
        <v/>
      </c>
      <c r="L138" s="175">
        <v>0.0</v>
      </c>
      <c r="M138" s="176" t="s">
        <v>197</v>
      </c>
      <c r="N138" s="177">
        <f>IFERROR(__xludf.DUMMYFUNCTION("ArrayFormula(let(category,VLOOKUP($M138, {'📄 Комиссии'!$C:$C , '📄 Комиссии'!$B:$B}, 2, 0),
data,MATCH('🔒 Доп. информация'!$J$15:$J203,TRANSPOSE(SPLIT(INDEX('▶️ Инструкция'!$Q:$Q,MATCH($AT138,'▶️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commission,VLOOKUP($M138,'📄 Комиссии'!$C:$E,IF($AV138=data!A$8,2,3),0),
IF(NOT(ISBLANK($M138)),commission/100+
"&amp;"IFERROR(VLOOKUP($AT138,{'▶️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38" s="178" t="str">
        <f t="shared" si="6"/>
        <v/>
      </c>
      <c r="Q138" s="178" t="str">
        <f t="shared" si="7"/>
        <v/>
      </c>
      <c r="S138" s="179" t="s">
        <v>192</v>
      </c>
      <c r="T138" s="180" t="s">
        <v>193</v>
      </c>
      <c r="U138" s="181">
        <v>1.0</v>
      </c>
      <c r="V138" s="182" t="str">
        <f t="shared" ref="V138:Y138" si="422">IF($D138,"🔒",)</f>
        <v/>
      </c>
      <c r="W138" s="182" t="str">
        <f t="shared" si="422"/>
        <v/>
      </c>
      <c r="X138" s="182" t="str">
        <f t="shared" si="422"/>
        <v/>
      </c>
      <c r="Y138" s="182" t="str">
        <f t="shared" si="422"/>
        <v/>
      </c>
      <c r="Z138" s="183">
        <v>0.0</v>
      </c>
      <c r="AA138" s="184">
        <f t="shared" si="31"/>
        <v>0</v>
      </c>
      <c r="AB138" s="185" t="str">
        <f t="shared" ref="AB138:AD138" si="423">IF($D138,"🔒",)</f>
        <v/>
      </c>
      <c r="AC138" s="185" t="str">
        <f t="shared" si="423"/>
        <v/>
      </c>
      <c r="AD138" s="186" t="str">
        <f t="shared" si="423"/>
        <v/>
      </c>
      <c r="AE138" s="180">
        <v>30.0</v>
      </c>
      <c r="AF138" s="187">
        <v>0.0</v>
      </c>
      <c r="AG138" s="187">
        <v>0.0</v>
      </c>
      <c r="AH138" s="187">
        <v>0.0</v>
      </c>
      <c r="AI138" s="181">
        <f t="shared" si="10"/>
        <v>0</v>
      </c>
      <c r="AJ138" s="181">
        <f t="shared" si="11"/>
        <v>0</v>
      </c>
      <c r="AK138" s="185" t="str">
        <f t="shared" si="12"/>
        <v/>
      </c>
      <c r="AL138" s="188" t="str">
        <f t="array" ref="AL138">H138*(1-I138)*VLOOKUP(AT138,{'▶️ Инструкция'!C:C,'▶️ Инструкция'!AI:AI},2,false)</f>
        <v>#N/A</v>
      </c>
      <c r="AM138" s="186" t="str">
        <f t="shared" si="13"/>
        <v/>
      </c>
      <c r="AN138" s="189">
        <v>0.0</v>
      </c>
      <c r="AO138" s="189">
        <v>0.0</v>
      </c>
      <c r="AP138" s="189">
        <v>0.0</v>
      </c>
      <c r="AQ138" s="191">
        <v>1.0</v>
      </c>
      <c r="AR138" s="191">
        <v>0.0</v>
      </c>
      <c r="AS138" s="212">
        <v>0.0</v>
      </c>
      <c r="AT138" s="193" t="s">
        <v>206</v>
      </c>
      <c r="AU138" s="193" t="s">
        <v>121</v>
      </c>
      <c r="AV138" s="193" t="s">
        <v>199</v>
      </c>
      <c r="AW138" s="194">
        <f t="shared" si="14"/>
        <v>0</v>
      </c>
      <c r="AX138" s="195">
        <f t="shared" si="15"/>
        <v>0</v>
      </c>
      <c r="AY138" s="196" t="str">
        <f t="shared" si="16"/>
        <v>#N/A</v>
      </c>
      <c r="AZ138" s="213">
        <v>250.0</v>
      </c>
      <c r="BA138" s="196">
        <f t="shared" si="17"/>
        <v>0.25</v>
      </c>
      <c r="BB138" s="213">
        <f t="shared" si="18"/>
        <v>1000</v>
      </c>
      <c r="BC138" s="199" t="str">
        <f t="shared" si="19"/>
        <v>#N/A</v>
      </c>
      <c r="BD138" s="200" t="str">
        <f t="shared" si="20"/>
        <v>#N/A</v>
      </c>
      <c r="BE138" s="200">
        <f t="shared" si="21"/>
        <v>0</v>
      </c>
      <c r="BF138" s="201" t="str">
        <f t="shared" si="22"/>
        <v/>
      </c>
      <c r="BG138" s="201" t="str">
        <f t="shared" si="23"/>
        <v/>
      </c>
      <c r="BH138" s="202" t="str">
        <f t="shared" si="24"/>
        <v/>
      </c>
      <c r="BI138" s="203"/>
      <c r="BJ138" s="204">
        <f>IFERROR(__xludf.DUMMYFUNCTION("IF(AU138=data!A$5,
IF(AV138=data!A$8,
IF(T138=data!A$3,
VLOOKUP(S138,filter('🔒 Доп. информация'!D:H,'🔒 Доп. информация'!C:C=T138),4,FALSE)+VLOOKUP(S138,filter('🔒 Доп. информация'!D:H,'🔒 Доп. информация'!C:C=T138),5,FALSE)*AJ138,
IF(AND(MAX(AF138:AH138"&amp;")&lt;80,SUM(AF138:AH138)&lt;=160,AI138&lt;20,XLOOKUP(M138,'📄 Комиссии'!C:C,'📄 Комиссии'!B:B)&lt;&gt;""Продукты""),
VLOOKUP(S138,filter('🔒 Доп. информация'!D:H,'🔒 Доп. информация'!C:C=data!$A$3),4,FALSE)+VLOOKUP(S138,filter('🔒 Доп. информация'!D:H,'🔒 Доп. информаци"&amp;"я'!C:C=data!$A$3),5,FALSE)*AJ138,
VLOOKUP(S138,filter('🔒 Доп. информация'!D:H,'🔒 Доп. информация'!C:C=T138),4,FALSE)*ROUNDUP(AF138*AG138*AH138*L138/(120*80*175))/L138)
)
*(AE138/2)
,)
,)*0"),0.0)</f>
        <v>0</v>
      </c>
      <c r="BK138" s="204">
        <f>IFERROR(__xludf.DUMMYFUNCTION("IF(AU138=data!A$5,
IF(AI138&lt;=1,IF(AI138&lt;=0.8,IF(AI138&lt;=0.6,IF(AI138&lt;=0.4,IF(AI138&lt;=0.2,23,26),29),30),32)*VLOOKUP(S138,filter('🔒 Доп. информация'!D:E,'🔒 Доп. информация'!C:C=T138),2,FALSE)/'🔒 Доп. информация'!$K$9,
IF(AV138=data!A$8,U138,1)*VLOOKUP(S13"&amp;"8,filter('🔒 Доп. информация'!D:E,'🔒 Доп. информация'!C:C=T138),2,FALSE)+
IF(AV138=data!A$8,U138,1)*VLOOKUP(S138,filter('🔒 Доп. информация'!D:F,'🔒 Доп. информация'!C:C=T138),3,FALSE)*AJ138)
,0)"),69.0)</f>
        <v>69</v>
      </c>
      <c r="BL138" s="185" t="str">
        <f t="shared" ref="BL138:BM138" si="424">IF($D138,"🔒",)</f>
        <v/>
      </c>
      <c r="BM138" s="185" t="str">
        <f t="shared" si="424"/>
        <v/>
      </c>
      <c r="BN138" s="204">
        <f>VLOOKUP(T138,'🔒 Доп. информация'!J:P,7,false)</f>
        <v>50</v>
      </c>
      <c r="BO138" s="204">
        <f>IF(AV138=data!A$9,
(AA138+AO138+AP138+BJ138+BK138+BN138)+H138*AS138,
(BJ138+BK138+BN138)+H138*AS138
)</f>
        <v>119</v>
      </c>
      <c r="BP138" s="204">
        <f t="shared" si="26"/>
        <v>69</v>
      </c>
      <c r="BQ138" s="204">
        <f t="shared" si="27"/>
        <v>320</v>
      </c>
      <c r="BR138" s="204" t="str">
        <f t="shared" si="37"/>
        <v>#N/A</v>
      </c>
      <c r="BS138" s="204" t="str">
        <f t="array" ref="BS138">IF(VLOOKUP(AT138,{'▶️ Инструкция'!C:C,'▶️ Инструкция'!Y:Y},2,FALSE)=data!A$15,
H138*(1-I138),
(H138-BR138))
*VLOOKUP(AT138,{'▶️ Инструкция'!C:C,'▶️ Инструкция'!AD:AD},2,FALSE)/(1+VLOOKUP(AT138,{'▶️ Инструкция'!C:C,'▶️ Инструкция'!AD:AD},2,FALSE))</f>
        <v>#N/A</v>
      </c>
      <c r="BT138" s="204" t="str">
        <f t="array" ref="BT138">
IF(VLOOKUP(AT138,{'▶️ Инструкция'!C:C,'▶️ Инструкция'!Y:Y},2,FALSE)=data!A$15,
H138*(1-I138)-BS138,
(H138-BR138-BS138))
*
VLOOKUP(AT138,{'▶️ Инструкция'!C:C,'▶️ Инструкция'!R:R},2,FALSE)
+BS138</f>
        <v>#N/A</v>
      </c>
      <c r="BU138" s="204" t="str">
        <f>(G138*AR138)+if(AV138=data!A$9,AO138,AN138)+AP138+BR138+BT138</f>
        <v>#N/A</v>
      </c>
      <c r="BV138" s="204" t="str">
        <f>(G138*AR138)+if(AV138=data!A$9,AO138,AN138)+AP138+BT138+G138</f>
        <v>#N/A</v>
      </c>
      <c r="BW138" s="204" t="str">
        <f t="shared" si="28"/>
        <v>#N/A</v>
      </c>
      <c r="BX138" s="204" t="str">
        <f t="shared" si="29"/>
        <v>#N/A</v>
      </c>
    </row>
    <row r="139">
      <c r="A139" s="165" t="str">
        <f>if(D139=true,if(F139=data!A$1,data!A$10,data!A$11),)</f>
        <v/>
      </c>
      <c r="B139" s="166" t="str">
        <f t="shared" si="4"/>
        <v>FBS</v>
      </c>
      <c r="C139" s="167" t="s">
        <v>195</v>
      </c>
      <c r="D139" s="168" t="b">
        <v>0</v>
      </c>
      <c r="E139" s="169" t="s">
        <v>204</v>
      </c>
      <c r="F139" s="170" t="str">
        <f t="array" ref="F139">IF(D139=TRUE,IF(IF(BG$3=VLOOKUP(AT139,{'▶️ Инструкция'!C:C,'▶️ Инструкция'!G:G},2,FALSE),BG139,BH139)&gt;VLOOKUP(AT139,{'▶️ Инструкция'!C:C,'▶️ Инструкция'!N:N},2,FALSE),data!A$1,data!A$2),)</f>
        <v/>
      </c>
      <c r="G139" s="171">
        <v>0.0</v>
      </c>
      <c r="H139" s="172">
        <v>1000.0</v>
      </c>
      <c r="I139" s="173">
        <v>0.0</v>
      </c>
      <c r="J139" s="173">
        <v>0.0</v>
      </c>
      <c r="K139" s="174" t="str">
        <f t="shared" si="5"/>
        <v/>
      </c>
      <c r="L139" s="175">
        <v>0.0</v>
      </c>
      <c r="M139" s="176" t="s">
        <v>197</v>
      </c>
      <c r="N139" s="177">
        <f>IFERROR(__xludf.DUMMYFUNCTION("ArrayFormula(let(category,VLOOKUP($M139, {'📄 Комиссии'!$C:$C , '📄 Комиссии'!$B:$B}, 2, 0),
data,MATCH('🔒 Доп. информация'!$J$15:$J203,TRANSPOSE(SPLIT(INDEX('▶️ Инструкция'!$Q:$Q,MATCH($AT139,'▶️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commission,VLOOKUP($M139,'📄 Комиссии'!$C:$E,IF($AV139=data!A$8,2,3),0),
IF(NOT(ISBLANK($M139)),commission/100+
"&amp;"IFERROR(VLOOKUP($AT139,{'▶️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39" s="178" t="str">
        <f t="shared" si="6"/>
        <v/>
      </c>
      <c r="Q139" s="178" t="str">
        <f t="shared" si="7"/>
        <v/>
      </c>
      <c r="S139" s="179" t="s">
        <v>192</v>
      </c>
      <c r="T139" s="180" t="s">
        <v>193</v>
      </c>
      <c r="U139" s="181">
        <v>1.0</v>
      </c>
      <c r="V139" s="182" t="str">
        <f t="shared" ref="V139:Y139" si="425">IF($D139,"🔒",)</f>
        <v/>
      </c>
      <c r="W139" s="182" t="str">
        <f t="shared" si="425"/>
        <v/>
      </c>
      <c r="X139" s="182" t="str">
        <f t="shared" si="425"/>
        <v/>
      </c>
      <c r="Y139" s="182" t="str">
        <f t="shared" si="425"/>
        <v/>
      </c>
      <c r="Z139" s="183">
        <v>0.0</v>
      </c>
      <c r="AA139" s="184">
        <f t="shared" si="31"/>
        <v>0</v>
      </c>
      <c r="AB139" s="185" t="str">
        <f t="shared" ref="AB139:AD139" si="426">IF($D139,"🔒",)</f>
        <v/>
      </c>
      <c r="AC139" s="185" t="str">
        <f t="shared" si="426"/>
        <v/>
      </c>
      <c r="AD139" s="186" t="str">
        <f t="shared" si="426"/>
        <v/>
      </c>
      <c r="AE139" s="180">
        <v>30.0</v>
      </c>
      <c r="AF139" s="187">
        <v>0.0</v>
      </c>
      <c r="AG139" s="187">
        <v>0.0</v>
      </c>
      <c r="AH139" s="187">
        <v>0.0</v>
      </c>
      <c r="AI139" s="181">
        <f t="shared" si="10"/>
        <v>0</v>
      </c>
      <c r="AJ139" s="181">
        <f t="shared" si="11"/>
        <v>0</v>
      </c>
      <c r="AK139" s="185" t="str">
        <f t="shared" si="12"/>
        <v/>
      </c>
      <c r="AL139" s="188" t="str">
        <f t="array" ref="AL139">H139*(1-I139)*VLOOKUP(AT139,{'▶️ Инструкция'!C:C,'▶️ Инструкция'!AI:AI},2,false)</f>
        <v>#N/A</v>
      </c>
      <c r="AM139" s="186" t="str">
        <f t="shared" si="13"/>
        <v/>
      </c>
      <c r="AN139" s="189">
        <v>0.0</v>
      </c>
      <c r="AO139" s="189">
        <v>0.0</v>
      </c>
      <c r="AP139" s="189">
        <v>0.0</v>
      </c>
      <c r="AQ139" s="191">
        <v>1.0</v>
      </c>
      <c r="AR139" s="191">
        <v>0.0</v>
      </c>
      <c r="AS139" s="212">
        <v>0.0</v>
      </c>
      <c r="AT139" s="193" t="s">
        <v>206</v>
      </c>
      <c r="AU139" s="193" t="s">
        <v>121</v>
      </c>
      <c r="AV139" s="193" t="s">
        <v>199</v>
      </c>
      <c r="AW139" s="194">
        <f t="shared" si="14"/>
        <v>0</v>
      </c>
      <c r="AX139" s="195">
        <f t="shared" si="15"/>
        <v>0</v>
      </c>
      <c r="AY139" s="196" t="str">
        <f t="shared" si="16"/>
        <v>#N/A</v>
      </c>
      <c r="AZ139" s="213">
        <v>250.0</v>
      </c>
      <c r="BA139" s="196">
        <f t="shared" si="17"/>
        <v>0.25</v>
      </c>
      <c r="BB139" s="213">
        <f t="shared" si="18"/>
        <v>1000</v>
      </c>
      <c r="BC139" s="199" t="str">
        <f t="shared" si="19"/>
        <v>#N/A</v>
      </c>
      <c r="BD139" s="200" t="str">
        <f t="shared" si="20"/>
        <v>#N/A</v>
      </c>
      <c r="BE139" s="200">
        <f t="shared" si="21"/>
        <v>0</v>
      </c>
      <c r="BF139" s="201" t="str">
        <f t="shared" si="22"/>
        <v/>
      </c>
      <c r="BG139" s="201" t="str">
        <f t="shared" si="23"/>
        <v/>
      </c>
      <c r="BH139" s="202" t="str">
        <f t="shared" si="24"/>
        <v/>
      </c>
      <c r="BI139" s="203"/>
      <c r="BJ139" s="204">
        <f>IFERROR(__xludf.DUMMYFUNCTION("IF(AU139=data!A$5,
IF(AV139=data!A$8,
IF(T139=data!A$3,
VLOOKUP(S139,filter('🔒 Доп. информация'!D:H,'🔒 Доп. информация'!C:C=T139),4,FALSE)+VLOOKUP(S139,filter('🔒 Доп. информация'!D:H,'🔒 Доп. информация'!C:C=T139),5,FALSE)*AJ139,
IF(AND(MAX(AF139:AH139"&amp;")&lt;80,SUM(AF139:AH139)&lt;=160,AI139&lt;20,XLOOKUP(M139,'📄 Комиссии'!C:C,'📄 Комиссии'!B:B)&lt;&gt;""Продукты""),
VLOOKUP(S139,filter('🔒 Доп. информация'!D:H,'🔒 Доп. информация'!C:C=data!$A$3),4,FALSE)+VLOOKUP(S139,filter('🔒 Доп. информация'!D:H,'🔒 Доп. информаци"&amp;"я'!C:C=data!$A$3),5,FALSE)*AJ139,
VLOOKUP(S139,filter('🔒 Доп. информация'!D:H,'🔒 Доп. информация'!C:C=T139),4,FALSE)*ROUNDUP(AF139*AG139*AH139*L139/(120*80*175))/L139)
)
*(AE139/2)
,)
,)*0"),0.0)</f>
        <v>0</v>
      </c>
      <c r="BK139" s="204">
        <f>IFERROR(__xludf.DUMMYFUNCTION("IF(AU139=data!A$5,
IF(AI139&lt;=1,IF(AI139&lt;=0.8,IF(AI139&lt;=0.6,IF(AI139&lt;=0.4,IF(AI139&lt;=0.2,23,26),29),30),32)*VLOOKUP(S139,filter('🔒 Доп. информация'!D:E,'🔒 Доп. информация'!C:C=T139),2,FALSE)/'🔒 Доп. информация'!$K$9,
IF(AV139=data!A$8,U139,1)*VLOOKUP(S13"&amp;"9,filter('🔒 Доп. информация'!D:E,'🔒 Доп. информация'!C:C=T139),2,FALSE)+
IF(AV139=data!A$8,U139,1)*VLOOKUP(S139,filter('🔒 Доп. информация'!D:F,'🔒 Доп. информация'!C:C=T139),3,FALSE)*AJ139)
,0)"),69.0)</f>
        <v>69</v>
      </c>
      <c r="BL139" s="185" t="str">
        <f t="shared" ref="BL139:BM139" si="427">IF($D139,"🔒",)</f>
        <v/>
      </c>
      <c r="BM139" s="185" t="str">
        <f t="shared" si="427"/>
        <v/>
      </c>
      <c r="BN139" s="204">
        <f>VLOOKUP(T139,'🔒 Доп. информация'!J:P,7,false)</f>
        <v>50</v>
      </c>
      <c r="BO139" s="204">
        <f>IF(AV139=data!A$9,
(AA139+AO139+AP139+BJ139+BK139+BN139)+H139*AS139,
(BJ139+BK139+BN139)+H139*AS139
)</f>
        <v>119</v>
      </c>
      <c r="BP139" s="204">
        <f t="shared" si="26"/>
        <v>69</v>
      </c>
      <c r="BQ139" s="204">
        <f t="shared" si="27"/>
        <v>320</v>
      </c>
      <c r="BR139" s="204" t="str">
        <f t="shared" si="37"/>
        <v>#N/A</v>
      </c>
      <c r="BS139" s="204" t="str">
        <f t="array" ref="BS139">IF(VLOOKUP(AT139,{'▶️ Инструкция'!C:C,'▶️ Инструкция'!Y:Y},2,FALSE)=data!A$15,
H139*(1-I139),
(H139-BR139))
*VLOOKUP(AT139,{'▶️ Инструкция'!C:C,'▶️ Инструкция'!AD:AD},2,FALSE)/(1+VLOOKUP(AT139,{'▶️ Инструкция'!C:C,'▶️ Инструкция'!AD:AD},2,FALSE))</f>
        <v>#N/A</v>
      </c>
      <c r="BT139" s="204" t="str">
        <f t="array" ref="BT139">
IF(VLOOKUP(AT139,{'▶️ Инструкция'!C:C,'▶️ Инструкция'!Y:Y},2,FALSE)=data!A$15,
H139*(1-I139)-BS139,
(H139-BR139-BS139))
*
VLOOKUP(AT139,{'▶️ Инструкция'!C:C,'▶️ Инструкция'!R:R},2,FALSE)
+BS139</f>
        <v>#N/A</v>
      </c>
      <c r="BU139" s="204" t="str">
        <f>(G139*AR139)+if(AV139=data!A$9,AO139,AN139)+AP139+BR139+BT139</f>
        <v>#N/A</v>
      </c>
      <c r="BV139" s="204" t="str">
        <f>(G139*AR139)+if(AV139=data!A$9,AO139,AN139)+AP139+BT139+G139</f>
        <v>#N/A</v>
      </c>
      <c r="BW139" s="204" t="str">
        <f t="shared" si="28"/>
        <v>#N/A</v>
      </c>
      <c r="BX139" s="204" t="str">
        <f t="shared" si="29"/>
        <v>#N/A</v>
      </c>
    </row>
    <row r="140">
      <c r="A140" s="165" t="str">
        <f>if(D140=true,if(F140=data!A$1,data!A$10,data!A$11),)</f>
        <v/>
      </c>
      <c r="B140" s="166" t="str">
        <f t="shared" si="4"/>
        <v>FBS</v>
      </c>
      <c r="C140" s="167" t="s">
        <v>195</v>
      </c>
      <c r="D140" s="168" t="b">
        <v>0</v>
      </c>
      <c r="E140" s="169" t="s">
        <v>204</v>
      </c>
      <c r="F140" s="170" t="str">
        <f t="array" ref="F140">IF(D140=TRUE,IF(IF(BG$3=VLOOKUP(AT140,{'▶️ Инструкция'!C:C,'▶️ Инструкция'!G:G},2,FALSE),BG140,BH140)&gt;VLOOKUP(AT140,{'▶️ Инструкция'!C:C,'▶️ Инструкция'!N:N},2,FALSE),data!A$1,data!A$2),)</f>
        <v/>
      </c>
      <c r="G140" s="171">
        <v>0.0</v>
      </c>
      <c r="H140" s="172">
        <v>1000.0</v>
      </c>
      <c r="I140" s="173">
        <v>0.0</v>
      </c>
      <c r="J140" s="173">
        <v>0.0</v>
      </c>
      <c r="K140" s="174" t="str">
        <f t="shared" si="5"/>
        <v/>
      </c>
      <c r="L140" s="175">
        <v>0.0</v>
      </c>
      <c r="M140" s="176" t="s">
        <v>197</v>
      </c>
      <c r="N140" s="177">
        <f>IFERROR(__xludf.DUMMYFUNCTION("ArrayFormula(let(category,VLOOKUP($M140, {'📄 Комиссии'!$C:$C , '📄 Комиссии'!$B:$B}, 2, 0),
data,MATCH('🔒 Доп. информация'!$J$15:$J203,TRANSPOSE(SPLIT(INDEX('▶️ Инструкция'!$Q:$Q,MATCH($AT140,'▶️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commission,VLOOKUP($M140,'📄 Комиссии'!$C:$E,IF($AV140=data!A$8,2,3),0),
IF(NOT(ISBLANK($M140)),commission/100+
"&amp;"IFERROR(VLOOKUP($AT140,{'▶️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40" s="178" t="str">
        <f t="shared" si="6"/>
        <v/>
      </c>
      <c r="Q140" s="178" t="str">
        <f t="shared" si="7"/>
        <v/>
      </c>
      <c r="S140" s="179" t="s">
        <v>192</v>
      </c>
      <c r="T140" s="180" t="s">
        <v>193</v>
      </c>
      <c r="U140" s="181">
        <v>1.0</v>
      </c>
      <c r="V140" s="182" t="str">
        <f t="shared" ref="V140:Y140" si="428">IF($D140,"🔒",)</f>
        <v/>
      </c>
      <c r="W140" s="182" t="str">
        <f t="shared" si="428"/>
        <v/>
      </c>
      <c r="X140" s="182" t="str">
        <f t="shared" si="428"/>
        <v/>
      </c>
      <c r="Y140" s="182" t="str">
        <f t="shared" si="428"/>
        <v/>
      </c>
      <c r="Z140" s="183">
        <v>0.0</v>
      </c>
      <c r="AA140" s="184">
        <f t="shared" si="31"/>
        <v>0</v>
      </c>
      <c r="AB140" s="185" t="str">
        <f t="shared" ref="AB140:AD140" si="429">IF($D140,"🔒",)</f>
        <v/>
      </c>
      <c r="AC140" s="185" t="str">
        <f t="shared" si="429"/>
        <v/>
      </c>
      <c r="AD140" s="186" t="str">
        <f t="shared" si="429"/>
        <v/>
      </c>
      <c r="AE140" s="180">
        <v>30.0</v>
      </c>
      <c r="AF140" s="187">
        <v>0.0</v>
      </c>
      <c r="AG140" s="187">
        <v>0.0</v>
      </c>
      <c r="AH140" s="187">
        <v>0.0</v>
      </c>
      <c r="AI140" s="181">
        <f t="shared" si="10"/>
        <v>0</v>
      </c>
      <c r="AJ140" s="181">
        <f t="shared" si="11"/>
        <v>0</v>
      </c>
      <c r="AK140" s="185" t="str">
        <f t="shared" si="12"/>
        <v/>
      </c>
      <c r="AL140" s="188" t="str">
        <f t="array" ref="AL140">H140*(1-I140)*VLOOKUP(AT140,{'▶️ Инструкция'!C:C,'▶️ Инструкция'!AI:AI},2,false)</f>
        <v>#N/A</v>
      </c>
      <c r="AM140" s="186" t="str">
        <f t="shared" si="13"/>
        <v/>
      </c>
      <c r="AN140" s="189">
        <v>0.0</v>
      </c>
      <c r="AO140" s="189">
        <v>0.0</v>
      </c>
      <c r="AP140" s="189">
        <v>0.0</v>
      </c>
      <c r="AQ140" s="191">
        <v>1.0</v>
      </c>
      <c r="AR140" s="191">
        <v>0.0</v>
      </c>
      <c r="AS140" s="212">
        <v>0.0</v>
      </c>
      <c r="AT140" s="193" t="s">
        <v>206</v>
      </c>
      <c r="AU140" s="193" t="s">
        <v>121</v>
      </c>
      <c r="AV140" s="193" t="s">
        <v>199</v>
      </c>
      <c r="AW140" s="194">
        <f t="shared" si="14"/>
        <v>0</v>
      </c>
      <c r="AX140" s="195">
        <f t="shared" si="15"/>
        <v>0</v>
      </c>
      <c r="AY140" s="196" t="str">
        <f t="shared" si="16"/>
        <v>#N/A</v>
      </c>
      <c r="AZ140" s="213">
        <v>250.0</v>
      </c>
      <c r="BA140" s="196">
        <f t="shared" si="17"/>
        <v>0.25</v>
      </c>
      <c r="BB140" s="213">
        <f t="shared" si="18"/>
        <v>1000</v>
      </c>
      <c r="BC140" s="199" t="str">
        <f t="shared" si="19"/>
        <v>#N/A</v>
      </c>
      <c r="BD140" s="200" t="str">
        <f t="shared" si="20"/>
        <v>#N/A</v>
      </c>
      <c r="BE140" s="200">
        <f t="shared" si="21"/>
        <v>0</v>
      </c>
      <c r="BF140" s="201" t="str">
        <f t="shared" si="22"/>
        <v/>
      </c>
      <c r="BG140" s="201" t="str">
        <f t="shared" si="23"/>
        <v/>
      </c>
      <c r="BH140" s="202" t="str">
        <f t="shared" si="24"/>
        <v/>
      </c>
      <c r="BI140" s="203"/>
      <c r="BJ140" s="204">
        <f>IFERROR(__xludf.DUMMYFUNCTION("IF(AU140=data!A$5,
IF(AV140=data!A$8,
IF(T140=data!A$3,
VLOOKUP(S140,filter('🔒 Доп. информация'!D:H,'🔒 Доп. информация'!C:C=T140),4,FALSE)+VLOOKUP(S140,filter('🔒 Доп. информация'!D:H,'🔒 Доп. информация'!C:C=T140),5,FALSE)*AJ140,
IF(AND(MAX(AF140:AH140"&amp;")&lt;80,SUM(AF140:AH140)&lt;=160,AI140&lt;20,XLOOKUP(M140,'📄 Комиссии'!C:C,'📄 Комиссии'!B:B)&lt;&gt;""Продукты""),
VLOOKUP(S140,filter('🔒 Доп. информация'!D:H,'🔒 Доп. информация'!C:C=data!$A$3),4,FALSE)+VLOOKUP(S140,filter('🔒 Доп. информация'!D:H,'🔒 Доп. информаци"&amp;"я'!C:C=data!$A$3),5,FALSE)*AJ140,
VLOOKUP(S140,filter('🔒 Доп. информация'!D:H,'🔒 Доп. информация'!C:C=T140),4,FALSE)*ROUNDUP(AF140*AG140*AH140*L140/(120*80*175))/L140)
)
*(AE140/2)
,)
,)*0"),0.0)</f>
        <v>0</v>
      </c>
      <c r="BK140" s="204">
        <f>IFERROR(__xludf.DUMMYFUNCTION("IF(AU140=data!A$5,
IF(AI140&lt;=1,IF(AI140&lt;=0.8,IF(AI140&lt;=0.6,IF(AI140&lt;=0.4,IF(AI140&lt;=0.2,23,26),29),30),32)*VLOOKUP(S140,filter('🔒 Доп. информация'!D:E,'🔒 Доп. информация'!C:C=T140),2,FALSE)/'🔒 Доп. информация'!$K$9,
IF(AV140=data!A$8,U140,1)*VLOOKUP(S14"&amp;"0,filter('🔒 Доп. информация'!D:E,'🔒 Доп. информация'!C:C=T140),2,FALSE)+
IF(AV140=data!A$8,U140,1)*VLOOKUP(S140,filter('🔒 Доп. информация'!D:F,'🔒 Доп. информация'!C:C=T140),3,FALSE)*AJ140)
,0)"),69.0)</f>
        <v>69</v>
      </c>
      <c r="BL140" s="185" t="str">
        <f t="shared" ref="BL140:BM140" si="430">IF($D140,"🔒",)</f>
        <v/>
      </c>
      <c r="BM140" s="185" t="str">
        <f t="shared" si="430"/>
        <v/>
      </c>
      <c r="BN140" s="204">
        <f>VLOOKUP(T140,'🔒 Доп. информация'!J:P,7,false)</f>
        <v>50</v>
      </c>
      <c r="BO140" s="204">
        <f>IF(AV140=data!A$9,
(AA140+AO140+AP140+BJ140+BK140+BN140)+H140*AS140,
(BJ140+BK140+BN140)+H140*AS140
)</f>
        <v>119</v>
      </c>
      <c r="BP140" s="204">
        <f t="shared" si="26"/>
        <v>69</v>
      </c>
      <c r="BQ140" s="204">
        <f t="shared" si="27"/>
        <v>320</v>
      </c>
      <c r="BR140" s="204" t="str">
        <f t="shared" si="37"/>
        <v>#N/A</v>
      </c>
      <c r="BS140" s="204" t="str">
        <f t="array" ref="BS140">IF(VLOOKUP(AT140,{'▶️ Инструкция'!C:C,'▶️ Инструкция'!Y:Y},2,FALSE)=data!A$15,
H140*(1-I140),
(H140-BR140))
*VLOOKUP(AT140,{'▶️ Инструкция'!C:C,'▶️ Инструкция'!AD:AD},2,FALSE)/(1+VLOOKUP(AT140,{'▶️ Инструкция'!C:C,'▶️ Инструкция'!AD:AD},2,FALSE))</f>
        <v>#N/A</v>
      </c>
      <c r="BT140" s="204" t="str">
        <f t="array" ref="BT140">
IF(VLOOKUP(AT140,{'▶️ Инструкция'!C:C,'▶️ Инструкция'!Y:Y},2,FALSE)=data!A$15,
H140*(1-I140)-BS140,
(H140-BR140-BS140))
*
VLOOKUP(AT140,{'▶️ Инструкция'!C:C,'▶️ Инструкция'!R:R},2,FALSE)
+BS140</f>
        <v>#N/A</v>
      </c>
      <c r="BU140" s="204" t="str">
        <f>(G140*AR140)+if(AV140=data!A$9,AO140,AN140)+AP140+BR140+BT140</f>
        <v>#N/A</v>
      </c>
      <c r="BV140" s="204" t="str">
        <f>(G140*AR140)+if(AV140=data!A$9,AO140,AN140)+AP140+BT140+G140</f>
        <v>#N/A</v>
      </c>
      <c r="BW140" s="204" t="str">
        <f t="shared" si="28"/>
        <v>#N/A</v>
      </c>
      <c r="BX140" s="204" t="str">
        <f t="shared" si="29"/>
        <v>#N/A</v>
      </c>
    </row>
    <row r="141">
      <c r="A141" s="165" t="str">
        <f>if(D141=true,if(F141=data!A$1,data!A$10,data!A$11),)</f>
        <v/>
      </c>
      <c r="B141" s="166" t="str">
        <f t="shared" si="4"/>
        <v>FBS</v>
      </c>
      <c r="C141" s="167" t="s">
        <v>195</v>
      </c>
      <c r="D141" s="168" t="b">
        <v>0</v>
      </c>
      <c r="E141" s="169" t="s">
        <v>204</v>
      </c>
      <c r="F141" s="170" t="str">
        <f t="array" ref="F141">IF(D141=TRUE,IF(IF(BG$3=VLOOKUP(AT141,{'▶️ Инструкция'!C:C,'▶️ Инструкция'!G:G},2,FALSE),BG141,BH141)&gt;VLOOKUP(AT141,{'▶️ Инструкция'!C:C,'▶️ Инструкция'!N:N},2,FALSE),data!A$1,data!A$2),)</f>
        <v/>
      </c>
      <c r="G141" s="171">
        <v>0.0</v>
      </c>
      <c r="H141" s="172">
        <v>1000.0</v>
      </c>
      <c r="I141" s="173">
        <v>0.0</v>
      </c>
      <c r="J141" s="173">
        <v>0.0</v>
      </c>
      <c r="K141" s="174" t="str">
        <f t="shared" si="5"/>
        <v/>
      </c>
      <c r="L141" s="175">
        <v>0.0</v>
      </c>
      <c r="M141" s="176" t="s">
        <v>197</v>
      </c>
      <c r="N141" s="177">
        <f>IFERROR(__xludf.DUMMYFUNCTION("ArrayFormula(let(category,VLOOKUP($M141, {'📄 Комиссии'!$C:$C , '📄 Комиссии'!$B:$B}, 2, 0),
data,MATCH('🔒 Доп. информация'!$J$15:$J203,TRANSPOSE(SPLIT(INDEX('▶️ Инструкция'!$Q:$Q,MATCH($AT141,'▶️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commission,VLOOKUP($M141,'📄 Комиссии'!$C:$E,IF($AV141=data!A$8,2,3),0),
IF(NOT(ISBLANK($M141)),commission/100+
"&amp;"IFERROR(VLOOKUP($AT141,{'▶️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41" s="178" t="str">
        <f t="shared" si="6"/>
        <v/>
      </c>
      <c r="Q141" s="178" t="str">
        <f t="shared" si="7"/>
        <v/>
      </c>
      <c r="S141" s="179" t="s">
        <v>192</v>
      </c>
      <c r="T141" s="180" t="s">
        <v>193</v>
      </c>
      <c r="U141" s="181">
        <v>1.0</v>
      </c>
      <c r="V141" s="182" t="str">
        <f t="shared" ref="V141:Y141" si="431">IF($D141,"🔒",)</f>
        <v/>
      </c>
      <c r="W141" s="182" t="str">
        <f t="shared" si="431"/>
        <v/>
      </c>
      <c r="X141" s="182" t="str">
        <f t="shared" si="431"/>
        <v/>
      </c>
      <c r="Y141" s="182" t="str">
        <f t="shared" si="431"/>
        <v/>
      </c>
      <c r="Z141" s="183">
        <v>0.0</v>
      </c>
      <c r="AA141" s="184">
        <f t="shared" si="31"/>
        <v>0</v>
      </c>
      <c r="AB141" s="185" t="str">
        <f t="shared" ref="AB141:AD141" si="432">IF($D141,"🔒",)</f>
        <v/>
      </c>
      <c r="AC141" s="185" t="str">
        <f t="shared" si="432"/>
        <v/>
      </c>
      <c r="AD141" s="186" t="str">
        <f t="shared" si="432"/>
        <v/>
      </c>
      <c r="AE141" s="180">
        <v>30.0</v>
      </c>
      <c r="AF141" s="187">
        <v>0.0</v>
      </c>
      <c r="AG141" s="187">
        <v>0.0</v>
      </c>
      <c r="AH141" s="187">
        <v>0.0</v>
      </c>
      <c r="AI141" s="181">
        <f t="shared" si="10"/>
        <v>0</v>
      </c>
      <c r="AJ141" s="181">
        <f t="shared" si="11"/>
        <v>0</v>
      </c>
      <c r="AK141" s="185" t="str">
        <f t="shared" si="12"/>
        <v/>
      </c>
      <c r="AL141" s="188" t="str">
        <f t="array" ref="AL141">H141*(1-I141)*VLOOKUP(AT141,{'▶️ Инструкция'!C:C,'▶️ Инструкция'!AI:AI},2,false)</f>
        <v>#N/A</v>
      </c>
      <c r="AM141" s="186" t="str">
        <f t="shared" si="13"/>
        <v/>
      </c>
      <c r="AN141" s="189">
        <v>0.0</v>
      </c>
      <c r="AO141" s="189">
        <v>0.0</v>
      </c>
      <c r="AP141" s="189">
        <v>0.0</v>
      </c>
      <c r="AQ141" s="191">
        <v>1.0</v>
      </c>
      <c r="AR141" s="191">
        <v>0.0</v>
      </c>
      <c r="AS141" s="212">
        <v>0.0</v>
      </c>
      <c r="AT141" s="193" t="s">
        <v>206</v>
      </c>
      <c r="AU141" s="193" t="s">
        <v>121</v>
      </c>
      <c r="AV141" s="193" t="s">
        <v>199</v>
      </c>
      <c r="AW141" s="194">
        <f t="shared" si="14"/>
        <v>0</v>
      </c>
      <c r="AX141" s="195">
        <f t="shared" si="15"/>
        <v>0</v>
      </c>
      <c r="AY141" s="196" t="str">
        <f t="shared" si="16"/>
        <v>#N/A</v>
      </c>
      <c r="AZ141" s="213">
        <v>250.0</v>
      </c>
      <c r="BA141" s="196">
        <f t="shared" si="17"/>
        <v>0.25</v>
      </c>
      <c r="BB141" s="213">
        <f t="shared" si="18"/>
        <v>1000</v>
      </c>
      <c r="BC141" s="199" t="str">
        <f t="shared" si="19"/>
        <v>#N/A</v>
      </c>
      <c r="BD141" s="200" t="str">
        <f t="shared" si="20"/>
        <v>#N/A</v>
      </c>
      <c r="BE141" s="200">
        <f t="shared" si="21"/>
        <v>0</v>
      </c>
      <c r="BF141" s="201" t="str">
        <f t="shared" si="22"/>
        <v/>
      </c>
      <c r="BG141" s="201" t="str">
        <f t="shared" si="23"/>
        <v/>
      </c>
      <c r="BH141" s="202" t="str">
        <f t="shared" si="24"/>
        <v/>
      </c>
      <c r="BI141" s="203"/>
      <c r="BJ141" s="204">
        <f>IFERROR(__xludf.DUMMYFUNCTION("IF(AU141=data!A$5,
IF(AV141=data!A$8,
IF(T141=data!A$3,
VLOOKUP(S141,filter('🔒 Доп. информация'!D:H,'🔒 Доп. информация'!C:C=T141),4,FALSE)+VLOOKUP(S141,filter('🔒 Доп. информация'!D:H,'🔒 Доп. информация'!C:C=T141),5,FALSE)*AJ141,
IF(AND(MAX(AF141:AH141"&amp;")&lt;80,SUM(AF141:AH141)&lt;=160,AI141&lt;20,XLOOKUP(M141,'📄 Комиссии'!C:C,'📄 Комиссии'!B:B)&lt;&gt;""Продукты""),
VLOOKUP(S141,filter('🔒 Доп. информация'!D:H,'🔒 Доп. информация'!C:C=data!$A$3),4,FALSE)+VLOOKUP(S141,filter('🔒 Доп. информация'!D:H,'🔒 Доп. информаци"&amp;"я'!C:C=data!$A$3),5,FALSE)*AJ141,
VLOOKUP(S141,filter('🔒 Доп. информация'!D:H,'🔒 Доп. информация'!C:C=T141),4,FALSE)*ROUNDUP(AF141*AG141*AH141*L141/(120*80*175))/L141)
)
*(AE141/2)
,)
,)*0"),0.0)</f>
        <v>0</v>
      </c>
      <c r="BK141" s="204">
        <f>IFERROR(__xludf.DUMMYFUNCTION("IF(AU141=data!A$5,
IF(AI141&lt;=1,IF(AI141&lt;=0.8,IF(AI141&lt;=0.6,IF(AI141&lt;=0.4,IF(AI141&lt;=0.2,23,26),29),30),32)*VLOOKUP(S141,filter('🔒 Доп. информация'!D:E,'🔒 Доп. информация'!C:C=T141),2,FALSE)/'🔒 Доп. информация'!$K$9,
IF(AV141=data!A$8,U141,1)*VLOOKUP(S14"&amp;"1,filter('🔒 Доп. информация'!D:E,'🔒 Доп. информация'!C:C=T141),2,FALSE)+
IF(AV141=data!A$8,U141,1)*VLOOKUP(S141,filter('🔒 Доп. информация'!D:F,'🔒 Доп. информация'!C:C=T141),3,FALSE)*AJ141)
,0)"),69.0)</f>
        <v>69</v>
      </c>
      <c r="BL141" s="185" t="str">
        <f t="shared" ref="BL141:BM141" si="433">IF($D141,"🔒",)</f>
        <v/>
      </c>
      <c r="BM141" s="185" t="str">
        <f t="shared" si="433"/>
        <v/>
      </c>
      <c r="BN141" s="204">
        <f>VLOOKUP(T141,'🔒 Доп. информация'!J:P,7,false)</f>
        <v>50</v>
      </c>
      <c r="BO141" s="204">
        <f>IF(AV141=data!A$9,
(AA141+AO141+AP141+BJ141+BK141+BN141)+H141*AS141,
(BJ141+BK141+BN141)+H141*AS141
)</f>
        <v>119</v>
      </c>
      <c r="BP141" s="204">
        <f t="shared" si="26"/>
        <v>69</v>
      </c>
      <c r="BQ141" s="204">
        <f t="shared" si="27"/>
        <v>320</v>
      </c>
      <c r="BR141" s="204" t="str">
        <f t="shared" si="37"/>
        <v>#N/A</v>
      </c>
      <c r="BS141" s="204" t="str">
        <f t="array" ref="BS141">IF(VLOOKUP(AT141,{'▶️ Инструкция'!C:C,'▶️ Инструкция'!Y:Y},2,FALSE)=data!A$15,
H141*(1-I141),
(H141-BR141))
*VLOOKUP(AT141,{'▶️ Инструкция'!C:C,'▶️ Инструкция'!AD:AD},2,FALSE)/(1+VLOOKUP(AT141,{'▶️ Инструкция'!C:C,'▶️ Инструкция'!AD:AD},2,FALSE))</f>
        <v>#N/A</v>
      </c>
      <c r="BT141" s="204" t="str">
        <f t="array" ref="BT141">
IF(VLOOKUP(AT141,{'▶️ Инструкция'!C:C,'▶️ Инструкция'!Y:Y},2,FALSE)=data!A$15,
H141*(1-I141)-BS141,
(H141-BR141-BS141))
*
VLOOKUP(AT141,{'▶️ Инструкция'!C:C,'▶️ Инструкция'!R:R},2,FALSE)
+BS141</f>
        <v>#N/A</v>
      </c>
      <c r="BU141" s="204" t="str">
        <f>(G141*AR141)+if(AV141=data!A$9,AO141,AN141)+AP141+BR141+BT141</f>
        <v>#N/A</v>
      </c>
      <c r="BV141" s="204" t="str">
        <f>(G141*AR141)+if(AV141=data!A$9,AO141,AN141)+AP141+BT141+G141</f>
        <v>#N/A</v>
      </c>
      <c r="BW141" s="204" t="str">
        <f t="shared" si="28"/>
        <v>#N/A</v>
      </c>
      <c r="BX141" s="204" t="str">
        <f t="shared" si="29"/>
        <v>#N/A</v>
      </c>
    </row>
    <row r="142">
      <c r="A142" s="165" t="str">
        <f>if(D142=true,if(F142=data!A$1,data!A$10,data!A$11),)</f>
        <v/>
      </c>
      <c r="B142" s="166" t="str">
        <f t="shared" si="4"/>
        <v>FBS</v>
      </c>
      <c r="C142" s="167" t="s">
        <v>195</v>
      </c>
      <c r="D142" s="168" t="b">
        <v>0</v>
      </c>
      <c r="E142" s="169" t="s">
        <v>204</v>
      </c>
      <c r="F142" s="170" t="str">
        <f t="array" ref="F142">IF(D142=TRUE,IF(IF(BG$3=VLOOKUP(AT142,{'▶️ Инструкция'!C:C,'▶️ Инструкция'!G:G},2,FALSE),BG142,BH142)&gt;VLOOKUP(AT142,{'▶️ Инструкция'!C:C,'▶️ Инструкция'!N:N},2,FALSE),data!A$1,data!A$2),)</f>
        <v/>
      </c>
      <c r="G142" s="171">
        <v>0.0</v>
      </c>
      <c r="H142" s="172">
        <v>1000.0</v>
      </c>
      <c r="I142" s="173">
        <v>0.0</v>
      </c>
      <c r="J142" s="173">
        <v>0.0</v>
      </c>
      <c r="K142" s="174" t="str">
        <f t="shared" si="5"/>
        <v/>
      </c>
      <c r="L142" s="175">
        <v>0.0</v>
      </c>
      <c r="M142" s="176" t="s">
        <v>197</v>
      </c>
      <c r="N142" s="177">
        <f>IFERROR(__xludf.DUMMYFUNCTION("ArrayFormula(let(category,VLOOKUP($M142, {'📄 Комиссии'!$C:$C , '📄 Комиссии'!$B:$B}, 2, 0),
data,MATCH('🔒 Доп. информация'!$J$15:$J203,TRANSPOSE(SPLIT(INDEX('▶️ Инструкция'!$Q:$Q,MATCH($AT142,'▶️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commission,VLOOKUP($M142,'📄 Комиссии'!$C:$E,IF($AV142=data!A$8,2,3),0),
IF(NOT(ISBLANK($M142)),commission/100+
"&amp;"IFERROR(VLOOKUP($AT142,{'▶️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42" s="178" t="str">
        <f t="shared" si="6"/>
        <v/>
      </c>
      <c r="Q142" s="178" t="str">
        <f t="shared" si="7"/>
        <v/>
      </c>
      <c r="S142" s="179" t="s">
        <v>192</v>
      </c>
      <c r="T142" s="180" t="s">
        <v>193</v>
      </c>
      <c r="U142" s="181">
        <v>1.0</v>
      </c>
      <c r="V142" s="182" t="str">
        <f t="shared" ref="V142:Y142" si="434">IF($D142,"🔒",)</f>
        <v/>
      </c>
      <c r="W142" s="182" t="str">
        <f t="shared" si="434"/>
        <v/>
      </c>
      <c r="X142" s="182" t="str">
        <f t="shared" si="434"/>
        <v/>
      </c>
      <c r="Y142" s="182" t="str">
        <f t="shared" si="434"/>
        <v/>
      </c>
      <c r="Z142" s="183">
        <v>0.0</v>
      </c>
      <c r="AA142" s="184">
        <f t="shared" si="31"/>
        <v>0</v>
      </c>
      <c r="AB142" s="185" t="str">
        <f t="shared" ref="AB142:AD142" si="435">IF($D142,"🔒",)</f>
        <v/>
      </c>
      <c r="AC142" s="185" t="str">
        <f t="shared" si="435"/>
        <v/>
      </c>
      <c r="AD142" s="186" t="str">
        <f t="shared" si="435"/>
        <v/>
      </c>
      <c r="AE142" s="180">
        <v>30.0</v>
      </c>
      <c r="AF142" s="187">
        <v>0.0</v>
      </c>
      <c r="AG142" s="187">
        <v>0.0</v>
      </c>
      <c r="AH142" s="187">
        <v>0.0</v>
      </c>
      <c r="AI142" s="181">
        <f t="shared" si="10"/>
        <v>0</v>
      </c>
      <c r="AJ142" s="181">
        <f t="shared" si="11"/>
        <v>0</v>
      </c>
      <c r="AK142" s="185" t="str">
        <f t="shared" si="12"/>
        <v/>
      </c>
      <c r="AL142" s="188" t="str">
        <f t="array" ref="AL142">H142*(1-I142)*VLOOKUP(AT142,{'▶️ Инструкция'!C:C,'▶️ Инструкция'!AI:AI},2,false)</f>
        <v>#N/A</v>
      </c>
      <c r="AM142" s="186" t="str">
        <f t="shared" si="13"/>
        <v/>
      </c>
      <c r="AN142" s="189">
        <v>0.0</v>
      </c>
      <c r="AO142" s="189">
        <v>0.0</v>
      </c>
      <c r="AP142" s="189">
        <v>0.0</v>
      </c>
      <c r="AQ142" s="191">
        <v>1.0</v>
      </c>
      <c r="AR142" s="191">
        <v>0.0</v>
      </c>
      <c r="AS142" s="212">
        <v>0.0</v>
      </c>
      <c r="AT142" s="193" t="s">
        <v>206</v>
      </c>
      <c r="AU142" s="193" t="s">
        <v>121</v>
      </c>
      <c r="AV142" s="193" t="s">
        <v>199</v>
      </c>
      <c r="AW142" s="194">
        <f t="shared" si="14"/>
        <v>0</v>
      </c>
      <c r="AX142" s="195">
        <f t="shared" si="15"/>
        <v>0</v>
      </c>
      <c r="AY142" s="196" t="str">
        <f t="shared" si="16"/>
        <v>#N/A</v>
      </c>
      <c r="AZ142" s="213">
        <v>250.0</v>
      </c>
      <c r="BA142" s="196">
        <f t="shared" si="17"/>
        <v>0.25</v>
      </c>
      <c r="BB142" s="213">
        <f t="shared" si="18"/>
        <v>1000</v>
      </c>
      <c r="BC142" s="199" t="str">
        <f t="shared" si="19"/>
        <v>#N/A</v>
      </c>
      <c r="BD142" s="200" t="str">
        <f t="shared" si="20"/>
        <v>#N/A</v>
      </c>
      <c r="BE142" s="200">
        <f t="shared" si="21"/>
        <v>0</v>
      </c>
      <c r="BF142" s="201" t="str">
        <f t="shared" si="22"/>
        <v/>
      </c>
      <c r="BG142" s="201" t="str">
        <f t="shared" si="23"/>
        <v/>
      </c>
      <c r="BH142" s="202" t="str">
        <f t="shared" si="24"/>
        <v/>
      </c>
      <c r="BI142" s="203"/>
      <c r="BJ142" s="204">
        <f>IFERROR(__xludf.DUMMYFUNCTION("IF(AU142=data!A$5,
IF(AV142=data!A$8,
IF(T142=data!A$3,
VLOOKUP(S142,filter('🔒 Доп. информация'!D:H,'🔒 Доп. информация'!C:C=T142),4,FALSE)+VLOOKUP(S142,filter('🔒 Доп. информация'!D:H,'🔒 Доп. информация'!C:C=T142),5,FALSE)*AJ142,
IF(AND(MAX(AF142:AH142"&amp;")&lt;80,SUM(AF142:AH142)&lt;=160,AI142&lt;20,XLOOKUP(M142,'📄 Комиссии'!C:C,'📄 Комиссии'!B:B)&lt;&gt;""Продукты""),
VLOOKUP(S142,filter('🔒 Доп. информация'!D:H,'🔒 Доп. информация'!C:C=data!$A$3),4,FALSE)+VLOOKUP(S142,filter('🔒 Доп. информация'!D:H,'🔒 Доп. информаци"&amp;"я'!C:C=data!$A$3),5,FALSE)*AJ142,
VLOOKUP(S142,filter('🔒 Доп. информация'!D:H,'🔒 Доп. информация'!C:C=T142),4,FALSE)*ROUNDUP(AF142*AG142*AH142*L142/(120*80*175))/L142)
)
*(AE142/2)
,)
,)*0"),0.0)</f>
        <v>0</v>
      </c>
      <c r="BK142" s="204">
        <f>IFERROR(__xludf.DUMMYFUNCTION("IF(AU142=data!A$5,
IF(AI142&lt;=1,IF(AI142&lt;=0.8,IF(AI142&lt;=0.6,IF(AI142&lt;=0.4,IF(AI142&lt;=0.2,23,26),29),30),32)*VLOOKUP(S142,filter('🔒 Доп. информация'!D:E,'🔒 Доп. информация'!C:C=T142),2,FALSE)/'🔒 Доп. информация'!$K$9,
IF(AV142=data!A$8,U142,1)*VLOOKUP(S14"&amp;"2,filter('🔒 Доп. информация'!D:E,'🔒 Доп. информация'!C:C=T142),2,FALSE)+
IF(AV142=data!A$8,U142,1)*VLOOKUP(S142,filter('🔒 Доп. информация'!D:F,'🔒 Доп. информация'!C:C=T142),3,FALSE)*AJ142)
,0)"),69.0)</f>
        <v>69</v>
      </c>
      <c r="BL142" s="185" t="str">
        <f t="shared" ref="BL142:BM142" si="436">IF($D142,"🔒",)</f>
        <v/>
      </c>
      <c r="BM142" s="185" t="str">
        <f t="shared" si="436"/>
        <v/>
      </c>
      <c r="BN142" s="204">
        <f>VLOOKUP(T142,'🔒 Доп. информация'!J:P,7,false)</f>
        <v>50</v>
      </c>
      <c r="BO142" s="204">
        <f>IF(AV142=data!A$9,
(AA142+AO142+AP142+BJ142+BK142+BN142)+H142*AS142,
(BJ142+BK142+BN142)+H142*AS142
)</f>
        <v>119</v>
      </c>
      <c r="BP142" s="204">
        <f t="shared" si="26"/>
        <v>69</v>
      </c>
      <c r="BQ142" s="204">
        <f t="shared" si="27"/>
        <v>320</v>
      </c>
      <c r="BR142" s="204" t="str">
        <f t="shared" si="37"/>
        <v>#N/A</v>
      </c>
      <c r="BS142" s="204" t="str">
        <f t="array" ref="BS142">IF(VLOOKUP(AT142,{'▶️ Инструкция'!C:C,'▶️ Инструкция'!Y:Y},2,FALSE)=data!A$15,
H142*(1-I142),
(H142-BR142))
*VLOOKUP(AT142,{'▶️ Инструкция'!C:C,'▶️ Инструкция'!AD:AD},2,FALSE)/(1+VLOOKUP(AT142,{'▶️ Инструкция'!C:C,'▶️ Инструкция'!AD:AD},2,FALSE))</f>
        <v>#N/A</v>
      </c>
      <c r="BT142" s="204" t="str">
        <f t="array" ref="BT142">
IF(VLOOKUP(AT142,{'▶️ Инструкция'!C:C,'▶️ Инструкция'!Y:Y},2,FALSE)=data!A$15,
H142*(1-I142)-BS142,
(H142-BR142-BS142))
*
VLOOKUP(AT142,{'▶️ Инструкция'!C:C,'▶️ Инструкция'!R:R},2,FALSE)
+BS142</f>
        <v>#N/A</v>
      </c>
      <c r="BU142" s="204" t="str">
        <f>(G142*AR142)+if(AV142=data!A$9,AO142,AN142)+AP142+BR142+BT142</f>
        <v>#N/A</v>
      </c>
      <c r="BV142" s="204" t="str">
        <f>(G142*AR142)+if(AV142=data!A$9,AO142,AN142)+AP142+BT142+G142</f>
        <v>#N/A</v>
      </c>
      <c r="BW142" s="204" t="str">
        <f t="shared" si="28"/>
        <v>#N/A</v>
      </c>
      <c r="BX142" s="204" t="str">
        <f t="shared" si="29"/>
        <v>#N/A</v>
      </c>
    </row>
    <row r="143">
      <c r="A143" s="165" t="str">
        <f>if(D143=true,if(F143=data!A$1,data!A$10,data!A$11),)</f>
        <v/>
      </c>
      <c r="B143" s="166" t="str">
        <f t="shared" si="4"/>
        <v>FBS</v>
      </c>
      <c r="C143" s="167" t="s">
        <v>195</v>
      </c>
      <c r="D143" s="168" t="b">
        <v>0</v>
      </c>
      <c r="E143" s="169" t="s">
        <v>204</v>
      </c>
      <c r="F143" s="170" t="str">
        <f t="array" ref="F143">IF(D143=TRUE,IF(IF(BG$3=VLOOKUP(AT143,{'▶️ Инструкция'!C:C,'▶️ Инструкция'!G:G},2,FALSE),BG143,BH143)&gt;VLOOKUP(AT143,{'▶️ Инструкция'!C:C,'▶️ Инструкция'!N:N},2,FALSE),data!A$1,data!A$2),)</f>
        <v/>
      </c>
      <c r="G143" s="171">
        <v>0.0</v>
      </c>
      <c r="H143" s="172">
        <v>1000.0</v>
      </c>
      <c r="I143" s="173">
        <v>0.0</v>
      </c>
      <c r="J143" s="173">
        <v>0.0</v>
      </c>
      <c r="K143" s="174" t="str">
        <f t="shared" si="5"/>
        <v/>
      </c>
      <c r="L143" s="175">
        <v>0.0</v>
      </c>
      <c r="M143" s="176" t="s">
        <v>197</v>
      </c>
      <c r="N143" s="177">
        <f>IFERROR(__xludf.DUMMYFUNCTION("ArrayFormula(let(category,VLOOKUP($M143, {'📄 Комиссии'!$C:$C , '📄 Комиссии'!$B:$B}, 2, 0),
data,MATCH('🔒 Доп. информация'!$J$15:$J203,TRANSPOSE(SPLIT(INDEX('▶️ Инструкция'!$Q:$Q,MATCH($AT143,'▶️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commission,VLOOKUP($M143,'📄 Комиссии'!$C:$E,IF($AV143=data!A$8,2,3),0),
IF(NOT(ISBLANK($M143)),commission/100+
"&amp;"IFERROR(VLOOKUP($AT143,{'▶️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43" s="178" t="str">
        <f t="shared" si="6"/>
        <v/>
      </c>
      <c r="Q143" s="178" t="str">
        <f t="shared" si="7"/>
        <v/>
      </c>
      <c r="S143" s="179" t="s">
        <v>192</v>
      </c>
      <c r="T143" s="180" t="s">
        <v>193</v>
      </c>
      <c r="U143" s="181">
        <v>1.0</v>
      </c>
      <c r="V143" s="182" t="str">
        <f t="shared" ref="V143:Y143" si="437">IF($D143,"🔒",)</f>
        <v/>
      </c>
      <c r="W143" s="182" t="str">
        <f t="shared" si="437"/>
        <v/>
      </c>
      <c r="X143" s="182" t="str">
        <f t="shared" si="437"/>
        <v/>
      </c>
      <c r="Y143" s="182" t="str">
        <f t="shared" si="437"/>
        <v/>
      </c>
      <c r="Z143" s="183">
        <v>0.0</v>
      </c>
      <c r="AA143" s="184">
        <f t="shared" si="31"/>
        <v>0</v>
      </c>
      <c r="AB143" s="185" t="str">
        <f t="shared" ref="AB143:AD143" si="438">IF($D143,"🔒",)</f>
        <v/>
      </c>
      <c r="AC143" s="185" t="str">
        <f t="shared" si="438"/>
        <v/>
      </c>
      <c r="AD143" s="186" t="str">
        <f t="shared" si="438"/>
        <v/>
      </c>
      <c r="AE143" s="180">
        <v>30.0</v>
      </c>
      <c r="AF143" s="187">
        <v>0.0</v>
      </c>
      <c r="AG143" s="187">
        <v>0.0</v>
      </c>
      <c r="AH143" s="187">
        <v>0.0</v>
      </c>
      <c r="AI143" s="181">
        <f t="shared" si="10"/>
        <v>0</v>
      </c>
      <c r="AJ143" s="181">
        <f t="shared" si="11"/>
        <v>0</v>
      </c>
      <c r="AK143" s="185" t="str">
        <f t="shared" si="12"/>
        <v/>
      </c>
      <c r="AL143" s="188" t="str">
        <f t="array" ref="AL143">H143*(1-I143)*VLOOKUP(AT143,{'▶️ Инструкция'!C:C,'▶️ Инструкция'!AI:AI},2,false)</f>
        <v>#N/A</v>
      </c>
      <c r="AM143" s="186" t="str">
        <f t="shared" si="13"/>
        <v/>
      </c>
      <c r="AN143" s="189">
        <v>0.0</v>
      </c>
      <c r="AO143" s="189">
        <v>0.0</v>
      </c>
      <c r="AP143" s="189">
        <v>0.0</v>
      </c>
      <c r="AQ143" s="191">
        <v>1.0</v>
      </c>
      <c r="AR143" s="191">
        <v>0.0</v>
      </c>
      <c r="AS143" s="212">
        <v>0.0</v>
      </c>
      <c r="AT143" s="193" t="s">
        <v>206</v>
      </c>
      <c r="AU143" s="193" t="s">
        <v>121</v>
      </c>
      <c r="AV143" s="193" t="s">
        <v>199</v>
      </c>
      <c r="AW143" s="194">
        <f t="shared" si="14"/>
        <v>0</v>
      </c>
      <c r="AX143" s="195">
        <f t="shared" si="15"/>
        <v>0</v>
      </c>
      <c r="AY143" s="196" t="str">
        <f t="shared" si="16"/>
        <v>#N/A</v>
      </c>
      <c r="AZ143" s="213">
        <v>250.0</v>
      </c>
      <c r="BA143" s="196">
        <f t="shared" si="17"/>
        <v>0.25</v>
      </c>
      <c r="BB143" s="213">
        <f t="shared" si="18"/>
        <v>1000</v>
      </c>
      <c r="BC143" s="199" t="str">
        <f t="shared" si="19"/>
        <v>#N/A</v>
      </c>
      <c r="BD143" s="200" t="str">
        <f t="shared" si="20"/>
        <v>#N/A</v>
      </c>
      <c r="BE143" s="200">
        <f t="shared" si="21"/>
        <v>0</v>
      </c>
      <c r="BF143" s="201" t="str">
        <f t="shared" si="22"/>
        <v/>
      </c>
      <c r="BG143" s="201" t="str">
        <f t="shared" si="23"/>
        <v/>
      </c>
      <c r="BH143" s="202" t="str">
        <f t="shared" si="24"/>
        <v/>
      </c>
      <c r="BI143" s="203"/>
      <c r="BJ143" s="204">
        <f>IFERROR(__xludf.DUMMYFUNCTION("IF(AU143=data!A$5,
IF(AV143=data!A$8,
IF(T143=data!A$3,
VLOOKUP(S143,filter('🔒 Доп. информация'!D:H,'🔒 Доп. информация'!C:C=T143),4,FALSE)+VLOOKUP(S143,filter('🔒 Доп. информация'!D:H,'🔒 Доп. информация'!C:C=T143),5,FALSE)*AJ143,
IF(AND(MAX(AF143:AH143"&amp;")&lt;80,SUM(AF143:AH143)&lt;=160,AI143&lt;20,XLOOKUP(M143,'📄 Комиссии'!C:C,'📄 Комиссии'!B:B)&lt;&gt;""Продукты""),
VLOOKUP(S143,filter('🔒 Доп. информация'!D:H,'🔒 Доп. информация'!C:C=data!$A$3),4,FALSE)+VLOOKUP(S143,filter('🔒 Доп. информация'!D:H,'🔒 Доп. информаци"&amp;"я'!C:C=data!$A$3),5,FALSE)*AJ143,
VLOOKUP(S143,filter('🔒 Доп. информация'!D:H,'🔒 Доп. информация'!C:C=T143),4,FALSE)*ROUNDUP(AF143*AG143*AH143*L143/(120*80*175))/L143)
)
*(AE143/2)
,)
,)*0"),0.0)</f>
        <v>0</v>
      </c>
      <c r="BK143" s="204">
        <f>IFERROR(__xludf.DUMMYFUNCTION("IF(AU143=data!A$5,
IF(AI143&lt;=1,IF(AI143&lt;=0.8,IF(AI143&lt;=0.6,IF(AI143&lt;=0.4,IF(AI143&lt;=0.2,23,26),29),30),32)*VLOOKUP(S143,filter('🔒 Доп. информация'!D:E,'🔒 Доп. информация'!C:C=T143),2,FALSE)/'🔒 Доп. информация'!$K$9,
IF(AV143=data!A$8,U143,1)*VLOOKUP(S14"&amp;"3,filter('🔒 Доп. информация'!D:E,'🔒 Доп. информация'!C:C=T143),2,FALSE)+
IF(AV143=data!A$8,U143,1)*VLOOKUP(S143,filter('🔒 Доп. информация'!D:F,'🔒 Доп. информация'!C:C=T143),3,FALSE)*AJ143)
,0)"),69.0)</f>
        <v>69</v>
      </c>
      <c r="BL143" s="185" t="str">
        <f t="shared" ref="BL143:BM143" si="439">IF($D143,"🔒",)</f>
        <v/>
      </c>
      <c r="BM143" s="185" t="str">
        <f t="shared" si="439"/>
        <v/>
      </c>
      <c r="BN143" s="204">
        <f>VLOOKUP(T143,'🔒 Доп. информация'!J:P,7,false)</f>
        <v>50</v>
      </c>
      <c r="BO143" s="204">
        <f>IF(AV143=data!A$9,
(AA143+AO143+AP143+BJ143+BK143+BN143)+H143*AS143,
(BJ143+BK143+BN143)+H143*AS143
)</f>
        <v>119</v>
      </c>
      <c r="BP143" s="204">
        <f t="shared" si="26"/>
        <v>69</v>
      </c>
      <c r="BQ143" s="204">
        <f t="shared" si="27"/>
        <v>320</v>
      </c>
      <c r="BR143" s="204" t="str">
        <f t="shared" si="37"/>
        <v>#N/A</v>
      </c>
      <c r="BS143" s="204" t="str">
        <f t="array" ref="BS143">IF(VLOOKUP(AT143,{'▶️ Инструкция'!C:C,'▶️ Инструкция'!Y:Y},2,FALSE)=data!A$15,
H143*(1-I143),
(H143-BR143))
*VLOOKUP(AT143,{'▶️ Инструкция'!C:C,'▶️ Инструкция'!AD:AD},2,FALSE)/(1+VLOOKUP(AT143,{'▶️ Инструкция'!C:C,'▶️ Инструкция'!AD:AD},2,FALSE))</f>
        <v>#N/A</v>
      </c>
      <c r="BT143" s="204" t="str">
        <f t="array" ref="BT143">
IF(VLOOKUP(AT143,{'▶️ Инструкция'!C:C,'▶️ Инструкция'!Y:Y},2,FALSE)=data!A$15,
H143*(1-I143)-BS143,
(H143-BR143-BS143))
*
VLOOKUP(AT143,{'▶️ Инструкция'!C:C,'▶️ Инструкция'!R:R},2,FALSE)
+BS143</f>
        <v>#N/A</v>
      </c>
      <c r="BU143" s="204" t="str">
        <f>(G143*AR143)+if(AV143=data!A$9,AO143,AN143)+AP143+BR143+BT143</f>
        <v>#N/A</v>
      </c>
      <c r="BV143" s="204" t="str">
        <f>(G143*AR143)+if(AV143=data!A$9,AO143,AN143)+AP143+BT143+G143</f>
        <v>#N/A</v>
      </c>
      <c r="BW143" s="204" t="str">
        <f t="shared" si="28"/>
        <v>#N/A</v>
      </c>
      <c r="BX143" s="204" t="str">
        <f t="shared" si="29"/>
        <v>#N/A</v>
      </c>
    </row>
    <row r="144">
      <c r="A144" s="165" t="str">
        <f>if(D144=true,if(F144=data!A$1,data!A$10,data!A$11),)</f>
        <v/>
      </c>
      <c r="B144" s="166" t="str">
        <f t="shared" si="4"/>
        <v>FBS</v>
      </c>
      <c r="C144" s="167" t="s">
        <v>195</v>
      </c>
      <c r="D144" s="168" t="b">
        <v>0</v>
      </c>
      <c r="E144" s="169" t="s">
        <v>204</v>
      </c>
      <c r="F144" s="170" t="str">
        <f t="array" ref="F144">IF(D144=TRUE,IF(IF(BG$3=VLOOKUP(AT144,{'▶️ Инструкция'!C:C,'▶️ Инструкция'!G:G},2,FALSE),BG144,BH144)&gt;VLOOKUP(AT144,{'▶️ Инструкция'!C:C,'▶️ Инструкция'!N:N},2,FALSE),data!A$1,data!A$2),)</f>
        <v/>
      </c>
      <c r="G144" s="171">
        <v>0.0</v>
      </c>
      <c r="H144" s="172">
        <v>1000.0</v>
      </c>
      <c r="I144" s="173">
        <v>0.0</v>
      </c>
      <c r="J144" s="173">
        <v>0.0</v>
      </c>
      <c r="K144" s="174" t="str">
        <f t="shared" si="5"/>
        <v/>
      </c>
      <c r="L144" s="175">
        <v>0.0</v>
      </c>
      <c r="M144" s="176" t="s">
        <v>197</v>
      </c>
      <c r="N144" s="177">
        <f>IFERROR(__xludf.DUMMYFUNCTION("ArrayFormula(let(category,VLOOKUP($M144, {'📄 Комиссии'!$C:$C , '📄 Комиссии'!$B:$B}, 2, 0),
data,MATCH('🔒 Доп. информация'!$J$15:$J203,TRANSPOSE(SPLIT(INDEX('▶️ Инструкция'!$Q:$Q,MATCH($AT144,'▶️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commission,VLOOKUP($M144,'📄 Комиссии'!$C:$E,IF($AV144=data!A$8,2,3),0),
IF(NOT(ISBLANK($M144)),commission/100+
"&amp;"IFERROR(VLOOKUP($AT144,{'▶️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44" s="178" t="str">
        <f t="shared" si="6"/>
        <v/>
      </c>
      <c r="Q144" s="178" t="str">
        <f t="shared" si="7"/>
        <v/>
      </c>
      <c r="S144" s="179" t="s">
        <v>192</v>
      </c>
      <c r="T144" s="180" t="s">
        <v>193</v>
      </c>
      <c r="U144" s="181">
        <v>1.0</v>
      </c>
      <c r="V144" s="182" t="str">
        <f t="shared" ref="V144:Y144" si="440">IF($D144,"🔒",)</f>
        <v/>
      </c>
      <c r="W144" s="182" t="str">
        <f t="shared" si="440"/>
        <v/>
      </c>
      <c r="X144" s="182" t="str">
        <f t="shared" si="440"/>
        <v/>
      </c>
      <c r="Y144" s="182" t="str">
        <f t="shared" si="440"/>
        <v/>
      </c>
      <c r="Z144" s="183">
        <v>0.0</v>
      </c>
      <c r="AA144" s="184">
        <f t="shared" si="31"/>
        <v>0</v>
      </c>
      <c r="AB144" s="185" t="str">
        <f t="shared" ref="AB144:AD144" si="441">IF($D144,"🔒",)</f>
        <v/>
      </c>
      <c r="AC144" s="185" t="str">
        <f t="shared" si="441"/>
        <v/>
      </c>
      <c r="AD144" s="186" t="str">
        <f t="shared" si="441"/>
        <v/>
      </c>
      <c r="AE144" s="180">
        <v>30.0</v>
      </c>
      <c r="AF144" s="187">
        <v>0.0</v>
      </c>
      <c r="AG144" s="187">
        <v>0.0</v>
      </c>
      <c r="AH144" s="187">
        <v>0.0</v>
      </c>
      <c r="AI144" s="181">
        <f t="shared" si="10"/>
        <v>0</v>
      </c>
      <c r="AJ144" s="181">
        <f t="shared" si="11"/>
        <v>0</v>
      </c>
      <c r="AK144" s="185" t="str">
        <f t="shared" si="12"/>
        <v/>
      </c>
      <c r="AL144" s="188" t="str">
        <f t="array" ref="AL144">H144*(1-I144)*VLOOKUP(AT144,{'▶️ Инструкция'!C:C,'▶️ Инструкция'!AI:AI},2,false)</f>
        <v>#N/A</v>
      </c>
      <c r="AM144" s="186" t="str">
        <f t="shared" si="13"/>
        <v/>
      </c>
      <c r="AN144" s="189">
        <v>0.0</v>
      </c>
      <c r="AO144" s="189">
        <v>0.0</v>
      </c>
      <c r="AP144" s="189">
        <v>0.0</v>
      </c>
      <c r="AQ144" s="191">
        <v>1.0</v>
      </c>
      <c r="AR144" s="191">
        <v>0.0</v>
      </c>
      <c r="AS144" s="212">
        <v>0.0</v>
      </c>
      <c r="AT144" s="193" t="s">
        <v>206</v>
      </c>
      <c r="AU144" s="193" t="s">
        <v>121</v>
      </c>
      <c r="AV144" s="193" t="s">
        <v>199</v>
      </c>
      <c r="AW144" s="194">
        <f t="shared" si="14"/>
        <v>0</v>
      </c>
      <c r="AX144" s="195">
        <f t="shared" si="15"/>
        <v>0</v>
      </c>
      <c r="AY144" s="196" t="str">
        <f t="shared" si="16"/>
        <v>#N/A</v>
      </c>
      <c r="AZ144" s="213">
        <v>250.0</v>
      </c>
      <c r="BA144" s="196">
        <f t="shared" si="17"/>
        <v>0.25</v>
      </c>
      <c r="BB144" s="213">
        <f t="shared" si="18"/>
        <v>1000</v>
      </c>
      <c r="BC144" s="199" t="str">
        <f t="shared" si="19"/>
        <v>#N/A</v>
      </c>
      <c r="BD144" s="200" t="str">
        <f t="shared" si="20"/>
        <v>#N/A</v>
      </c>
      <c r="BE144" s="200">
        <f t="shared" si="21"/>
        <v>0</v>
      </c>
      <c r="BF144" s="201" t="str">
        <f t="shared" si="22"/>
        <v/>
      </c>
      <c r="BG144" s="201" t="str">
        <f t="shared" si="23"/>
        <v/>
      </c>
      <c r="BH144" s="202" t="str">
        <f t="shared" si="24"/>
        <v/>
      </c>
      <c r="BI144" s="203"/>
      <c r="BJ144" s="204">
        <f>IFERROR(__xludf.DUMMYFUNCTION("IF(AU144=data!A$5,
IF(AV144=data!A$8,
IF(T144=data!A$3,
VLOOKUP(S144,filter('🔒 Доп. информация'!D:H,'🔒 Доп. информация'!C:C=T144),4,FALSE)+VLOOKUP(S144,filter('🔒 Доп. информация'!D:H,'🔒 Доп. информация'!C:C=T144),5,FALSE)*AJ144,
IF(AND(MAX(AF144:AH144"&amp;")&lt;80,SUM(AF144:AH144)&lt;=160,AI144&lt;20,XLOOKUP(M144,'📄 Комиссии'!C:C,'📄 Комиссии'!B:B)&lt;&gt;""Продукты""),
VLOOKUP(S144,filter('🔒 Доп. информация'!D:H,'🔒 Доп. информация'!C:C=data!$A$3),4,FALSE)+VLOOKUP(S144,filter('🔒 Доп. информация'!D:H,'🔒 Доп. информаци"&amp;"я'!C:C=data!$A$3),5,FALSE)*AJ144,
VLOOKUP(S144,filter('🔒 Доп. информация'!D:H,'🔒 Доп. информация'!C:C=T144),4,FALSE)*ROUNDUP(AF144*AG144*AH144*L144/(120*80*175))/L144)
)
*(AE144/2)
,)
,)*0"),0.0)</f>
        <v>0</v>
      </c>
      <c r="BK144" s="204">
        <f>IFERROR(__xludf.DUMMYFUNCTION("IF(AU144=data!A$5,
IF(AI144&lt;=1,IF(AI144&lt;=0.8,IF(AI144&lt;=0.6,IF(AI144&lt;=0.4,IF(AI144&lt;=0.2,23,26),29),30),32)*VLOOKUP(S144,filter('🔒 Доп. информация'!D:E,'🔒 Доп. информация'!C:C=T144),2,FALSE)/'🔒 Доп. информация'!$K$9,
IF(AV144=data!A$8,U144,1)*VLOOKUP(S14"&amp;"4,filter('🔒 Доп. информация'!D:E,'🔒 Доп. информация'!C:C=T144),2,FALSE)+
IF(AV144=data!A$8,U144,1)*VLOOKUP(S144,filter('🔒 Доп. информация'!D:F,'🔒 Доп. информация'!C:C=T144),3,FALSE)*AJ144)
,0)"),69.0)</f>
        <v>69</v>
      </c>
      <c r="BL144" s="185" t="str">
        <f t="shared" ref="BL144:BM144" si="442">IF($D144,"🔒",)</f>
        <v/>
      </c>
      <c r="BM144" s="185" t="str">
        <f t="shared" si="442"/>
        <v/>
      </c>
      <c r="BN144" s="204">
        <f>VLOOKUP(T144,'🔒 Доп. информация'!J:P,7,false)</f>
        <v>50</v>
      </c>
      <c r="BO144" s="204">
        <f>IF(AV144=data!A$9,
(AA144+AO144+AP144+BJ144+BK144+BN144)+H144*AS144,
(BJ144+BK144+BN144)+H144*AS144
)</f>
        <v>119</v>
      </c>
      <c r="BP144" s="204">
        <f t="shared" si="26"/>
        <v>69</v>
      </c>
      <c r="BQ144" s="204">
        <f t="shared" si="27"/>
        <v>320</v>
      </c>
      <c r="BR144" s="204" t="str">
        <f t="shared" si="37"/>
        <v>#N/A</v>
      </c>
      <c r="BS144" s="204" t="str">
        <f t="array" ref="BS144">IF(VLOOKUP(AT144,{'▶️ Инструкция'!C:C,'▶️ Инструкция'!Y:Y},2,FALSE)=data!A$15,
H144*(1-I144),
(H144-BR144))
*VLOOKUP(AT144,{'▶️ Инструкция'!C:C,'▶️ Инструкция'!AD:AD},2,FALSE)/(1+VLOOKUP(AT144,{'▶️ Инструкция'!C:C,'▶️ Инструкция'!AD:AD},2,FALSE))</f>
        <v>#N/A</v>
      </c>
      <c r="BT144" s="204" t="str">
        <f t="array" ref="BT144">
IF(VLOOKUP(AT144,{'▶️ Инструкция'!C:C,'▶️ Инструкция'!Y:Y},2,FALSE)=data!A$15,
H144*(1-I144)-BS144,
(H144-BR144-BS144))
*
VLOOKUP(AT144,{'▶️ Инструкция'!C:C,'▶️ Инструкция'!R:R},2,FALSE)
+BS144</f>
        <v>#N/A</v>
      </c>
      <c r="BU144" s="204" t="str">
        <f>(G144*AR144)+if(AV144=data!A$9,AO144,AN144)+AP144+BR144+BT144</f>
        <v>#N/A</v>
      </c>
      <c r="BV144" s="204" t="str">
        <f>(G144*AR144)+if(AV144=data!A$9,AO144,AN144)+AP144+BT144+G144</f>
        <v>#N/A</v>
      </c>
      <c r="BW144" s="204" t="str">
        <f t="shared" si="28"/>
        <v>#N/A</v>
      </c>
      <c r="BX144" s="204" t="str">
        <f t="shared" si="29"/>
        <v>#N/A</v>
      </c>
    </row>
    <row r="145">
      <c r="A145" s="165" t="str">
        <f>if(D145=true,if(F145=data!A$1,data!A$10,data!A$11),)</f>
        <v/>
      </c>
      <c r="B145" s="166" t="str">
        <f t="shared" si="4"/>
        <v>FBS</v>
      </c>
      <c r="C145" s="167" t="s">
        <v>195</v>
      </c>
      <c r="D145" s="168" t="b">
        <v>0</v>
      </c>
      <c r="E145" s="169" t="s">
        <v>204</v>
      </c>
      <c r="F145" s="170" t="str">
        <f t="array" ref="F145">IF(D145=TRUE,IF(IF(BG$3=VLOOKUP(AT145,{'▶️ Инструкция'!C:C,'▶️ Инструкция'!G:G},2,FALSE),BG145,BH145)&gt;VLOOKUP(AT145,{'▶️ Инструкция'!C:C,'▶️ Инструкция'!N:N},2,FALSE),data!A$1,data!A$2),)</f>
        <v/>
      </c>
      <c r="G145" s="171">
        <v>0.0</v>
      </c>
      <c r="H145" s="172">
        <v>1000.0</v>
      </c>
      <c r="I145" s="173">
        <v>0.0</v>
      </c>
      <c r="J145" s="173">
        <v>0.0</v>
      </c>
      <c r="K145" s="174" t="str">
        <f t="shared" si="5"/>
        <v/>
      </c>
      <c r="L145" s="175">
        <v>0.0</v>
      </c>
      <c r="M145" s="176" t="s">
        <v>197</v>
      </c>
      <c r="N145" s="177">
        <f>IFERROR(__xludf.DUMMYFUNCTION("ArrayFormula(let(category,VLOOKUP($M145, {'📄 Комиссии'!$C:$C , '📄 Комиссии'!$B:$B}, 2, 0),
data,MATCH('🔒 Доп. информация'!$J$15:$J203,TRANSPOSE(SPLIT(INDEX('▶️ Инструкция'!$Q:$Q,MATCH($AT145,'▶️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commission,VLOOKUP($M145,'📄 Комиссии'!$C:$E,IF($AV145=data!A$8,2,3),0),
IF(NOT(ISBLANK($M145)),commission/100+
"&amp;"IFERROR(VLOOKUP($AT145,{'▶️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45" s="178" t="str">
        <f t="shared" si="6"/>
        <v/>
      </c>
      <c r="Q145" s="178" t="str">
        <f t="shared" si="7"/>
        <v/>
      </c>
      <c r="S145" s="179" t="s">
        <v>192</v>
      </c>
      <c r="T145" s="180" t="s">
        <v>193</v>
      </c>
      <c r="U145" s="181">
        <v>1.0</v>
      </c>
      <c r="V145" s="182" t="str">
        <f t="shared" ref="V145:Y145" si="443">IF($D145,"🔒",)</f>
        <v/>
      </c>
      <c r="W145" s="182" t="str">
        <f t="shared" si="443"/>
        <v/>
      </c>
      <c r="X145" s="182" t="str">
        <f t="shared" si="443"/>
        <v/>
      </c>
      <c r="Y145" s="182" t="str">
        <f t="shared" si="443"/>
        <v/>
      </c>
      <c r="Z145" s="183">
        <v>0.0</v>
      </c>
      <c r="AA145" s="184">
        <f t="shared" si="31"/>
        <v>0</v>
      </c>
      <c r="AB145" s="185" t="str">
        <f t="shared" ref="AB145:AD145" si="444">IF($D145,"🔒",)</f>
        <v/>
      </c>
      <c r="AC145" s="185" t="str">
        <f t="shared" si="444"/>
        <v/>
      </c>
      <c r="AD145" s="186" t="str">
        <f t="shared" si="444"/>
        <v/>
      </c>
      <c r="AE145" s="180">
        <v>30.0</v>
      </c>
      <c r="AF145" s="187">
        <v>0.0</v>
      </c>
      <c r="AG145" s="187">
        <v>0.0</v>
      </c>
      <c r="AH145" s="187">
        <v>0.0</v>
      </c>
      <c r="AI145" s="181">
        <f t="shared" si="10"/>
        <v>0</v>
      </c>
      <c r="AJ145" s="181">
        <f t="shared" si="11"/>
        <v>0</v>
      </c>
      <c r="AK145" s="185" t="str">
        <f t="shared" si="12"/>
        <v/>
      </c>
      <c r="AL145" s="188" t="str">
        <f t="array" ref="AL145">H145*(1-I145)*VLOOKUP(AT145,{'▶️ Инструкция'!C:C,'▶️ Инструкция'!AI:AI},2,false)</f>
        <v>#N/A</v>
      </c>
      <c r="AM145" s="186" t="str">
        <f t="shared" si="13"/>
        <v/>
      </c>
      <c r="AN145" s="189">
        <v>0.0</v>
      </c>
      <c r="AO145" s="189">
        <v>0.0</v>
      </c>
      <c r="AP145" s="189">
        <v>0.0</v>
      </c>
      <c r="AQ145" s="191">
        <v>1.0</v>
      </c>
      <c r="AR145" s="191">
        <v>0.0</v>
      </c>
      <c r="AS145" s="212">
        <v>0.0</v>
      </c>
      <c r="AT145" s="193" t="s">
        <v>206</v>
      </c>
      <c r="AU145" s="193" t="s">
        <v>121</v>
      </c>
      <c r="AV145" s="193" t="s">
        <v>199</v>
      </c>
      <c r="AW145" s="194">
        <f t="shared" si="14"/>
        <v>0</v>
      </c>
      <c r="AX145" s="195">
        <f t="shared" si="15"/>
        <v>0</v>
      </c>
      <c r="AY145" s="196" t="str">
        <f t="shared" si="16"/>
        <v>#N/A</v>
      </c>
      <c r="AZ145" s="213">
        <v>250.0</v>
      </c>
      <c r="BA145" s="196">
        <f t="shared" si="17"/>
        <v>0.25</v>
      </c>
      <c r="BB145" s="213">
        <f t="shared" si="18"/>
        <v>1000</v>
      </c>
      <c r="BC145" s="199" t="str">
        <f t="shared" si="19"/>
        <v>#N/A</v>
      </c>
      <c r="BD145" s="200" t="str">
        <f t="shared" si="20"/>
        <v>#N/A</v>
      </c>
      <c r="BE145" s="200">
        <f t="shared" si="21"/>
        <v>0</v>
      </c>
      <c r="BF145" s="201" t="str">
        <f t="shared" si="22"/>
        <v/>
      </c>
      <c r="BG145" s="201" t="str">
        <f t="shared" si="23"/>
        <v/>
      </c>
      <c r="BH145" s="202" t="str">
        <f t="shared" si="24"/>
        <v/>
      </c>
      <c r="BI145" s="203"/>
      <c r="BJ145" s="204">
        <f>IFERROR(__xludf.DUMMYFUNCTION("IF(AU145=data!A$5,
IF(AV145=data!A$8,
IF(T145=data!A$3,
VLOOKUP(S145,filter('🔒 Доп. информация'!D:H,'🔒 Доп. информация'!C:C=T145),4,FALSE)+VLOOKUP(S145,filter('🔒 Доп. информация'!D:H,'🔒 Доп. информация'!C:C=T145),5,FALSE)*AJ145,
IF(AND(MAX(AF145:AH145"&amp;")&lt;80,SUM(AF145:AH145)&lt;=160,AI145&lt;20,XLOOKUP(M145,'📄 Комиссии'!C:C,'📄 Комиссии'!B:B)&lt;&gt;""Продукты""),
VLOOKUP(S145,filter('🔒 Доп. информация'!D:H,'🔒 Доп. информация'!C:C=data!$A$3),4,FALSE)+VLOOKUP(S145,filter('🔒 Доп. информация'!D:H,'🔒 Доп. информаци"&amp;"я'!C:C=data!$A$3),5,FALSE)*AJ145,
VLOOKUP(S145,filter('🔒 Доп. информация'!D:H,'🔒 Доп. информация'!C:C=T145),4,FALSE)*ROUNDUP(AF145*AG145*AH145*L145/(120*80*175))/L145)
)
*(AE145/2)
,)
,)*0"),0.0)</f>
        <v>0</v>
      </c>
      <c r="BK145" s="204">
        <f>IFERROR(__xludf.DUMMYFUNCTION("IF(AU145=data!A$5,
IF(AI145&lt;=1,IF(AI145&lt;=0.8,IF(AI145&lt;=0.6,IF(AI145&lt;=0.4,IF(AI145&lt;=0.2,23,26),29),30),32)*VLOOKUP(S145,filter('🔒 Доп. информация'!D:E,'🔒 Доп. информация'!C:C=T145),2,FALSE)/'🔒 Доп. информация'!$K$9,
IF(AV145=data!A$8,U145,1)*VLOOKUP(S14"&amp;"5,filter('🔒 Доп. информация'!D:E,'🔒 Доп. информация'!C:C=T145),2,FALSE)+
IF(AV145=data!A$8,U145,1)*VLOOKUP(S145,filter('🔒 Доп. информация'!D:F,'🔒 Доп. информация'!C:C=T145),3,FALSE)*AJ145)
,0)"),69.0)</f>
        <v>69</v>
      </c>
      <c r="BL145" s="185" t="str">
        <f t="shared" ref="BL145:BM145" si="445">IF($D145,"🔒",)</f>
        <v/>
      </c>
      <c r="BM145" s="185" t="str">
        <f t="shared" si="445"/>
        <v/>
      </c>
      <c r="BN145" s="204">
        <f>VLOOKUP(T145,'🔒 Доп. информация'!J:P,7,false)</f>
        <v>50</v>
      </c>
      <c r="BO145" s="204">
        <f>IF(AV145=data!A$9,
(AA145+AO145+AP145+BJ145+BK145+BN145)+H145*AS145,
(BJ145+BK145+BN145)+H145*AS145
)</f>
        <v>119</v>
      </c>
      <c r="BP145" s="204">
        <f t="shared" si="26"/>
        <v>69</v>
      </c>
      <c r="BQ145" s="204">
        <f t="shared" si="27"/>
        <v>320</v>
      </c>
      <c r="BR145" s="204" t="str">
        <f t="shared" si="37"/>
        <v>#N/A</v>
      </c>
      <c r="BS145" s="204" t="str">
        <f t="array" ref="BS145">IF(VLOOKUP(AT145,{'▶️ Инструкция'!C:C,'▶️ Инструкция'!Y:Y},2,FALSE)=data!A$15,
H145*(1-I145),
(H145-BR145))
*VLOOKUP(AT145,{'▶️ Инструкция'!C:C,'▶️ Инструкция'!AD:AD},2,FALSE)/(1+VLOOKUP(AT145,{'▶️ Инструкция'!C:C,'▶️ Инструкция'!AD:AD},2,FALSE))</f>
        <v>#N/A</v>
      </c>
      <c r="BT145" s="204" t="str">
        <f t="array" ref="BT145">
IF(VLOOKUP(AT145,{'▶️ Инструкция'!C:C,'▶️ Инструкция'!Y:Y},2,FALSE)=data!A$15,
H145*(1-I145)-BS145,
(H145-BR145-BS145))
*
VLOOKUP(AT145,{'▶️ Инструкция'!C:C,'▶️ Инструкция'!R:R},2,FALSE)
+BS145</f>
        <v>#N/A</v>
      </c>
      <c r="BU145" s="204" t="str">
        <f>(G145*AR145)+if(AV145=data!A$9,AO145,AN145)+AP145+BR145+BT145</f>
        <v>#N/A</v>
      </c>
      <c r="BV145" s="204" t="str">
        <f>(G145*AR145)+if(AV145=data!A$9,AO145,AN145)+AP145+BT145+G145</f>
        <v>#N/A</v>
      </c>
      <c r="BW145" s="204" t="str">
        <f t="shared" si="28"/>
        <v>#N/A</v>
      </c>
      <c r="BX145" s="204" t="str">
        <f t="shared" si="29"/>
        <v>#N/A</v>
      </c>
    </row>
    <row r="146">
      <c r="A146" s="165" t="str">
        <f>if(D146=true,if(F146=data!A$1,data!A$10,data!A$11),)</f>
        <v/>
      </c>
      <c r="B146" s="166" t="str">
        <f t="shared" si="4"/>
        <v>FBS</v>
      </c>
      <c r="C146" s="167" t="s">
        <v>195</v>
      </c>
      <c r="D146" s="168" t="b">
        <v>0</v>
      </c>
      <c r="E146" s="169" t="s">
        <v>204</v>
      </c>
      <c r="F146" s="170" t="str">
        <f t="array" ref="F146">IF(D146=TRUE,IF(IF(BG$3=VLOOKUP(AT146,{'▶️ Инструкция'!C:C,'▶️ Инструкция'!G:G},2,FALSE),BG146,BH146)&gt;VLOOKUP(AT146,{'▶️ Инструкция'!C:C,'▶️ Инструкция'!N:N},2,FALSE),data!A$1,data!A$2),)</f>
        <v/>
      </c>
      <c r="G146" s="171">
        <v>0.0</v>
      </c>
      <c r="H146" s="172">
        <v>1000.0</v>
      </c>
      <c r="I146" s="173">
        <v>0.0</v>
      </c>
      <c r="J146" s="173">
        <v>0.0</v>
      </c>
      <c r="K146" s="174" t="str">
        <f t="shared" si="5"/>
        <v/>
      </c>
      <c r="L146" s="175">
        <v>0.0</v>
      </c>
      <c r="M146" s="176" t="s">
        <v>197</v>
      </c>
      <c r="N146" s="177">
        <f>IFERROR(__xludf.DUMMYFUNCTION("ArrayFormula(let(category,VLOOKUP($M146, {'📄 Комиссии'!$C:$C , '📄 Комиссии'!$B:$B}, 2, 0),
data,MATCH('🔒 Доп. информация'!$J$15:$J203,TRANSPOSE(SPLIT(INDEX('▶️ Инструкция'!$Q:$Q,MATCH($AT146,'▶️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commission,VLOOKUP($M146,'📄 Комиссии'!$C:$E,IF($AV146=data!A$8,2,3),0),
IF(NOT(ISBLANK($M146)),commission/100+
"&amp;"IFERROR(VLOOKUP($AT146,{'▶️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46" s="178" t="str">
        <f t="shared" si="6"/>
        <v/>
      </c>
      <c r="Q146" s="178" t="str">
        <f t="shared" si="7"/>
        <v/>
      </c>
      <c r="S146" s="179" t="s">
        <v>192</v>
      </c>
      <c r="T146" s="180" t="s">
        <v>193</v>
      </c>
      <c r="U146" s="181">
        <v>1.0</v>
      </c>
      <c r="V146" s="182" t="str">
        <f t="shared" ref="V146:Y146" si="446">IF($D146,"🔒",)</f>
        <v/>
      </c>
      <c r="W146" s="182" t="str">
        <f t="shared" si="446"/>
        <v/>
      </c>
      <c r="X146" s="182" t="str">
        <f t="shared" si="446"/>
        <v/>
      </c>
      <c r="Y146" s="182" t="str">
        <f t="shared" si="446"/>
        <v/>
      </c>
      <c r="Z146" s="183">
        <v>0.0</v>
      </c>
      <c r="AA146" s="184">
        <f t="shared" si="31"/>
        <v>0</v>
      </c>
      <c r="AB146" s="185" t="str">
        <f t="shared" ref="AB146:AD146" si="447">IF($D146,"🔒",)</f>
        <v/>
      </c>
      <c r="AC146" s="185" t="str">
        <f t="shared" si="447"/>
        <v/>
      </c>
      <c r="AD146" s="186" t="str">
        <f t="shared" si="447"/>
        <v/>
      </c>
      <c r="AE146" s="180">
        <v>30.0</v>
      </c>
      <c r="AF146" s="187">
        <v>0.0</v>
      </c>
      <c r="AG146" s="187">
        <v>0.0</v>
      </c>
      <c r="AH146" s="187">
        <v>0.0</v>
      </c>
      <c r="AI146" s="181">
        <f t="shared" si="10"/>
        <v>0</v>
      </c>
      <c r="AJ146" s="181">
        <f t="shared" si="11"/>
        <v>0</v>
      </c>
      <c r="AK146" s="185" t="str">
        <f t="shared" si="12"/>
        <v/>
      </c>
      <c r="AL146" s="188" t="str">
        <f t="array" ref="AL146">H146*(1-I146)*VLOOKUP(AT146,{'▶️ Инструкция'!C:C,'▶️ Инструкция'!AI:AI},2,false)</f>
        <v>#N/A</v>
      </c>
      <c r="AM146" s="186" t="str">
        <f t="shared" si="13"/>
        <v/>
      </c>
      <c r="AN146" s="189">
        <v>0.0</v>
      </c>
      <c r="AO146" s="189">
        <v>0.0</v>
      </c>
      <c r="AP146" s="189">
        <v>0.0</v>
      </c>
      <c r="AQ146" s="191">
        <v>1.0</v>
      </c>
      <c r="AR146" s="191">
        <v>0.0</v>
      </c>
      <c r="AS146" s="212">
        <v>0.0</v>
      </c>
      <c r="AT146" s="193" t="s">
        <v>206</v>
      </c>
      <c r="AU146" s="193" t="s">
        <v>121</v>
      </c>
      <c r="AV146" s="193" t="s">
        <v>199</v>
      </c>
      <c r="AW146" s="194">
        <f t="shared" si="14"/>
        <v>0</v>
      </c>
      <c r="AX146" s="195">
        <f t="shared" si="15"/>
        <v>0</v>
      </c>
      <c r="AY146" s="196" t="str">
        <f t="shared" si="16"/>
        <v>#N/A</v>
      </c>
      <c r="AZ146" s="213">
        <v>250.0</v>
      </c>
      <c r="BA146" s="196">
        <f t="shared" si="17"/>
        <v>0.25</v>
      </c>
      <c r="BB146" s="213">
        <f t="shared" si="18"/>
        <v>1000</v>
      </c>
      <c r="BC146" s="199" t="str">
        <f t="shared" si="19"/>
        <v>#N/A</v>
      </c>
      <c r="BD146" s="200" t="str">
        <f t="shared" si="20"/>
        <v>#N/A</v>
      </c>
      <c r="BE146" s="200">
        <f t="shared" si="21"/>
        <v>0</v>
      </c>
      <c r="BF146" s="201" t="str">
        <f t="shared" si="22"/>
        <v/>
      </c>
      <c r="BG146" s="201" t="str">
        <f t="shared" si="23"/>
        <v/>
      </c>
      <c r="BH146" s="202" t="str">
        <f t="shared" si="24"/>
        <v/>
      </c>
      <c r="BI146" s="203"/>
      <c r="BJ146" s="204">
        <f>IFERROR(__xludf.DUMMYFUNCTION("IF(AU146=data!A$5,
IF(AV146=data!A$8,
IF(T146=data!A$3,
VLOOKUP(S146,filter('🔒 Доп. информация'!D:H,'🔒 Доп. информация'!C:C=T146),4,FALSE)+VLOOKUP(S146,filter('🔒 Доп. информация'!D:H,'🔒 Доп. информация'!C:C=T146),5,FALSE)*AJ146,
IF(AND(MAX(AF146:AH146"&amp;")&lt;80,SUM(AF146:AH146)&lt;=160,AI146&lt;20,XLOOKUP(M146,'📄 Комиссии'!C:C,'📄 Комиссии'!B:B)&lt;&gt;""Продукты""),
VLOOKUP(S146,filter('🔒 Доп. информация'!D:H,'🔒 Доп. информация'!C:C=data!$A$3),4,FALSE)+VLOOKUP(S146,filter('🔒 Доп. информация'!D:H,'🔒 Доп. информаци"&amp;"я'!C:C=data!$A$3),5,FALSE)*AJ146,
VLOOKUP(S146,filter('🔒 Доп. информация'!D:H,'🔒 Доп. информация'!C:C=T146),4,FALSE)*ROUNDUP(AF146*AG146*AH146*L146/(120*80*175))/L146)
)
*(AE146/2)
,)
,)*0"),0.0)</f>
        <v>0</v>
      </c>
      <c r="BK146" s="204">
        <f>IFERROR(__xludf.DUMMYFUNCTION("IF(AU146=data!A$5,
IF(AI146&lt;=1,IF(AI146&lt;=0.8,IF(AI146&lt;=0.6,IF(AI146&lt;=0.4,IF(AI146&lt;=0.2,23,26),29),30),32)*VLOOKUP(S146,filter('🔒 Доп. информация'!D:E,'🔒 Доп. информация'!C:C=T146),2,FALSE)/'🔒 Доп. информация'!$K$9,
IF(AV146=data!A$8,U146,1)*VLOOKUP(S14"&amp;"6,filter('🔒 Доп. информация'!D:E,'🔒 Доп. информация'!C:C=T146),2,FALSE)+
IF(AV146=data!A$8,U146,1)*VLOOKUP(S146,filter('🔒 Доп. информация'!D:F,'🔒 Доп. информация'!C:C=T146),3,FALSE)*AJ146)
,0)"),69.0)</f>
        <v>69</v>
      </c>
      <c r="BL146" s="185" t="str">
        <f t="shared" ref="BL146:BM146" si="448">IF($D146,"🔒",)</f>
        <v/>
      </c>
      <c r="BM146" s="185" t="str">
        <f t="shared" si="448"/>
        <v/>
      </c>
      <c r="BN146" s="204">
        <f>VLOOKUP(T146,'🔒 Доп. информация'!J:P,7,false)</f>
        <v>50</v>
      </c>
      <c r="BO146" s="204">
        <f>IF(AV146=data!A$9,
(AA146+AO146+AP146+BJ146+BK146+BN146)+H146*AS146,
(BJ146+BK146+BN146)+H146*AS146
)</f>
        <v>119</v>
      </c>
      <c r="BP146" s="204">
        <f t="shared" si="26"/>
        <v>69</v>
      </c>
      <c r="BQ146" s="204">
        <f t="shared" si="27"/>
        <v>320</v>
      </c>
      <c r="BR146" s="204" t="str">
        <f t="shared" si="37"/>
        <v>#N/A</v>
      </c>
      <c r="BS146" s="204" t="str">
        <f t="array" ref="BS146">IF(VLOOKUP(AT146,{'▶️ Инструкция'!C:C,'▶️ Инструкция'!Y:Y},2,FALSE)=data!A$15,
H146*(1-I146),
(H146-BR146))
*VLOOKUP(AT146,{'▶️ Инструкция'!C:C,'▶️ Инструкция'!AD:AD},2,FALSE)/(1+VLOOKUP(AT146,{'▶️ Инструкция'!C:C,'▶️ Инструкция'!AD:AD},2,FALSE))</f>
        <v>#N/A</v>
      </c>
      <c r="BT146" s="204" t="str">
        <f t="array" ref="BT146">
IF(VLOOKUP(AT146,{'▶️ Инструкция'!C:C,'▶️ Инструкция'!Y:Y},2,FALSE)=data!A$15,
H146*(1-I146)-BS146,
(H146-BR146-BS146))
*
VLOOKUP(AT146,{'▶️ Инструкция'!C:C,'▶️ Инструкция'!R:R},2,FALSE)
+BS146</f>
        <v>#N/A</v>
      </c>
      <c r="BU146" s="204" t="str">
        <f>(G146*AR146)+if(AV146=data!A$9,AO146,AN146)+AP146+BR146+BT146</f>
        <v>#N/A</v>
      </c>
      <c r="BV146" s="204" t="str">
        <f>(G146*AR146)+if(AV146=data!A$9,AO146,AN146)+AP146+BT146+G146</f>
        <v>#N/A</v>
      </c>
      <c r="BW146" s="204" t="str">
        <f t="shared" si="28"/>
        <v>#N/A</v>
      </c>
      <c r="BX146" s="204" t="str">
        <f t="shared" si="29"/>
        <v>#N/A</v>
      </c>
    </row>
    <row r="147">
      <c r="A147" s="165" t="str">
        <f>if(D147=true,if(F147=data!A$1,data!A$10,data!A$11),)</f>
        <v/>
      </c>
      <c r="B147" s="166" t="str">
        <f t="shared" si="4"/>
        <v>FBS</v>
      </c>
      <c r="C147" s="167" t="s">
        <v>195</v>
      </c>
      <c r="D147" s="168" t="b">
        <v>0</v>
      </c>
      <c r="E147" s="169" t="s">
        <v>204</v>
      </c>
      <c r="F147" s="170" t="str">
        <f t="array" ref="F147">IF(D147=TRUE,IF(IF(BG$3=VLOOKUP(AT147,{'▶️ Инструкция'!C:C,'▶️ Инструкция'!G:G},2,FALSE),BG147,BH147)&gt;VLOOKUP(AT147,{'▶️ Инструкция'!C:C,'▶️ Инструкция'!N:N},2,FALSE),data!A$1,data!A$2),)</f>
        <v/>
      </c>
      <c r="G147" s="171">
        <v>0.0</v>
      </c>
      <c r="H147" s="172">
        <v>1000.0</v>
      </c>
      <c r="I147" s="173">
        <v>0.0</v>
      </c>
      <c r="J147" s="173">
        <v>0.0</v>
      </c>
      <c r="K147" s="174" t="str">
        <f t="shared" si="5"/>
        <v/>
      </c>
      <c r="L147" s="175">
        <v>0.0</v>
      </c>
      <c r="M147" s="176" t="s">
        <v>197</v>
      </c>
      <c r="N147" s="177">
        <f>IFERROR(__xludf.DUMMYFUNCTION("ArrayFormula(let(category,VLOOKUP($M147, {'📄 Комиссии'!$C:$C , '📄 Комиссии'!$B:$B}, 2, 0),
data,MATCH('🔒 Доп. информация'!$J$15:$J203,TRANSPOSE(SPLIT(INDEX('▶️ Инструкция'!$Q:$Q,MATCH($AT147,'▶️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commission,VLOOKUP($M147,'📄 Комиссии'!$C:$E,IF($AV147=data!A$8,2,3),0),
IF(NOT(ISBLANK($M147)),commission/100+
"&amp;"IFERROR(VLOOKUP($AT147,{'▶️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47" s="178" t="str">
        <f t="shared" si="6"/>
        <v/>
      </c>
      <c r="Q147" s="178" t="str">
        <f t="shared" si="7"/>
        <v/>
      </c>
      <c r="S147" s="179" t="s">
        <v>192</v>
      </c>
      <c r="T147" s="180" t="s">
        <v>193</v>
      </c>
      <c r="U147" s="181">
        <v>1.0</v>
      </c>
      <c r="V147" s="182" t="str">
        <f t="shared" ref="V147:Y147" si="449">IF($D147,"🔒",)</f>
        <v/>
      </c>
      <c r="W147" s="182" t="str">
        <f t="shared" si="449"/>
        <v/>
      </c>
      <c r="X147" s="182" t="str">
        <f t="shared" si="449"/>
        <v/>
      </c>
      <c r="Y147" s="182" t="str">
        <f t="shared" si="449"/>
        <v/>
      </c>
      <c r="Z147" s="183">
        <v>0.0</v>
      </c>
      <c r="AA147" s="184">
        <f t="shared" si="31"/>
        <v>0</v>
      </c>
      <c r="AB147" s="185" t="str">
        <f t="shared" ref="AB147:AD147" si="450">IF($D147,"🔒",)</f>
        <v/>
      </c>
      <c r="AC147" s="185" t="str">
        <f t="shared" si="450"/>
        <v/>
      </c>
      <c r="AD147" s="186" t="str">
        <f t="shared" si="450"/>
        <v/>
      </c>
      <c r="AE147" s="180">
        <v>30.0</v>
      </c>
      <c r="AF147" s="187">
        <v>0.0</v>
      </c>
      <c r="AG147" s="187">
        <v>0.0</v>
      </c>
      <c r="AH147" s="187">
        <v>0.0</v>
      </c>
      <c r="AI147" s="181">
        <f t="shared" si="10"/>
        <v>0</v>
      </c>
      <c r="AJ147" s="181">
        <f t="shared" si="11"/>
        <v>0</v>
      </c>
      <c r="AK147" s="185" t="str">
        <f t="shared" si="12"/>
        <v/>
      </c>
      <c r="AL147" s="188" t="str">
        <f t="array" ref="AL147">H147*(1-I147)*VLOOKUP(AT147,{'▶️ Инструкция'!C:C,'▶️ Инструкция'!AI:AI},2,false)</f>
        <v>#N/A</v>
      </c>
      <c r="AM147" s="186" t="str">
        <f t="shared" si="13"/>
        <v/>
      </c>
      <c r="AN147" s="189">
        <v>0.0</v>
      </c>
      <c r="AO147" s="189">
        <v>0.0</v>
      </c>
      <c r="AP147" s="189">
        <v>0.0</v>
      </c>
      <c r="AQ147" s="191">
        <v>1.0</v>
      </c>
      <c r="AR147" s="191">
        <v>0.0</v>
      </c>
      <c r="AS147" s="212">
        <v>0.0</v>
      </c>
      <c r="AT147" s="193" t="s">
        <v>206</v>
      </c>
      <c r="AU147" s="193" t="s">
        <v>121</v>
      </c>
      <c r="AV147" s="193" t="s">
        <v>199</v>
      </c>
      <c r="AW147" s="194">
        <f t="shared" si="14"/>
        <v>0</v>
      </c>
      <c r="AX147" s="195">
        <f t="shared" si="15"/>
        <v>0</v>
      </c>
      <c r="AY147" s="196" t="str">
        <f t="shared" si="16"/>
        <v>#N/A</v>
      </c>
      <c r="AZ147" s="213">
        <v>250.0</v>
      </c>
      <c r="BA147" s="196">
        <f t="shared" si="17"/>
        <v>0.25</v>
      </c>
      <c r="BB147" s="213">
        <f t="shared" si="18"/>
        <v>1000</v>
      </c>
      <c r="BC147" s="199" t="str">
        <f t="shared" si="19"/>
        <v>#N/A</v>
      </c>
      <c r="BD147" s="200" t="str">
        <f t="shared" si="20"/>
        <v>#N/A</v>
      </c>
      <c r="BE147" s="200">
        <f t="shared" si="21"/>
        <v>0</v>
      </c>
      <c r="BF147" s="201" t="str">
        <f t="shared" si="22"/>
        <v/>
      </c>
      <c r="BG147" s="201" t="str">
        <f t="shared" si="23"/>
        <v/>
      </c>
      <c r="BH147" s="202" t="str">
        <f t="shared" si="24"/>
        <v/>
      </c>
      <c r="BI147" s="203"/>
      <c r="BJ147" s="204">
        <f>IFERROR(__xludf.DUMMYFUNCTION("IF(AU147=data!A$5,
IF(AV147=data!A$8,
IF(T147=data!A$3,
VLOOKUP(S147,filter('🔒 Доп. информация'!D:H,'🔒 Доп. информация'!C:C=T147),4,FALSE)+VLOOKUP(S147,filter('🔒 Доп. информация'!D:H,'🔒 Доп. информация'!C:C=T147),5,FALSE)*AJ147,
IF(AND(MAX(AF147:AH147"&amp;")&lt;80,SUM(AF147:AH147)&lt;=160,AI147&lt;20,XLOOKUP(M147,'📄 Комиссии'!C:C,'📄 Комиссии'!B:B)&lt;&gt;""Продукты""),
VLOOKUP(S147,filter('🔒 Доп. информация'!D:H,'🔒 Доп. информация'!C:C=data!$A$3),4,FALSE)+VLOOKUP(S147,filter('🔒 Доп. информация'!D:H,'🔒 Доп. информаци"&amp;"я'!C:C=data!$A$3),5,FALSE)*AJ147,
VLOOKUP(S147,filter('🔒 Доп. информация'!D:H,'🔒 Доп. информация'!C:C=T147),4,FALSE)*ROUNDUP(AF147*AG147*AH147*L147/(120*80*175))/L147)
)
*(AE147/2)
,)
,)*0"),0.0)</f>
        <v>0</v>
      </c>
      <c r="BK147" s="204">
        <f>IFERROR(__xludf.DUMMYFUNCTION("IF(AU147=data!A$5,
IF(AI147&lt;=1,IF(AI147&lt;=0.8,IF(AI147&lt;=0.6,IF(AI147&lt;=0.4,IF(AI147&lt;=0.2,23,26),29),30),32)*VLOOKUP(S147,filter('🔒 Доп. информация'!D:E,'🔒 Доп. информация'!C:C=T147),2,FALSE)/'🔒 Доп. информация'!$K$9,
IF(AV147=data!A$8,U147,1)*VLOOKUP(S14"&amp;"7,filter('🔒 Доп. информация'!D:E,'🔒 Доп. информация'!C:C=T147),2,FALSE)+
IF(AV147=data!A$8,U147,1)*VLOOKUP(S147,filter('🔒 Доп. информация'!D:F,'🔒 Доп. информация'!C:C=T147),3,FALSE)*AJ147)
,0)"),69.0)</f>
        <v>69</v>
      </c>
      <c r="BL147" s="185" t="str">
        <f t="shared" ref="BL147:BM147" si="451">IF($D147,"🔒",)</f>
        <v/>
      </c>
      <c r="BM147" s="185" t="str">
        <f t="shared" si="451"/>
        <v/>
      </c>
      <c r="BN147" s="204">
        <f>VLOOKUP(T147,'🔒 Доп. информация'!J:P,7,false)</f>
        <v>50</v>
      </c>
      <c r="BO147" s="204">
        <f>IF(AV147=data!A$9,
(AA147+AO147+AP147+BJ147+BK147+BN147)+H147*AS147,
(BJ147+BK147+BN147)+H147*AS147
)</f>
        <v>119</v>
      </c>
      <c r="BP147" s="204">
        <f t="shared" si="26"/>
        <v>69</v>
      </c>
      <c r="BQ147" s="204">
        <f t="shared" si="27"/>
        <v>320</v>
      </c>
      <c r="BR147" s="204" t="str">
        <f t="shared" si="37"/>
        <v>#N/A</v>
      </c>
      <c r="BS147" s="204" t="str">
        <f t="array" ref="BS147">IF(VLOOKUP(AT147,{'▶️ Инструкция'!C:C,'▶️ Инструкция'!Y:Y},2,FALSE)=data!A$15,
H147*(1-I147),
(H147-BR147))
*VLOOKUP(AT147,{'▶️ Инструкция'!C:C,'▶️ Инструкция'!AD:AD},2,FALSE)/(1+VLOOKUP(AT147,{'▶️ Инструкция'!C:C,'▶️ Инструкция'!AD:AD},2,FALSE))</f>
        <v>#N/A</v>
      </c>
      <c r="BT147" s="204" t="str">
        <f t="array" ref="BT147">
IF(VLOOKUP(AT147,{'▶️ Инструкция'!C:C,'▶️ Инструкция'!Y:Y},2,FALSE)=data!A$15,
H147*(1-I147)-BS147,
(H147-BR147-BS147))
*
VLOOKUP(AT147,{'▶️ Инструкция'!C:C,'▶️ Инструкция'!R:R},2,FALSE)
+BS147</f>
        <v>#N/A</v>
      </c>
      <c r="BU147" s="204" t="str">
        <f>(G147*AR147)+if(AV147=data!A$9,AO147,AN147)+AP147+BR147+BT147</f>
        <v>#N/A</v>
      </c>
      <c r="BV147" s="204" t="str">
        <f>(G147*AR147)+if(AV147=data!A$9,AO147,AN147)+AP147+BT147+G147</f>
        <v>#N/A</v>
      </c>
      <c r="BW147" s="204" t="str">
        <f t="shared" si="28"/>
        <v>#N/A</v>
      </c>
      <c r="BX147" s="204" t="str">
        <f t="shared" si="29"/>
        <v>#N/A</v>
      </c>
    </row>
    <row r="148">
      <c r="A148" s="165" t="str">
        <f>if(D148=true,if(F148=data!A$1,data!A$10,data!A$11),)</f>
        <v/>
      </c>
      <c r="B148" s="166" t="str">
        <f t="shared" si="4"/>
        <v>FBS</v>
      </c>
      <c r="C148" s="167" t="s">
        <v>195</v>
      </c>
      <c r="D148" s="168" t="b">
        <v>0</v>
      </c>
      <c r="E148" s="169" t="s">
        <v>204</v>
      </c>
      <c r="F148" s="170" t="str">
        <f t="array" ref="F148">IF(D148=TRUE,IF(IF(BG$3=VLOOKUP(AT148,{'▶️ Инструкция'!C:C,'▶️ Инструкция'!G:G},2,FALSE),BG148,BH148)&gt;VLOOKUP(AT148,{'▶️ Инструкция'!C:C,'▶️ Инструкция'!N:N},2,FALSE),data!A$1,data!A$2),)</f>
        <v/>
      </c>
      <c r="G148" s="171">
        <v>0.0</v>
      </c>
      <c r="H148" s="172">
        <v>1000.0</v>
      </c>
      <c r="I148" s="173">
        <v>0.0</v>
      </c>
      <c r="J148" s="173">
        <v>0.0</v>
      </c>
      <c r="K148" s="174" t="str">
        <f t="shared" si="5"/>
        <v/>
      </c>
      <c r="L148" s="175">
        <v>0.0</v>
      </c>
      <c r="M148" s="176" t="s">
        <v>197</v>
      </c>
      <c r="N148" s="177">
        <f>IFERROR(__xludf.DUMMYFUNCTION("ArrayFormula(let(category,VLOOKUP($M148, {'📄 Комиссии'!$C:$C , '📄 Комиссии'!$B:$B}, 2, 0),
data,MATCH('🔒 Доп. информация'!$J$15:$J203,TRANSPOSE(SPLIT(INDEX('▶️ Инструкция'!$Q:$Q,MATCH($AT148,'▶️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commission,VLOOKUP($M148,'📄 Комиссии'!$C:$E,IF($AV148=data!A$8,2,3),0),
IF(NOT(ISBLANK($M148)),commission/100+
"&amp;"IFERROR(VLOOKUP($AT148,{'▶️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48" s="178" t="str">
        <f t="shared" si="6"/>
        <v/>
      </c>
      <c r="Q148" s="178" t="str">
        <f t="shared" si="7"/>
        <v/>
      </c>
      <c r="S148" s="179" t="s">
        <v>192</v>
      </c>
      <c r="T148" s="180" t="s">
        <v>193</v>
      </c>
      <c r="U148" s="181">
        <v>1.0</v>
      </c>
      <c r="V148" s="182" t="str">
        <f t="shared" ref="V148:Y148" si="452">IF($D148,"🔒",)</f>
        <v/>
      </c>
      <c r="W148" s="182" t="str">
        <f t="shared" si="452"/>
        <v/>
      </c>
      <c r="X148" s="182" t="str">
        <f t="shared" si="452"/>
        <v/>
      </c>
      <c r="Y148" s="182" t="str">
        <f t="shared" si="452"/>
        <v/>
      </c>
      <c r="Z148" s="183">
        <v>0.0</v>
      </c>
      <c r="AA148" s="184">
        <f t="shared" si="31"/>
        <v>0</v>
      </c>
      <c r="AB148" s="185" t="str">
        <f t="shared" ref="AB148:AD148" si="453">IF($D148,"🔒",)</f>
        <v/>
      </c>
      <c r="AC148" s="185" t="str">
        <f t="shared" si="453"/>
        <v/>
      </c>
      <c r="AD148" s="186" t="str">
        <f t="shared" si="453"/>
        <v/>
      </c>
      <c r="AE148" s="180">
        <v>30.0</v>
      </c>
      <c r="AF148" s="187">
        <v>0.0</v>
      </c>
      <c r="AG148" s="187">
        <v>0.0</v>
      </c>
      <c r="AH148" s="187">
        <v>0.0</v>
      </c>
      <c r="AI148" s="181">
        <f t="shared" si="10"/>
        <v>0</v>
      </c>
      <c r="AJ148" s="181">
        <f t="shared" si="11"/>
        <v>0</v>
      </c>
      <c r="AK148" s="185" t="str">
        <f t="shared" si="12"/>
        <v/>
      </c>
      <c r="AL148" s="188" t="str">
        <f t="array" ref="AL148">H148*(1-I148)*VLOOKUP(AT148,{'▶️ Инструкция'!C:C,'▶️ Инструкция'!AI:AI},2,false)</f>
        <v>#N/A</v>
      </c>
      <c r="AM148" s="186" t="str">
        <f t="shared" si="13"/>
        <v/>
      </c>
      <c r="AN148" s="189">
        <v>0.0</v>
      </c>
      <c r="AO148" s="189">
        <v>0.0</v>
      </c>
      <c r="AP148" s="189">
        <v>0.0</v>
      </c>
      <c r="AQ148" s="191">
        <v>1.0</v>
      </c>
      <c r="AR148" s="191">
        <v>0.0</v>
      </c>
      <c r="AS148" s="212">
        <v>0.0</v>
      </c>
      <c r="AT148" s="193" t="s">
        <v>206</v>
      </c>
      <c r="AU148" s="193" t="s">
        <v>121</v>
      </c>
      <c r="AV148" s="193" t="s">
        <v>199</v>
      </c>
      <c r="AW148" s="194">
        <f t="shared" si="14"/>
        <v>0</v>
      </c>
      <c r="AX148" s="195">
        <f t="shared" si="15"/>
        <v>0</v>
      </c>
      <c r="AY148" s="196" t="str">
        <f t="shared" si="16"/>
        <v>#N/A</v>
      </c>
      <c r="AZ148" s="213">
        <v>250.0</v>
      </c>
      <c r="BA148" s="196">
        <f t="shared" si="17"/>
        <v>0.25</v>
      </c>
      <c r="BB148" s="213">
        <f t="shared" si="18"/>
        <v>1000</v>
      </c>
      <c r="BC148" s="199" t="str">
        <f t="shared" si="19"/>
        <v>#N/A</v>
      </c>
      <c r="BD148" s="200" t="str">
        <f t="shared" si="20"/>
        <v>#N/A</v>
      </c>
      <c r="BE148" s="200">
        <f t="shared" si="21"/>
        <v>0</v>
      </c>
      <c r="BF148" s="201" t="str">
        <f t="shared" si="22"/>
        <v/>
      </c>
      <c r="BG148" s="201" t="str">
        <f t="shared" si="23"/>
        <v/>
      </c>
      <c r="BH148" s="202" t="str">
        <f t="shared" si="24"/>
        <v/>
      </c>
      <c r="BI148" s="203"/>
      <c r="BJ148" s="204">
        <f>IFERROR(__xludf.DUMMYFUNCTION("IF(AU148=data!A$5,
IF(AV148=data!A$8,
IF(T148=data!A$3,
VLOOKUP(S148,filter('🔒 Доп. информация'!D:H,'🔒 Доп. информация'!C:C=T148),4,FALSE)+VLOOKUP(S148,filter('🔒 Доп. информация'!D:H,'🔒 Доп. информация'!C:C=T148),5,FALSE)*AJ148,
IF(AND(MAX(AF148:AH148"&amp;")&lt;80,SUM(AF148:AH148)&lt;=160,AI148&lt;20,XLOOKUP(M148,'📄 Комиссии'!C:C,'📄 Комиссии'!B:B)&lt;&gt;""Продукты""),
VLOOKUP(S148,filter('🔒 Доп. информация'!D:H,'🔒 Доп. информация'!C:C=data!$A$3),4,FALSE)+VLOOKUP(S148,filter('🔒 Доп. информация'!D:H,'🔒 Доп. информаци"&amp;"я'!C:C=data!$A$3),5,FALSE)*AJ148,
VLOOKUP(S148,filter('🔒 Доп. информация'!D:H,'🔒 Доп. информация'!C:C=T148),4,FALSE)*ROUNDUP(AF148*AG148*AH148*L148/(120*80*175))/L148)
)
*(AE148/2)
,)
,)*0"),0.0)</f>
        <v>0</v>
      </c>
      <c r="BK148" s="204">
        <f>IFERROR(__xludf.DUMMYFUNCTION("IF(AU148=data!A$5,
IF(AI148&lt;=1,IF(AI148&lt;=0.8,IF(AI148&lt;=0.6,IF(AI148&lt;=0.4,IF(AI148&lt;=0.2,23,26),29),30),32)*VLOOKUP(S148,filter('🔒 Доп. информация'!D:E,'🔒 Доп. информация'!C:C=T148),2,FALSE)/'🔒 Доп. информация'!$K$9,
IF(AV148=data!A$8,U148,1)*VLOOKUP(S14"&amp;"8,filter('🔒 Доп. информация'!D:E,'🔒 Доп. информация'!C:C=T148),2,FALSE)+
IF(AV148=data!A$8,U148,1)*VLOOKUP(S148,filter('🔒 Доп. информация'!D:F,'🔒 Доп. информация'!C:C=T148),3,FALSE)*AJ148)
,0)"),69.0)</f>
        <v>69</v>
      </c>
      <c r="BL148" s="185" t="str">
        <f t="shared" ref="BL148:BM148" si="454">IF($D148,"🔒",)</f>
        <v/>
      </c>
      <c r="BM148" s="185" t="str">
        <f t="shared" si="454"/>
        <v/>
      </c>
      <c r="BN148" s="204">
        <f>VLOOKUP(T148,'🔒 Доп. информация'!J:P,7,false)</f>
        <v>50</v>
      </c>
      <c r="BO148" s="204">
        <f>IF(AV148=data!A$9,
(AA148+AO148+AP148+BJ148+BK148+BN148)+H148*AS148,
(BJ148+BK148+BN148)+H148*AS148
)</f>
        <v>119</v>
      </c>
      <c r="BP148" s="204">
        <f t="shared" si="26"/>
        <v>69</v>
      </c>
      <c r="BQ148" s="204">
        <f t="shared" si="27"/>
        <v>320</v>
      </c>
      <c r="BR148" s="204" t="str">
        <f t="shared" si="37"/>
        <v>#N/A</v>
      </c>
      <c r="BS148" s="204" t="str">
        <f t="array" ref="BS148">IF(VLOOKUP(AT148,{'▶️ Инструкция'!C:C,'▶️ Инструкция'!Y:Y},2,FALSE)=data!A$15,
H148*(1-I148),
(H148-BR148))
*VLOOKUP(AT148,{'▶️ Инструкция'!C:C,'▶️ Инструкция'!AD:AD},2,FALSE)/(1+VLOOKUP(AT148,{'▶️ Инструкция'!C:C,'▶️ Инструкция'!AD:AD},2,FALSE))</f>
        <v>#N/A</v>
      </c>
      <c r="BT148" s="204" t="str">
        <f t="array" ref="BT148">
IF(VLOOKUP(AT148,{'▶️ Инструкция'!C:C,'▶️ Инструкция'!Y:Y},2,FALSE)=data!A$15,
H148*(1-I148)-BS148,
(H148-BR148-BS148))
*
VLOOKUP(AT148,{'▶️ Инструкция'!C:C,'▶️ Инструкция'!R:R},2,FALSE)
+BS148</f>
        <v>#N/A</v>
      </c>
      <c r="BU148" s="204" t="str">
        <f>(G148*AR148)+if(AV148=data!A$9,AO148,AN148)+AP148+BR148+BT148</f>
        <v>#N/A</v>
      </c>
      <c r="BV148" s="204" t="str">
        <f>(G148*AR148)+if(AV148=data!A$9,AO148,AN148)+AP148+BT148+G148</f>
        <v>#N/A</v>
      </c>
      <c r="BW148" s="204" t="str">
        <f t="shared" si="28"/>
        <v>#N/A</v>
      </c>
      <c r="BX148" s="204" t="str">
        <f t="shared" si="29"/>
        <v>#N/A</v>
      </c>
    </row>
    <row r="149">
      <c r="A149" s="165" t="str">
        <f>if(D149=true,if(F149=data!A$1,data!A$10,data!A$11),)</f>
        <v/>
      </c>
      <c r="B149" s="166" t="str">
        <f t="shared" si="4"/>
        <v>FBS</v>
      </c>
      <c r="C149" s="167" t="s">
        <v>195</v>
      </c>
      <c r="D149" s="168" t="b">
        <v>0</v>
      </c>
      <c r="E149" s="169" t="s">
        <v>204</v>
      </c>
      <c r="F149" s="170" t="str">
        <f t="array" ref="F149">IF(D149=TRUE,IF(IF(BG$3=VLOOKUP(AT149,{'▶️ Инструкция'!C:C,'▶️ Инструкция'!G:G},2,FALSE),BG149,BH149)&gt;VLOOKUP(AT149,{'▶️ Инструкция'!C:C,'▶️ Инструкция'!N:N},2,FALSE),data!A$1,data!A$2),)</f>
        <v/>
      </c>
      <c r="G149" s="171">
        <v>0.0</v>
      </c>
      <c r="H149" s="172">
        <v>1000.0</v>
      </c>
      <c r="I149" s="173">
        <v>0.0</v>
      </c>
      <c r="J149" s="173">
        <v>0.0</v>
      </c>
      <c r="K149" s="174" t="str">
        <f t="shared" si="5"/>
        <v/>
      </c>
      <c r="L149" s="175">
        <v>0.0</v>
      </c>
      <c r="M149" s="176" t="s">
        <v>197</v>
      </c>
      <c r="N149" s="177">
        <f>IFERROR(__xludf.DUMMYFUNCTION("ArrayFormula(let(category,VLOOKUP($M149, {'📄 Комиссии'!$C:$C , '📄 Комиссии'!$B:$B}, 2, 0),
data,MATCH('🔒 Доп. информация'!$J$15:$J203,TRANSPOSE(SPLIT(INDEX('▶️ Инструкция'!$Q:$Q,MATCH($AT149,'▶️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commission,VLOOKUP($M149,'📄 Комиссии'!$C:$E,IF($AV149=data!A$8,2,3),0),
IF(NOT(ISBLANK($M149)),commission/100+
"&amp;"IFERROR(VLOOKUP($AT149,{'▶️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49" s="178" t="str">
        <f t="shared" si="6"/>
        <v/>
      </c>
      <c r="Q149" s="178" t="str">
        <f t="shared" si="7"/>
        <v/>
      </c>
      <c r="S149" s="179" t="s">
        <v>192</v>
      </c>
      <c r="T149" s="180" t="s">
        <v>193</v>
      </c>
      <c r="U149" s="181">
        <v>1.0</v>
      </c>
      <c r="V149" s="182" t="str">
        <f t="shared" ref="V149:Y149" si="455">IF($D149,"🔒",)</f>
        <v/>
      </c>
      <c r="W149" s="182" t="str">
        <f t="shared" si="455"/>
        <v/>
      </c>
      <c r="X149" s="182" t="str">
        <f t="shared" si="455"/>
        <v/>
      </c>
      <c r="Y149" s="182" t="str">
        <f t="shared" si="455"/>
        <v/>
      </c>
      <c r="Z149" s="183">
        <v>0.0</v>
      </c>
      <c r="AA149" s="184">
        <f t="shared" si="31"/>
        <v>0</v>
      </c>
      <c r="AB149" s="185" t="str">
        <f t="shared" ref="AB149:AD149" si="456">IF($D149,"🔒",)</f>
        <v/>
      </c>
      <c r="AC149" s="185" t="str">
        <f t="shared" si="456"/>
        <v/>
      </c>
      <c r="AD149" s="186" t="str">
        <f t="shared" si="456"/>
        <v/>
      </c>
      <c r="AE149" s="180">
        <v>30.0</v>
      </c>
      <c r="AF149" s="187">
        <v>0.0</v>
      </c>
      <c r="AG149" s="187">
        <v>0.0</v>
      </c>
      <c r="AH149" s="187">
        <v>0.0</v>
      </c>
      <c r="AI149" s="181">
        <f t="shared" si="10"/>
        <v>0</v>
      </c>
      <c r="AJ149" s="181">
        <f t="shared" si="11"/>
        <v>0</v>
      </c>
      <c r="AK149" s="185" t="str">
        <f t="shared" si="12"/>
        <v/>
      </c>
      <c r="AL149" s="188" t="str">
        <f t="array" ref="AL149">H149*(1-I149)*VLOOKUP(AT149,{'▶️ Инструкция'!C:C,'▶️ Инструкция'!AI:AI},2,false)</f>
        <v>#N/A</v>
      </c>
      <c r="AM149" s="186" t="str">
        <f t="shared" si="13"/>
        <v/>
      </c>
      <c r="AN149" s="189">
        <v>0.0</v>
      </c>
      <c r="AO149" s="189">
        <v>0.0</v>
      </c>
      <c r="AP149" s="189">
        <v>0.0</v>
      </c>
      <c r="AQ149" s="191">
        <v>1.0</v>
      </c>
      <c r="AR149" s="191">
        <v>0.0</v>
      </c>
      <c r="AS149" s="212">
        <v>0.0</v>
      </c>
      <c r="AT149" s="193" t="s">
        <v>206</v>
      </c>
      <c r="AU149" s="193" t="s">
        <v>121</v>
      </c>
      <c r="AV149" s="193" t="s">
        <v>199</v>
      </c>
      <c r="AW149" s="194">
        <f t="shared" si="14"/>
        <v>0</v>
      </c>
      <c r="AX149" s="195">
        <f t="shared" si="15"/>
        <v>0</v>
      </c>
      <c r="AY149" s="196" t="str">
        <f t="shared" si="16"/>
        <v>#N/A</v>
      </c>
      <c r="AZ149" s="213">
        <v>250.0</v>
      </c>
      <c r="BA149" s="196">
        <f t="shared" si="17"/>
        <v>0.25</v>
      </c>
      <c r="BB149" s="213">
        <f t="shared" si="18"/>
        <v>1000</v>
      </c>
      <c r="BC149" s="199" t="str">
        <f t="shared" si="19"/>
        <v>#N/A</v>
      </c>
      <c r="BD149" s="200" t="str">
        <f t="shared" si="20"/>
        <v>#N/A</v>
      </c>
      <c r="BE149" s="200">
        <f t="shared" si="21"/>
        <v>0</v>
      </c>
      <c r="BF149" s="201" t="str">
        <f t="shared" si="22"/>
        <v/>
      </c>
      <c r="BG149" s="201" t="str">
        <f t="shared" si="23"/>
        <v/>
      </c>
      <c r="BH149" s="202" t="str">
        <f t="shared" si="24"/>
        <v/>
      </c>
      <c r="BI149" s="203"/>
      <c r="BJ149" s="204">
        <f>IFERROR(__xludf.DUMMYFUNCTION("IF(AU149=data!A$5,
IF(AV149=data!A$8,
IF(T149=data!A$3,
VLOOKUP(S149,filter('🔒 Доп. информация'!D:H,'🔒 Доп. информация'!C:C=T149),4,FALSE)+VLOOKUP(S149,filter('🔒 Доп. информация'!D:H,'🔒 Доп. информация'!C:C=T149),5,FALSE)*AJ149,
IF(AND(MAX(AF149:AH149"&amp;")&lt;80,SUM(AF149:AH149)&lt;=160,AI149&lt;20,XLOOKUP(M149,'📄 Комиссии'!C:C,'📄 Комиссии'!B:B)&lt;&gt;""Продукты""),
VLOOKUP(S149,filter('🔒 Доп. информация'!D:H,'🔒 Доп. информация'!C:C=data!$A$3),4,FALSE)+VLOOKUP(S149,filter('🔒 Доп. информация'!D:H,'🔒 Доп. информаци"&amp;"я'!C:C=data!$A$3),5,FALSE)*AJ149,
VLOOKUP(S149,filter('🔒 Доп. информация'!D:H,'🔒 Доп. информация'!C:C=T149),4,FALSE)*ROUNDUP(AF149*AG149*AH149*L149/(120*80*175))/L149)
)
*(AE149/2)
,)
,)*0"),0.0)</f>
        <v>0</v>
      </c>
      <c r="BK149" s="204">
        <f>IFERROR(__xludf.DUMMYFUNCTION("IF(AU149=data!A$5,
IF(AI149&lt;=1,IF(AI149&lt;=0.8,IF(AI149&lt;=0.6,IF(AI149&lt;=0.4,IF(AI149&lt;=0.2,23,26),29),30),32)*VLOOKUP(S149,filter('🔒 Доп. информация'!D:E,'🔒 Доп. информация'!C:C=T149),2,FALSE)/'🔒 Доп. информация'!$K$9,
IF(AV149=data!A$8,U149,1)*VLOOKUP(S14"&amp;"9,filter('🔒 Доп. информация'!D:E,'🔒 Доп. информация'!C:C=T149),2,FALSE)+
IF(AV149=data!A$8,U149,1)*VLOOKUP(S149,filter('🔒 Доп. информация'!D:F,'🔒 Доп. информация'!C:C=T149),3,FALSE)*AJ149)
,0)"),69.0)</f>
        <v>69</v>
      </c>
      <c r="BL149" s="185" t="str">
        <f t="shared" ref="BL149:BM149" si="457">IF($D149,"🔒",)</f>
        <v/>
      </c>
      <c r="BM149" s="185" t="str">
        <f t="shared" si="457"/>
        <v/>
      </c>
      <c r="BN149" s="204">
        <f>VLOOKUP(T149,'🔒 Доп. информация'!J:P,7,false)</f>
        <v>50</v>
      </c>
      <c r="BO149" s="204">
        <f>IF(AV149=data!A$9,
(AA149+AO149+AP149+BJ149+BK149+BN149)+H149*AS149,
(BJ149+BK149+BN149)+H149*AS149
)</f>
        <v>119</v>
      </c>
      <c r="BP149" s="204">
        <f t="shared" si="26"/>
        <v>69</v>
      </c>
      <c r="BQ149" s="204">
        <f t="shared" si="27"/>
        <v>320</v>
      </c>
      <c r="BR149" s="204" t="str">
        <f t="shared" si="37"/>
        <v>#N/A</v>
      </c>
      <c r="BS149" s="204" t="str">
        <f t="array" ref="BS149">IF(VLOOKUP(AT149,{'▶️ Инструкция'!C:C,'▶️ Инструкция'!Y:Y},2,FALSE)=data!A$15,
H149*(1-I149),
(H149-BR149))
*VLOOKUP(AT149,{'▶️ Инструкция'!C:C,'▶️ Инструкция'!AD:AD},2,FALSE)/(1+VLOOKUP(AT149,{'▶️ Инструкция'!C:C,'▶️ Инструкция'!AD:AD},2,FALSE))</f>
        <v>#N/A</v>
      </c>
      <c r="BT149" s="204" t="str">
        <f t="array" ref="BT149">
IF(VLOOKUP(AT149,{'▶️ Инструкция'!C:C,'▶️ Инструкция'!Y:Y},2,FALSE)=data!A$15,
H149*(1-I149)-BS149,
(H149-BR149-BS149))
*
VLOOKUP(AT149,{'▶️ Инструкция'!C:C,'▶️ Инструкция'!R:R},2,FALSE)
+BS149</f>
        <v>#N/A</v>
      </c>
      <c r="BU149" s="204" t="str">
        <f>(G149*AR149)+if(AV149=data!A$9,AO149,AN149)+AP149+BR149+BT149</f>
        <v>#N/A</v>
      </c>
      <c r="BV149" s="204" t="str">
        <f>(G149*AR149)+if(AV149=data!A$9,AO149,AN149)+AP149+BT149+G149</f>
        <v>#N/A</v>
      </c>
      <c r="BW149" s="204" t="str">
        <f t="shared" si="28"/>
        <v>#N/A</v>
      </c>
      <c r="BX149" s="204" t="str">
        <f t="shared" si="29"/>
        <v>#N/A</v>
      </c>
    </row>
    <row r="150">
      <c r="A150" s="165" t="str">
        <f>if(D150=true,if(F150=data!A$1,data!A$10,data!A$11),)</f>
        <v/>
      </c>
      <c r="B150" s="166" t="str">
        <f t="shared" si="4"/>
        <v>FBS</v>
      </c>
      <c r="C150" s="167" t="s">
        <v>195</v>
      </c>
      <c r="D150" s="168" t="b">
        <v>0</v>
      </c>
      <c r="E150" s="169" t="s">
        <v>204</v>
      </c>
      <c r="F150" s="170" t="str">
        <f t="array" ref="F150">IF(D150=TRUE,IF(IF(BG$3=VLOOKUP(AT150,{'▶️ Инструкция'!C:C,'▶️ Инструкция'!G:G},2,FALSE),BG150,BH150)&gt;VLOOKUP(AT150,{'▶️ Инструкция'!C:C,'▶️ Инструкция'!N:N},2,FALSE),data!A$1,data!A$2),)</f>
        <v/>
      </c>
      <c r="G150" s="171">
        <v>0.0</v>
      </c>
      <c r="H150" s="172">
        <v>1000.0</v>
      </c>
      <c r="I150" s="173">
        <v>0.0</v>
      </c>
      <c r="J150" s="173">
        <v>0.0</v>
      </c>
      <c r="K150" s="174" t="str">
        <f t="shared" si="5"/>
        <v/>
      </c>
      <c r="L150" s="175">
        <v>0.0</v>
      </c>
      <c r="M150" s="176" t="s">
        <v>197</v>
      </c>
      <c r="N150" s="177">
        <f>IFERROR(__xludf.DUMMYFUNCTION("ArrayFormula(let(category,VLOOKUP($M150, {'📄 Комиссии'!$C:$C , '📄 Комиссии'!$B:$B}, 2, 0),
data,MATCH('🔒 Доп. информация'!$J$15:$J203,TRANSPOSE(SPLIT(INDEX('▶️ Инструкция'!$Q:$Q,MATCH($AT150,'▶️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commission,VLOOKUP($M150,'📄 Комиссии'!$C:$E,IF($AV150=data!A$8,2,3),0),
IF(NOT(ISBLANK($M150)),commission/100+
"&amp;"IFERROR(VLOOKUP($AT150,{'▶️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50" s="178" t="str">
        <f t="shared" si="6"/>
        <v/>
      </c>
      <c r="Q150" s="178" t="str">
        <f t="shared" si="7"/>
        <v/>
      </c>
      <c r="S150" s="179" t="s">
        <v>192</v>
      </c>
      <c r="T150" s="180" t="s">
        <v>193</v>
      </c>
      <c r="U150" s="181">
        <v>1.0</v>
      </c>
      <c r="V150" s="182" t="str">
        <f t="shared" ref="V150:Y150" si="458">IF($D150,"🔒",)</f>
        <v/>
      </c>
      <c r="W150" s="182" t="str">
        <f t="shared" si="458"/>
        <v/>
      </c>
      <c r="X150" s="182" t="str">
        <f t="shared" si="458"/>
        <v/>
      </c>
      <c r="Y150" s="182" t="str">
        <f t="shared" si="458"/>
        <v/>
      </c>
      <c r="Z150" s="183">
        <v>0.0</v>
      </c>
      <c r="AA150" s="184">
        <f t="shared" si="31"/>
        <v>0</v>
      </c>
      <c r="AB150" s="185" t="str">
        <f t="shared" ref="AB150:AD150" si="459">IF($D150,"🔒",)</f>
        <v/>
      </c>
      <c r="AC150" s="185" t="str">
        <f t="shared" si="459"/>
        <v/>
      </c>
      <c r="AD150" s="186" t="str">
        <f t="shared" si="459"/>
        <v/>
      </c>
      <c r="AE150" s="180">
        <v>30.0</v>
      </c>
      <c r="AF150" s="187">
        <v>0.0</v>
      </c>
      <c r="AG150" s="187">
        <v>0.0</v>
      </c>
      <c r="AH150" s="187">
        <v>0.0</v>
      </c>
      <c r="AI150" s="181">
        <f t="shared" si="10"/>
        <v>0</v>
      </c>
      <c r="AJ150" s="181">
        <f t="shared" si="11"/>
        <v>0</v>
      </c>
      <c r="AK150" s="185" t="str">
        <f t="shared" si="12"/>
        <v/>
      </c>
      <c r="AL150" s="188" t="str">
        <f t="array" ref="AL150">H150*(1-I150)*VLOOKUP(AT150,{'▶️ Инструкция'!C:C,'▶️ Инструкция'!AI:AI},2,false)</f>
        <v>#N/A</v>
      </c>
      <c r="AM150" s="186" t="str">
        <f t="shared" si="13"/>
        <v/>
      </c>
      <c r="AN150" s="189">
        <v>0.0</v>
      </c>
      <c r="AO150" s="189">
        <v>0.0</v>
      </c>
      <c r="AP150" s="189">
        <v>0.0</v>
      </c>
      <c r="AQ150" s="191">
        <v>1.0</v>
      </c>
      <c r="AR150" s="191">
        <v>0.0</v>
      </c>
      <c r="AS150" s="212">
        <v>0.0</v>
      </c>
      <c r="AT150" s="193" t="s">
        <v>206</v>
      </c>
      <c r="AU150" s="193" t="s">
        <v>121</v>
      </c>
      <c r="AV150" s="193" t="s">
        <v>199</v>
      </c>
      <c r="AW150" s="194">
        <f t="shared" si="14"/>
        <v>0</v>
      </c>
      <c r="AX150" s="195">
        <f t="shared" si="15"/>
        <v>0</v>
      </c>
      <c r="AY150" s="196" t="str">
        <f t="shared" si="16"/>
        <v>#N/A</v>
      </c>
      <c r="AZ150" s="213">
        <v>250.0</v>
      </c>
      <c r="BA150" s="196">
        <f t="shared" si="17"/>
        <v>0.25</v>
      </c>
      <c r="BB150" s="213">
        <f t="shared" si="18"/>
        <v>1000</v>
      </c>
      <c r="BC150" s="199" t="str">
        <f t="shared" si="19"/>
        <v>#N/A</v>
      </c>
      <c r="BD150" s="200" t="str">
        <f t="shared" si="20"/>
        <v>#N/A</v>
      </c>
      <c r="BE150" s="200">
        <f t="shared" si="21"/>
        <v>0</v>
      </c>
      <c r="BF150" s="201" t="str">
        <f t="shared" si="22"/>
        <v/>
      </c>
      <c r="BG150" s="201" t="str">
        <f t="shared" si="23"/>
        <v/>
      </c>
      <c r="BH150" s="202" t="str">
        <f t="shared" si="24"/>
        <v/>
      </c>
      <c r="BI150" s="203"/>
      <c r="BJ150" s="204">
        <f>IFERROR(__xludf.DUMMYFUNCTION("IF(AU150=data!A$5,
IF(AV150=data!A$8,
IF(T150=data!A$3,
VLOOKUP(S150,filter('🔒 Доп. информация'!D:H,'🔒 Доп. информация'!C:C=T150),4,FALSE)+VLOOKUP(S150,filter('🔒 Доп. информация'!D:H,'🔒 Доп. информация'!C:C=T150),5,FALSE)*AJ150,
IF(AND(MAX(AF150:AH150"&amp;")&lt;80,SUM(AF150:AH150)&lt;=160,AI150&lt;20,XLOOKUP(M150,'📄 Комиссии'!C:C,'📄 Комиссии'!B:B)&lt;&gt;""Продукты""),
VLOOKUP(S150,filter('🔒 Доп. информация'!D:H,'🔒 Доп. информация'!C:C=data!$A$3),4,FALSE)+VLOOKUP(S150,filter('🔒 Доп. информация'!D:H,'🔒 Доп. информаци"&amp;"я'!C:C=data!$A$3),5,FALSE)*AJ150,
VLOOKUP(S150,filter('🔒 Доп. информация'!D:H,'🔒 Доп. информация'!C:C=T150),4,FALSE)*ROUNDUP(AF150*AG150*AH150*L150/(120*80*175))/L150)
)
*(AE150/2)
,)
,)*0"),0.0)</f>
        <v>0</v>
      </c>
      <c r="BK150" s="204">
        <f>IFERROR(__xludf.DUMMYFUNCTION("IF(AU150=data!A$5,
IF(AI150&lt;=1,IF(AI150&lt;=0.8,IF(AI150&lt;=0.6,IF(AI150&lt;=0.4,IF(AI150&lt;=0.2,23,26),29),30),32)*VLOOKUP(S150,filter('🔒 Доп. информация'!D:E,'🔒 Доп. информация'!C:C=T150),2,FALSE)/'🔒 Доп. информация'!$K$9,
IF(AV150=data!A$8,U150,1)*VLOOKUP(S15"&amp;"0,filter('🔒 Доп. информация'!D:E,'🔒 Доп. информация'!C:C=T150),2,FALSE)+
IF(AV150=data!A$8,U150,1)*VLOOKUP(S150,filter('🔒 Доп. информация'!D:F,'🔒 Доп. информация'!C:C=T150),3,FALSE)*AJ150)
,0)"),69.0)</f>
        <v>69</v>
      </c>
      <c r="BL150" s="185" t="str">
        <f t="shared" ref="BL150:BM150" si="460">IF($D150,"🔒",)</f>
        <v/>
      </c>
      <c r="BM150" s="185" t="str">
        <f t="shared" si="460"/>
        <v/>
      </c>
      <c r="BN150" s="204">
        <f>VLOOKUP(T150,'🔒 Доп. информация'!J:P,7,false)</f>
        <v>50</v>
      </c>
      <c r="BO150" s="204">
        <f>IF(AV150=data!A$9,
(AA150+AO150+AP150+BJ150+BK150+BN150)+H150*AS150,
(BJ150+BK150+BN150)+H150*AS150
)</f>
        <v>119</v>
      </c>
      <c r="BP150" s="204">
        <f t="shared" si="26"/>
        <v>69</v>
      </c>
      <c r="BQ150" s="204">
        <f t="shared" si="27"/>
        <v>320</v>
      </c>
      <c r="BR150" s="204" t="str">
        <f t="shared" si="37"/>
        <v>#N/A</v>
      </c>
      <c r="BS150" s="204" t="str">
        <f t="array" ref="BS150">IF(VLOOKUP(AT150,{'▶️ Инструкция'!C:C,'▶️ Инструкция'!Y:Y},2,FALSE)=data!A$15,
H150*(1-I150),
(H150-BR150))
*VLOOKUP(AT150,{'▶️ Инструкция'!C:C,'▶️ Инструкция'!AD:AD},2,FALSE)/(1+VLOOKUP(AT150,{'▶️ Инструкция'!C:C,'▶️ Инструкция'!AD:AD},2,FALSE))</f>
        <v>#N/A</v>
      </c>
      <c r="BT150" s="204" t="str">
        <f t="array" ref="BT150">
IF(VLOOKUP(AT150,{'▶️ Инструкция'!C:C,'▶️ Инструкция'!Y:Y},2,FALSE)=data!A$15,
H150*(1-I150)-BS150,
(H150-BR150-BS150))
*
VLOOKUP(AT150,{'▶️ Инструкция'!C:C,'▶️ Инструкция'!R:R},2,FALSE)
+BS150</f>
        <v>#N/A</v>
      </c>
      <c r="BU150" s="204" t="str">
        <f>(G150*AR150)+if(AV150=data!A$9,AO150,AN150)+AP150+BR150+BT150</f>
        <v>#N/A</v>
      </c>
      <c r="BV150" s="204" t="str">
        <f>(G150*AR150)+if(AV150=data!A$9,AO150,AN150)+AP150+BT150+G150</f>
        <v>#N/A</v>
      </c>
      <c r="BW150" s="204" t="str">
        <f t="shared" si="28"/>
        <v>#N/A</v>
      </c>
      <c r="BX150" s="204" t="str">
        <f t="shared" si="29"/>
        <v>#N/A</v>
      </c>
    </row>
    <row r="151">
      <c r="A151" s="165" t="str">
        <f>if(D151=true,if(F151=data!A$1,data!A$10,data!A$11),)</f>
        <v/>
      </c>
      <c r="B151" s="166" t="str">
        <f t="shared" si="4"/>
        <v>FBS</v>
      </c>
      <c r="C151" s="167" t="s">
        <v>195</v>
      </c>
      <c r="D151" s="168" t="b">
        <v>0</v>
      </c>
      <c r="E151" s="169" t="s">
        <v>204</v>
      </c>
      <c r="F151" s="170" t="str">
        <f t="array" ref="F151">IF(D151=TRUE,IF(IF(BG$3=VLOOKUP(AT151,{'▶️ Инструкция'!C:C,'▶️ Инструкция'!G:G},2,FALSE),BG151,BH151)&gt;VLOOKUP(AT151,{'▶️ Инструкция'!C:C,'▶️ Инструкция'!N:N},2,FALSE),data!A$1,data!A$2),)</f>
        <v/>
      </c>
      <c r="G151" s="171">
        <v>0.0</v>
      </c>
      <c r="H151" s="172">
        <v>1000.0</v>
      </c>
      <c r="I151" s="173">
        <v>0.0</v>
      </c>
      <c r="J151" s="173">
        <v>0.0</v>
      </c>
      <c r="K151" s="174" t="str">
        <f t="shared" si="5"/>
        <v/>
      </c>
      <c r="L151" s="175">
        <v>0.0</v>
      </c>
      <c r="M151" s="176" t="s">
        <v>197</v>
      </c>
      <c r="N151" s="177">
        <f>IFERROR(__xludf.DUMMYFUNCTION("ArrayFormula(let(category,VLOOKUP($M151, {'📄 Комиссии'!$C:$C , '📄 Комиссии'!$B:$B}, 2, 0),
data,MATCH('🔒 Доп. информация'!$J$15:$J203,TRANSPOSE(SPLIT(INDEX('▶️ Инструкция'!$Q:$Q,MATCH($AT151,'▶️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commission,VLOOKUP($M151,'📄 Комиссии'!$C:$E,IF($AV151=data!A$8,2,3),0),
IF(NOT(ISBLANK($M151)),commission/100+
"&amp;"IFERROR(VLOOKUP($AT151,{'▶️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51" s="178" t="str">
        <f t="shared" si="6"/>
        <v/>
      </c>
      <c r="Q151" s="178" t="str">
        <f t="shared" si="7"/>
        <v/>
      </c>
      <c r="S151" s="179" t="s">
        <v>192</v>
      </c>
      <c r="T151" s="180" t="s">
        <v>193</v>
      </c>
      <c r="U151" s="181">
        <v>1.0</v>
      </c>
      <c r="V151" s="182" t="str">
        <f t="shared" ref="V151:Y151" si="461">IF($D151,"🔒",)</f>
        <v/>
      </c>
      <c r="W151" s="182" t="str">
        <f t="shared" si="461"/>
        <v/>
      </c>
      <c r="X151" s="182" t="str">
        <f t="shared" si="461"/>
        <v/>
      </c>
      <c r="Y151" s="182" t="str">
        <f t="shared" si="461"/>
        <v/>
      </c>
      <c r="Z151" s="183">
        <v>0.0</v>
      </c>
      <c r="AA151" s="184">
        <f t="shared" si="31"/>
        <v>0</v>
      </c>
      <c r="AB151" s="185" t="str">
        <f t="shared" ref="AB151:AD151" si="462">IF($D151,"🔒",)</f>
        <v/>
      </c>
      <c r="AC151" s="185" t="str">
        <f t="shared" si="462"/>
        <v/>
      </c>
      <c r="AD151" s="186" t="str">
        <f t="shared" si="462"/>
        <v/>
      </c>
      <c r="AE151" s="180">
        <v>30.0</v>
      </c>
      <c r="AF151" s="187">
        <v>0.0</v>
      </c>
      <c r="AG151" s="187">
        <v>0.0</v>
      </c>
      <c r="AH151" s="187">
        <v>0.0</v>
      </c>
      <c r="AI151" s="181">
        <f t="shared" si="10"/>
        <v>0</v>
      </c>
      <c r="AJ151" s="181">
        <f t="shared" si="11"/>
        <v>0</v>
      </c>
      <c r="AK151" s="185" t="str">
        <f t="shared" si="12"/>
        <v/>
      </c>
      <c r="AL151" s="188" t="str">
        <f t="array" ref="AL151">H151*(1-I151)*VLOOKUP(AT151,{'▶️ Инструкция'!C:C,'▶️ Инструкция'!AI:AI},2,false)</f>
        <v>#N/A</v>
      </c>
      <c r="AM151" s="186" t="str">
        <f t="shared" si="13"/>
        <v/>
      </c>
      <c r="AN151" s="189">
        <v>0.0</v>
      </c>
      <c r="AO151" s="189">
        <v>0.0</v>
      </c>
      <c r="AP151" s="189">
        <v>0.0</v>
      </c>
      <c r="AQ151" s="191">
        <v>1.0</v>
      </c>
      <c r="AR151" s="191">
        <v>0.0</v>
      </c>
      <c r="AS151" s="212">
        <v>0.0</v>
      </c>
      <c r="AT151" s="193" t="s">
        <v>206</v>
      </c>
      <c r="AU151" s="193" t="s">
        <v>121</v>
      </c>
      <c r="AV151" s="193" t="s">
        <v>199</v>
      </c>
      <c r="AW151" s="194">
        <f t="shared" si="14"/>
        <v>0</v>
      </c>
      <c r="AX151" s="195">
        <f t="shared" si="15"/>
        <v>0</v>
      </c>
      <c r="AY151" s="196" t="str">
        <f t="shared" si="16"/>
        <v>#N/A</v>
      </c>
      <c r="AZ151" s="213">
        <v>250.0</v>
      </c>
      <c r="BA151" s="196">
        <f t="shared" si="17"/>
        <v>0.25</v>
      </c>
      <c r="BB151" s="213">
        <f t="shared" si="18"/>
        <v>1000</v>
      </c>
      <c r="BC151" s="199" t="str">
        <f t="shared" si="19"/>
        <v>#N/A</v>
      </c>
      <c r="BD151" s="200" t="str">
        <f t="shared" si="20"/>
        <v>#N/A</v>
      </c>
      <c r="BE151" s="200">
        <f t="shared" si="21"/>
        <v>0</v>
      </c>
      <c r="BF151" s="201" t="str">
        <f t="shared" si="22"/>
        <v/>
      </c>
      <c r="BG151" s="201" t="str">
        <f t="shared" si="23"/>
        <v/>
      </c>
      <c r="BH151" s="202" t="str">
        <f t="shared" si="24"/>
        <v/>
      </c>
      <c r="BI151" s="203"/>
      <c r="BJ151" s="204">
        <f>IFERROR(__xludf.DUMMYFUNCTION("IF(AU151=data!A$5,
IF(AV151=data!A$8,
IF(T151=data!A$3,
VLOOKUP(S151,filter('🔒 Доп. информация'!D:H,'🔒 Доп. информация'!C:C=T151),4,FALSE)+VLOOKUP(S151,filter('🔒 Доп. информация'!D:H,'🔒 Доп. информация'!C:C=T151),5,FALSE)*AJ151,
IF(AND(MAX(AF151:AH151"&amp;")&lt;80,SUM(AF151:AH151)&lt;=160,AI151&lt;20,XLOOKUP(M151,'📄 Комиссии'!C:C,'📄 Комиссии'!B:B)&lt;&gt;""Продукты""),
VLOOKUP(S151,filter('🔒 Доп. информация'!D:H,'🔒 Доп. информация'!C:C=data!$A$3),4,FALSE)+VLOOKUP(S151,filter('🔒 Доп. информация'!D:H,'🔒 Доп. информаци"&amp;"я'!C:C=data!$A$3),5,FALSE)*AJ151,
VLOOKUP(S151,filter('🔒 Доп. информация'!D:H,'🔒 Доп. информация'!C:C=T151),4,FALSE)*ROUNDUP(AF151*AG151*AH151*L151/(120*80*175))/L151)
)
*(AE151/2)
,)
,)*0"),0.0)</f>
        <v>0</v>
      </c>
      <c r="BK151" s="204">
        <f>IFERROR(__xludf.DUMMYFUNCTION("IF(AU151=data!A$5,
IF(AI151&lt;=1,IF(AI151&lt;=0.8,IF(AI151&lt;=0.6,IF(AI151&lt;=0.4,IF(AI151&lt;=0.2,23,26),29),30),32)*VLOOKUP(S151,filter('🔒 Доп. информация'!D:E,'🔒 Доп. информация'!C:C=T151),2,FALSE)/'🔒 Доп. информация'!$K$9,
IF(AV151=data!A$8,U151,1)*VLOOKUP(S15"&amp;"1,filter('🔒 Доп. информация'!D:E,'🔒 Доп. информация'!C:C=T151),2,FALSE)+
IF(AV151=data!A$8,U151,1)*VLOOKUP(S151,filter('🔒 Доп. информация'!D:F,'🔒 Доп. информация'!C:C=T151),3,FALSE)*AJ151)
,0)"),69.0)</f>
        <v>69</v>
      </c>
      <c r="BL151" s="185" t="str">
        <f t="shared" ref="BL151:BM151" si="463">IF($D151,"🔒",)</f>
        <v/>
      </c>
      <c r="BM151" s="185" t="str">
        <f t="shared" si="463"/>
        <v/>
      </c>
      <c r="BN151" s="204">
        <f>VLOOKUP(T151,'🔒 Доп. информация'!J:P,7,false)</f>
        <v>50</v>
      </c>
      <c r="BO151" s="204">
        <f>IF(AV151=data!A$9,
(AA151+AO151+AP151+BJ151+BK151+BN151)+H151*AS151,
(BJ151+BK151+BN151)+H151*AS151
)</f>
        <v>119</v>
      </c>
      <c r="BP151" s="204">
        <f t="shared" si="26"/>
        <v>69</v>
      </c>
      <c r="BQ151" s="204">
        <f t="shared" si="27"/>
        <v>320</v>
      </c>
      <c r="BR151" s="204" t="str">
        <f t="shared" si="37"/>
        <v>#N/A</v>
      </c>
      <c r="BS151" s="204" t="str">
        <f t="array" ref="BS151">IF(VLOOKUP(AT151,{'▶️ Инструкция'!C:C,'▶️ Инструкция'!Y:Y},2,FALSE)=data!A$15,
H151*(1-I151),
(H151-BR151))
*VLOOKUP(AT151,{'▶️ Инструкция'!C:C,'▶️ Инструкция'!AD:AD},2,FALSE)/(1+VLOOKUP(AT151,{'▶️ Инструкция'!C:C,'▶️ Инструкция'!AD:AD},2,FALSE))</f>
        <v>#N/A</v>
      </c>
      <c r="BT151" s="204" t="str">
        <f t="array" ref="BT151">
IF(VLOOKUP(AT151,{'▶️ Инструкция'!C:C,'▶️ Инструкция'!Y:Y},2,FALSE)=data!A$15,
H151*(1-I151)-BS151,
(H151-BR151-BS151))
*
VLOOKUP(AT151,{'▶️ Инструкция'!C:C,'▶️ Инструкция'!R:R},2,FALSE)
+BS151</f>
        <v>#N/A</v>
      </c>
      <c r="BU151" s="204" t="str">
        <f>(G151*AR151)+if(AV151=data!A$9,AO151,AN151)+AP151+BR151+BT151</f>
        <v>#N/A</v>
      </c>
      <c r="BV151" s="204" t="str">
        <f>(G151*AR151)+if(AV151=data!A$9,AO151,AN151)+AP151+BT151+G151</f>
        <v>#N/A</v>
      </c>
      <c r="BW151" s="204" t="str">
        <f t="shared" si="28"/>
        <v>#N/A</v>
      </c>
      <c r="BX151" s="204" t="str">
        <f t="shared" si="29"/>
        <v>#N/A</v>
      </c>
    </row>
    <row r="152">
      <c r="A152" s="165" t="str">
        <f>if(D152=true,if(F152=data!A$1,data!A$10,data!A$11),)</f>
        <v/>
      </c>
      <c r="B152" s="166" t="str">
        <f t="shared" si="4"/>
        <v>FBS</v>
      </c>
      <c r="C152" s="167" t="s">
        <v>195</v>
      </c>
      <c r="D152" s="168" t="b">
        <v>0</v>
      </c>
      <c r="E152" s="169" t="s">
        <v>204</v>
      </c>
      <c r="F152" s="170" t="str">
        <f t="array" ref="F152">IF(D152=TRUE,IF(IF(BG$3=VLOOKUP(AT152,{'▶️ Инструкция'!C:C,'▶️ Инструкция'!G:G},2,FALSE),BG152,BH152)&gt;VLOOKUP(AT152,{'▶️ Инструкция'!C:C,'▶️ Инструкция'!N:N},2,FALSE),data!A$1,data!A$2),)</f>
        <v/>
      </c>
      <c r="G152" s="171">
        <v>0.0</v>
      </c>
      <c r="H152" s="172">
        <v>1000.0</v>
      </c>
      <c r="I152" s="173">
        <v>0.0</v>
      </c>
      <c r="J152" s="173">
        <v>0.0</v>
      </c>
      <c r="K152" s="174" t="str">
        <f t="shared" si="5"/>
        <v/>
      </c>
      <c r="L152" s="175">
        <v>0.0</v>
      </c>
      <c r="M152" s="176" t="s">
        <v>197</v>
      </c>
      <c r="N152" s="177">
        <f>IFERROR(__xludf.DUMMYFUNCTION("ArrayFormula(let(category,VLOOKUP($M152, {'📄 Комиссии'!$C:$C , '📄 Комиссии'!$B:$B}, 2, 0),
data,MATCH('🔒 Доп. информация'!$J$15:$J203,TRANSPOSE(SPLIT(INDEX('▶️ Инструкция'!$Q:$Q,MATCH($AT152,'▶️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commission,VLOOKUP($M152,'📄 Комиссии'!$C:$E,IF($AV152=data!A$8,2,3),0),
IF(NOT(ISBLANK($M152)),commission/100+
"&amp;"IFERROR(VLOOKUP($AT152,{'▶️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52" s="178" t="str">
        <f t="shared" si="6"/>
        <v/>
      </c>
      <c r="Q152" s="178" t="str">
        <f t="shared" si="7"/>
        <v/>
      </c>
      <c r="S152" s="179" t="s">
        <v>192</v>
      </c>
      <c r="T152" s="180" t="s">
        <v>193</v>
      </c>
      <c r="U152" s="181">
        <v>1.0</v>
      </c>
      <c r="V152" s="182" t="str">
        <f t="shared" ref="V152:Y152" si="464">IF($D152,"🔒",)</f>
        <v/>
      </c>
      <c r="W152" s="182" t="str">
        <f t="shared" si="464"/>
        <v/>
      </c>
      <c r="X152" s="182" t="str">
        <f t="shared" si="464"/>
        <v/>
      </c>
      <c r="Y152" s="182" t="str">
        <f t="shared" si="464"/>
        <v/>
      </c>
      <c r="Z152" s="183">
        <v>0.0</v>
      </c>
      <c r="AA152" s="184">
        <f t="shared" si="31"/>
        <v>0</v>
      </c>
      <c r="AB152" s="185" t="str">
        <f t="shared" ref="AB152:AD152" si="465">IF($D152,"🔒",)</f>
        <v/>
      </c>
      <c r="AC152" s="185" t="str">
        <f t="shared" si="465"/>
        <v/>
      </c>
      <c r="AD152" s="186" t="str">
        <f t="shared" si="465"/>
        <v/>
      </c>
      <c r="AE152" s="180">
        <v>30.0</v>
      </c>
      <c r="AF152" s="187">
        <v>0.0</v>
      </c>
      <c r="AG152" s="187">
        <v>0.0</v>
      </c>
      <c r="AH152" s="187">
        <v>0.0</v>
      </c>
      <c r="AI152" s="181">
        <f t="shared" si="10"/>
        <v>0</v>
      </c>
      <c r="AJ152" s="181">
        <f t="shared" si="11"/>
        <v>0</v>
      </c>
      <c r="AK152" s="185" t="str">
        <f t="shared" si="12"/>
        <v/>
      </c>
      <c r="AL152" s="188" t="str">
        <f t="array" ref="AL152">H152*(1-I152)*VLOOKUP(AT152,{'▶️ Инструкция'!C:C,'▶️ Инструкция'!AI:AI},2,false)</f>
        <v>#N/A</v>
      </c>
      <c r="AM152" s="186" t="str">
        <f t="shared" si="13"/>
        <v/>
      </c>
      <c r="AN152" s="189">
        <v>0.0</v>
      </c>
      <c r="AO152" s="189">
        <v>0.0</v>
      </c>
      <c r="AP152" s="189">
        <v>0.0</v>
      </c>
      <c r="AQ152" s="191">
        <v>1.0</v>
      </c>
      <c r="AR152" s="191">
        <v>0.0</v>
      </c>
      <c r="AS152" s="212">
        <v>0.0</v>
      </c>
      <c r="AT152" s="193" t="s">
        <v>206</v>
      </c>
      <c r="AU152" s="193" t="s">
        <v>121</v>
      </c>
      <c r="AV152" s="193" t="s">
        <v>199</v>
      </c>
      <c r="AW152" s="194">
        <f t="shared" si="14"/>
        <v>0</v>
      </c>
      <c r="AX152" s="195">
        <f t="shared" si="15"/>
        <v>0</v>
      </c>
      <c r="AY152" s="196" t="str">
        <f t="shared" si="16"/>
        <v>#N/A</v>
      </c>
      <c r="AZ152" s="213">
        <v>250.0</v>
      </c>
      <c r="BA152" s="196">
        <f t="shared" si="17"/>
        <v>0.25</v>
      </c>
      <c r="BB152" s="213">
        <f t="shared" si="18"/>
        <v>1000</v>
      </c>
      <c r="BC152" s="199" t="str">
        <f t="shared" si="19"/>
        <v>#N/A</v>
      </c>
      <c r="BD152" s="200" t="str">
        <f t="shared" si="20"/>
        <v>#N/A</v>
      </c>
      <c r="BE152" s="200">
        <f t="shared" si="21"/>
        <v>0</v>
      </c>
      <c r="BF152" s="201" t="str">
        <f t="shared" si="22"/>
        <v/>
      </c>
      <c r="BG152" s="201" t="str">
        <f t="shared" si="23"/>
        <v/>
      </c>
      <c r="BH152" s="202" t="str">
        <f t="shared" si="24"/>
        <v/>
      </c>
      <c r="BI152" s="203"/>
      <c r="BJ152" s="204">
        <f>IFERROR(__xludf.DUMMYFUNCTION("IF(AU152=data!A$5,
IF(AV152=data!A$8,
IF(T152=data!A$3,
VLOOKUP(S152,filter('🔒 Доп. информация'!D:H,'🔒 Доп. информация'!C:C=T152),4,FALSE)+VLOOKUP(S152,filter('🔒 Доп. информация'!D:H,'🔒 Доп. информация'!C:C=T152),5,FALSE)*AJ152,
IF(AND(MAX(AF152:AH152"&amp;")&lt;80,SUM(AF152:AH152)&lt;=160,AI152&lt;20,XLOOKUP(M152,'📄 Комиссии'!C:C,'📄 Комиссии'!B:B)&lt;&gt;""Продукты""),
VLOOKUP(S152,filter('🔒 Доп. информация'!D:H,'🔒 Доп. информация'!C:C=data!$A$3),4,FALSE)+VLOOKUP(S152,filter('🔒 Доп. информация'!D:H,'🔒 Доп. информаци"&amp;"я'!C:C=data!$A$3),5,FALSE)*AJ152,
VLOOKUP(S152,filter('🔒 Доп. информация'!D:H,'🔒 Доп. информация'!C:C=T152),4,FALSE)*ROUNDUP(AF152*AG152*AH152*L152/(120*80*175))/L152)
)
*(AE152/2)
,)
,)*0"),0.0)</f>
        <v>0</v>
      </c>
      <c r="BK152" s="204">
        <f>IFERROR(__xludf.DUMMYFUNCTION("IF(AU152=data!A$5,
IF(AI152&lt;=1,IF(AI152&lt;=0.8,IF(AI152&lt;=0.6,IF(AI152&lt;=0.4,IF(AI152&lt;=0.2,23,26),29),30),32)*VLOOKUP(S152,filter('🔒 Доп. информация'!D:E,'🔒 Доп. информация'!C:C=T152),2,FALSE)/'🔒 Доп. информация'!$K$9,
IF(AV152=data!A$8,U152,1)*VLOOKUP(S15"&amp;"2,filter('🔒 Доп. информация'!D:E,'🔒 Доп. информация'!C:C=T152),2,FALSE)+
IF(AV152=data!A$8,U152,1)*VLOOKUP(S152,filter('🔒 Доп. информация'!D:F,'🔒 Доп. информация'!C:C=T152),3,FALSE)*AJ152)
,0)"),69.0)</f>
        <v>69</v>
      </c>
      <c r="BL152" s="185" t="str">
        <f t="shared" ref="BL152:BM152" si="466">IF($D152,"🔒",)</f>
        <v/>
      </c>
      <c r="BM152" s="185" t="str">
        <f t="shared" si="466"/>
        <v/>
      </c>
      <c r="BN152" s="204">
        <f>VLOOKUP(T152,'🔒 Доп. информация'!J:P,7,false)</f>
        <v>50</v>
      </c>
      <c r="BO152" s="204">
        <f>IF(AV152=data!A$9,
(AA152+AO152+AP152+BJ152+BK152+BN152)+H152*AS152,
(BJ152+BK152+BN152)+H152*AS152
)</f>
        <v>119</v>
      </c>
      <c r="BP152" s="204">
        <f t="shared" si="26"/>
        <v>69</v>
      </c>
      <c r="BQ152" s="204">
        <f t="shared" si="27"/>
        <v>320</v>
      </c>
      <c r="BR152" s="204" t="str">
        <f t="shared" si="37"/>
        <v>#N/A</v>
      </c>
      <c r="BS152" s="204" t="str">
        <f t="array" ref="BS152">IF(VLOOKUP(AT152,{'▶️ Инструкция'!C:C,'▶️ Инструкция'!Y:Y},2,FALSE)=data!A$15,
H152*(1-I152),
(H152-BR152))
*VLOOKUP(AT152,{'▶️ Инструкция'!C:C,'▶️ Инструкция'!AD:AD},2,FALSE)/(1+VLOOKUP(AT152,{'▶️ Инструкция'!C:C,'▶️ Инструкция'!AD:AD},2,FALSE))</f>
        <v>#N/A</v>
      </c>
      <c r="BT152" s="204" t="str">
        <f t="array" ref="BT152">
IF(VLOOKUP(AT152,{'▶️ Инструкция'!C:C,'▶️ Инструкция'!Y:Y},2,FALSE)=data!A$15,
H152*(1-I152)-BS152,
(H152-BR152-BS152))
*
VLOOKUP(AT152,{'▶️ Инструкция'!C:C,'▶️ Инструкция'!R:R},2,FALSE)
+BS152</f>
        <v>#N/A</v>
      </c>
      <c r="BU152" s="204" t="str">
        <f>(G152*AR152)+if(AV152=data!A$9,AO152,AN152)+AP152+BR152+BT152</f>
        <v>#N/A</v>
      </c>
      <c r="BV152" s="204" t="str">
        <f>(G152*AR152)+if(AV152=data!A$9,AO152,AN152)+AP152+BT152+G152</f>
        <v>#N/A</v>
      </c>
      <c r="BW152" s="204" t="str">
        <f t="shared" si="28"/>
        <v>#N/A</v>
      </c>
      <c r="BX152" s="204" t="str">
        <f t="shared" si="29"/>
        <v>#N/A</v>
      </c>
    </row>
    <row r="153">
      <c r="A153" s="165" t="str">
        <f>if(D153=true,if(F153=data!A$1,data!A$10,data!A$11),)</f>
        <v/>
      </c>
      <c r="B153" s="166" t="str">
        <f t="shared" si="4"/>
        <v>FBS</v>
      </c>
      <c r="C153" s="167" t="s">
        <v>195</v>
      </c>
      <c r="D153" s="168" t="b">
        <v>0</v>
      </c>
      <c r="E153" s="169" t="s">
        <v>204</v>
      </c>
      <c r="F153" s="170" t="str">
        <f t="array" ref="F153">IF(D153=TRUE,IF(IF(BG$3=VLOOKUP(AT153,{'▶️ Инструкция'!C:C,'▶️ Инструкция'!G:G},2,FALSE),BG153,BH153)&gt;VLOOKUP(AT153,{'▶️ Инструкция'!C:C,'▶️ Инструкция'!N:N},2,FALSE),data!A$1,data!A$2),)</f>
        <v/>
      </c>
      <c r="G153" s="171">
        <v>0.0</v>
      </c>
      <c r="H153" s="172">
        <v>1000.0</v>
      </c>
      <c r="I153" s="173">
        <v>0.0</v>
      </c>
      <c r="J153" s="173">
        <v>0.0</v>
      </c>
      <c r="K153" s="174" t="str">
        <f t="shared" si="5"/>
        <v/>
      </c>
      <c r="L153" s="175">
        <v>0.0</v>
      </c>
      <c r="M153" s="176" t="s">
        <v>197</v>
      </c>
      <c r="N153" s="177">
        <f>IFERROR(__xludf.DUMMYFUNCTION("ArrayFormula(let(category,VLOOKUP($M153, {'📄 Комиссии'!$C:$C , '📄 Комиссии'!$B:$B}, 2, 0),
data,MATCH('🔒 Доп. информация'!$J$15:$J203,TRANSPOSE(SPLIT(INDEX('▶️ Инструкция'!$Q:$Q,MATCH($AT153,'▶️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commission,VLOOKUP($M153,'📄 Комиссии'!$C:$E,IF($AV153=data!A$8,2,3),0),
IF(NOT(ISBLANK($M153)),commission/100+
"&amp;"IFERROR(VLOOKUP($AT153,{'▶️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53" s="178" t="str">
        <f t="shared" si="6"/>
        <v/>
      </c>
      <c r="Q153" s="178" t="str">
        <f t="shared" si="7"/>
        <v/>
      </c>
      <c r="S153" s="179" t="s">
        <v>192</v>
      </c>
      <c r="T153" s="180" t="s">
        <v>193</v>
      </c>
      <c r="U153" s="181">
        <v>1.0</v>
      </c>
      <c r="V153" s="182" t="str">
        <f t="shared" ref="V153:Y153" si="467">IF($D153,"🔒",)</f>
        <v/>
      </c>
      <c r="W153" s="182" t="str">
        <f t="shared" si="467"/>
        <v/>
      </c>
      <c r="X153" s="182" t="str">
        <f t="shared" si="467"/>
        <v/>
      </c>
      <c r="Y153" s="182" t="str">
        <f t="shared" si="467"/>
        <v/>
      </c>
      <c r="Z153" s="183">
        <v>0.0</v>
      </c>
      <c r="AA153" s="184">
        <f t="shared" si="31"/>
        <v>0</v>
      </c>
      <c r="AB153" s="185" t="str">
        <f t="shared" ref="AB153:AD153" si="468">IF($D153,"🔒",)</f>
        <v/>
      </c>
      <c r="AC153" s="185" t="str">
        <f t="shared" si="468"/>
        <v/>
      </c>
      <c r="AD153" s="186" t="str">
        <f t="shared" si="468"/>
        <v/>
      </c>
      <c r="AE153" s="180">
        <v>30.0</v>
      </c>
      <c r="AF153" s="187">
        <v>0.0</v>
      </c>
      <c r="AG153" s="187">
        <v>0.0</v>
      </c>
      <c r="AH153" s="187">
        <v>0.0</v>
      </c>
      <c r="AI153" s="181">
        <f t="shared" si="10"/>
        <v>0</v>
      </c>
      <c r="AJ153" s="181">
        <f t="shared" si="11"/>
        <v>0</v>
      </c>
      <c r="AK153" s="185" t="str">
        <f t="shared" si="12"/>
        <v/>
      </c>
      <c r="AL153" s="188" t="str">
        <f t="array" ref="AL153">H153*(1-I153)*VLOOKUP(AT153,{'▶️ Инструкция'!C:C,'▶️ Инструкция'!AI:AI},2,false)</f>
        <v>#N/A</v>
      </c>
      <c r="AM153" s="186" t="str">
        <f t="shared" si="13"/>
        <v/>
      </c>
      <c r="AN153" s="189">
        <v>0.0</v>
      </c>
      <c r="AO153" s="189">
        <v>0.0</v>
      </c>
      <c r="AP153" s="189">
        <v>0.0</v>
      </c>
      <c r="AQ153" s="191">
        <v>1.0</v>
      </c>
      <c r="AR153" s="191">
        <v>0.0</v>
      </c>
      <c r="AS153" s="212">
        <v>0.0</v>
      </c>
      <c r="AT153" s="193" t="s">
        <v>206</v>
      </c>
      <c r="AU153" s="193" t="s">
        <v>121</v>
      </c>
      <c r="AV153" s="193" t="s">
        <v>199</v>
      </c>
      <c r="AW153" s="194">
        <f t="shared" si="14"/>
        <v>0</v>
      </c>
      <c r="AX153" s="195">
        <f t="shared" si="15"/>
        <v>0</v>
      </c>
      <c r="AY153" s="196" t="str">
        <f t="shared" si="16"/>
        <v>#N/A</v>
      </c>
      <c r="AZ153" s="213">
        <v>250.0</v>
      </c>
      <c r="BA153" s="196">
        <f t="shared" si="17"/>
        <v>0.25</v>
      </c>
      <c r="BB153" s="213">
        <f t="shared" si="18"/>
        <v>1000</v>
      </c>
      <c r="BC153" s="199" t="str">
        <f t="shared" si="19"/>
        <v>#N/A</v>
      </c>
      <c r="BD153" s="200" t="str">
        <f t="shared" si="20"/>
        <v>#N/A</v>
      </c>
      <c r="BE153" s="200">
        <f t="shared" si="21"/>
        <v>0</v>
      </c>
      <c r="BF153" s="201" t="str">
        <f t="shared" si="22"/>
        <v/>
      </c>
      <c r="BG153" s="201" t="str">
        <f t="shared" si="23"/>
        <v/>
      </c>
      <c r="BH153" s="202" t="str">
        <f t="shared" si="24"/>
        <v/>
      </c>
      <c r="BI153" s="203"/>
      <c r="BJ153" s="204">
        <f>IFERROR(__xludf.DUMMYFUNCTION("IF(AU153=data!A$5,
IF(AV153=data!A$8,
IF(T153=data!A$3,
VLOOKUP(S153,filter('🔒 Доп. информация'!D:H,'🔒 Доп. информация'!C:C=T153),4,FALSE)+VLOOKUP(S153,filter('🔒 Доп. информация'!D:H,'🔒 Доп. информация'!C:C=T153),5,FALSE)*AJ153,
IF(AND(MAX(AF153:AH153"&amp;")&lt;80,SUM(AF153:AH153)&lt;=160,AI153&lt;20,XLOOKUP(M153,'📄 Комиссии'!C:C,'📄 Комиссии'!B:B)&lt;&gt;""Продукты""),
VLOOKUP(S153,filter('🔒 Доп. информация'!D:H,'🔒 Доп. информация'!C:C=data!$A$3),4,FALSE)+VLOOKUP(S153,filter('🔒 Доп. информация'!D:H,'🔒 Доп. информаци"&amp;"я'!C:C=data!$A$3),5,FALSE)*AJ153,
VLOOKUP(S153,filter('🔒 Доп. информация'!D:H,'🔒 Доп. информация'!C:C=T153),4,FALSE)*ROUNDUP(AF153*AG153*AH153*L153/(120*80*175))/L153)
)
*(AE153/2)
,)
,)*0"),0.0)</f>
        <v>0</v>
      </c>
      <c r="BK153" s="204">
        <f>IFERROR(__xludf.DUMMYFUNCTION("IF(AU153=data!A$5,
IF(AI153&lt;=1,IF(AI153&lt;=0.8,IF(AI153&lt;=0.6,IF(AI153&lt;=0.4,IF(AI153&lt;=0.2,23,26),29),30),32)*VLOOKUP(S153,filter('🔒 Доп. информация'!D:E,'🔒 Доп. информация'!C:C=T153),2,FALSE)/'🔒 Доп. информация'!$K$9,
IF(AV153=data!A$8,U153,1)*VLOOKUP(S15"&amp;"3,filter('🔒 Доп. информация'!D:E,'🔒 Доп. информация'!C:C=T153),2,FALSE)+
IF(AV153=data!A$8,U153,1)*VLOOKUP(S153,filter('🔒 Доп. информация'!D:F,'🔒 Доп. информация'!C:C=T153),3,FALSE)*AJ153)
,0)"),69.0)</f>
        <v>69</v>
      </c>
      <c r="BL153" s="185" t="str">
        <f t="shared" ref="BL153:BM153" si="469">IF($D153,"🔒",)</f>
        <v/>
      </c>
      <c r="BM153" s="185" t="str">
        <f t="shared" si="469"/>
        <v/>
      </c>
      <c r="BN153" s="204">
        <f>VLOOKUP(T153,'🔒 Доп. информация'!J:P,7,false)</f>
        <v>50</v>
      </c>
      <c r="BO153" s="204">
        <f>IF(AV153=data!A$9,
(AA153+AO153+AP153+BJ153+BK153+BN153)+H153*AS153,
(BJ153+BK153+BN153)+H153*AS153
)</f>
        <v>119</v>
      </c>
      <c r="BP153" s="204">
        <f t="shared" si="26"/>
        <v>69</v>
      </c>
      <c r="BQ153" s="204">
        <f t="shared" si="27"/>
        <v>320</v>
      </c>
      <c r="BR153" s="204" t="str">
        <f t="shared" si="37"/>
        <v>#N/A</v>
      </c>
      <c r="BS153" s="204" t="str">
        <f t="array" ref="BS153">IF(VLOOKUP(AT153,{'▶️ Инструкция'!C:C,'▶️ Инструкция'!Y:Y},2,FALSE)=data!A$15,
H153*(1-I153),
(H153-BR153))
*VLOOKUP(AT153,{'▶️ Инструкция'!C:C,'▶️ Инструкция'!AD:AD},2,FALSE)/(1+VLOOKUP(AT153,{'▶️ Инструкция'!C:C,'▶️ Инструкция'!AD:AD},2,FALSE))</f>
        <v>#N/A</v>
      </c>
      <c r="BT153" s="204" t="str">
        <f t="array" ref="BT153">
IF(VLOOKUP(AT153,{'▶️ Инструкция'!C:C,'▶️ Инструкция'!Y:Y},2,FALSE)=data!A$15,
H153*(1-I153)-BS153,
(H153-BR153-BS153))
*
VLOOKUP(AT153,{'▶️ Инструкция'!C:C,'▶️ Инструкция'!R:R},2,FALSE)
+BS153</f>
        <v>#N/A</v>
      </c>
      <c r="BU153" s="204" t="str">
        <f>(G153*AR153)+if(AV153=data!A$9,AO153,AN153)+AP153+BR153+BT153</f>
        <v>#N/A</v>
      </c>
      <c r="BV153" s="204" t="str">
        <f>(G153*AR153)+if(AV153=data!A$9,AO153,AN153)+AP153+BT153+G153</f>
        <v>#N/A</v>
      </c>
      <c r="BW153" s="204" t="str">
        <f t="shared" si="28"/>
        <v>#N/A</v>
      </c>
      <c r="BX153" s="204" t="str">
        <f t="shared" si="29"/>
        <v>#N/A</v>
      </c>
    </row>
    <row r="154">
      <c r="A154" s="165" t="str">
        <f>if(D154=true,if(F154=data!A$1,data!A$10,data!A$11),)</f>
        <v/>
      </c>
      <c r="B154" s="166" t="str">
        <f t="shared" si="4"/>
        <v>FBS</v>
      </c>
      <c r="C154" s="167" t="s">
        <v>195</v>
      </c>
      <c r="D154" s="168" t="b">
        <v>0</v>
      </c>
      <c r="E154" s="169" t="s">
        <v>204</v>
      </c>
      <c r="F154" s="170" t="str">
        <f t="array" ref="F154">IF(D154=TRUE,IF(IF(BG$3=VLOOKUP(AT154,{'▶️ Инструкция'!C:C,'▶️ Инструкция'!G:G},2,FALSE),BG154,BH154)&gt;VLOOKUP(AT154,{'▶️ Инструкция'!C:C,'▶️ Инструкция'!N:N},2,FALSE),data!A$1,data!A$2),)</f>
        <v/>
      </c>
      <c r="G154" s="171">
        <v>0.0</v>
      </c>
      <c r="H154" s="172">
        <v>1000.0</v>
      </c>
      <c r="I154" s="173">
        <v>0.0</v>
      </c>
      <c r="J154" s="173">
        <v>0.0</v>
      </c>
      <c r="K154" s="174" t="str">
        <f t="shared" si="5"/>
        <v/>
      </c>
      <c r="L154" s="175">
        <v>0.0</v>
      </c>
      <c r="M154" s="176" t="s">
        <v>197</v>
      </c>
      <c r="N154" s="177">
        <f>IFERROR(__xludf.DUMMYFUNCTION("ArrayFormula(let(category,VLOOKUP($M154, {'📄 Комиссии'!$C:$C , '📄 Комиссии'!$B:$B}, 2, 0),
data,MATCH('🔒 Доп. информация'!$J$15:$J203,TRANSPOSE(SPLIT(INDEX('▶️ Инструкция'!$Q:$Q,MATCH($AT154,'▶️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commission,VLOOKUP($M154,'📄 Комиссии'!$C:$E,IF($AV154=data!A$8,2,3),0),
IF(NOT(ISBLANK($M154)),commission/100+
"&amp;"IFERROR(VLOOKUP($AT154,{'▶️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54" s="178" t="str">
        <f t="shared" si="6"/>
        <v/>
      </c>
      <c r="Q154" s="178" t="str">
        <f t="shared" si="7"/>
        <v/>
      </c>
      <c r="S154" s="179" t="s">
        <v>192</v>
      </c>
      <c r="T154" s="180" t="s">
        <v>193</v>
      </c>
      <c r="U154" s="181">
        <v>1.0</v>
      </c>
      <c r="V154" s="182" t="str">
        <f t="shared" ref="V154:Y154" si="470">IF($D154,"🔒",)</f>
        <v/>
      </c>
      <c r="W154" s="182" t="str">
        <f t="shared" si="470"/>
        <v/>
      </c>
      <c r="X154" s="182" t="str">
        <f t="shared" si="470"/>
        <v/>
      </c>
      <c r="Y154" s="182" t="str">
        <f t="shared" si="470"/>
        <v/>
      </c>
      <c r="Z154" s="183">
        <v>0.0</v>
      </c>
      <c r="AA154" s="184">
        <f t="shared" si="31"/>
        <v>0</v>
      </c>
      <c r="AB154" s="185" t="str">
        <f t="shared" ref="AB154:AD154" si="471">IF($D154,"🔒",)</f>
        <v/>
      </c>
      <c r="AC154" s="185" t="str">
        <f t="shared" si="471"/>
        <v/>
      </c>
      <c r="AD154" s="186" t="str">
        <f t="shared" si="471"/>
        <v/>
      </c>
      <c r="AE154" s="180">
        <v>30.0</v>
      </c>
      <c r="AF154" s="187">
        <v>0.0</v>
      </c>
      <c r="AG154" s="187">
        <v>0.0</v>
      </c>
      <c r="AH154" s="187">
        <v>0.0</v>
      </c>
      <c r="AI154" s="181">
        <f t="shared" si="10"/>
        <v>0</v>
      </c>
      <c r="AJ154" s="181">
        <f t="shared" si="11"/>
        <v>0</v>
      </c>
      <c r="AK154" s="185" t="str">
        <f t="shared" si="12"/>
        <v/>
      </c>
      <c r="AL154" s="188" t="str">
        <f t="array" ref="AL154">H154*(1-I154)*VLOOKUP(AT154,{'▶️ Инструкция'!C:C,'▶️ Инструкция'!AI:AI},2,false)</f>
        <v>#N/A</v>
      </c>
      <c r="AM154" s="186" t="str">
        <f t="shared" si="13"/>
        <v/>
      </c>
      <c r="AN154" s="189">
        <v>0.0</v>
      </c>
      <c r="AO154" s="189">
        <v>0.0</v>
      </c>
      <c r="AP154" s="189">
        <v>0.0</v>
      </c>
      <c r="AQ154" s="191">
        <v>1.0</v>
      </c>
      <c r="AR154" s="191">
        <v>0.0</v>
      </c>
      <c r="AS154" s="212">
        <v>0.0</v>
      </c>
      <c r="AT154" s="193" t="s">
        <v>206</v>
      </c>
      <c r="AU154" s="193" t="s">
        <v>121</v>
      </c>
      <c r="AV154" s="193" t="s">
        <v>199</v>
      </c>
      <c r="AW154" s="194">
        <f t="shared" si="14"/>
        <v>0</v>
      </c>
      <c r="AX154" s="195">
        <f t="shared" si="15"/>
        <v>0</v>
      </c>
      <c r="AY154" s="196" t="str">
        <f t="shared" si="16"/>
        <v>#N/A</v>
      </c>
      <c r="AZ154" s="213">
        <v>250.0</v>
      </c>
      <c r="BA154" s="196">
        <f t="shared" si="17"/>
        <v>0.25</v>
      </c>
      <c r="BB154" s="213">
        <f t="shared" si="18"/>
        <v>1000</v>
      </c>
      <c r="BC154" s="199" t="str">
        <f t="shared" si="19"/>
        <v>#N/A</v>
      </c>
      <c r="BD154" s="200" t="str">
        <f t="shared" si="20"/>
        <v>#N/A</v>
      </c>
      <c r="BE154" s="200">
        <f t="shared" si="21"/>
        <v>0</v>
      </c>
      <c r="BF154" s="201" t="str">
        <f t="shared" si="22"/>
        <v/>
      </c>
      <c r="BG154" s="201" t="str">
        <f t="shared" si="23"/>
        <v/>
      </c>
      <c r="BH154" s="202" t="str">
        <f t="shared" si="24"/>
        <v/>
      </c>
      <c r="BI154" s="203"/>
      <c r="BJ154" s="204">
        <f>IFERROR(__xludf.DUMMYFUNCTION("IF(AU154=data!A$5,
IF(AV154=data!A$8,
IF(T154=data!A$3,
VLOOKUP(S154,filter('🔒 Доп. информация'!D:H,'🔒 Доп. информация'!C:C=T154),4,FALSE)+VLOOKUP(S154,filter('🔒 Доп. информация'!D:H,'🔒 Доп. информация'!C:C=T154),5,FALSE)*AJ154,
IF(AND(MAX(AF154:AH154"&amp;")&lt;80,SUM(AF154:AH154)&lt;=160,AI154&lt;20,XLOOKUP(M154,'📄 Комиссии'!C:C,'📄 Комиссии'!B:B)&lt;&gt;""Продукты""),
VLOOKUP(S154,filter('🔒 Доп. информация'!D:H,'🔒 Доп. информация'!C:C=data!$A$3),4,FALSE)+VLOOKUP(S154,filter('🔒 Доп. информация'!D:H,'🔒 Доп. информаци"&amp;"я'!C:C=data!$A$3),5,FALSE)*AJ154,
VLOOKUP(S154,filter('🔒 Доп. информация'!D:H,'🔒 Доп. информация'!C:C=T154),4,FALSE)*ROUNDUP(AF154*AG154*AH154*L154/(120*80*175))/L154)
)
*(AE154/2)
,)
,)*0"),0.0)</f>
        <v>0</v>
      </c>
      <c r="BK154" s="204">
        <f>IFERROR(__xludf.DUMMYFUNCTION("IF(AU154=data!A$5,
IF(AI154&lt;=1,IF(AI154&lt;=0.8,IF(AI154&lt;=0.6,IF(AI154&lt;=0.4,IF(AI154&lt;=0.2,23,26),29),30),32)*VLOOKUP(S154,filter('🔒 Доп. информация'!D:E,'🔒 Доп. информация'!C:C=T154),2,FALSE)/'🔒 Доп. информация'!$K$9,
IF(AV154=data!A$8,U154,1)*VLOOKUP(S15"&amp;"4,filter('🔒 Доп. информация'!D:E,'🔒 Доп. информация'!C:C=T154),2,FALSE)+
IF(AV154=data!A$8,U154,1)*VLOOKUP(S154,filter('🔒 Доп. информация'!D:F,'🔒 Доп. информация'!C:C=T154),3,FALSE)*AJ154)
,0)"),69.0)</f>
        <v>69</v>
      </c>
      <c r="BL154" s="185" t="str">
        <f t="shared" ref="BL154:BM154" si="472">IF($D154,"🔒",)</f>
        <v/>
      </c>
      <c r="BM154" s="185" t="str">
        <f t="shared" si="472"/>
        <v/>
      </c>
      <c r="BN154" s="204">
        <f>VLOOKUP(T154,'🔒 Доп. информация'!J:P,7,false)</f>
        <v>50</v>
      </c>
      <c r="BO154" s="204">
        <f>IF(AV154=data!A$9,
(AA154+AO154+AP154+BJ154+BK154+BN154)+H154*AS154,
(BJ154+BK154+BN154)+H154*AS154
)</f>
        <v>119</v>
      </c>
      <c r="BP154" s="204">
        <f t="shared" si="26"/>
        <v>69</v>
      </c>
      <c r="BQ154" s="204">
        <f t="shared" si="27"/>
        <v>320</v>
      </c>
      <c r="BR154" s="204" t="str">
        <f t="shared" si="37"/>
        <v>#N/A</v>
      </c>
      <c r="BS154" s="204" t="str">
        <f t="array" ref="BS154">IF(VLOOKUP(AT154,{'▶️ Инструкция'!C:C,'▶️ Инструкция'!Y:Y},2,FALSE)=data!A$15,
H154*(1-I154),
(H154-BR154))
*VLOOKUP(AT154,{'▶️ Инструкция'!C:C,'▶️ Инструкция'!AD:AD},2,FALSE)/(1+VLOOKUP(AT154,{'▶️ Инструкция'!C:C,'▶️ Инструкция'!AD:AD},2,FALSE))</f>
        <v>#N/A</v>
      </c>
      <c r="BT154" s="204" t="str">
        <f t="array" ref="BT154">
IF(VLOOKUP(AT154,{'▶️ Инструкция'!C:C,'▶️ Инструкция'!Y:Y},2,FALSE)=data!A$15,
H154*(1-I154)-BS154,
(H154-BR154-BS154))
*
VLOOKUP(AT154,{'▶️ Инструкция'!C:C,'▶️ Инструкция'!R:R},2,FALSE)
+BS154</f>
        <v>#N/A</v>
      </c>
      <c r="BU154" s="204" t="str">
        <f>(G154*AR154)+if(AV154=data!A$9,AO154,AN154)+AP154+BR154+BT154</f>
        <v>#N/A</v>
      </c>
      <c r="BV154" s="204" t="str">
        <f>(G154*AR154)+if(AV154=data!A$9,AO154,AN154)+AP154+BT154+G154</f>
        <v>#N/A</v>
      </c>
      <c r="BW154" s="204" t="str">
        <f t="shared" si="28"/>
        <v>#N/A</v>
      </c>
      <c r="BX154" s="204" t="str">
        <f t="shared" si="29"/>
        <v>#N/A</v>
      </c>
    </row>
    <row r="155">
      <c r="A155" s="165" t="str">
        <f>if(D155=true,if(F155=data!A$1,data!A$10,data!A$11),)</f>
        <v/>
      </c>
      <c r="B155" s="166" t="str">
        <f t="shared" si="4"/>
        <v>FBS</v>
      </c>
      <c r="C155" s="167" t="s">
        <v>195</v>
      </c>
      <c r="D155" s="168" t="b">
        <v>0</v>
      </c>
      <c r="E155" s="169" t="s">
        <v>204</v>
      </c>
      <c r="F155" s="170" t="str">
        <f t="array" ref="F155">IF(D155=TRUE,IF(IF(BG$3=VLOOKUP(AT155,{'▶️ Инструкция'!C:C,'▶️ Инструкция'!G:G},2,FALSE),BG155,BH155)&gt;VLOOKUP(AT155,{'▶️ Инструкция'!C:C,'▶️ Инструкция'!N:N},2,FALSE),data!A$1,data!A$2),)</f>
        <v/>
      </c>
      <c r="G155" s="171">
        <v>0.0</v>
      </c>
      <c r="H155" s="172">
        <v>1000.0</v>
      </c>
      <c r="I155" s="173">
        <v>0.0</v>
      </c>
      <c r="J155" s="173">
        <v>0.0</v>
      </c>
      <c r="K155" s="174" t="str">
        <f t="shared" si="5"/>
        <v/>
      </c>
      <c r="L155" s="175">
        <v>0.0</v>
      </c>
      <c r="M155" s="176" t="s">
        <v>197</v>
      </c>
      <c r="N155" s="177">
        <f>IFERROR(__xludf.DUMMYFUNCTION("ArrayFormula(let(category,VLOOKUP($M155, {'📄 Комиссии'!$C:$C , '📄 Комиссии'!$B:$B}, 2, 0),
data,MATCH('🔒 Доп. информация'!$J$15:$J203,TRANSPOSE(SPLIT(INDEX('▶️ Инструкция'!$Q:$Q,MATCH($AT155,'▶️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commission,VLOOKUP($M155,'📄 Комиссии'!$C:$E,IF($AV155=data!A$8,2,3),0),
IF(NOT(ISBLANK($M155)),commission/100+
"&amp;"IFERROR(VLOOKUP($AT155,{'▶️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55" s="178" t="str">
        <f t="shared" si="6"/>
        <v/>
      </c>
      <c r="Q155" s="178" t="str">
        <f t="shared" si="7"/>
        <v/>
      </c>
      <c r="S155" s="179" t="s">
        <v>192</v>
      </c>
      <c r="T155" s="180" t="s">
        <v>193</v>
      </c>
      <c r="U155" s="181">
        <v>1.0</v>
      </c>
      <c r="V155" s="182" t="str">
        <f t="shared" ref="V155:Y155" si="473">IF($D155,"🔒",)</f>
        <v/>
      </c>
      <c r="W155" s="182" t="str">
        <f t="shared" si="473"/>
        <v/>
      </c>
      <c r="X155" s="182" t="str">
        <f t="shared" si="473"/>
        <v/>
      </c>
      <c r="Y155" s="182" t="str">
        <f t="shared" si="473"/>
        <v/>
      </c>
      <c r="Z155" s="183">
        <v>0.0</v>
      </c>
      <c r="AA155" s="184">
        <f t="shared" si="31"/>
        <v>0</v>
      </c>
      <c r="AB155" s="185" t="str">
        <f t="shared" ref="AB155:AD155" si="474">IF($D155,"🔒",)</f>
        <v/>
      </c>
      <c r="AC155" s="185" t="str">
        <f t="shared" si="474"/>
        <v/>
      </c>
      <c r="AD155" s="186" t="str">
        <f t="shared" si="474"/>
        <v/>
      </c>
      <c r="AE155" s="180">
        <v>30.0</v>
      </c>
      <c r="AF155" s="187">
        <v>0.0</v>
      </c>
      <c r="AG155" s="187">
        <v>0.0</v>
      </c>
      <c r="AH155" s="187">
        <v>0.0</v>
      </c>
      <c r="AI155" s="181">
        <f t="shared" si="10"/>
        <v>0</v>
      </c>
      <c r="AJ155" s="181">
        <f t="shared" si="11"/>
        <v>0</v>
      </c>
      <c r="AK155" s="185" t="str">
        <f t="shared" si="12"/>
        <v/>
      </c>
      <c r="AL155" s="188" t="str">
        <f t="array" ref="AL155">H155*(1-I155)*VLOOKUP(AT155,{'▶️ Инструкция'!C:C,'▶️ Инструкция'!AI:AI},2,false)</f>
        <v>#N/A</v>
      </c>
      <c r="AM155" s="186" t="str">
        <f t="shared" si="13"/>
        <v/>
      </c>
      <c r="AN155" s="189">
        <v>0.0</v>
      </c>
      <c r="AO155" s="189">
        <v>0.0</v>
      </c>
      <c r="AP155" s="189">
        <v>0.0</v>
      </c>
      <c r="AQ155" s="191">
        <v>1.0</v>
      </c>
      <c r="AR155" s="191">
        <v>0.0</v>
      </c>
      <c r="AS155" s="212">
        <v>0.0</v>
      </c>
      <c r="AT155" s="193" t="s">
        <v>206</v>
      </c>
      <c r="AU155" s="193" t="s">
        <v>121</v>
      </c>
      <c r="AV155" s="193" t="s">
        <v>199</v>
      </c>
      <c r="AW155" s="194">
        <f t="shared" si="14"/>
        <v>0</v>
      </c>
      <c r="AX155" s="195">
        <f t="shared" si="15"/>
        <v>0</v>
      </c>
      <c r="AY155" s="196" t="str">
        <f t="shared" si="16"/>
        <v>#N/A</v>
      </c>
      <c r="AZ155" s="213">
        <v>250.0</v>
      </c>
      <c r="BA155" s="196">
        <f t="shared" si="17"/>
        <v>0.25</v>
      </c>
      <c r="BB155" s="213">
        <f t="shared" si="18"/>
        <v>1000</v>
      </c>
      <c r="BC155" s="199" t="str">
        <f t="shared" si="19"/>
        <v>#N/A</v>
      </c>
      <c r="BD155" s="200" t="str">
        <f t="shared" si="20"/>
        <v>#N/A</v>
      </c>
      <c r="BE155" s="200">
        <f t="shared" si="21"/>
        <v>0</v>
      </c>
      <c r="BF155" s="201" t="str">
        <f t="shared" si="22"/>
        <v/>
      </c>
      <c r="BG155" s="201" t="str">
        <f t="shared" si="23"/>
        <v/>
      </c>
      <c r="BH155" s="202" t="str">
        <f t="shared" si="24"/>
        <v/>
      </c>
      <c r="BI155" s="203"/>
      <c r="BJ155" s="204">
        <f>IFERROR(__xludf.DUMMYFUNCTION("IF(AU155=data!A$5,
IF(AV155=data!A$8,
IF(T155=data!A$3,
VLOOKUP(S155,filter('🔒 Доп. информация'!D:H,'🔒 Доп. информация'!C:C=T155),4,FALSE)+VLOOKUP(S155,filter('🔒 Доп. информация'!D:H,'🔒 Доп. информация'!C:C=T155),5,FALSE)*AJ155,
IF(AND(MAX(AF155:AH155"&amp;")&lt;80,SUM(AF155:AH155)&lt;=160,AI155&lt;20,XLOOKUP(M155,'📄 Комиссии'!C:C,'📄 Комиссии'!B:B)&lt;&gt;""Продукты""),
VLOOKUP(S155,filter('🔒 Доп. информация'!D:H,'🔒 Доп. информация'!C:C=data!$A$3),4,FALSE)+VLOOKUP(S155,filter('🔒 Доп. информация'!D:H,'🔒 Доп. информаци"&amp;"я'!C:C=data!$A$3),5,FALSE)*AJ155,
VLOOKUP(S155,filter('🔒 Доп. информация'!D:H,'🔒 Доп. информация'!C:C=T155),4,FALSE)*ROUNDUP(AF155*AG155*AH155*L155/(120*80*175))/L155)
)
*(AE155/2)
,)
,)*0"),0.0)</f>
        <v>0</v>
      </c>
      <c r="BK155" s="204">
        <f>IFERROR(__xludf.DUMMYFUNCTION("IF(AU155=data!A$5,
IF(AI155&lt;=1,IF(AI155&lt;=0.8,IF(AI155&lt;=0.6,IF(AI155&lt;=0.4,IF(AI155&lt;=0.2,23,26),29),30),32)*VLOOKUP(S155,filter('🔒 Доп. информация'!D:E,'🔒 Доп. информация'!C:C=T155),2,FALSE)/'🔒 Доп. информация'!$K$9,
IF(AV155=data!A$8,U155,1)*VLOOKUP(S15"&amp;"5,filter('🔒 Доп. информация'!D:E,'🔒 Доп. информация'!C:C=T155),2,FALSE)+
IF(AV155=data!A$8,U155,1)*VLOOKUP(S155,filter('🔒 Доп. информация'!D:F,'🔒 Доп. информация'!C:C=T155),3,FALSE)*AJ155)
,0)"),69.0)</f>
        <v>69</v>
      </c>
      <c r="BL155" s="185" t="str">
        <f t="shared" ref="BL155:BM155" si="475">IF($D155,"🔒",)</f>
        <v/>
      </c>
      <c r="BM155" s="185" t="str">
        <f t="shared" si="475"/>
        <v/>
      </c>
      <c r="BN155" s="204">
        <f>VLOOKUP(T155,'🔒 Доп. информация'!J:P,7,false)</f>
        <v>50</v>
      </c>
      <c r="BO155" s="204">
        <f>IF(AV155=data!A$9,
(AA155+AO155+AP155+BJ155+BK155+BN155)+H155*AS155,
(BJ155+BK155+BN155)+H155*AS155
)</f>
        <v>119</v>
      </c>
      <c r="BP155" s="204">
        <f t="shared" si="26"/>
        <v>69</v>
      </c>
      <c r="BQ155" s="204">
        <f t="shared" si="27"/>
        <v>320</v>
      </c>
      <c r="BR155" s="204" t="str">
        <f t="shared" si="37"/>
        <v>#N/A</v>
      </c>
      <c r="BS155" s="204" t="str">
        <f t="array" ref="BS155">IF(VLOOKUP(AT155,{'▶️ Инструкция'!C:C,'▶️ Инструкция'!Y:Y},2,FALSE)=data!A$15,
H155*(1-I155),
(H155-BR155))
*VLOOKUP(AT155,{'▶️ Инструкция'!C:C,'▶️ Инструкция'!AD:AD},2,FALSE)/(1+VLOOKUP(AT155,{'▶️ Инструкция'!C:C,'▶️ Инструкция'!AD:AD},2,FALSE))</f>
        <v>#N/A</v>
      </c>
      <c r="BT155" s="204" t="str">
        <f t="array" ref="BT155">
IF(VLOOKUP(AT155,{'▶️ Инструкция'!C:C,'▶️ Инструкция'!Y:Y},2,FALSE)=data!A$15,
H155*(1-I155)-BS155,
(H155-BR155-BS155))
*
VLOOKUP(AT155,{'▶️ Инструкция'!C:C,'▶️ Инструкция'!R:R},2,FALSE)
+BS155</f>
        <v>#N/A</v>
      </c>
      <c r="BU155" s="204" t="str">
        <f>(G155*AR155)+if(AV155=data!A$9,AO155,AN155)+AP155+BR155+BT155</f>
        <v>#N/A</v>
      </c>
      <c r="BV155" s="204" t="str">
        <f>(G155*AR155)+if(AV155=data!A$9,AO155,AN155)+AP155+BT155+G155</f>
        <v>#N/A</v>
      </c>
      <c r="BW155" s="204" t="str">
        <f t="shared" si="28"/>
        <v>#N/A</v>
      </c>
      <c r="BX155" s="204" t="str">
        <f t="shared" si="29"/>
        <v>#N/A</v>
      </c>
    </row>
    <row r="156">
      <c r="A156" s="165" t="str">
        <f>if(D156=true,if(F156=data!A$1,data!A$10,data!A$11),)</f>
        <v/>
      </c>
      <c r="B156" s="166" t="str">
        <f t="shared" si="4"/>
        <v>FBS</v>
      </c>
      <c r="C156" s="167" t="s">
        <v>195</v>
      </c>
      <c r="D156" s="168" t="b">
        <v>0</v>
      </c>
      <c r="E156" s="169" t="s">
        <v>204</v>
      </c>
      <c r="F156" s="170" t="str">
        <f t="array" ref="F156">IF(D156=TRUE,IF(IF(BG$3=VLOOKUP(AT156,{'▶️ Инструкция'!C:C,'▶️ Инструкция'!G:G},2,FALSE),BG156,BH156)&gt;VLOOKUP(AT156,{'▶️ Инструкция'!C:C,'▶️ Инструкция'!N:N},2,FALSE),data!A$1,data!A$2),)</f>
        <v/>
      </c>
      <c r="G156" s="171">
        <v>0.0</v>
      </c>
      <c r="H156" s="172">
        <v>1000.0</v>
      </c>
      <c r="I156" s="173">
        <v>0.0</v>
      </c>
      <c r="J156" s="173">
        <v>0.0</v>
      </c>
      <c r="K156" s="174" t="str">
        <f t="shared" si="5"/>
        <v/>
      </c>
      <c r="L156" s="175">
        <v>0.0</v>
      </c>
      <c r="M156" s="176" t="s">
        <v>197</v>
      </c>
      <c r="N156" s="177">
        <f>IFERROR(__xludf.DUMMYFUNCTION("ArrayFormula(let(category,VLOOKUP($M156, {'📄 Комиссии'!$C:$C , '📄 Комиссии'!$B:$B}, 2, 0),
data,MATCH('🔒 Доп. информация'!$J$15:$J203,TRANSPOSE(SPLIT(INDEX('▶️ Инструкция'!$Q:$Q,MATCH($AT156,'▶️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commission,VLOOKUP($M156,'📄 Комиссии'!$C:$E,IF($AV156=data!A$8,2,3),0),
IF(NOT(ISBLANK($M156)),commission/100+
"&amp;"IFERROR(VLOOKUP($AT156,{'▶️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56" s="178" t="str">
        <f t="shared" si="6"/>
        <v/>
      </c>
      <c r="Q156" s="178" t="str">
        <f t="shared" si="7"/>
        <v/>
      </c>
      <c r="S156" s="179" t="s">
        <v>192</v>
      </c>
      <c r="T156" s="180" t="s">
        <v>193</v>
      </c>
      <c r="U156" s="181">
        <v>1.0</v>
      </c>
      <c r="V156" s="182" t="str">
        <f t="shared" ref="V156:Y156" si="476">IF($D156,"🔒",)</f>
        <v/>
      </c>
      <c r="W156" s="182" t="str">
        <f t="shared" si="476"/>
        <v/>
      </c>
      <c r="X156" s="182" t="str">
        <f t="shared" si="476"/>
        <v/>
      </c>
      <c r="Y156" s="182" t="str">
        <f t="shared" si="476"/>
        <v/>
      </c>
      <c r="Z156" s="183">
        <v>0.0</v>
      </c>
      <c r="AA156" s="184">
        <f t="shared" si="31"/>
        <v>0</v>
      </c>
      <c r="AB156" s="185" t="str">
        <f t="shared" ref="AB156:AD156" si="477">IF($D156,"🔒",)</f>
        <v/>
      </c>
      <c r="AC156" s="185" t="str">
        <f t="shared" si="477"/>
        <v/>
      </c>
      <c r="AD156" s="186" t="str">
        <f t="shared" si="477"/>
        <v/>
      </c>
      <c r="AE156" s="180">
        <v>30.0</v>
      </c>
      <c r="AF156" s="187">
        <v>0.0</v>
      </c>
      <c r="AG156" s="187">
        <v>0.0</v>
      </c>
      <c r="AH156" s="187">
        <v>0.0</v>
      </c>
      <c r="AI156" s="181">
        <f t="shared" si="10"/>
        <v>0</v>
      </c>
      <c r="AJ156" s="181">
        <f t="shared" si="11"/>
        <v>0</v>
      </c>
      <c r="AK156" s="185" t="str">
        <f t="shared" si="12"/>
        <v/>
      </c>
      <c r="AL156" s="188" t="str">
        <f t="array" ref="AL156">H156*(1-I156)*VLOOKUP(AT156,{'▶️ Инструкция'!C:C,'▶️ Инструкция'!AI:AI},2,false)</f>
        <v>#N/A</v>
      </c>
      <c r="AM156" s="186" t="str">
        <f t="shared" si="13"/>
        <v/>
      </c>
      <c r="AN156" s="189">
        <v>0.0</v>
      </c>
      <c r="AO156" s="189">
        <v>0.0</v>
      </c>
      <c r="AP156" s="189">
        <v>0.0</v>
      </c>
      <c r="AQ156" s="191">
        <v>1.0</v>
      </c>
      <c r="AR156" s="191">
        <v>0.0</v>
      </c>
      <c r="AS156" s="212">
        <v>0.0</v>
      </c>
      <c r="AT156" s="193" t="s">
        <v>206</v>
      </c>
      <c r="AU156" s="193" t="s">
        <v>121</v>
      </c>
      <c r="AV156" s="193" t="s">
        <v>199</v>
      </c>
      <c r="AW156" s="194">
        <f t="shared" si="14"/>
        <v>0</v>
      </c>
      <c r="AX156" s="195">
        <f t="shared" si="15"/>
        <v>0</v>
      </c>
      <c r="AY156" s="196" t="str">
        <f t="shared" si="16"/>
        <v>#N/A</v>
      </c>
      <c r="AZ156" s="213">
        <v>250.0</v>
      </c>
      <c r="BA156" s="196">
        <f t="shared" si="17"/>
        <v>0.25</v>
      </c>
      <c r="BB156" s="213">
        <f t="shared" si="18"/>
        <v>1000</v>
      </c>
      <c r="BC156" s="199" t="str">
        <f t="shared" si="19"/>
        <v>#N/A</v>
      </c>
      <c r="BD156" s="200" t="str">
        <f t="shared" si="20"/>
        <v>#N/A</v>
      </c>
      <c r="BE156" s="200">
        <f t="shared" si="21"/>
        <v>0</v>
      </c>
      <c r="BF156" s="201" t="str">
        <f t="shared" si="22"/>
        <v/>
      </c>
      <c r="BG156" s="201" t="str">
        <f t="shared" si="23"/>
        <v/>
      </c>
      <c r="BH156" s="202" t="str">
        <f t="shared" si="24"/>
        <v/>
      </c>
      <c r="BI156" s="203"/>
      <c r="BJ156" s="204">
        <f>IFERROR(__xludf.DUMMYFUNCTION("IF(AU156=data!A$5,
IF(AV156=data!A$8,
IF(T156=data!A$3,
VLOOKUP(S156,filter('🔒 Доп. информация'!D:H,'🔒 Доп. информация'!C:C=T156),4,FALSE)+VLOOKUP(S156,filter('🔒 Доп. информация'!D:H,'🔒 Доп. информация'!C:C=T156),5,FALSE)*AJ156,
IF(AND(MAX(AF156:AH156"&amp;")&lt;80,SUM(AF156:AH156)&lt;=160,AI156&lt;20,XLOOKUP(M156,'📄 Комиссии'!C:C,'📄 Комиссии'!B:B)&lt;&gt;""Продукты""),
VLOOKUP(S156,filter('🔒 Доп. информация'!D:H,'🔒 Доп. информация'!C:C=data!$A$3),4,FALSE)+VLOOKUP(S156,filter('🔒 Доп. информация'!D:H,'🔒 Доп. информаци"&amp;"я'!C:C=data!$A$3),5,FALSE)*AJ156,
VLOOKUP(S156,filter('🔒 Доп. информация'!D:H,'🔒 Доп. информация'!C:C=T156),4,FALSE)*ROUNDUP(AF156*AG156*AH156*L156/(120*80*175))/L156)
)
*(AE156/2)
,)
,)*0"),0.0)</f>
        <v>0</v>
      </c>
      <c r="BK156" s="204">
        <f>IFERROR(__xludf.DUMMYFUNCTION("IF(AU156=data!A$5,
IF(AI156&lt;=1,IF(AI156&lt;=0.8,IF(AI156&lt;=0.6,IF(AI156&lt;=0.4,IF(AI156&lt;=0.2,23,26),29),30),32)*VLOOKUP(S156,filter('🔒 Доп. информация'!D:E,'🔒 Доп. информация'!C:C=T156),2,FALSE)/'🔒 Доп. информация'!$K$9,
IF(AV156=data!A$8,U156,1)*VLOOKUP(S15"&amp;"6,filter('🔒 Доп. информация'!D:E,'🔒 Доп. информация'!C:C=T156),2,FALSE)+
IF(AV156=data!A$8,U156,1)*VLOOKUP(S156,filter('🔒 Доп. информация'!D:F,'🔒 Доп. информация'!C:C=T156),3,FALSE)*AJ156)
,0)"),69.0)</f>
        <v>69</v>
      </c>
      <c r="BL156" s="185" t="str">
        <f t="shared" ref="BL156:BM156" si="478">IF($D156,"🔒",)</f>
        <v/>
      </c>
      <c r="BM156" s="185" t="str">
        <f t="shared" si="478"/>
        <v/>
      </c>
      <c r="BN156" s="204">
        <f>VLOOKUP(T156,'🔒 Доп. информация'!J:P,7,false)</f>
        <v>50</v>
      </c>
      <c r="BO156" s="204">
        <f>IF(AV156=data!A$9,
(AA156+AO156+AP156+BJ156+BK156+BN156)+H156*AS156,
(BJ156+BK156+BN156)+H156*AS156
)</f>
        <v>119</v>
      </c>
      <c r="BP156" s="204">
        <f t="shared" si="26"/>
        <v>69</v>
      </c>
      <c r="BQ156" s="204">
        <f t="shared" si="27"/>
        <v>320</v>
      </c>
      <c r="BR156" s="204" t="str">
        <f t="shared" si="37"/>
        <v>#N/A</v>
      </c>
      <c r="BS156" s="204" t="str">
        <f t="array" ref="BS156">IF(VLOOKUP(AT156,{'▶️ Инструкция'!C:C,'▶️ Инструкция'!Y:Y},2,FALSE)=data!A$15,
H156*(1-I156),
(H156-BR156))
*VLOOKUP(AT156,{'▶️ Инструкция'!C:C,'▶️ Инструкция'!AD:AD},2,FALSE)/(1+VLOOKUP(AT156,{'▶️ Инструкция'!C:C,'▶️ Инструкция'!AD:AD},2,FALSE))</f>
        <v>#N/A</v>
      </c>
      <c r="BT156" s="204" t="str">
        <f t="array" ref="BT156">
IF(VLOOKUP(AT156,{'▶️ Инструкция'!C:C,'▶️ Инструкция'!Y:Y},2,FALSE)=data!A$15,
H156*(1-I156)-BS156,
(H156-BR156-BS156))
*
VLOOKUP(AT156,{'▶️ Инструкция'!C:C,'▶️ Инструкция'!R:R},2,FALSE)
+BS156</f>
        <v>#N/A</v>
      </c>
      <c r="BU156" s="204" t="str">
        <f>(G156*AR156)+if(AV156=data!A$9,AO156,AN156)+AP156+BR156+BT156</f>
        <v>#N/A</v>
      </c>
      <c r="BV156" s="204" t="str">
        <f>(G156*AR156)+if(AV156=data!A$9,AO156,AN156)+AP156+BT156+G156</f>
        <v>#N/A</v>
      </c>
      <c r="BW156" s="204" t="str">
        <f t="shared" si="28"/>
        <v>#N/A</v>
      </c>
      <c r="BX156" s="204" t="str">
        <f t="shared" si="29"/>
        <v>#N/A</v>
      </c>
    </row>
    <row r="157">
      <c r="A157" s="165" t="str">
        <f>if(D157=true,if(F157=data!A$1,data!A$10,data!A$11),)</f>
        <v/>
      </c>
      <c r="B157" s="166" t="str">
        <f t="shared" si="4"/>
        <v>FBS</v>
      </c>
      <c r="C157" s="167" t="s">
        <v>195</v>
      </c>
      <c r="D157" s="168" t="b">
        <v>0</v>
      </c>
      <c r="E157" s="169" t="s">
        <v>204</v>
      </c>
      <c r="F157" s="170" t="str">
        <f t="array" ref="F157">IF(D157=TRUE,IF(IF(BG$3=VLOOKUP(AT157,{'▶️ Инструкция'!C:C,'▶️ Инструкция'!G:G},2,FALSE),BG157,BH157)&gt;VLOOKUP(AT157,{'▶️ Инструкция'!C:C,'▶️ Инструкция'!N:N},2,FALSE),data!A$1,data!A$2),)</f>
        <v/>
      </c>
      <c r="G157" s="171">
        <v>0.0</v>
      </c>
      <c r="H157" s="172">
        <v>1000.0</v>
      </c>
      <c r="I157" s="173">
        <v>0.0</v>
      </c>
      <c r="J157" s="173">
        <v>0.0</v>
      </c>
      <c r="K157" s="174" t="str">
        <f t="shared" si="5"/>
        <v/>
      </c>
      <c r="L157" s="175">
        <v>0.0</v>
      </c>
      <c r="M157" s="176" t="s">
        <v>197</v>
      </c>
      <c r="N157" s="177">
        <f>IFERROR(__xludf.DUMMYFUNCTION("ArrayFormula(let(category,VLOOKUP($M157, {'📄 Комиссии'!$C:$C , '📄 Комиссии'!$B:$B}, 2, 0),
data,MATCH('🔒 Доп. информация'!$J$15:$J203,TRANSPOSE(SPLIT(INDEX('▶️ Инструкция'!$Q:$Q,MATCH($AT157,'▶️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commission,VLOOKUP($M157,'📄 Комиссии'!$C:$E,IF($AV157=data!A$8,2,3),0),
IF(NOT(ISBLANK($M157)),commission/100+
"&amp;"IFERROR(VLOOKUP($AT157,{'▶️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57" s="178" t="str">
        <f t="shared" si="6"/>
        <v/>
      </c>
      <c r="Q157" s="178" t="str">
        <f t="shared" si="7"/>
        <v/>
      </c>
      <c r="S157" s="179" t="s">
        <v>192</v>
      </c>
      <c r="T157" s="180" t="s">
        <v>193</v>
      </c>
      <c r="U157" s="181">
        <v>1.0</v>
      </c>
      <c r="V157" s="182" t="str">
        <f t="shared" ref="V157:Y157" si="479">IF($D157,"🔒",)</f>
        <v/>
      </c>
      <c r="W157" s="182" t="str">
        <f t="shared" si="479"/>
        <v/>
      </c>
      <c r="X157" s="182" t="str">
        <f t="shared" si="479"/>
        <v/>
      </c>
      <c r="Y157" s="182" t="str">
        <f t="shared" si="479"/>
        <v/>
      </c>
      <c r="Z157" s="183">
        <v>0.0</v>
      </c>
      <c r="AA157" s="184">
        <f t="shared" si="31"/>
        <v>0</v>
      </c>
      <c r="AB157" s="185" t="str">
        <f t="shared" ref="AB157:AD157" si="480">IF($D157,"🔒",)</f>
        <v/>
      </c>
      <c r="AC157" s="185" t="str">
        <f t="shared" si="480"/>
        <v/>
      </c>
      <c r="AD157" s="186" t="str">
        <f t="shared" si="480"/>
        <v/>
      </c>
      <c r="AE157" s="180">
        <v>30.0</v>
      </c>
      <c r="AF157" s="187">
        <v>0.0</v>
      </c>
      <c r="AG157" s="187">
        <v>0.0</v>
      </c>
      <c r="AH157" s="187">
        <v>0.0</v>
      </c>
      <c r="AI157" s="181">
        <f t="shared" si="10"/>
        <v>0</v>
      </c>
      <c r="AJ157" s="181">
        <f t="shared" si="11"/>
        <v>0</v>
      </c>
      <c r="AK157" s="185" t="str">
        <f t="shared" si="12"/>
        <v/>
      </c>
      <c r="AL157" s="188" t="str">
        <f t="array" ref="AL157">H157*(1-I157)*VLOOKUP(AT157,{'▶️ Инструкция'!C:C,'▶️ Инструкция'!AI:AI},2,false)</f>
        <v>#N/A</v>
      </c>
      <c r="AM157" s="186" t="str">
        <f t="shared" si="13"/>
        <v/>
      </c>
      <c r="AN157" s="189">
        <v>0.0</v>
      </c>
      <c r="AO157" s="189">
        <v>0.0</v>
      </c>
      <c r="AP157" s="189">
        <v>0.0</v>
      </c>
      <c r="AQ157" s="191">
        <v>1.0</v>
      </c>
      <c r="AR157" s="191">
        <v>0.0</v>
      </c>
      <c r="AS157" s="212">
        <v>0.0</v>
      </c>
      <c r="AT157" s="193" t="s">
        <v>206</v>
      </c>
      <c r="AU157" s="193" t="s">
        <v>121</v>
      </c>
      <c r="AV157" s="193" t="s">
        <v>199</v>
      </c>
      <c r="AW157" s="194">
        <f t="shared" si="14"/>
        <v>0</v>
      </c>
      <c r="AX157" s="195">
        <f t="shared" si="15"/>
        <v>0</v>
      </c>
      <c r="AY157" s="196" t="str">
        <f t="shared" si="16"/>
        <v>#N/A</v>
      </c>
      <c r="AZ157" s="213">
        <v>250.0</v>
      </c>
      <c r="BA157" s="196">
        <f t="shared" si="17"/>
        <v>0.25</v>
      </c>
      <c r="BB157" s="213">
        <f t="shared" si="18"/>
        <v>1000</v>
      </c>
      <c r="BC157" s="199" t="str">
        <f t="shared" si="19"/>
        <v>#N/A</v>
      </c>
      <c r="BD157" s="200" t="str">
        <f t="shared" si="20"/>
        <v>#N/A</v>
      </c>
      <c r="BE157" s="200">
        <f t="shared" si="21"/>
        <v>0</v>
      </c>
      <c r="BF157" s="201" t="str">
        <f t="shared" si="22"/>
        <v/>
      </c>
      <c r="BG157" s="201" t="str">
        <f t="shared" si="23"/>
        <v/>
      </c>
      <c r="BH157" s="202" t="str">
        <f t="shared" si="24"/>
        <v/>
      </c>
      <c r="BI157" s="203"/>
      <c r="BJ157" s="204">
        <f>IFERROR(__xludf.DUMMYFUNCTION("IF(AU157=data!A$5,
IF(AV157=data!A$8,
IF(T157=data!A$3,
VLOOKUP(S157,filter('🔒 Доп. информация'!D:H,'🔒 Доп. информация'!C:C=T157),4,FALSE)+VLOOKUP(S157,filter('🔒 Доп. информация'!D:H,'🔒 Доп. информация'!C:C=T157),5,FALSE)*AJ157,
IF(AND(MAX(AF157:AH157"&amp;")&lt;80,SUM(AF157:AH157)&lt;=160,AI157&lt;20,XLOOKUP(M157,'📄 Комиссии'!C:C,'📄 Комиссии'!B:B)&lt;&gt;""Продукты""),
VLOOKUP(S157,filter('🔒 Доп. информация'!D:H,'🔒 Доп. информация'!C:C=data!$A$3),4,FALSE)+VLOOKUP(S157,filter('🔒 Доп. информация'!D:H,'🔒 Доп. информаци"&amp;"я'!C:C=data!$A$3),5,FALSE)*AJ157,
VLOOKUP(S157,filter('🔒 Доп. информация'!D:H,'🔒 Доп. информация'!C:C=T157),4,FALSE)*ROUNDUP(AF157*AG157*AH157*L157/(120*80*175))/L157)
)
*(AE157/2)
,)
,)*0"),0.0)</f>
        <v>0</v>
      </c>
      <c r="BK157" s="204">
        <f>IFERROR(__xludf.DUMMYFUNCTION("IF(AU157=data!A$5,
IF(AI157&lt;=1,IF(AI157&lt;=0.8,IF(AI157&lt;=0.6,IF(AI157&lt;=0.4,IF(AI157&lt;=0.2,23,26),29),30),32)*VLOOKUP(S157,filter('🔒 Доп. информация'!D:E,'🔒 Доп. информация'!C:C=T157),2,FALSE)/'🔒 Доп. информация'!$K$9,
IF(AV157=data!A$8,U157,1)*VLOOKUP(S15"&amp;"7,filter('🔒 Доп. информация'!D:E,'🔒 Доп. информация'!C:C=T157),2,FALSE)+
IF(AV157=data!A$8,U157,1)*VLOOKUP(S157,filter('🔒 Доп. информация'!D:F,'🔒 Доп. информация'!C:C=T157),3,FALSE)*AJ157)
,0)"),69.0)</f>
        <v>69</v>
      </c>
      <c r="BL157" s="185" t="str">
        <f t="shared" ref="BL157:BM157" si="481">IF($D157,"🔒",)</f>
        <v/>
      </c>
      <c r="BM157" s="185" t="str">
        <f t="shared" si="481"/>
        <v/>
      </c>
      <c r="BN157" s="204">
        <f>VLOOKUP(T157,'🔒 Доп. информация'!J:P,7,false)</f>
        <v>50</v>
      </c>
      <c r="BO157" s="204">
        <f>IF(AV157=data!A$9,
(AA157+AO157+AP157+BJ157+BK157+BN157)+H157*AS157,
(BJ157+BK157+BN157)+H157*AS157
)</f>
        <v>119</v>
      </c>
      <c r="BP157" s="204">
        <f t="shared" si="26"/>
        <v>69</v>
      </c>
      <c r="BQ157" s="204">
        <f t="shared" si="27"/>
        <v>320</v>
      </c>
      <c r="BR157" s="204" t="str">
        <f t="shared" si="37"/>
        <v>#N/A</v>
      </c>
      <c r="BS157" s="204" t="str">
        <f t="array" ref="BS157">IF(VLOOKUP(AT157,{'▶️ Инструкция'!C:C,'▶️ Инструкция'!Y:Y},2,FALSE)=data!A$15,
H157*(1-I157),
(H157-BR157))
*VLOOKUP(AT157,{'▶️ Инструкция'!C:C,'▶️ Инструкция'!AD:AD},2,FALSE)/(1+VLOOKUP(AT157,{'▶️ Инструкция'!C:C,'▶️ Инструкция'!AD:AD},2,FALSE))</f>
        <v>#N/A</v>
      </c>
      <c r="BT157" s="204" t="str">
        <f t="array" ref="BT157">
IF(VLOOKUP(AT157,{'▶️ Инструкция'!C:C,'▶️ Инструкция'!Y:Y},2,FALSE)=data!A$15,
H157*(1-I157)-BS157,
(H157-BR157-BS157))
*
VLOOKUP(AT157,{'▶️ Инструкция'!C:C,'▶️ Инструкция'!R:R},2,FALSE)
+BS157</f>
        <v>#N/A</v>
      </c>
      <c r="BU157" s="204" t="str">
        <f>(G157*AR157)+if(AV157=data!A$9,AO157,AN157)+AP157+BR157+BT157</f>
        <v>#N/A</v>
      </c>
      <c r="BV157" s="204" t="str">
        <f>(G157*AR157)+if(AV157=data!A$9,AO157,AN157)+AP157+BT157+G157</f>
        <v>#N/A</v>
      </c>
      <c r="BW157" s="204" t="str">
        <f t="shared" si="28"/>
        <v>#N/A</v>
      </c>
      <c r="BX157" s="204" t="str">
        <f t="shared" si="29"/>
        <v>#N/A</v>
      </c>
    </row>
    <row r="158">
      <c r="A158" s="165" t="str">
        <f>if(D158=true,if(F158=data!A$1,data!A$10,data!A$11),)</f>
        <v/>
      </c>
      <c r="B158" s="166" t="str">
        <f t="shared" si="4"/>
        <v>FBS</v>
      </c>
      <c r="C158" s="167" t="s">
        <v>195</v>
      </c>
      <c r="D158" s="168" t="b">
        <v>0</v>
      </c>
      <c r="E158" s="169" t="s">
        <v>204</v>
      </c>
      <c r="F158" s="170" t="str">
        <f t="array" ref="F158">IF(D158=TRUE,IF(IF(BG$3=VLOOKUP(AT158,{'▶️ Инструкция'!C:C,'▶️ Инструкция'!G:G},2,FALSE),BG158,BH158)&gt;VLOOKUP(AT158,{'▶️ Инструкция'!C:C,'▶️ Инструкция'!N:N},2,FALSE),data!A$1,data!A$2),)</f>
        <v/>
      </c>
      <c r="G158" s="171">
        <v>0.0</v>
      </c>
      <c r="H158" s="172">
        <v>1000.0</v>
      </c>
      <c r="I158" s="173">
        <v>0.0</v>
      </c>
      <c r="J158" s="173">
        <v>0.0</v>
      </c>
      <c r="K158" s="174" t="str">
        <f t="shared" si="5"/>
        <v/>
      </c>
      <c r="L158" s="175">
        <v>0.0</v>
      </c>
      <c r="M158" s="176" t="s">
        <v>197</v>
      </c>
      <c r="N158" s="177">
        <f>IFERROR(__xludf.DUMMYFUNCTION("ArrayFormula(let(category,VLOOKUP($M158, {'📄 Комиссии'!$C:$C , '📄 Комиссии'!$B:$B}, 2, 0),
data,MATCH('🔒 Доп. информация'!$J$15:$J203,TRANSPOSE(SPLIT(INDEX('▶️ Инструкция'!$Q:$Q,MATCH($AT158,'▶️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commission,VLOOKUP($M158,'📄 Комиссии'!$C:$E,IF($AV158=data!A$8,2,3),0),
IF(NOT(ISBLANK($M158)),commission/100+
"&amp;"IFERROR(VLOOKUP($AT158,{'▶️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58" s="178" t="str">
        <f t="shared" si="6"/>
        <v/>
      </c>
      <c r="Q158" s="178" t="str">
        <f t="shared" si="7"/>
        <v/>
      </c>
      <c r="S158" s="179" t="s">
        <v>192</v>
      </c>
      <c r="T158" s="180" t="s">
        <v>193</v>
      </c>
      <c r="U158" s="181">
        <v>1.0</v>
      </c>
      <c r="V158" s="182" t="str">
        <f t="shared" ref="V158:Y158" si="482">IF($D158,"🔒",)</f>
        <v/>
      </c>
      <c r="W158" s="182" t="str">
        <f t="shared" si="482"/>
        <v/>
      </c>
      <c r="X158" s="182" t="str">
        <f t="shared" si="482"/>
        <v/>
      </c>
      <c r="Y158" s="182" t="str">
        <f t="shared" si="482"/>
        <v/>
      </c>
      <c r="Z158" s="183">
        <v>0.0</v>
      </c>
      <c r="AA158" s="184">
        <f t="shared" si="31"/>
        <v>0</v>
      </c>
      <c r="AB158" s="185" t="str">
        <f t="shared" ref="AB158:AD158" si="483">IF($D158,"🔒",)</f>
        <v/>
      </c>
      <c r="AC158" s="185" t="str">
        <f t="shared" si="483"/>
        <v/>
      </c>
      <c r="AD158" s="186" t="str">
        <f t="shared" si="483"/>
        <v/>
      </c>
      <c r="AE158" s="180">
        <v>30.0</v>
      </c>
      <c r="AF158" s="187">
        <v>0.0</v>
      </c>
      <c r="AG158" s="187">
        <v>0.0</v>
      </c>
      <c r="AH158" s="187">
        <v>0.0</v>
      </c>
      <c r="AI158" s="181">
        <f t="shared" si="10"/>
        <v>0</v>
      </c>
      <c r="AJ158" s="181">
        <f t="shared" si="11"/>
        <v>0</v>
      </c>
      <c r="AK158" s="185" t="str">
        <f t="shared" si="12"/>
        <v/>
      </c>
      <c r="AL158" s="188" t="str">
        <f t="array" ref="AL158">H158*(1-I158)*VLOOKUP(AT158,{'▶️ Инструкция'!C:C,'▶️ Инструкция'!AI:AI},2,false)</f>
        <v>#N/A</v>
      </c>
      <c r="AM158" s="186" t="str">
        <f t="shared" si="13"/>
        <v/>
      </c>
      <c r="AN158" s="189">
        <v>0.0</v>
      </c>
      <c r="AO158" s="189">
        <v>0.0</v>
      </c>
      <c r="AP158" s="189">
        <v>0.0</v>
      </c>
      <c r="AQ158" s="191">
        <v>1.0</v>
      </c>
      <c r="AR158" s="191">
        <v>0.0</v>
      </c>
      <c r="AS158" s="212">
        <v>0.0</v>
      </c>
      <c r="AT158" s="193" t="s">
        <v>206</v>
      </c>
      <c r="AU158" s="193" t="s">
        <v>121</v>
      </c>
      <c r="AV158" s="193" t="s">
        <v>199</v>
      </c>
      <c r="AW158" s="194">
        <f t="shared" si="14"/>
        <v>0</v>
      </c>
      <c r="AX158" s="195">
        <f t="shared" si="15"/>
        <v>0</v>
      </c>
      <c r="AY158" s="196" t="str">
        <f t="shared" si="16"/>
        <v>#N/A</v>
      </c>
      <c r="AZ158" s="213">
        <v>250.0</v>
      </c>
      <c r="BA158" s="196">
        <f t="shared" si="17"/>
        <v>0.25</v>
      </c>
      <c r="BB158" s="213">
        <f t="shared" si="18"/>
        <v>1000</v>
      </c>
      <c r="BC158" s="199" t="str">
        <f t="shared" si="19"/>
        <v>#N/A</v>
      </c>
      <c r="BD158" s="200" t="str">
        <f t="shared" si="20"/>
        <v>#N/A</v>
      </c>
      <c r="BE158" s="200">
        <f t="shared" si="21"/>
        <v>0</v>
      </c>
      <c r="BF158" s="201" t="str">
        <f t="shared" si="22"/>
        <v/>
      </c>
      <c r="BG158" s="201" t="str">
        <f t="shared" si="23"/>
        <v/>
      </c>
      <c r="BH158" s="202" t="str">
        <f t="shared" si="24"/>
        <v/>
      </c>
      <c r="BI158" s="203"/>
      <c r="BJ158" s="204">
        <f>IFERROR(__xludf.DUMMYFUNCTION("IF(AU158=data!A$5,
IF(AV158=data!A$8,
IF(T158=data!A$3,
VLOOKUP(S158,filter('🔒 Доп. информация'!D:H,'🔒 Доп. информация'!C:C=T158),4,FALSE)+VLOOKUP(S158,filter('🔒 Доп. информация'!D:H,'🔒 Доп. информация'!C:C=T158),5,FALSE)*AJ158,
IF(AND(MAX(AF158:AH158"&amp;")&lt;80,SUM(AF158:AH158)&lt;=160,AI158&lt;20,XLOOKUP(M158,'📄 Комиссии'!C:C,'📄 Комиссии'!B:B)&lt;&gt;""Продукты""),
VLOOKUP(S158,filter('🔒 Доп. информация'!D:H,'🔒 Доп. информация'!C:C=data!$A$3),4,FALSE)+VLOOKUP(S158,filter('🔒 Доп. информация'!D:H,'🔒 Доп. информаци"&amp;"я'!C:C=data!$A$3),5,FALSE)*AJ158,
VLOOKUP(S158,filter('🔒 Доп. информация'!D:H,'🔒 Доп. информация'!C:C=T158),4,FALSE)*ROUNDUP(AF158*AG158*AH158*L158/(120*80*175))/L158)
)
*(AE158/2)
,)
,)*0"),0.0)</f>
        <v>0</v>
      </c>
      <c r="BK158" s="204">
        <f>IFERROR(__xludf.DUMMYFUNCTION("IF(AU158=data!A$5,
IF(AI158&lt;=1,IF(AI158&lt;=0.8,IF(AI158&lt;=0.6,IF(AI158&lt;=0.4,IF(AI158&lt;=0.2,23,26),29),30),32)*VLOOKUP(S158,filter('🔒 Доп. информация'!D:E,'🔒 Доп. информация'!C:C=T158),2,FALSE)/'🔒 Доп. информация'!$K$9,
IF(AV158=data!A$8,U158,1)*VLOOKUP(S15"&amp;"8,filter('🔒 Доп. информация'!D:E,'🔒 Доп. информация'!C:C=T158),2,FALSE)+
IF(AV158=data!A$8,U158,1)*VLOOKUP(S158,filter('🔒 Доп. информация'!D:F,'🔒 Доп. информация'!C:C=T158),3,FALSE)*AJ158)
,0)"),69.0)</f>
        <v>69</v>
      </c>
      <c r="BL158" s="185" t="str">
        <f t="shared" ref="BL158:BM158" si="484">IF($D158,"🔒",)</f>
        <v/>
      </c>
      <c r="BM158" s="185" t="str">
        <f t="shared" si="484"/>
        <v/>
      </c>
      <c r="BN158" s="204">
        <f>VLOOKUP(T158,'🔒 Доп. информация'!J:P,7,false)</f>
        <v>50</v>
      </c>
      <c r="BO158" s="204">
        <f>IF(AV158=data!A$9,
(AA158+AO158+AP158+BJ158+BK158+BN158)+H158*AS158,
(BJ158+BK158+BN158)+H158*AS158
)</f>
        <v>119</v>
      </c>
      <c r="BP158" s="204">
        <f t="shared" si="26"/>
        <v>69</v>
      </c>
      <c r="BQ158" s="204">
        <f t="shared" si="27"/>
        <v>320</v>
      </c>
      <c r="BR158" s="204" t="str">
        <f t="shared" si="37"/>
        <v>#N/A</v>
      </c>
      <c r="BS158" s="204" t="str">
        <f t="array" ref="BS158">IF(VLOOKUP(AT158,{'▶️ Инструкция'!C:C,'▶️ Инструкция'!Y:Y},2,FALSE)=data!A$15,
H158*(1-I158),
(H158-BR158))
*VLOOKUP(AT158,{'▶️ Инструкция'!C:C,'▶️ Инструкция'!AD:AD},2,FALSE)/(1+VLOOKUP(AT158,{'▶️ Инструкция'!C:C,'▶️ Инструкция'!AD:AD},2,FALSE))</f>
        <v>#N/A</v>
      </c>
      <c r="BT158" s="204" t="str">
        <f t="array" ref="BT158">
IF(VLOOKUP(AT158,{'▶️ Инструкция'!C:C,'▶️ Инструкция'!Y:Y},2,FALSE)=data!A$15,
H158*(1-I158)-BS158,
(H158-BR158-BS158))
*
VLOOKUP(AT158,{'▶️ Инструкция'!C:C,'▶️ Инструкция'!R:R},2,FALSE)
+BS158</f>
        <v>#N/A</v>
      </c>
      <c r="BU158" s="204" t="str">
        <f>(G158*AR158)+if(AV158=data!A$9,AO158,AN158)+AP158+BR158+BT158</f>
        <v>#N/A</v>
      </c>
      <c r="BV158" s="204" t="str">
        <f>(G158*AR158)+if(AV158=data!A$9,AO158,AN158)+AP158+BT158+G158</f>
        <v>#N/A</v>
      </c>
      <c r="BW158" s="204" t="str">
        <f t="shared" si="28"/>
        <v>#N/A</v>
      </c>
      <c r="BX158" s="204" t="str">
        <f t="shared" si="29"/>
        <v>#N/A</v>
      </c>
    </row>
    <row r="159">
      <c r="A159" s="165" t="str">
        <f>if(D159=true,if(F159=data!A$1,data!A$10,data!A$11),)</f>
        <v/>
      </c>
      <c r="B159" s="166" t="str">
        <f t="shared" si="4"/>
        <v>FBS</v>
      </c>
      <c r="C159" s="167" t="s">
        <v>195</v>
      </c>
      <c r="D159" s="168" t="b">
        <v>0</v>
      </c>
      <c r="E159" s="169" t="s">
        <v>204</v>
      </c>
      <c r="F159" s="170" t="str">
        <f t="array" ref="F159">IF(D159=TRUE,IF(IF(BG$3=VLOOKUP(AT159,{'▶️ Инструкция'!C:C,'▶️ Инструкция'!G:G},2,FALSE),BG159,BH159)&gt;VLOOKUP(AT159,{'▶️ Инструкция'!C:C,'▶️ Инструкция'!N:N},2,FALSE),data!A$1,data!A$2),)</f>
        <v/>
      </c>
      <c r="G159" s="171">
        <v>0.0</v>
      </c>
      <c r="H159" s="172">
        <v>1000.0</v>
      </c>
      <c r="I159" s="173">
        <v>0.0</v>
      </c>
      <c r="J159" s="173">
        <v>0.0</v>
      </c>
      <c r="K159" s="174" t="str">
        <f t="shared" si="5"/>
        <v/>
      </c>
      <c r="L159" s="175">
        <v>0.0</v>
      </c>
      <c r="M159" s="176" t="s">
        <v>197</v>
      </c>
      <c r="N159" s="177">
        <f>IFERROR(__xludf.DUMMYFUNCTION("ArrayFormula(let(category,VLOOKUP($M159, {'📄 Комиссии'!$C:$C , '📄 Комиссии'!$B:$B}, 2, 0),
data,MATCH('🔒 Доп. информация'!$J$15:$J203,TRANSPOSE(SPLIT(INDEX('▶️ Инструкция'!$Q:$Q,MATCH($AT159,'▶️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commission,VLOOKUP($M159,'📄 Комиссии'!$C:$E,IF($AV159=data!A$8,2,3),0),
IF(NOT(ISBLANK($M159)),commission/100+
"&amp;"IFERROR(VLOOKUP($AT159,{'▶️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59" s="178" t="str">
        <f t="shared" si="6"/>
        <v/>
      </c>
      <c r="Q159" s="178" t="str">
        <f t="shared" si="7"/>
        <v/>
      </c>
      <c r="S159" s="179" t="s">
        <v>192</v>
      </c>
      <c r="T159" s="180" t="s">
        <v>193</v>
      </c>
      <c r="U159" s="181">
        <v>1.0</v>
      </c>
      <c r="V159" s="182" t="str">
        <f t="shared" ref="V159:Y159" si="485">IF($D159,"🔒",)</f>
        <v/>
      </c>
      <c r="W159" s="182" t="str">
        <f t="shared" si="485"/>
        <v/>
      </c>
      <c r="X159" s="182" t="str">
        <f t="shared" si="485"/>
        <v/>
      </c>
      <c r="Y159" s="182" t="str">
        <f t="shared" si="485"/>
        <v/>
      </c>
      <c r="Z159" s="183">
        <v>0.0</v>
      </c>
      <c r="AA159" s="184">
        <f t="shared" si="31"/>
        <v>0</v>
      </c>
      <c r="AB159" s="185" t="str">
        <f t="shared" ref="AB159:AD159" si="486">IF($D159,"🔒",)</f>
        <v/>
      </c>
      <c r="AC159" s="185" t="str">
        <f t="shared" si="486"/>
        <v/>
      </c>
      <c r="AD159" s="186" t="str">
        <f t="shared" si="486"/>
        <v/>
      </c>
      <c r="AE159" s="180">
        <v>30.0</v>
      </c>
      <c r="AF159" s="187">
        <v>0.0</v>
      </c>
      <c r="AG159" s="187">
        <v>0.0</v>
      </c>
      <c r="AH159" s="187">
        <v>0.0</v>
      </c>
      <c r="AI159" s="181">
        <f t="shared" si="10"/>
        <v>0</v>
      </c>
      <c r="AJ159" s="181">
        <f t="shared" si="11"/>
        <v>0</v>
      </c>
      <c r="AK159" s="185" t="str">
        <f t="shared" si="12"/>
        <v/>
      </c>
      <c r="AL159" s="188" t="str">
        <f t="array" ref="AL159">H159*(1-I159)*VLOOKUP(AT159,{'▶️ Инструкция'!C:C,'▶️ Инструкция'!AI:AI},2,false)</f>
        <v>#N/A</v>
      </c>
      <c r="AM159" s="186" t="str">
        <f t="shared" si="13"/>
        <v/>
      </c>
      <c r="AN159" s="189">
        <v>0.0</v>
      </c>
      <c r="AO159" s="189">
        <v>0.0</v>
      </c>
      <c r="AP159" s="189">
        <v>0.0</v>
      </c>
      <c r="AQ159" s="191">
        <v>1.0</v>
      </c>
      <c r="AR159" s="191">
        <v>0.0</v>
      </c>
      <c r="AS159" s="212">
        <v>0.0</v>
      </c>
      <c r="AT159" s="193" t="s">
        <v>206</v>
      </c>
      <c r="AU159" s="193" t="s">
        <v>121</v>
      </c>
      <c r="AV159" s="193" t="s">
        <v>199</v>
      </c>
      <c r="AW159" s="194">
        <f t="shared" si="14"/>
        <v>0</v>
      </c>
      <c r="AX159" s="195">
        <f t="shared" si="15"/>
        <v>0</v>
      </c>
      <c r="AY159" s="196" t="str">
        <f t="shared" si="16"/>
        <v>#N/A</v>
      </c>
      <c r="AZ159" s="213">
        <v>250.0</v>
      </c>
      <c r="BA159" s="196">
        <f t="shared" si="17"/>
        <v>0.25</v>
      </c>
      <c r="BB159" s="213">
        <f t="shared" si="18"/>
        <v>1000</v>
      </c>
      <c r="BC159" s="199" t="str">
        <f t="shared" si="19"/>
        <v>#N/A</v>
      </c>
      <c r="BD159" s="200" t="str">
        <f t="shared" si="20"/>
        <v>#N/A</v>
      </c>
      <c r="BE159" s="200">
        <f t="shared" si="21"/>
        <v>0</v>
      </c>
      <c r="BF159" s="201" t="str">
        <f t="shared" si="22"/>
        <v/>
      </c>
      <c r="BG159" s="201" t="str">
        <f t="shared" si="23"/>
        <v/>
      </c>
      <c r="BH159" s="202" t="str">
        <f t="shared" si="24"/>
        <v/>
      </c>
      <c r="BI159" s="203"/>
      <c r="BJ159" s="204">
        <f>IFERROR(__xludf.DUMMYFUNCTION("IF(AU159=data!A$5,
IF(AV159=data!A$8,
IF(T159=data!A$3,
VLOOKUP(S159,filter('🔒 Доп. информация'!D:H,'🔒 Доп. информация'!C:C=T159),4,FALSE)+VLOOKUP(S159,filter('🔒 Доп. информация'!D:H,'🔒 Доп. информация'!C:C=T159),5,FALSE)*AJ159,
IF(AND(MAX(AF159:AH159"&amp;")&lt;80,SUM(AF159:AH159)&lt;=160,AI159&lt;20,XLOOKUP(M159,'📄 Комиссии'!C:C,'📄 Комиссии'!B:B)&lt;&gt;""Продукты""),
VLOOKUP(S159,filter('🔒 Доп. информация'!D:H,'🔒 Доп. информация'!C:C=data!$A$3),4,FALSE)+VLOOKUP(S159,filter('🔒 Доп. информация'!D:H,'🔒 Доп. информаци"&amp;"я'!C:C=data!$A$3),5,FALSE)*AJ159,
VLOOKUP(S159,filter('🔒 Доп. информация'!D:H,'🔒 Доп. информация'!C:C=T159),4,FALSE)*ROUNDUP(AF159*AG159*AH159*L159/(120*80*175))/L159)
)
*(AE159/2)
,)
,)*0"),0.0)</f>
        <v>0</v>
      </c>
      <c r="BK159" s="204">
        <f>IFERROR(__xludf.DUMMYFUNCTION("IF(AU159=data!A$5,
IF(AI159&lt;=1,IF(AI159&lt;=0.8,IF(AI159&lt;=0.6,IF(AI159&lt;=0.4,IF(AI159&lt;=0.2,23,26),29),30),32)*VLOOKUP(S159,filter('🔒 Доп. информация'!D:E,'🔒 Доп. информация'!C:C=T159),2,FALSE)/'🔒 Доп. информация'!$K$9,
IF(AV159=data!A$8,U159,1)*VLOOKUP(S15"&amp;"9,filter('🔒 Доп. информация'!D:E,'🔒 Доп. информация'!C:C=T159),2,FALSE)+
IF(AV159=data!A$8,U159,1)*VLOOKUP(S159,filter('🔒 Доп. информация'!D:F,'🔒 Доп. информация'!C:C=T159),3,FALSE)*AJ159)
,0)"),69.0)</f>
        <v>69</v>
      </c>
      <c r="BL159" s="185" t="str">
        <f t="shared" ref="BL159:BM159" si="487">IF($D159,"🔒",)</f>
        <v/>
      </c>
      <c r="BM159" s="185" t="str">
        <f t="shared" si="487"/>
        <v/>
      </c>
      <c r="BN159" s="204">
        <f>VLOOKUP(T159,'🔒 Доп. информация'!J:P,7,false)</f>
        <v>50</v>
      </c>
      <c r="BO159" s="204">
        <f>IF(AV159=data!A$9,
(AA159+AO159+AP159+BJ159+BK159+BN159)+H159*AS159,
(BJ159+BK159+BN159)+H159*AS159
)</f>
        <v>119</v>
      </c>
      <c r="BP159" s="204">
        <f t="shared" si="26"/>
        <v>69</v>
      </c>
      <c r="BQ159" s="204">
        <f t="shared" si="27"/>
        <v>320</v>
      </c>
      <c r="BR159" s="204" t="str">
        <f t="shared" si="37"/>
        <v>#N/A</v>
      </c>
      <c r="BS159" s="204" t="str">
        <f t="array" ref="BS159">IF(VLOOKUP(AT159,{'▶️ Инструкция'!C:C,'▶️ Инструкция'!Y:Y},2,FALSE)=data!A$15,
H159*(1-I159),
(H159-BR159))
*VLOOKUP(AT159,{'▶️ Инструкция'!C:C,'▶️ Инструкция'!AD:AD},2,FALSE)/(1+VLOOKUP(AT159,{'▶️ Инструкция'!C:C,'▶️ Инструкция'!AD:AD},2,FALSE))</f>
        <v>#N/A</v>
      </c>
      <c r="BT159" s="204" t="str">
        <f t="array" ref="BT159">
IF(VLOOKUP(AT159,{'▶️ Инструкция'!C:C,'▶️ Инструкция'!Y:Y},2,FALSE)=data!A$15,
H159*(1-I159)-BS159,
(H159-BR159-BS159))
*
VLOOKUP(AT159,{'▶️ Инструкция'!C:C,'▶️ Инструкция'!R:R},2,FALSE)
+BS159</f>
        <v>#N/A</v>
      </c>
      <c r="BU159" s="204" t="str">
        <f>(G159*AR159)+if(AV159=data!A$9,AO159,AN159)+AP159+BR159+BT159</f>
        <v>#N/A</v>
      </c>
      <c r="BV159" s="204" t="str">
        <f>(G159*AR159)+if(AV159=data!A$9,AO159,AN159)+AP159+BT159+G159</f>
        <v>#N/A</v>
      </c>
      <c r="BW159" s="204" t="str">
        <f t="shared" si="28"/>
        <v>#N/A</v>
      </c>
      <c r="BX159" s="204" t="str">
        <f t="shared" si="29"/>
        <v>#N/A</v>
      </c>
    </row>
    <row r="160">
      <c r="A160" s="165" t="str">
        <f>if(D160=true,if(F160=data!A$1,data!A$10,data!A$11),)</f>
        <v/>
      </c>
      <c r="B160" s="166" t="str">
        <f t="shared" si="4"/>
        <v>FBS</v>
      </c>
      <c r="C160" s="167" t="s">
        <v>195</v>
      </c>
      <c r="D160" s="168" t="b">
        <v>0</v>
      </c>
      <c r="E160" s="169" t="s">
        <v>204</v>
      </c>
      <c r="F160" s="170" t="str">
        <f t="array" ref="F160">IF(D160=TRUE,IF(IF(BG$3=VLOOKUP(AT160,{'▶️ Инструкция'!C:C,'▶️ Инструкция'!G:G},2,FALSE),BG160,BH160)&gt;VLOOKUP(AT160,{'▶️ Инструкция'!C:C,'▶️ Инструкция'!N:N},2,FALSE),data!A$1,data!A$2),)</f>
        <v/>
      </c>
      <c r="G160" s="171">
        <v>0.0</v>
      </c>
      <c r="H160" s="172">
        <v>1000.0</v>
      </c>
      <c r="I160" s="173">
        <v>0.0</v>
      </c>
      <c r="J160" s="173">
        <v>0.0</v>
      </c>
      <c r="K160" s="174" t="str">
        <f t="shared" si="5"/>
        <v/>
      </c>
      <c r="L160" s="175">
        <v>0.0</v>
      </c>
      <c r="M160" s="176" t="s">
        <v>197</v>
      </c>
      <c r="N160" s="177">
        <f>IFERROR(__xludf.DUMMYFUNCTION("ArrayFormula(let(category,VLOOKUP($M160, {'📄 Комиссии'!$C:$C , '📄 Комиссии'!$B:$B}, 2, 0),
data,MATCH('🔒 Доп. информация'!$J$15:$J203,TRANSPOSE(SPLIT(INDEX('▶️ Инструкция'!$Q:$Q,MATCH($AT160,'▶️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commission,VLOOKUP($M160,'📄 Комиссии'!$C:$E,IF($AV160=data!A$8,2,3),0),
IF(NOT(ISBLANK($M160)),commission/100+
"&amp;"IFERROR(VLOOKUP($AT160,{'▶️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60" s="178" t="str">
        <f t="shared" si="6"/>
        <v/>
      </c>
      <c r="Q160" s="178" t="str">
        <f t="shared" si="7"/>
        <v/>
      </c>
      <c r="S160" s="179" t="s">
        <v>192</v>
      </c>
      <c r="T160" s="180" t="s">
        <v>193</v>
      </c>
      <c r="U160" s="181">
        <v>1.0</v>
      </c>
      <c r="V160" s="182" t="str">
        <f t="shared" ref="V160:Y160" si="488">IF($D160,"🔒",)</f>
        <v/>
      </c>
      <c r="W160" s="182" t="str">
        <f t="shared" si="488"/>
        <v/>
      </c>
      <c r="X160" s="182" t="str">
        <f t="shared" si="488"/>
        <v/>
      </c>
      <c r="Y160" s="182" t="str">
        <f t="shared" si="488"/>
        <v/>
      </c>
      <c r="Z160" s="183">
        <v>0.0</v>
      </c>
      <c r="AA160" s="184">
        <f t="shared" si="31"/>
        <v>0</v>
      </c>
      <c r="AB160" s="185" t="str">
        <f t="shared" ref="AB160:AD160" si="489">IF($D160,"🔒",)</f>
        <v/>
      </c>
      <c r="AC160" s="185" t="str">
        <f t="shared" si="489"/>
        <v/>
      </c>
      <c r="AD160" s="186" t="str">
        <f t="shared" si="489"/>
        <v/>
      </c>
      <c r="AE160" s="180">
        <v>30.0</v>
      </c>
      <c r="AF160" s="187">
        <v>0.0</v>
      </c>
      <c r="AG160" s="187">
        <v>0.0</v>
      </c>
      <c r="AH160" s="187">
        <v>0.0</v>
      </c>
      <c r="AI160" s="181">
        <f t="shared" si="10"/>
        <v>0</v>
      </c>
      <c r="AJ160" s="181">
        <f t="shared" si="11"/>
        <v>0</v>
      </c>
      <c r="AK160" s="185" t="str">
        <f t="shared" si="12"/>
        <v/>
      </c>
      <c r="AL160" s="188" t="str">
        <f t="array" ref="AL160">H160*(1-I160)*VLOOKUP(AT160,{'▶️ Инструкция'!C:C,'▶️ Инструкция'!AI:AI},2,false)</f>
        <v>#N/A</v>
      </c>
      <c r="AM160" s="186" t="str">
        <f t="shared" si="13"/>
        <v/>
      </c>
      <c r="AN160" s="189">
        <v>0.0</v>
      </c>
      <c r="AO160" s="189">
        <v>0.0</v>
      </c>
      <c r="AP160" s="189">
        <v>0.0</v>
      </c>
      <c r="AQ160" s="191">
        <v>1.0</v>
      </c>
      <c r="AR160" s="191">
        <v>0.0</v>
      </c>
      <c r="AS160" s="212">
        <v>0.0</v>
      </c>
      <c r="AT160" s="193" t="s">
        <v>206</v>
      </c>
      <c r="AU160" s="193" t="s">
        <v>121</v>
      </c>
      <c r="AV160" s="193" t="s">
        <v>199</v>
      </c>
      <c r="AW160" s="194">
        <f t="shared" si="14"/>
        <v>0</v>
      </c>
      <c r="AX160" s="195">
        <f t="shared" si="15"/>
        <v>0</v>
      </c>
      <c r="AY160" s="196" t="str">
        <f t="shared" si="16"/>
        <v>#N/A</v>
      </c>
      <c r="AZ160" s="213">
        <v>250.0</v>
      </c>
      <c r="BA160" s="196">
        <f t="shared" si="17"/>
        <v>0.25</v>
      </c>
      <c r="BB160" s="213">
        <f t="shared" si="18"/>
        <v>1000</v>
      </c>
      <c r="BC160" s="199" t="str">
        <f t="shared" si="19"/>
        <v>#N/A</v>
      </c>
      <c r="BD160" s="200" t="str">
        <f t="shared" si="20"/>
        <v>#N/A</v>
      </c>
      <c r="BE160" s="200">
        <f t="shared" si="21"/>
        <v>0</v>
      </c>
      <c r="BF160" s="201" t="str">
        <f t="shared" si="22"/>
        <v/>
      </c>
      <c r="BG160" s="201" t="str">
        <f t="shared" si="23"/>
        <v/>
      </c>
      <c r="BH160" s="202" t="str">
        <f t="shared" si="24"/>
        <v/>
      </c>
      <c r="BI160" s="203"/>
      <c r="BJ160" s="204">
        <f>IFERROR(__xludf.DUMMYFUNCTION("IF(AU160=data!A$5,
IF(AV160=data!A$8,
IF(T160=data!A$3,
VLOOKUP(S160,filter('🔒 Доп. информация'!D:H,'🔒 Доп. информация'!C:C=T160),4,FALSE)+VLOOKUP(S160,filter('🔒 Доп. информация'!D:H,'🔒 Доп. информация'!C:C=T160),5,FALSE)*AJ160,
IF(AND(MAX(AF160:AH160"&amp;")&lt;80,SUM(AF160:AH160)&lt;=160,AI160&lt;20,XLOOKUP(M160,'📄 Комиссии'!C:C,'📄 Комиссии'!B:B)&lt;&gt;""Продукты""),
VLOOKUP(S160,filter('🔒 Доп. информация'!D:H,'🔒 Доп. информация'!C:C=data!$A$3),4,FALSE)+VLOOKUP(S160,filter('🔒 Доп. информация'!D:H,'🔒 Доп. информаци"&amp;"я'!C:C=data!$A$3),5,FALSE)*AJ160,
VLOOKUP(S160,filter('🔒 Доп. информация'!D:H,'🔒 Доп. информация'!C:C=T160),4,FALSE)*ROUNDUP(AF160*AG160*AH160*L160/(120*80*175))/L160)
)
*(AE160/2)
,)
,)*0"),0.0)</f>
        <v>0</v>
      </c>
      <c r="BK160" s="204">
        <f>IFERROR(__xludf.DUMMYFUNCTION("IF(AU160=data!A$5,
IF(AI160&lt;=1,IF(AI160&lt;=0.8,IF(AI160&lt;=0.6,IF(AI160&lt;=0.4,IF(AI160&lt;=0.2,23,26),29),30),32)*VLOOKUP(S160,filter('🔒 Доп. информация'!D:E,'🔒 Доп. информация'!C:C=T160),2,FALSE)/'🔒 Доп. информация'!$K$9,
IF(AV160=data!A$8,U160,1)*VLOOKUP(S16"&amp;"0,filter('🔒 Доп. информация'!D:E,'🔒 Доп. информация'!C:C=T160),2,FALSE)+
IF(AV160=data!A$8,U160,1)*VLOOKUP(S160,filter('🔒 Доп. информация'!D:F,'🔒 Доп. информация'!C:C=T160),3,FALSE)*AJ160)
,0)"),69.0)</f>
        <v>69</v>
      </c>
      <c r="BL160" s="185" t="str">
        <f t="shared" ref="BL160:BM160" si="490">IF($D160,"🔒",)</f>
        <v/>
      </c>
      <c r="BM160" s="185" t="str">
        <f t="shared" si="490"/>
        <v/>
      </c>
      <c r="BN160" s="204">
        <f>VLOOKUP(T160,'🔒 Доп. информация'!J:P,7,false)</f>
        <v>50</v>
      </c>
      <c r="BO160" s="204">
        <f>IF(AV160=data!A$9,
(AA160+AO160+AP160+BJ160+BK160+BN160)+H160*AS160,
(BJ160+BK160+BN160)+H160*AS160
)</f>
        <v>119</v>
      </c>
      <c r="BP160" s="204">
        <f t="shared" si="26"/>
        <v>69</v>
      </c>
      <c r="BQ160" s="204">
        <f t="shared" si="27"/>
        <v>320</v>
      </c>
      <c r="BR160" s="204" t="str">
        <f t="shared" si="37"/>
        <v>#N/A</v>
      </c>
      <c r="BS160" s="204" t="str">
        <f t="array" ref="BS160">IF(VLOOKUP(AT160,{'▶️ Инструкция'!C:C,'▶️ Инструкция'!Y:Y},2,FALSE)=data!A$15,
H160*(1-I160),
(H160-BR160))
*VLOOKUP(AT160,{'▶️ Инструкция'!C:C,'▶️ Инструкция'!AD:AD},2,FALSE)/(1+VLOOKUP(AT160,{'▶️ Инструкция'!C:C,'▶️ Инструкция'!AD:AD},2,FALSE))</f>
        <v>#N/A</v>
      </c>
      <c r="BT160" s="204" t="str">
        <f t="array" ref="BT160">
IF(VLOOKUP(AT160,{'▶️ Инструкция'!C:C,'▶️ Инструкция'!Y:Y},2,FALSE)=data!A$15,
H160*(1-I160)-BS160,
(H160-BR160-BS160))
*
VLOOKUP(AT160,{'▶️ Инструкция'!C:C,'▶️ Инструкция'!R:R},2,FALSE)
+BS160</f>
        <v>#N/A</v>
      </c>
      <c r="BU160" s="204" t="str">
        <f>(G160*AR160)+if(AV160=data!A$9,AO160,AN160)+AP160+BR160+BT160</f>
        <v>#N/A</v>
      </c>
      <c r="BV160" s="204" t="str">
        <f>(G160*AR160)+if(AV160=data!A$9,AO160,AN160)+AP160+BT160+G160</f>
        <v>#N/A</v>
      </c>
      <c r="BW160" s="204" t="str">
        <f t="shared" si="28"/>
        <v>#N/A</v>
      </c>
      <c r="BX160" s="204" t="str">
        <f t="shared" si="29"/>
        <v>#N/A</v>
      </c>
    </row>
    <row r="161">
      <c r="A161" s="165" t="str">
        <f>if(D161=true,if(F161=data!A$1,data!A$10,data!A$11),)</f>
        <v/>
      </c>
      <c r="B161" s="166" t="str">
        <f t="shared" si="4"/>
        <v>FBS</v>
      </c>
      <c r="C161" s="167" t="s">
        <v>195</v>
      </c>
      <c r="D161" s="168" t="b">
        <v>0</v>
      </c>
      <c r="E161" s="169" t="s">
        <v>204</v>
      </c>
      <c r="F161" s="170" t="str">
        <f t="array" ref="F161">IF(D161=TRUE,IF(IF(BG$3=VLOOKUP(AT161,{'▶️ Инструкция'!C:C,'▶️ Инструкция'!G:G},2,FALSE),BG161,BH161)&gt;VLOOKUP(AT161,{'▶️ Инструкция'!C:C,'▶️ Инструкция'!N:N},2,FALSE),data!A$1,data!A$2),)</f>
        <v/>
      </c>
      <c r="G161" s="171">
        <v>0.0</v>
      </c>
      <c r="H161" s="172">
        <v>1000.0</v>
      </c>
      <c r="I161" s="173">
        <v>0.0</v>
      </c>
      <c r="J161" s="173">
        <v>0.0</v>
      </c>
      <c r="K161" s="174" t="str">
        <f t="shared" si="5"/>
        <v/>
      </c>
      <c r="L161" s="175">
        <v>0.0</v>
      </c>
      <c r="M161" s="176" t="s">
        <v>197</v>
      </c>
      <c r="N161" s="177">
        <f>IFERROR(__xludf.DUMMYFUNCTION("ArrayFormula(let(category,VLOOKUP($M161, {'📄 Комиссии'!$C:$C , '📄 Комиссии'!$B:$B}, 2, 0),
data,MATCH('🔒 Доп. информация'!$J$15:$J203,TRANSPOSE(SPLIT(INDEX('▶️ Инструкция'!$Q:$Q,MATCH($AT161,'▶️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commission,VLOOKUP($M161,'📄 Комиссии'!$C:$E,IF($AV161=data!A$8,2,3),0),
IF(NOT(ISBLANK($M161)),commission/100+
"&amp;"IFERROR(VLOOKUP($AT161,{'▶️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61" s="178" t="str">
        <f t="shared" si="6"/>
        <v/>
      </c>
      <c r="Q161" s="178" t="str">
        <f t="shared" si="7"/>
        <v/>
      </c>
      <c r="S161" s="179" t="s">
        <v>192</v>
      </c>
      <c r="T161" s="180" t="s">
        <v>193</v>
      </c>
      <c r="U161" s="181">
        <v>1.0</v>
      </c>
      <c r="V161" s="182" t="str">
        <f t="shared" ref="V161:Y161" si="491">IF($D161,"🔒",)</f>
        <v/>
      </c>
      <c r="W161" s="182" t="str">
        <f t="shared" si="491"/>
        <v/>
      </c>
      <c r="X161" s="182" t="str">
        <f t="shared" si="491"/>
        <v/>
      </c>
      <c r="Y161" s="182" t="str">
        <f t="shared" si="491"/>
        <v/>
      </c>
      <c r="Z161" s="183">
        <v>0.0</v>
      </c>
      <c r="AA161" s="184">
        <f t="shared" si="31"/>
        <v>0</v>
      </c>
      <c r="AB161" s="185" t="str">
        <f t="shared" ref="AB161:AD161" si="492">IF($D161,"🔒",)</f>
        <v/>
      </c>
      <c r="AC161" s="185" t="str">
        <f t="shared" si="492"/>
        <v/>
      </c>
      <c r="AD161" s="186" t="str">
        <f t="shared" si="492"/>
        <v/>
      </c>
      <c r="AE161" s="180">
        <v>30.0</v>
      </c>
      <c r="AF161" s="187">
        <v>0.0</v>
      </c>
      <c r="AG161" s="187">
        <v>0.0</v>
      </c>
      <c r="AH161" s="187">
        <v>0.0</v>
      </c>
      <c r="AI161" s="181">
        <f t="shared" si="10"/>
        <v>0</v>
      </c>
      <c r="AJ161" s="181">
        <f t="shared" si="11"/>
        <v>0</v>
      </c>
      <c r="AK161" s="185" t="str">
        <f t="shared" si="12"/>
        <v/>
      </c>
      <c r="AL161" s="188" t="str">
        <f t="array" ref="AL161">H161*(1-I161)*VLOOKUP(AT161,{'▶️ Инструкция'!C:C,'▶️ Инструкция'!AI:AI},2,false)</f>
        <v>#N/A</v>
      </c>
      <c r="AM161" s="186" t="str">
        <f t="shared" si="13"/>
        <v/>
      </c>
      <c r="AN161" s="189">
        <v>0.0</v>
      </c>
      <c r="AO161" s="189">
        <v>0.0</v>
      </c>
      <c r="AP161" s="189">
        <v>0.0</v>
      </c>
      <c r="AQ161" s="191">
        <v>1.0</v>
      </c>
      <c r="AR161" s="191">
        <v>0.0</v>
      </c>
      <c r="AS161" s="212">
        <v>0.0</v>
      </c>
      <c r="AT161" s="193" t="s">
        <v>206</v>
      </c>
      <c r="AU161" s="193" t="s">
        <v>121</v>
      </c>
      <c r="AV161" s="193" t="s">
        <v>199</v>
      </c>
      <c r="AW161" s="194">
        <f t="shared" si="14"/>
        <v>0</v>
      </c>
      <c r="AX161" s="195">
        <f t="shared" si="15"/>
        <v>0</v>
      </c>
      <c r="AY161" s="196" t="str">
        <f t="shared" si="16"/>
        <v>#N/A</v>
      </c>
      <c r="AZ161" s="213">
        <v>250.0</v>
      </c>
      <c r="BA161" s="196">
        <f t="shared" si="17"/>
        <v>0.25</v>
      </c>
      <c r="BB161" s="213">
        <f t="shared" si="18"/>
        <v>1000</v>
      </c>
      <c r="BC161" s="199" t="str">
        <f t="shared" si="19"/>
        <v>#N/A</v>
      </c>
      <c r="BD161" s="200" t="str">
        <f t="shared" si="20"/>
        <v>#N/A</v>
      </c>
      <c r="BE161" s="200">
        <f t="shared" si="21"/>
        <v>0</v>
      </c>
      <c r="BF161" s="201" t="str">
        <f t="shared" si="22"/>
        <v/>
      </c>
      <c r="BG161" s="201" t="str">
        <f t="shared" si="23"/>
        <v/>
      </c>
      <c r="BH161" s="202" t="str">
        <f t="shared" si="24"/>
        <v/>
      </c>
      <c r="BI161" s="203"/>
      <c r="BJ161" s="204">
        <f>IFERROR(__xludf.DUMMYFUNCTION("IF(AU161=data!A$5,
IF(AV161=data!A$8,
IF(T161=data!A$3,
VLOOKUP(S161,filter('🔒 Доп. информация'!D:H,'🔒 Доп. информация'!C:C=T161),4,FALSE)+VLOOKUP(S161,filter('🔒 Доп. информация'!D:H,'🔒 Доп. информация'!C:C=T161),5,FALSE)*AJ161,
IF(AND(MAX(AF161:AH161"&amp;")&lt;80,SUM(AF161:AH161)&lt;=160,AI161&lt;20,XLOOKUP(M161,'📄 Комиссии'!C:C,'📄 Комиссии'!B:B)&lt;&gt;""Продукты""),
VLOOKUP(S161,filter('🔒 Доп. информация'!D:H,'🔒 Доп. информация'!C:C=data!$A$3),4,FALSE)+VLOOKUP(S161,filter('🔒 Доп. информация'!D:H,'🔒 Доп. информаци"&amp;"я'!C:C=data!$A$3),5,FALSE)*AJ161,
VLOOKUP(S161,filter('🔒 Доп. информация'!D:H,'🔒 Доп. информация'!C:C=T161),4,FALSE)*ROUNDUP(AF161*AG161*AH161*L161/(120*80*175))/L161)
)
*(AE161/2)
,)
,)*0"),0.0)</f>
        <v>0</v>
      </c>
      <c r="BK161" s="204">
        <f>IFERROR(__xludf.DUMMYFUNCTION("IF(AU161=data!A$5,
IF(AI161&lt;=1,IF(AI161&lt;=0.8,IF(AI161&lt;=0.6,IF(AI161&lt;=0.4,IF(AI161&lt;=0.2,23,26),29),30),32)*VLOOKUP(S161,filter('🔒 Доп. информация'!D:E,'🔒 Доп. информация'!C:C=T161),2,FALSE)/'🔒 Доп. информация'!$K$9,
IF(AV161=data!A$8,U161,1)*VLOOKUP(S16"&amp;"1,filter('🔒 Доп. информация'!D:E,'🔒 Доп. информация'!C:C=T161),2,FALSE)+
IF(AV161=data!A$8,U161,1)*VLOOKUP(S161,filter('🔒 Доп. информация'!D:F,'🔒 Доп. информация'!C:C=T161),3,FALSE)*AJ161)
,0)"),69.0)</f>
        <v>69</v>
      </c>
      <c r="BL161" s="185" t="str">
        <f t="shared" ref="BL161:BM161" si="493">IF($D161,"🔒",)</f>
        <v/>
      </c>
      <c r="BM161" s="185" t="str">
        <f t="shared" si="493"/>
        <v/>
      </c>
      <c r="BN161" s="204">
        <f>VLOOKUP(T161,'🔒 Доп. информация'!J:P,7,false)</f>
        <v>50</v>
      </c>
      <c r="BO161" s="204">
        <f>IF(AV161=data!A$9,
(AA161+AO161+AP161+BJ161+BK161+BN161)+H161*AS161,
(BJ161+BK161+BN161)+H161*AS161
)</f>
        <v>119</v>
      </c>
      <c r="BP161" s="204">
        <f t="shared" si="26"/>
        <v>69</v>
      </c>
      <c r="BQ161" s="204">
        <f t="shared" si="27"/>
        <v>320</v>
      </c>
      <c r="BR161" s="204" t="str">
        <f t="shared" si="37"/>
        <v>#N/A</v>
      </c>
      <c r="BS161" s="204" t="str">
        <f t="array" ref="BS161">IF(VLOOKUP(AT161,{'▶️ Инструкция'!C:C,'▶️ Инструкция'!Y:Y},2,FALSE)=data!A$15,
H161*(1-I161),
(H161-BR161))
*VLOOKUP(AT161,{'▶️ Инструкция'!C:C,'▶️ Инструкция'!AD:AD},2,FALSE)/(1+VLOOKUP(AT161,{'▶️ Инструкция'!C:C,'▶️ Инструкция'!AD:AD},2,FALSE))</f>
        <v>#N/A</v>
      </c>
      <c r="BT161" s="204" t="str">
        <f t="array" ref="BT161">
IF(VLOOKUP(AT161,{'▶️ Инструкция'!C:C,'▶️ Инструкция'!Y:Y},2,FALSE)=data!A$15,
H161*(1-I161)-BS161,
(H161-BR161-BS161))
*
VLOOKUP(AT161,{'▶️ Инструкция'!C:C,'▶️ Инструкция'!R:R},2,FALSE)
+BS161</f>
        <v>#N/A</v>
      </c>
      <c r="BU161" s="204" t="str">
        <f>(G161*AR161)+if(AV161=data!A$9,AO161,AN161)+AP161+BR161+BT161</f>
        <v>#N/A</v>
      </c>
      <c r="BV161" s="204" t="str">
        <f>(G161*AR161)+if(AV161=data!A$9,AO161,AN161)+AP161+BT161+G161</f>
        <v>#N/A</v>
      </c>
      <c r="BW161" s="204" t="str">
        <f t="shared" si="28"/>
        <v>#N/A</v>
      </c>
      <c r="BX161" s="204" t="str">
        <f t="shared" si="29"/>
        <v>#N/A</v>
      </c>
    </row>
    <row r="162">
      <c r="A162" s="165" t="str">
        <f>if(D162=true,if(F162=data!A$1,data!A$10,data!A$11),)</f>
        <v/>
      </c>
      <c r="B162" s="166" t="str">
        <f t="shared" si="4"/>
        <v>FBS</v>
      </c>
      <c r="C162" s="167" t="s">
        <v>195</v>
      </c>
      <c r="D162" s="168" t="b">
        <v>0</v>
      </c>
      <c r="E162" s="169" t="s">
        <v>204</v>
      </c>
      <c r="F162" s="170" t="str">
        <f t="array" ref="F162">IF(D162=TRUE,IF(IF(BG$3=VLOOKUP(AT162,{'▶️ Инструкция'!C:C,'▶️ Инструкция'!G:G},2,FALSE),BG162,BH162)&gt;VLOOKUP(AT162,{'▶️ Инструкция'!C:C,'▶️ Инструкция'!N:N},2,FALSE),data!A$1,data!A$2),)</f>
        <v/>
      </c>
      <c r="G162" s="171">
        <v>0.0</v>
      </c>
      <c r="H162" s="172">
        <v>1000.0</v>
      </c>
      <c r="I162" s="173">
        <v>0.0</v>
      </c>
      <c r="J162" s="173">
        <v>0.0</v>
      </c>
      <c r="K162" s="174" t="str">
        <f t="shared" si="5"/>
        <v/>
      </c>
      <c r="L162" s="175">
        <v>0.0</v>
      </c>
      <c r="M162" s="176" t="s">
        <v>197</v>
      </c>
      <c r="N162" s="177">
        <f>IFERROR(__xludf.DUMMYFUNCTION("ArrayFormula(let(category,VLOOKUP($M162, {'📄 Комиссии'!$C:$C , '📄 Комиссии'!$B:$B}, 2, 0),
data,MATCH('🔒 Доп. информация'!$J$15:$J203,TRANSPOSE(SPLIT(INDEX('▶️ Инструкция'!$Q:$Q,MATCH($AT162,'▶️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commission,VLOOKUP($M162,'📄 Комиссии'!$C:$E,IF($AV162=data!A$8,2,3),0),
IF(NOT(ISBLANK($M162)),commission/100+
"&amp;"IFERROR(VLOOKUP($AT162,{'▶️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62" s="178" t="str">
        <f t="shared" si="6"/>
        <v/>
      </c>
      <c r="Q162" s="178" t="str">
        <f t="shared" si="7"/>
        <v/>
      </c>
      <c r="S162" s="179" t="s">
        <v>192</v>
      </c>
      <c r="T162" s="180" t="s">
        <v>193</v>
      </c>
      <c r="U162" s="181">
        <v>1.0</v>
      </c>
      <c r="V162" s="182" t="str">
        <f t="shared" ref="V162:Y162" si="494">IF($D162,"🔒",)</f>
        <v/>
      </c>
      <c r="W162" s="182" t="str">
        <f t="shared" si="494"/>
        <v/>
      </c>
      <c r="X162" s="182" t="str">
        <f t="shared" si="494"/>
        <v/>
      </c>
      <c r="Y162" s="182" t="str">
        <f t="shared" si="494"/>
        <v/>
      </c>
      <c r="Z162" s="183">
        <v>0.0</v>
      </c>
      <c r="AA162" s="184">
        <f t="shared" si="31"/>
        <v>0</v>
      </c>
      <c r="AB162" s="185" t="str">
        <f t="shared" ref="AB162:AD162" si="495">IF($D162,"🔒",)</f>
        <v/>
      </c>
      <c r="AC162" s="185" t="str">
        <f t="shared" si="495"/>
        <v/>
      </c>
      <c r="AD162" s="186" t="str">
        <f t="shared" si="495"/>
        <v/>
      </c>
      <c r="AE162" s="180">
        <v>30.0</v>
      </c>
      <c r="AF162" s="187">
        <v>0.0</v>
      </c>
      <c r="AG162" s="187">
        <v>0.0</v>
      </c>
      <c r="AH162" s="187">
        <v>0.0</v>
      </c>
      <c r="AI162" s="181">
        <f t="shared" si="10"/>
        <v>0</v>
      </c>
      <c r="AJ162" s="181">
        <f t="shared" si="11"/>
        <v>0</v>
      </c>
      <c r="AK162" s="185" t="str">
        <f t="shared" si="12"/>
        <v/>
      </c>
      <c r="AL162" s="188" t="str">
        <f t="array" ref="AL162">H162*(1-I162)*VLOOKUP(AT162,{'▶️ Инструкция'!C:C,'▶️ Инструкция'!AI:AI},2,false)</f>
        <v>#N/A</v>
      </c>
      <c r="AM162" s="186" t="str">
        <f t="shared" si="13"/>
        <v/>
      </c>
      <c r="AN162" s="189">
        <v>0.0</v>
      </c>
      <c r="AO162" s="189">
        <v>0.0</v>
      </c>
      <c r="AP162" s="189">
        <v>0.0</v>
      </c>
      <c r="AQ162" s="191">
        <v>1.0</v>
      </c>
      <c r="AR162" s="191">
        <v>0.0</v>
      </c>
      <c r="AS162" s="212">
        <v>0.0</v>
      </c>
      <c r="AT162" s="193" t="s">
        <v>206</v>
      </c>
      <c r="AU162" s="193" t="s">
        <v>121</v>
      </c>
      <c r="AV162" s="193" t="s">
        <v>199</v>
      </c>
      <c r="AW162" s="194">
        <f t="shared" si="14"/>
        <v>0</v>
      </c>
      <c r="AX162" s="195">
        <f t="shared" si="15"/>
        <v>0</v>
      </c>
      <c r="AY162" s="196" t="str">
        <f t="shared" si="16"/>
        <v>#N/A</v>
      </c>
      <c r="AZ162" s="213">
        <v>250.0</v>
      </c>
      <c r="BA162" s="196">
        <f t="shared" si="17"/>
        <v>0.25</v>
      </c>
      <c r="BB162" s="213">
        <f t="shared" si="18"/>
        <v>1000</v>
      </c>
      <c r="BC162" s="199" t="str">
        <f t="shared" si="19"/>
        <v>#N/A</v>
      </c>
      <c r="BD162" s="200" t="str">
        <f t="shared" si="20"/>
        <v>#N/A</v>
      </c>
      <c r="BE162" s="200">
        <f t="shared" si="21"/>
        <v>0</v>
      </c>
      <c r="BF162" s="201" t="str">
        <f t="shared" si="22"/>
        <v/>
      </c>
      <c r="BG162" s="201" t="str">
        <f t="shared" si="23"/>
        <v/>
      </c>
      <c r="BH162" s="202" t="str">
        <f t="shared" si="24"/>
        <v/>
      </c>
      <c r="BI162" s="203"/>
      <c r="BJ162" s="204">
        <f>IFERROR(__xludf.DUMMYFUNCTION("IF(AU162=data!A$5,
IF(AV162=data!A$8,
IF(T162=data!A$3,
VLOOKUP(S162,filter('🔒 Доп. информация'!D:H,'🔒 Доп. информация'!C:C=T162),4,FALSE)+VLOOKUP(S162,filter('🔒 Доп. информация'!D:H,'🔒 Доп. информация'!C:C=T162),5,FALSE)*AJ162,
IF(AND(MAX(AF162:AH162"&amp;")&lt;80,SUM(AF162:AH162)&lt;=160,AI162&lt;20,XLOOKUP(M162,'📄 Комиссии'!C:C,'📄 Комиссии'!B:B)&lt;&gt;""Продукты""),
VLOOKUP(S162,filter('🔒 Доп. информация'!D:H,'🔒 Доп. информация'!C:C=data!$A$3),4,FALSE)+VLOOKUP(S162,filter('🔒 Доп. информация'!D:H,'🔒 Доп. информаци"&amp;"я'!C:C=data!$A$3),5,FALSE)*AJ162,
VLOOKUP(S162,filter('🔒 Доп. информация'!D:H,'🔒 Доп. информация'!C:C=T162),4,FALSE)*ROUNDUP(AF162*AG162*AH162*L162/(120*80*175))/L162)
)
*(AE162/2)
,)
,)*0"),0.0)</f>
        <v>0</v>
      </c>
      <c r="BK162" s="204">
        <f>IFERROR(__xludf.DUMMYFUNCTION("IF(AU162=data!A$5,
IF(AI162&lt;=1,IF(AI162&lt;=0.8,IF(AI162&lt;=0.6,IF(AI162&lt;=0.4,IF(AI162&lt;=0.2,23,26),29),30),32)*VLOOKUP(S162,filter('🔒 Доп. информация'!D:E,'🔒 Доп. информация'!C:C=T162),2,FALSE)/'🔒 Доп. информация'!$K$9,
IF(AV162=data!A$8,U162,1)*VLOOKUP(S16"&amp;"2,filter('🔒 Доп. информация'!D:E,'🔒 Доп. информация'!C:C=T162),2,FALSE)+
IF(AV162=data!A$8,U162,1)*VLOOKUP(S162,filter('🔒 Доп. информация'!D:F,'🔒 Доп. информация'!C:C=T162),3,FALSE)*AJ162)
,0)"),69.0)</f>
        <v>69</v>
      </c>
      <c r="BL162" s="185" t="str">
        <f t="shared" ref="BL162:BM162" si="496">IF($D162,"🔒",)</f>
        <v/>
      </c>
      <c r="BM162" s="185" t="str">
        <f t="shared" si="496"/>
        <v/>
      </c>
      <c r="BN162" s="204">
        <f>VLOOKUP(T162,'🔒 Доп. информация'!J:P,7,false)</f>
        <v>50</v>
      </c>
      <c r="BO162" s="204">
        <f>IF(AV162=data!A$9,
(AA162+AO162+AP162+BJ162+BK162+BN162)+H162*AS162,
(BJ162+BK162+BN162)+H162*AS162
)</f>
        <v>119</v>
      </c>
      <c r="BP162" s="204">
        <f t="shared" si="26"/>
        <v>69</v>
      </c>
      <c r="BQ162" s="204">
        <f t="shared" si="27"/>
        <v>320</v>
      </c>
      <c r="BR162" s="204" t="str">
        <f t="shared" si="37"/>
        <v>#N/A</v>
      </c>
      <c r="BS162" s="204" t="str">
        <f t="array" ref="BS162">IF(VLOOKUP(AT162,{'▶️ Инструкция'!C:C,'▶️ Инструкция'!Y:Y},2,FALSE)=data!A$15,
H162*(1-I162),
(H162-BR162))
*VLOOKUP(AT162,{'▶️ Инструкция'!C:C,'▶️ Инструкция'!AD:AD},2,FALSE)/(1+VLOOKUP(AT162,{'▶️ Инструкция'!C:C,'▶️ Инструкция'!AD:AD},2,FALSE))</f>
        <v>#N/A</v>
      </c>
      <c r="BT162" s="204" t="str">
        <f t="array" ref="BT162">
IF(VLOOKUP(AT162,{'▶️ Инструкция'!C:C,'▶️ Инструкция'!Y:Y},2,FALSE)=data!A$15,
H162*(1-I162)-BS162,
(H162-BR162-BS162))
*
VLOOKUP(AT162,{'▶️ Инструкция'!C:C,'▶️ Инструкция'!R:R},2,FALSE)
+BS162</f>
        <v>#N/A</v>
      </c>
      <c r="BU162" s="204" t="str">
        <f>(G162*AR162)+if(AV162=data!A$9,AO162,AN162)+AP162+BR162+BT162</f>
        <v>#N/A</v>
      </c>
      <c r="BV162" s="204" t="str">
        <f>(G162*AR162)+if(AV162=data!A$9,AO162,AN162)+AP162+BT162+G162</f>
        <v>#N/A</v>
      </c>
      <c r="BW162" s="204" t="str">
        <f t="shared" si="28"/>
        <v>#N/A</v>
      </c>
      <c r="BX162" s="204" t="str">
        <f t="shared" si="29"/>
        <v>#N/A</v>
      </c>
    </row>
    <row r="163">
      <c r="A163" s="165" t="str">
        <f>if(D163=true,if(F163=data!A$1,data!A$10,data!A$11),)</f>
        <v/>
      </c>
      <c r="B163" s="166" t="str">
        <f t="shared" si="4"/>
        <v>FBS</v>
      </c>
      <c r="C163" s="167" t="s">
        <v>195</v>
      </c>
      <c r="D163" s="168" t="b">
        <v>0</v>
      </c>
      <c r="E163" s="169" t="s">
        <v>204</v>
      </c>
      <c r="F163" s="170" t="str">
        <f t="array" ref="F163">IF(D163=TRUE,IF(IF(BG$3=VLOOKUP(AT163,{'▶️ Инструкция'!C:C,'▶️ Инструкция'!G:G},2,FALSE),BG163,BH163)&gt;VLOOKUP(AT163,{'▶️ Инструкция'!C:C,'▶️ Инструкция'!N:N},2,FALSE),data!A$1,data!A$2),)</f>
        <v/>
      </c>
      <c r="G163" s="171">
        <v>0.0</v>
      </c>
      <c r="H163" s="172">
        <v>1000.0</v>
      </c>
      <c r="I163" s="173">
        <v>0.0</v>
      </c>
      <c r="J163" s="173">
        <v>0.0</v>
      </c>
      <c r="K163" s="174" t="str">
        <f t="shared" si="5"/>
        <v/>
      </c>
      <c r="L163" s="175">
        <v>0.0</v>
      </c>
      <c r="M163" s="176" t="s">
        <v>197</v>
      </c>
      <c r="N163" s="177">
        <f>IFERROR(__xludf.DUMMYFUNCTION("ArrayFormula(let(category,VLOOKUP($M163, {'📄 Комиссии'!$C:$C , '📄 Комиссии'!$B:$B}, 2, 0),
data,MATCH('🔒 Доп. информация'!$J$15:$J203,TRANSPOSE(SPLIT(INDEX('▶️ Инструкция'!$Q:$Q,MATCH($AT163,'▶️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commission,VLOOKUP($M163,'📄 Комиссии'!$C:$E,IF($AV163=data!A$8,2,3),0),
IF(NOT(ISBLANK($M163)),commission/100+
"&amp;"IFERROR(VLOOKUP($AT163,{'▶️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63" s="178" t="str">
        <f t="shared" si="6"/>
        <v/>
      </c>
      <c r="Q163" s="178" t="str">
        <f t="shared" si="7"/>
        <v/>
      </c>
      <c r="S163" s="179" t="s">
        <v>192</v>
      </c>
      <c r="T163" s="180" t="s">
        <v>193</v>
      </c>
      <c r="U163" s="181">
        <v>1.0</v>
      </c>
      <c r="V163" s="182" t="str">
        <f t="shared" ref="V163:Y163" si="497">IF($D163,"🔒",)</f>
        <v/>
      </c>
      <c r="W163" s="182" t="str">
        <f t="shared" si="497"/>
        <v/>
      </c>
      <c r="X163" s="182" t="str">
        <f t="shared" si="497"/>
        <v/>
      </c>
      <c r="Y163" s="182" t="str">
        <f t="shared" si="497"/>
        <v/>
      </c>
      <c r="Z163" s="183">
        <v>0.0</v>
      </c>
      <c r="AA163" s="184">
        <f t="shared" si="31"/>
        <v>0</v>
      </c>
      <c r="AB163" s="185" t="str">
        <f t="shared" ref="AB163:AD163" si="498">IF($D163,"🔒",)</f>
        <v/>
      </c>
      <c r="AC163" s="185" t="str">
        <f t="shared" si="498"/>
        <v/>
      </c>
      <c r="AD163" s="186" t="str">
        <f t="shared" si="498"/>
        <v/>
      </c>
      <c r="AE163" s="180">
        <v>30.0</v>
      </c>
      <c r="AF163" s="187">
        <v>0.0</v>
      </c>
      <c r="AG163" s="187">
        <v>0.0</v>
      </c>
      <c r="AH163" s="187">
        <v>0.0</v>
      </c>
      <c r="AI163" s="181">
        <f t="shared" si="10"/>
        <v>0</v>
      </c>
      <c r="AJ163" s="181">
        <f t="shared" si="11"/>
        <v>0</v>
      </c>
      <c r="AK163" s="185" t="str">
        <f t="shared" si="12"/>
        <v/>
      </c>
      <c r="AL163" s="188" t="str">
        <f t="array" ref="AL163">H163*(1-I163)*VLOOKUP(AT163,{'▶️ Инструкция'!C:C,'▶️ Инструкция'!AI:AI},2,false)</f>
        <v>#N/A</v>
      </c>
      <c r="AM163" s="186" t="str">
        <f t="shared" si="13"/>
        <v/>
      </c>
      <c r="AN163" s="189">
        <v>0.0</v>
      </c>
      <c r="AO163" s="189">
        <v>0.0</v>
      </c>
      <c r="AP163" s="189">
        <v>0.0</v>
      </c>
      <c r="AQ163" s="191">
        <v>1.0</v>
      </c>
      <c r="AR163" s="191">
        <v>0.0</v>
      </c>
      <c r="AS163" s="212">
        <v>0.0</v>
      </c>
      <c r="AT163" s="193" t="s">
        <v>206</v>
      </c>
      <c r="AU163" s="193" t="s">
        <v>121</v>
      </c>
      <c r="AV163" s="193" t="s">
        <v>199</v>
      </c>
      <c r="AW163" s="194">
        <f t="shared" si="14"/>
        <v>0</v>
      </c>
      <c r="AX163" s="195">
        <f t="shared" si="15"/>
        <v>0</v>
      </c>
      <c r="AY163" s="196" t="str">
        <f t="shared" si="16"/>
        <v>#N/A</v>
      </c>
      <c r="AZ163" s="213">
        <v>250.0</v>
      </c>
      <c r="BA163" s="196">
        <f t="shared" si="17"/>
        <v>0.25</v>
      </c>
      <c r="BB163" s="213">
        <f t="shared" si="18"/>
        <v>1000</v>
      </c>
      <c r="BC163" s="199" t="str">
        <f t="shared" si="19"/>
        <v>#N/A</v>
      </c>
      <c r="BD163" s="200" t="str">
        <f t="shared" si="20"/>
        <v>#N/A</v>
      </c>
      <c r="BE163" s="200">
        <f t="shared" si="21"/>
        <v>0</v>
      </c>
      <c r="BF163" s="201" t="str">
        <f t="shared" si="22"/>
        <v/>
      </c>
      <c r="BG163" s="201" t="str">
        <f t="shared" si="23"/>
        <v/>
      </c>
      <c r="BH163" s="202" t="str">
        <f t="shared" si="24"/>
        <v/>
      </c>
      <c r="BI163" s="203"/>
      <c r="BJ163" s="204">
        <f>IFERROR(__xludf.DUMMYFUNCTION("IF(AU163=data!A$5,
IF(AV163=data!A$8,
IF(T163=data!A$3,
VLOOKUP(S163,filter('🔒 Доп. информация'!D:H,'🔒 Доп. информация'!C:C=T163),4,FALSE)+VLOOKUP(S163,filter('🔒 Доп. информация'!D:H,'🔒 Доп. информация'!C:C=T163),5,FALSE)*AJ163,
IF(AND(MAX(AF163:AH163"&amp;")&lt;80,SUM(AF163:AH163)&lt;=160,AI163&lt;20,XLOOKUP(M163,'📄 Комиссии'!C:C,'📄 Комиссии'!B:B)&lt;&gt;""Продукты""),
VLOOKUP(S163,filter('🔒 Доп. информация'!D:H,'🔒 Доп. информация'!C:C=data!$A$3),4,FALSE)+VLOOKUP(S163,filter('🔒 Доп. информация'!D:H,'🔒 Доп. информаци"&amp;"я'!C:C=data!$A$3),5,FALSE)*AJ163,
VLOOKUP(S163,filter('🔒 Доп. информация'!D:H,'🔒 Доп. информация'!C:C=T163),4,FALSE)*ROUNDUP(AF163*AG163*AH163*L163/(120*80*175))/L163)
)
*(AE163/2)
,)
,)*0"),0.0)</f>
        <v>0</v>
      </c>
      <c r="BK163" s="204">
        <f>IFERROR(__xludf.DUMMYFUNCTION("IF(AU163=data!A$5,
IF(AI163&lt;=1,IF(AI163&lt;=0.8,IF(AI163&lt;=0.6,IF(AI163&lt;=0.4,IF(AI163&lt;=0.2,23,26),29),30),32)*VLOOKUP(S163,filter('🔒 Доп. информация'!D:E,'🔒 Доп. информация'!C:C=T163),2,FALSE)/'🔒 Доп. информация'!$K$9,
IF(AV163=data!A$8,U163,1)*VLOOKUP(S16"&amp;"3,filter('🔒 Доп. информация'!D:E,'🔒 Доп. информация'!C:C=T163),2,FALSE)+
IF(AV163=data!A$8,U163,1)*VLOOKUP(S163,filter('🔒 Доп. информация'!D:F,'🔒 Доп. информация'!C:C=T163),3,FALSE)*AJ163)
,0)"),69.0)</f>
        <v>69</v>
      </c>
      <c r="BL163" s="185" t="str">
        <f t="shared" ref="BL163:BM163" si="499">IF($D163,"🔒",)</f>
        <v/>
      </c>
      <c r="BM163" s="185" t="str">
        <f t="shared" si="499"/>
        <v/>
      </c>
      <c r="BN163" s="204">
        <f>VLOOKUP(T163,'🔒 Доп. информация'!J:P,7,false)</f>
        <v>50</v>
      </c>
      <c r="BO163" s="204">
        <f>IF(AV163=data!A$9,
(AA163+AO163+AP163+BJ163+BK163+BN163)+H163*AS163,
(BJ163+BK163+BN163)+H163*AS163
)</f>
        <v>119</v>
      </c>
      <c r="BP163" s="204">
        <f t="shared" si="26"/>
        <v>69</v>
      </c>
      <c r="BQ163" s="204">
        <f t="shared" si="27"/>
        <v>320</v>
      </c>
      <c r="BR163" s="204" t="str">
        <f t="shared" si="37"/>
        <v>#N/A</v>
      </c>
      <c r="BS163" s="204" t="str">
        <f t="array" ref="BS163">IF(VLOOKUP(AT163,{'▶️ Инструкция'!C:C,'▶️ Инструкция'!Y:Y},2,FALSE)=data!A$15,
H163*(1-I163),
(H163-BR163))
*VLOOKUP(AT163,{'▶️ Инструкция'!C:C,'▶️ Инструкция'!AD:AD},2,FALSE)/(1+VLOOKUP(AT163,{'▶️ Инструкция'!C:C,'▶️ Инструкция'!AD:AD},2,FALSE))</f>
        <v>#N/A</v>
      </c>
      <c r="BT163" s="204" t="str">
        <f t="array" ref="BT163">
IF(VLOOKUP(AT163,{'▶️ Инструкция'!C:C,'▶️ Инструкция'!Y:Y},2,FALSE)=data!A$15,
H163*(1-I163)-BS163,
(H163-BR163-BS163))
*
VLOOKUP(AT163,{'▶️ Инструкция'!C:C,'▶️ Инструкция'!R:R},2,FALSE)
+BS163</f>
        <v>#N/A</v>
      </c>
      <c r="BU163" s="204" t="str">
        <f>(G163*AR163)+if(AV163=data!A$9,AO163,AN163)+AP163+BR163+BT163</f>
        <v>#N/A</v>
      </c>
      <c r="BV163" s="204" t="str">
        <f>(G163*AR163)+if(AV163=data!A$9,AO163,AN163)+AP163+BT163+G163</f>
        <v>#N/A</v>
      </c>
      <c r="BW163" s="204" t="str">
        <f t="shared" si="28"/>
        <v>#N/A</v>
      </c>
      <c r="BX163" s="204" t="str">
        <f t="shared" si="29"/>
        <v>#N/A</v>
      </c>
    </row>
    <row r="164">
      <c r="A164" s="165" t="str">
        <f>if(D164=true,if(F164=data!A$1,data!A$10,data!A$11),)</f>
        <v/>
      </c>
      <c r="B164" s="166" t="str">
        <f t="shared" si="4"/>
        <v>FBS</v>
      </c>
      <c r="C164" s="167" t="s">
        <v>195</v>
      </c>
      <c r="D164" s="168" t="b">
        <v>0</v>
      </c>
      <c r="E164" s="169" t="s">
        <v>204</v>
      </c>
      <c r="F164" s="170" t="str">
        <f t="array" ref="F164">IF(D164=TRUE,IF(IF(BG$3=VLOOKUP(AT164,{'▶️ Инструкция'!C:C,'▶️ Инструкция'!G:G},2,FALSE),BG164,BH164)&gt;VLOOKUP(AT164,{'▶️ Инструкция'!C:C,'▶️ Инструкция'!N:N},2,FALSE),data!A$1,data!A$2),)</f>
        <v/>
      </c>
      <c r="G164" s="171">
        <v>0.0</v>
      </c>
      <c r="H164" s="172">
        <v>1000.0</v>
      </c>
      <c r="I164" s="173">
        <v>0.0</v>
      </c>
      <c r="J164" s="173">
        <v>0.0</v>
      </c>
      <c r="K164" s="174" t="str">
        <f t="shared" si="5"/>
        <v/>
      </c>
      <c r="L164" s="175">
        <v>0.0</v>
      </c>
      <c r="M164" s="176" t="s">
        <v>197</v>
      </c>
      <c r="N164" s="177">
        <f>IFERROR(__xludf.DUMMYFUNCTION("ArrayFormula(let(category,VLOOKUP($M164, {'📄 Комиссии'!$C:$C , '📄 Комиссии'!$B:$B}, 2, 0),
data,MATCH('🔒 Доп. информация'!$J$15:$J203,TRANSPOSE(SPLIT(INDEX('▶️ Инструкция'!$Q:$Q,MATCH($AT164,'▶️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commission,VLOOKUP($M164,'📄 Комиссии'!$C:$E,IF($AV164=data!A$8,2,3),0),
IF(NOT(ISBLANK($M164)),commission/100+
"&amp;"IFERROR(VLOOKUP($AT164,{'▶️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64" s="178" t="str">
        <f t="shared" si="6"/>
        <v/>
      </c>
      <c r="Q164" s="178" t="str">
        <f t="shared" si="7"/>
        <v/>
      </c>
      <c r="S164" s="179" t="s">
        <v>192</v>
      </c>
      <c r="T164" s="180" t="s">
        <v>193</v>
      </c>
      <c r="U164" s="181">
        <v>1.0</v>
      </c>
      <c r="V164" s="182" t="str">
        <f t="shared" ref="V164:Y164" si="500">IF($D164,"🔒",)</f>
        <v/>
      </c>
      <c r="W164" s="182" t="str">
        <f t="shared" si="500"/>
        <v/>
      </c>
      <c r="X164" s="182" t="str">
        <f t="shared" si="500"/>
        <v/>
      </c>
      <c r="Y164" s="182" t="str">
        <f t="shared" si="500"/>
        <v/>
      </c>
      <c r="Z164" s="183">
        <v>0.0</v>
      </c>
      <c r="AA164" s="184">
        <f t="shared" si="31"/>
        <v>0</v>
      </c>
      <c r="AB164" s="185" t="str">
        <f t="shared" ref="AB164:AD164" si="501">IF($D164,"🔒",)</f>
        <v/>
      </c>
      <c r="AC164" s="185" t="str">
        <f t="shared" si="501"/>
        <v/>
      </c>
      <c r="AD164" s="186" t="str">
        <f t="shared" si="501"/>
        <v/>
      </c>
      <c r="AE164" s="180">
        <v>30.0</v>
      </c>
      <c r="AF164" s="187">
        <v>0.0</v>
      </c>
      <c r="AG164" s="187">
        <v>0.0</v>
      </c>
      <c r="AH164" s="187">
        <v>0.0</v>
      </c>
      <c r="AI164" s="181">
        <f t="shared" si="10"/>
        <v>0</v>
      </c>
      <c r="AJ164" s="181">
        <f t="shared" si="11"/>
        <v>0</v>
      </c>
      <c r="AK164" s="185" t="str">
        <f t="shared" si="12"/>
        <v/>
      </c>
      <c r="AL164" s="188" t="str">
        <f t="array" ref="AL164">H164*(1-I164)*VLOOKUP(AT164,{'▶️ Инструкция'!C:C,'▶️ Инструкция'!AI:AI},2,false)</f>
        <v>#N/A</v>
      </c>
      <c r="AM164" s="186" t="str">
        <f t="shared" si="13"/>
        <v/>
      </c>
      <c r="AN164" s="189">
        <v>0.0</v>
      </c>
      <c r="AO164" s="189">
        <v>0.0</v>
      </c>
      <c r="AP164" s="189">
        <v>0.0</v>
      </c>
      <c r="AQ164" s="191">
        <v>1.0</v>
      </c>
      <c r="AR164" s="191">
        <v>0.0</v>
      </c>
      <c r="AS164" s="212">
        <v>0.0</v>
      </c>
      <c r="AT164" s="193" t="s">
        <v>206</v>
      </c>
      <c r="AU164" s="193" t="s">
        <v>121</v>
      </c>
      <c r="AV164" s="193" t="s">
        <v>199</v>
      </c>
      <c r="AW164" s="194">
        <f t="shared" si="14"/>
        <v>0</v>
      </c>
      <c r="AX164" s="195">
        <f t="shared" si="15"/>
        <v>0</v>
      </c>
      <c r="AY164" s="196" t="str">
        <f t="shared" si="16"/>
        <v>#N/A</v>
      </c>
      <c r="AZ164" s="213">
        <v>250.0</v>
      </c>
      <c r="BA164" s="196">
        <f t="shared" si="17"/>
        <v>0.25</v>
      </c>
      <c r="BB164" s="213">
        <f t="shared" si="18"/>
        <v>1000</v>
      </c>
      <c r="BC164" s="199" t="str">
        <f t="shared" si="19"/>
        <v>#N/A</v>
      </c>
      <c r="BD164" s="200" t="str">
        <f t="shared" si="20"/>
        <v>#N/A</v>
      </c>
      <c r="BE164" s="200">
        <f t="shared" si="21"/>
        <v>0</v>
      </c>
      <c r="BF164" s="201" t="str">
        <f t="shared" si="22"/>
        <v/>
      </c>
      <c r="BG164" s="201" t="str">
        <f t="shared" si="23"/>
        <v/>
      </c>
      <c r="BH164" s="202" t="str">
        <f t="shared" si="24"/>
        <v/>
      </c>
      <c r="BI164" s="203"/>
      <c r="BJ164" s="204">
        <f>IFERROR(__xludf.DUMMYFUNCTION("IF(AU164=data!A$5,
IF(AV164=data!A$8,
IF(T164=data!A$3,
VLOOKUP(S164,filter('🔒 Доп. информация'!D:H,'🔒 Доп. информация'!C:C=T164),4,FALSE)+VLOOKUP(S164,filter('🔒 Доп. информация'!D:H,'🔒 Доп. информация'!C:C=T164),5,FALSE)*AJ164,
IF(AND(MAX(AF164:AH164"&amp;")&lt;80,SUM(AF164:AH164)&lt;=160,AI164&lt;20,XLOOKUP(M164,'📄 Комиссии'!C:C,'📄 Комиссии'!B:B)&lt;&gt;""Продукты""),
VLOOKUP(S164,filter('🔒 Доп. информация'!D:H,'🔒 Доп. информация'!C:C=data!$A$3),4,FALSE)+VLOOKUP(S164,filter('🔒 Доп. информация'!D:H,'🔒 Доп. информаци"&amp;"я'!C:C=data!$A$3),5,FALSE)*AJ164,
VLOOKUP(S164,filter('🔒 Доп. информация'!D:H,'🔒 Доп. информация'!C:C=T164),4,FALSE)*ROUNDUP(AF164*AG164*AH164*L164/(120*80*175))/L164)
)
*(AE164/2)
,)
,)*0"),0.0)</f>
        <v>0</v>
      </c>
      <c r="BK164" s="204">
        <f>IFERROR(__xludf.DUMMYFUNCTION("IF(AU164=data!A$5,
IF(AI164&lt;=1,IF(AI164&lt;=0.8,IF(AI164&lt;=0.6,IF(AI164&lt;=0.4,IF(AI164&lt;=0.2,23,26),29),30),32)*VLOOKUP(S164,filter('🔒 Доп. информация'!D:E,'🔒 Доп. информация'!C:C=T164),2,FALSE)/'🔒 Доп. информация'!$K$9,
IF(AV164=data!A$8,U164,1)*VLOOKUP(S16"&amp;"4,filter('🔒 Доп. информация'!D:E,'🔒 Доп. информация'!C:C=T164),2,FALSE)+
IF(AV164=data!A$8,U164,1)*VLOOKUP(S164,filter('🔒 Доп. информация'!D:F,'🔒 Доп. информация'!C:C=T164),3,FALSE)*AJ164)
,0)"),69.0)</f>
        <v>69</v>
      </c>
      <c r="BL164" s="185" t="str">
        <f t="shared" ref="BL164:BM164" si="502">IF($D164,"🔒",)</f>
        <v/>
      </c>
      <c r="BM164" s="185" t="str">
        <f t="shared" si="502"/>
        <v/>
      </c>
      <c r="BN164" s="204">
        <f>VLOOKUP(T164,'🔒 Доп. информация'!J:P,7,false)</f>
        <v>50</v>
      </c>
      <c r="BO164" s="204">
        <f>IF(AV164=data!A$9,
(AA164+AO164+AP164+BJ164+BK164+BN164)+H164*AS164,
(BJ164+BK164+BN164)+H164*AS164
)</f>
        <v>119</v>
      </c>
      <c r="BP164" s="204">
        <f t="shared" si="26"/>
        <v>69</v>
      </c>
      <c r="BQ164" s="204">
        <f t="shared" si="27"/>
        <v>320</v>
      </c>
      <c r="BR164" s="204" t="str">
        <f t="shared" si="37"/>
        <v>#N/A</v>
      </c>
      <c r="BS164" s="204" t="str">
        <f t="array" ref="BS164">IF(VLOOKUP(AT164,{'▶️ Инструкция'!C:C,'▶️ Инструкция'!Y:Y},2,FALSE)=data!A$15,
H164*(1-I164),
(H164-BR164))
*VLOOKUP(AT164,{'▶️ Инструкция'!C:C,'▶️ Инструкция'!AD:AD},2,FALSE)/(1+VLOOKUP(AT164,{'▶️ Инструкция'!C:C,'▶️ Инструкция'!AD:AD},2,FALSE))</f>
        <v>#N/A</v>
      </c>
      <c r="BT164" s="204" t="str">
        <f t="array" ref="BT164">
IF(VLOOKUP(AT164,{'▶️ Инструкция'!C:C,'▶️ Инструкция'!Y:Y},2,FALSE)=data!A$15,
H164*(1-I164)-BS164,
(H164-BR164-BS164))
*
VLOOKUP(AT164,{'▶️ Инструкция'!C:C,'▶️ Инструкция'!R:R},2,FALSE)
+BS164</f>
        <v>#N/A</v>
      </c>
      <c r="BU164" s="204" t="str">
        <f>(G164*AR164)+if(AV164=data!A$9,AO164,AN164)+AP164+BR164+BT164</f>
        <v>#N/A</v>
      </c>
      <c r="BV164" s="204" t="str">
        <f>(G164*AR164)+if(AV164=data!A$9,AO164,AN164)+AP164+BT164+G164</f>
        <v>#N/A</v>
      </c>
      <c r="BW164" s="204" t="str">
        <f t="shared" si="28"/>
        <v>#N/A</v>
      </c>
      <c r="BX164" s="204" t="str">
        <f t="shared" si="29"/>
        <v>#N/A</v>
      </c>
    </row>
    <row r="165">
      <c r="A165" s="165" t="str">
        <f>if(D165=true,if(F165=data!A$1,data!A$10,data!A$11),)</f>
        <v/>
      </c>
      <c r="B165" s="166" t="str">
        <f t="shared" si="4"/>
        <v>FBS</v>
      </c>
      <c r="C165" s="167" t="s">
        <v>195</v>
      </c>
      <c r="D165" s="168" t="b">
        <v>0</v>
      </c>
      <c r="E165" s="169" t="s">
        <v>204</v>
      </c>
      <c r="F165" s="170" t="str">
        <f t="array" ref="F165">IF(D165=TRUE,IF(IF(BG$3=VLOOKUP(AT165,{'▶️ Инструкция'!C:C,'▶️ Инструкция'!G:G},2,FALSE),BG165,BH165)&gt;VLOOKUP(AT165,{'▶️ Инструкция'!C:C,'▶️ Инструкция'!N:N},2,FALSE),data!A$1,data!A$2),)</f>
        <v/>
      </c>
      <c r="G165" s="171">
        <v>0.0</v>
      </c>
      <c r="H165" s="172">
        <v>1000.0</v>
      </c>
      <c r="I165" s="173">
        <v>0.0</v>
      </c>
      <c r="J165" s="173">
        <v>0.0</v>
      </c>
      <c r="K165" s="174" t="str">
        <f t="shared" si="5"/>
        <v/>
      </c>
      <c r="L165" s="175">
        <v>0.0</v>
      </c>
      <c r="M165" s="176" t="s">
        <v>197</v>
      </c>
      <c r="N165" s="177">
        <f>IFERROR(__xludf.DUMMYFUNCTION("ArrayFormula(let(category,VLOOKUP($M165, {'📄 Комиссии'!$C:$C , '📄 Комиссии'!$B:$B}, 2, 0),
data,MATCH('🔒 Доп. информация'!$J$15:$J203,TRANSPOSE(SPLIT(INDEX('▶️ Инструкция'!$Q:$Q,MATCH($AT165,'▶️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commission,VLOOKUP($M165,'📄 Комиссии'!$C:$E,IF($AV165=data!A$8,2,3),0),
IF(NOT(ISBLANK($M165)),commission/100+
"&amp;"IFERROR(VLOOKUP($AT165,{'▶️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65" s="178" t="str">
        <f t="shared" si="6"/>
        <v/>
      </c>
      <c r="Q165" s="178" t="str">
        <f t="shared" si="7"/>
        <v/>
      </c>
      <c r="S165" s="179" t="s">
        <v>192</v>
      </c>
      <c r="T165" s="180" t="s">
        <v>193</v>
      </c>
      <c r="U165" s="181">
        <v>1.0</v>
      </c>
      <c r="V165" s="182" t="str">
        <f t="shared" ref="V165:Y165" si="503">IF($D165,"🔒",)</f>
        <v/>
      </c>
      <c r="W165" s="182" t="str">
        <f t="shared" si="503"/>
        <v/>
      </c>
      <c r="X165" s="182" t="str">
        <f t="shared" si="503"/>
        <v/>
      </c>
      <c r="Y165" s="182" t="str">
        <f t="shared" si="503"/>
        <v/>
      </c>
      <c r="Z165" s="183">
        <v>0.0</v>
      </c>
      <c r="AA165" s="184">
        <f t="shared" si="31"/>
        <v>0</v>
      </c>
      <c r="AB165" s="185" t="str">
        <f t="shared" ref="AB165:AD165" si="504">IF($D165,"🔒",)</f>
        <v/>
      </c>
      <c r="AC165" s="185" t="str">
        <f t="shared" si="504"/>
        <v/>
      </c>
      <c r="AD165" s="186" t="str">
        <f t="shared" si="504"/>
        <v/>
      </c>
      <c r="AE165" s="180">
        <v>30.0</v>
      </c>
      <c r="AF165" s="187">
        <v>0.0</v>
      </c>
      <c r="AG165" s="187">
        <v>0.0</v>
      </c>
      <c r="AH165" s="187">
        <v>0.0</v>
      </c>
      <c r="AI165" s="181">
        <f t="shared" si="10"/>
        <v>0</v>
      </c>
      <c r="AJ165" s="181">
        <f t="shared" si="11"/>
        <v>0</v>
      </c>
      <c r="AK165" s="185" t="str">
        <f t="shared" si="12"/>
        <v/>
      </c>
      <c r="AL165" s="188" t="str">
        <f t="array" ref="AL165">H165*(1-I165)*VLOOKUP(AT165,{'▶️ Инструкция'!C:C,'▶️ Инструкция'!AI:AI},2,false)</f>
        <v>#N/A</v>
      </c>
      <c r="AM165" s="186" t="str">
        <f t="shared" si="13"/>
        <v/>
      </c>
      <c r="AN165" s="189">
        <v>0.0</v>
      </c>
      <c r="AO165" s="189">
        <v>0.0</v>
      </c>
      <c r="AP165" s="189">
        <v>0.0</v>
      </c>
      <c r="AQ165" s="191">
        <v>1.0</v>
      </c>
      <c r="AR165" s="191">
        <v>0.0</v>
      </c>
      <c r="AS165" s="212">
        <v>0.0</v>
      </c>
      <c r="AT165" s="193" t="s">
        <v>206</v>
      </c>
      <c r="AU165" s="193" t="s">
        <v>121</v>
      </c>
      <c r="AV165" s="193" t="s">
        <v>199</v>
      </c>
      <c r="AW165" s="194">
        <f t="shared" si="14"/>
        <v>0</v>
      </c>
      <c r="AX165" s="195">
        <f t="shared" si="15"/>
        <v>0</v>
      </c>
      <c r="AY165" s="196" t="str">
        <f t="shared" si="16"/>
        <v>#N/A</v>
      </c>
      <c r="AZ165" s="213">
        <v>250.0</v>
      </c>
      <c r="BA165" s="196">
        <f t="shared" si="17"/>
        <v>0.25</v>
      </c>
      <c r="BB165" s="213">
        <f t="shared" si="18"/>
        <v>1000</v>
      </c>
      <c r="BC165" s="199" t="str">
        <f t="shared" si="19"/>
        <v>#N/A</v>
      </c>
      <c r="BD165" s="200" t="str">
        <f t="shared" si="20"/>
        <v>#N/A</v>
      </c>
      <c r="BE165" s="200">
        <f t="shared" si="21"/>
        <v>0</v>
      </c>
      <c r="BF165" s="201" t="str">
        <f t="shared" si="22"/>
        <v/>
      </c>
      <c r="BG165" s="201" t="str">
        <f t="shared" si="23"/>
        <v/>
      </c>
      <c r="BH165" s="202" t="str">
        <f t="shared" si="24"/>
        <v/>
      </c>
      <c r="BI165" s="203"/>
      <c r="BJ165" s="204">
        <f>IFERROR(__xludf.DUMMYFUNCTION("IF(AU165=data!A$5,
IF(AV165=data!A$8,
IF(T165=data!A$3,
VLOOKUP(S165,filter('🔒 Доп. информация'!D:H,'🔒 Доп. информация'!C:C=T165),4,FALSE)+VLOOKUP(S165,filter('🔒 Доп. информация'!D:H,'🔒 Доп. информация'!C:C=T165),5,FALSE)*AJ165,
IF(AND(MAX(AF165:AH165"&amp;")&lt;80,SUM(AF165:AH165)&lt;=160,AI165&lt;20,XLOOKUP(M165,'📄 Комиссии'!C:C,'📄 Комиссии'!B:B)&lt;&gt;""Продукты""),
VLOOKUP(S165,filter('🔒 Доп. информация'!D:H,'🔒 Доп. информация'!C:C=data!$A$3),4,FALSE)+VLOOKUP(S165,filter('🔒 Доп. информация'!D:H,'🔒 Доп. информаци"&amp;"я'!C:C=data!$A$3),5,FALSE)*AJ165,
VLOOKUP(S165,filter('🔒 Доп. информация'!D:H,'🔒 Доп. информация'!C:C=T165),4,FALSE)*ROUNDUP(AF165*AG165*AH165*L165/(120*80*175))/L165)
)
*(AE165/2)
,)
,)*0"),0.0)</f>
        <v>0</v>
      </c>
      <c r="BK165" s="204">
        <f>IFERROR(__xludf.DUMMYFUNCTION("IF(AU165=data!A$5,
IF(AI165&lt;=1,IF(AI165&lt;=0.8,IF(AI165&lt;=0.6,IF(AI165&lt;=0.4,IF(AI165&lt;=0.2,23,26),29),30),32)*VLOOKUP(S165,filter('🔒 Доп. информация'!D:E,'🔒 Доп. информация'!C:C=T165),2,FALSE)/'🔒 Доп. информация'!$K$9,
IF(AV165=data!A$8,U165,1)*VLOOKUP(S16"&amp;"5,filter('🔒 Доп. информация'!D:E,'🔒 Доп. информация'!C:C=T165),2,FALSE)+
IF(AV165=data!A$8,U165,1)*VLOOKUP(S165,filter('🔒 Доп. информация'!D:F,'🔒 Доп. информация'!C:C=T165),3,FALSE)*AJ165)
,0)"),69.0)</f>
        <v>69</v>
      </c>
      <c r="BL165" s="185" t="str">
        <f t="shared" ref="BL165:BM165" si="505">IF($D165,"🔒",)</f>
        <v/>
      </c>
      <c r="BM165" s="185" t="str">
        <f t="shared" si="505"/>
        <v/>
      </c>
      <c r="BN165" s="204">
        <f>VLOOKUP(T165,'🔒 Доп. информация'!J:P,7,false)</f>
        <v>50</v>
      </c>
      <c r="BO165" s="204">
        <f>IF(AV165=data!A$9,
(AA165+AO165+AP165+BJ165+BK165+BN165)+H165*AS165,
(BJ165+BK165+BN165)+H165*AS165
)</f>
        <v>119</v>
      </c>
      <c r="BP165" s="204">
        <f t="shared" si="26"/>
        <v>69</v>
      </c>
      <c r="BQ165" s="204">
        <f t="shared" si="27"/>
        <v>320</v>
      </c>
      <c r="BR165" s="204" t="str">
        <f t="shared" si="37"/>
        <v>#N/A</v>
      </c>
      <c r="BS165" s="204" t="str">
        <f t="array" ref="BS165">IF(VLOOKUP(AT165,{'▶️ Инструкция'!C:C,'▶️ Инструкция'!Y:Y},2,FALSE)=data!A$15,
H165*(1-I165),
(H165-BR165))
*VLOOKUP(AT165,{'▶️ Инструкция'!C:C,'▶️ Инструкция'!AD:AD},2,FALSE)/(1+VLOOKUP(AT165,{'▶️ Инструкция'!C:C,'▶️ Инструкция'!AD:AD},2,FALSE))</f>
        <v>#N/A</v>
      </c>
      <c r="BT165" s="204" t="str">
        <f t="array" ref="BT165">
IF(VLOOKUP(AT165,{'▶️ Инструкция'!C:C,'▶️ Инструкция'!Y:Y},2,FALSE)=data!A$15,
H165*(1-I165)-BS165,
(H165-BR165-BS165))
*
VLOOKUP(AT165,{'▶️ Инструкция'!C:C,'▶️ Инструкция'!R:R},2,FALSE)
+BS165</f>
        <v>#N/A</v>
      </c>
      <c r="BU165" s="204" t="str">
        <f>(G165*AR165)+if(AV165=data!A$9,AO165,AN165)+AP165+BR165+BT165</f>
        <v>#N/A</v>
      </c>
      <c r="BV165" s="204" t="str">
        <f>(G165*AR165)+if(AV165=data!A$9,AO165,AN165)+AP165+BT165+G165</f>
        <v>#N/A</v>
      </c>
      <c r="BW165" s="204" t="str">
        <f t="shared" si="28"/>
        <v>#N/A</v>
      </c>
      <c r="BX165" s="204" t="str">
        <f t="shared" si="29"/>
        <v>#N/A</v>
      </c>
    </row>
    <row r="166">
      <c r="A166" s="165" t="str">
        <f>if(D166=true,if(F166=data!A$1,data!A$10,data!A$11),)</f>
        <v/>
      </c>
      <c r="B166" s="166" t="str">
        <f t="shared" si="4"/>
        <v>FBS</v>
      </c>
      <c r="C166" s="167" t="s">
        <v>195</v>
      </c>
      <c r="D166" s="168" t="b">
        <v>0</v>
      </c>
      <c r="E166" s="169" t="s">
        <v>204</v>
      </c>
      <c r="F166" s="170" t="str">
        <f t="array" ref="F166">IF(D166=TRUE,IF(IF(BG$3=VLOOKUP(AT166,{'▶️ Инструкция'!C:C,'▶️ Инструкция'!G:G},2,FALSE),BG166,BH166)&gt;VLOOKUP(AT166,{'▶️ Инструкция'!C:C,'▶️ Инструкция'!N:N},2,FALSE),data!A$1,data!A$2),)</f>
        <v/>
      </c>
      <c r="G166" s="171">
        <v>0.0</v>
      </c>
      <c r="H166" s="172">
        <v>1000.0</v>
      </c>
      <c r="I166" s="173">
        <v>0.0</v>
      </c>
      <c r="J166" s="173">
        <v>0.0</v>
      </c>
      <c r="K166" s="174" t="str">
        <f t="shared" si="5"/>
        <v/>
      </c>
      <c r="L166" s="175">
        <v>0.0</v>
      </c>
      <c r="M166" s="176" t="s">
        <v>197</v>
      </c>
      <c r="N166" s="177">
        <f>IFERROR(__xludf.DUMMYFUNCTION("ArrayFormula(let(category,VLOOKUP($M166, {'📄 Комиссии'!$C:$C , '📄 Комиссии'!$B:$B}, 2, 0),
data,MATCH('🔒 Доп. информация'!$J$15:$J203,TRANSPOSE(SPLIT(INDEX('▶️ Инструкция'!$Q:$Q,MATCH($AT166,'▶️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commission,VLOOKUP($M166,'📄 Комиссии'!$C:$E,IF($AV166=data!A$8,2,3),0),
IF(NOT(ISBLANK($M166)),commission/100+
"&amp;"IFERROR(VLOOKUP($AT166,{'▶️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66" s="178" t="str">
        <f t="shared" si="6"/>
        <v/>
      </c>
      <c r="Q166" s="178" t="str">
        <f t="shared" si="7"/>
        <v/>
      </c>
      <c r="S166" s="179" t="s">
        <v>192</v>
      </c>
      <c r="T166" s="180" t="s">
        <v>193</v>
      </c>
      <c r="U166" s="181">
        <v>1.0</v>
      </c>
      <c r="V166" s="182" t="str">
        <f t="shared" ref="V166:Y166" si="506">IF($D166,"🔒",)</f>
        <v/>
      </c>
      <c r="W166" s="182" t="str">
        <f t="shared" si="506"/>
        <v/>
      </c>
      <c r="X166" s="182" t="str">
        <f t="shared" si="506"/>
        <v/>
      </c>
      <c r="Y166" s="182" t="str">
        <f t="shared" si="506"/>
        <v/>
      </c>
      <c r="Z166" s="183">
        <v>0.0</v>
      </c>
      <c r="AA166" s="184">
        <f t="shared" si="31"/>
        <v>0</v>
      </c>
      <c r="AB166" s="185" t="str">
        <f t="shared" ref="AB166:AD166" si="507">IF($D166,"🔒",)</f>
        <v/>
      </c>
      <c r="AC166" s="185" t="str">
        <f t="shared" si="507"/>
        <v/>
      </c>
      <c r="AD166" s="186" t="str">
        <f t="shared" si="507"/>
        <v/>
      </c>
      <c r="AE166" s="180">
        <v>30.0</v>
      </c>
      <c r="AF166" s="187">
        <v>0.0</v>
      </c>
      <c r="AG166" s="187">
        <v>0.0</v>
      </c>
      <c r="AH166" s="187">
        <v>0.0</v>
      </c>
      <c r="AI166" s="181">
        <f t="shared" si="10"/>
        <v>0</v>
      </c>
      <c r="AJ166" s="181">
        <f t="shared" si="11"/>
        <v>0</v>
      </c>
      <c r="AK166" s="185" t="str">
        <f t="shared" si="12"/>
        <v/>
      </c>
      <c r="AL166" s="188" t="str">
        <f t="array" ref="AL166">H166*(1-I166)*VLOOKUP(AT166,{'▶️ Инструкция'!C:C,'▶️ Инструкция'!AI:AI},2,false)</f>
        <v>#N/A</v>
      </c>
      <c r="AM166" s="186" t="str">
        <f t="shared" si="13"/>
        <v/>
      </c>
      <c r="AN166" s="189">
        <v>0.0</v>
      </c>
      <c r="AO166" s="189">
        <v>0.0</v>
      </c>
      <c r="AP166" s="189">
        <v>0.0</v>
      </c>
      <c r="AQ166" s="191">
        <v>1.0</v>
      </c>
      <c r="AR166" s="191">
        <v>0.0</v>
      </c>
      <c r="AS166" s="212">
        <v>0.0</v>
      </c>
      <c r="AT166" s="193" t="s">
        <v>206</v>
      </c>
      <c r="AU166" s="193" t="s">
        <v>121</v>
      </c>
      <c r="AV166" s="193" t="s">
        <v>199</v>
      </c>
      <c r="AW166" s="194">
        <f t="shared" si="14"/>
        <v>0</v>
      </c>
      <c r="AX166" s="195">
        <f t="shared" si="15"/>
        <v>0</v>
      </c>
      <c r="AY166" s="196" t="str">
        <f t="shared" si="16"/>
        <v>#N/A</v>
      </c>
      <c r="AZ166" s="213">
        <v>250.0</v>
      </c>
      <c r="BA166" s="196">
        <f t="shared" si="17"/>
        <v>0.25</v>
      </c>
      <c r="BB166" s="213">
        <f t="shared" si="18"/>
        <v>1000</v>
      </c>
      <c r="BC166" s="199" t="str">
        <f t="shared" si="19"/>
        <v>#N/A</v>
      </c>
      <c r="BD166" s="200" t="str">
        <f t="shared" si="20"/>
        <v>#N/A</v>
      </c>
      <c r="BE166" s="200">
        <f t="shared" si="21"/>
        <v>0</v>
      </c>
      <c r="BF166" s="201" t="str">
        <f t="shared" si="22"/>
        <v/>
      </c>
      <c r="BG166" s="201" t="str">
        <f t="shared" si="23"/>
        <v/>
      </c>
      <c r="BH166" s="202" t="str">
        <f t="shared" si="24"/>
        <v/>
      </c>
      <c r="BI166" s="203"/>
      <c r="BJ166" s="204">
        <f>IFERROR(__xludf.DUMMYFUNCTION("IF(AU166=data!A$5,
IF(AV166=data!A$8,
IF(T166=data!A$3,
VLOOKUP(S166,filter('🔒 Доп. информация'!D:H,'🔒 Доп. информация'!C:C=T166),4,FALSE)+VLOOKUP(S166,filter('🔒 Доп. информация'!D:H,'🔒 Доп. информация'!C:C=T166),5,FALSE)*AJ166,
IF(AND(MAX(AF166:AH166"&amp;")&lt;80,SUM(AF166:AH166)&lt;=160,AI166&lt;20,XLOOKUP(M166,'📄 Комиссии'!C:C,'📄 Комиссии'!B:B)&lt;&gt;""Продукты""),
VLOOKUP(S166,filter('🔒 Доп. информация'!D:H,'🔒 Доп. информация'!C:C=data!$A$3),4,FALSE)+VLOOKUP(S166,filter('🔒 Доп. информация'!D:H,'🔒 Доп. информаци"&amp;"я'!C:C=data!$A$3),5,FALSE)*AJ166,
VLOOKUP(S166,filter('🔒 Доп. информация'!D:H,'🔒 Доп. информация'!C:C=T166),4,FALSE)*ROUNDUP(AF166*AG166*AH166*L166/(120*80*175))/L166)
)
*(AE166/2)
,)
,)*0"),0.0)</f>
        <v>0</v>
      </c>
      <c r="BK166" s="204">
        <f>IFERROR(__xludf.DUMMYFUNCTION("IF(AU166=data!A$5,
IF(AI166&lt;=1,IF(AI166&lt;=0.8,IF(AI166&lt;=0.6,IF(AI166&lt;=0.4,IF(AI166&lt;=0.2,23,26),29),30),32)*VLOOKUP(S166,filter('🔒 Доп. информация'!D:E,'🔒 Доп. информация'!C:C=T166),2,FALSE)/'🔒 Доп. информация'!$K$9,
IF(AV166=data!A$8,U166,1)*VLOOKUP(S16"&amp;"6,filter('🔒 Доп. информация'!D:E,'🔒 Доп. информация'!C:C=T166),2,FALSE)+
IF(AV166=data!A$8,U166,1)*VLOOKUP(S166,filter('🔒 Доп. информация'!D:F,'🔒 Доп. информация'!C:C=T166),3,FALSE)*AJ166)
,0)"),69.0)</f>
        <v>69</v>
      </c>
      <c r="BL166" s="185" t="str">
        <f t="shared" ref="BL166:BM166" si="508">IF($D166,"🔒",)</f>
        <v/>
      </c>
      <c r="BM166" s="185" t="str">
        <f t="shared" si="508"/>
        <v/>
      </c>
      <c r="BN166" s="204">
        <f>VLOOKUP(T166,'🔒 Доп. информация'!J:P,7,false)</f>
        <v>50</v>
      </c>
      <c r="BO166" s="204">
        <f>IF(AV166=data!A$9,
(AA166+AO166+AP166+BJ166+BK166+BN166)+H166*AS166,
(BJ166+BK166+BN166)+H166*AS166
)</f>
        <v>119</v>
      </c>
      <c r="BP166" s="204">
        <f t="shared" si="26"/>
        <v>69</v>
      </c>
      <c r="BQ166" s="204">
        <f t="shared" si="27"/>
        <v>320</v>
      </c>
      <c r="BR166" s="204" t="str">
        <f t="shared" si="37"/>
        <v>#N/A</v>
      </c>
      <c r="BS166" s="204" t="str">
        <f t="array" ref="BS166">IF(VLOOKUP(AT166,{'▶️ Инструкция'!C:C,'▶️ Инструкция'!Y:Y},2,FALSE)=data!A$15,
H166*(1-I166),
(H166-BR166))
*VLOOKUP(AT166,{'▶️ Инструкция'!C:C,'▶️ Инструкция'!AD:AD},2,FALSE)/(1+VLOOKUP(AT166,{'▶️ Инструкция'!C:C,'▶️ Инструкция'!AD:AD},2,FALSE))</f>
        <v>#N/A</v>
      </c>
      <c r="BT166" s="204" t="str">
        <f t="array" ref="BT166">
IF(VLOOKUP(AT166,{'▶️ Инструкция'!C:C,'▶️ Инструкция'!Y:Y},2,FALSE)=data!A$15,
H166*(1-I166)-BS166,
(H166-BR166-BS166))
*
VLOOKUP(AT166,{'▶️ Инструкция'!C:C,'▶️ Инструкция'!R:R},2,FALSE)
+BS166</f>
        <v>#N/A</v>
      </c>
      <c r="BU166" s="204" t="str">
        <f>(G166*AR166)+if(AV166=data!A$9,AO166,AN166)+AP166+BR166+BT166</f>
        <v>#N/A</v>
      </c>
      <c r="BV166" s="204" t="str">
        <f>(G166*AR166)+if(AV166=data!A$9,AO166,AN166)+AP166+BT166+G166</f>
        <v>#N/A</v>
      </c>
      <c r="BW166" s="204" t="str">
        <f t="shared" si="28"/>
        <v>#N/A</v>
      </c>
      <c r="BX166" s="204" t="str">
        <f t="shared" si="29"/>
        <v>#N/A</v>
      </c>
    </row>
    <row r="167">
      <c r="A167" s="165" t="str">
        <f>if(D167=true,if(F167=data!A$1,data!A$10,data!A$11),)</f>
        <v/>
      </c>
      <c r="B167" s="166" t="str">
        <f t="shared" si="4"/>
        <v>FBS</v>
      </c>
      <c r="C167" s="167" t="s">
        <v>195</v>
      </c>
      <c r="D167" s="168" t="b">
        <v>0</v>
      </c>
      <c r="E167" s="169" t="s">
        <v>204</v>
      </c>
      <c r="F167" s="170" t="str">
        <f t="array" ref="F167">IF(D167=TRUE,IF(IF(BG$3=VLOOKUP(AT167,{'▶️ Инструкция'!C:C,'▶️ Инструкция'!G:G},2,FALSE),BG167,BH167)&gt;VLOOKUP(AT167,{'▶️ Инструкция'!C:C,'▶️ Инструкция'!N:N},2,FALSE),data!A$1,data!A$2),)</f>
        <v/>
      </c>
      <c r="G167" s="171">
        <v>0.0</v>
      </c>
      <c r="H167" s="172">
        <v>1000.0</v>
      </c>
      <c r="I167" s="173">
        <v>0.0</v>
      </c>
      <c r="J167" s="173">
        <v>0.0</v>
      </c>
      <c r="K167" s="174" t="str">
        <f t="shared" si="5"/>
        <v/>
      </c>
      <c r="L167" s="175">
        <v>0.0</v>
      </c>
      <c r="M167" s="176" t="s">
        <v>197</v>
      </c>
      <c r="N167" s="177">
        <f>IFERROR(__xludf.DUMMYFUNCTION("ArrayFormula(let(category,VLOOKUP($M167, {'📄 Комиссии'!$C:$C , '📄 Комиссии'!$B:$B}, 2, 0),
data,MATCH('🔒 Доп. информация'!$J$15:$J203,TRANSPOSE(SPLIT(INDEX('▶️ Инструкция'!$Q:$Q,MATCH($AT167,'▶️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commission,VLOOKUP($M167,'📄 Комиссии'!$C:$E,IF($AV167=data!A$8,2,3),0),
IF(NOT(ISBLANK($M167)),commission/100+
"&amp;"IFERROR(VLOOKUP($AT167,{'▶️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67" s="178" t="str">
        <f t="shared" si="6"/>
        <v/>
      </c>
      <c r="Q167" s="178" t="str">
        <f t="shared" si="7"/>
        <v/>
      </c>
      <c r="S167" s="179" t="s">
        <v>192</v>
      </c>
      <c r="T167" s="180" t="s">
        <v>193</v>
      </c>
      <c r="U167" s="181">
        <v>1.0</v>
      </c>
      <c r="V167" s="182" t="str">
        <f t="shared" ref="V167:Y167" si="509">IF($D167,"🔒",)</f>
        <v/>
      </c>
      <c r="W167" s="182" t="str">
        <f t="shared" si="509"/>
        <v/>
      </c>
      <c r="X167" s="182" t="str">
        <f t="shared" si="509"/>
        <v/>
      </c>
      <c r="Y167" s="182" t="str">
        <f t="shared" si="509"/>
        <v/>
      </c>
      <c r="Z167" s="183">
        <v>0.0</v>
      </c>
      <c r="AA167" s="184">
        <f t="shared" si="31"/>
        <v>0</v>
      </c>
      <c r="AB167" s="185" t="str">
        <f t="shared" ref="AB167:AD167" si="510">IF($D167,"🔒",)</f>
        <v/>
      </c>
      <c r="AC167" s="185" t="str">
        <f t="shared" si="510"/>
        <v/>
      </c>
      <c r="AD167" s="186" t="str">
        <f t="shared" si="510"/>
        <v/>
      </c>
      <c r="AE167" s="180">
        <v>30.0</v>
      </c>
      <c r="AF167" s="187">
        <v>0.0</v>
      </c>
      <c r="AG167" s="187">
        <v>0.0</v>
      </c>
      <c r="AH167" s="187">
        <v>0.0</v>
      </c>
      <c r="AI167" s="181">
        <f t="shared" si="10"/>
        <v>0</v>
      </c>
      <c r="AJ167" s="181">
        <f t="shared" si="11"/>
        <v>0</v>
      </c>
      <c r="AK167" s="185" t="str">
        <f t="shared" si="12"/>
        <v/>
      </c>
      <c r="AL167" s="188" t="str">
        <f t="array" ref="AL167">H167*(1-I167)*VLOOKUP(AT167,{'▶️ Инструкция'!C:C,'▶️ Инструкция'!AI:AI},2,false)</f>
        <v>#N/A</v>
      </c>
      <c r="AM167" s="186" t="str">
        <f t="shared" si="13"/>
        <v/>
      </c>
      <c r="AN167" s="189">
        <v>0.0</v>
      </c>
      <c r="AO167" s="189">
        <v>0.0</v>
      </c>
      <c r="AP167" s="189">
        <v>0.0</v>
      </c>
      <c r="AQ167" s="191">
        <v>1.0</v>
      </c>
      <c r="AR167" s="191">
        <v>0.0</v>
      </c>
      <c r="AS167" s="212">
        <v>0.0</v>
      </c>
      <c r="AT167" s="193" t="s">
        <v>206</v>
      </c>
      <c r="AU167" s="193" t="s">
        <v>121</v>
      </c>
      <c r="AV167" s="193" t="s">
        <v>199</v>
      </c>
      <c r="AW167" s="194">
        <f t="shared" si="14"/>
        <v>0</v>
      </c>
      <c r="AX167" s="195">
        <f t="shared" si="15"/>
        <v>0</v>
      </c>
      <c r="AY167" s="196" t="str">
        <f t="shared" si="16"/>
        <v>#N/A</v>
      </c>
      <c r="AZ167" s="213">
        <v>250.0</v>
      </c>
      <c r="BA167" s="196">
        <f t="shared" si="17"/>
        <v>0.25</v>
      </c>
      <c r="BB167" s="213">
        <f t="shared" si="18"/>
        <v>1000</v>
      </c>
      <c r="BC167" s="199" t="str">
        <f t="shared" si="19"/>
        <v>#N/A</v>
      </c>
      <c r="BD167" s="200" t="str">
        <f t="shared" si="20"/>
        <v>#N/A</v>
      </c>
      <c r="BE167" s="200">
        <f t="shared" si="21"/>
        <v>0</v>
      </c>
      <c r="BF167" s="201" t="str">
        <f t="shared" si="22"/>
        <v/>
      </c>
      <c r="BG167" s="201" t="str">
        <f t="shared" si="23"/>
        <v/>
      </c>
      <c r="BH167" s="202" t="str">
        <f t="shared" si="24"/>
        <v/>
      </c>
      <c r="BI167" s="203"/>
      <c r="BJ167" s="204">
        <f>IFERROR(__xludf.DUMMYFUNCTION("IF(AU167=data!A$5,
IF(AV167=data!A$8,
IF(T167=data!A$3,
VLOOKUP(S167,filter('🔒 Доп. информация'!D:H,'🔒 Доп. информация'!C:C=T167),4,FALSE)+VLOOKUP(S167,filter('🔒 Доп. информация'!D:H,'🔒 Доп. информация'!C:C=T167),5,FALSE)*AJ167,
IF(AND(MAX(AF167:AH167"&amp;")&lt;80,SUM(AF167:AH167)&lt;=160,AI167&lt;20,XLOOKUP(M167,'📄 Комиссии'!C:C,'📄 Комиссии'!B:B)&lt;&gt;""Продукты""),
VLOOKUP(S167,filter('🔒 Доп. информация'!D:H,'🔒 Доп. информация'!C:C=data!$A$3),4,FALSE)+VLOOKUP(S167,filter('🔒 Доп. информация'!D:H,'🔒 Доп. информаци"&amp;"я'!C:C=data!$A$3),5,FALSE)*AJ167,
VLOOKUP(S167,filter('🔒 Доп. информация'!D:H,'🔒 Доп. информация'!C:C=T167),4,FALSE)*ROUNDUP(AF167*AG167*AH167*L167/(120*80*175))/L167)
)
*(AE167/2)
,)
,)*0"),0.0)</f>
        <v>0</v>
      </c>
      <c r="BK167" s="204">
        <f>IFERROR(__xludf.DUMMYFUNCTION("IF(AU167=data!A$5,
IF(AI167&lt;=1,IF(AI167&lt;=0.8,IF(AI167&lt;=0.6,IF(AI167&lt;=0.4,IF(AI167&lt;=0.2,23,26),29),30),32)*VLOOKUP(S167,filter('🔒 Доп. информация'!D:E,'🔒 Доп. информация'!C:C=T167),2,FALSE)/'🔒 Доп. информация'!$K$9,
IF(AV167=data!A$8,U167,1)*VLOOKUP(S16"&amp;"7,filter('🔒 Доп. информация'!D:E,'🔒 Доп. информация'!C:C=T167),2,FALSE)+
IF(AV167=data!A$8,U167,1)*VLOOKUP(S167,filter('🔒 Доп. информация'!D:F,'🔒 Доп. информация'!C:C=T167),3,FALSE)*AJ167)
,0)"),69.0)</f>
        <v>69</v>
      </c>
      <c r="BL167" s="185" t="str">
        <f t="shared" ref="BL167:BM167" si="511">IF($D167,"🔒",)</f>
        <v/>
      </c>
      <c r="BM167" s="185" t="str">
        <f t="shared" si="511"/>
        <v/>
      </c>
      <c r="BN167" s="204">
        <f>VLOOKUP(T167,'🔒 Доп. информация'!J:P,7,false)</f>
        <v>50</v>
      </c>
      <c r="BO167" s="204">
        <f>IF(AV167=data!A$9,
(AA167+AO167+AP167+BJ167+BK167+BN167)+H167*AS167,
(BJ167+BK167+BN167)+H167*AS167
)</f>
        <v>119</v>
      </c>
      <c r="BP167" s="204">
        <f t="shared" si="26"/>
        <v>69</v>
      </c>
      <c r="BQ167" s="204">
        <f t="shared" si="27"/>
        <v>320</v>
      </c>
      <c r="BR167" s="204" t="str">
        <f t="shared" si="37"/>
        <v>#N/A</v>
      </c>
      <c r="BS167" s="204" t="str">
        <f t="array" ref="BS167">IF(VLOOKUP(AT167,{'▶️ Инструкция'!C:C,'▶️ Инструкция'!Y:Y},2,FALSE)=data!A$15,
H167*(1-I167),
(H167-BR167))
*VLOOKUP(AT167,{'▶️ Инструкция'!C:C,'▶️ Инструкция'!AD:AD},2,FALSE)/(1+VLOOKUP(AT167,{'▶️ Инструкция'!C:C,'▶️ Инструкция'!AD:AD},2,FALSE))</f>
        <v>#N/A</v>
      </c>
      <c r="BT167" s="204" t="str">
        <f t="array" ref="BT167">
IF(VLOOKUP(AT167,{'▶️ Инструкция'!C:C,'▶️ Инструкция'!Y:Y},2,FALSE)=data!A$15,
H167*(1-I167)-BS167,
(H167-BR167-BS167))
*
VLOOKUP(AT167,{'▶️ Инструкция'!C:C,'▶️ Инструкция'!R:R},2,FALSE)
+BS167</f>
        <v>#N/A</v>
      </c>
      <c r="BU167" s="204" t="str">
        <f>(G167*AR167)+if(AV167=data!A$9,AO167,AN167)+AP167+BR167+BT167</f>
        <v>#N/A</v>
      </c>
      <c r="BV167" s="204" t="str">
        <f>(G167*AR167)+if(AV167=data!A$9,AO167,AN167)+AP167+BT167+G167</f>
        <v>#N/A</v>
      </c>
      <c r="BW167" s="204" t="str">
        <f t="shared" si="28"/>
        <v>#N/A</v>
      </c>
      <c r="BX167" s="204" t="str">
        <f t="shared" si="29"/>
        <v>#N/A</v>
      </c>
    </row>
    <row r="168">
      <c r="A168" s="165" t="str">
        <f>if(D168=true,if(F168=data!A$1,data!A$10,data!A$11),)</f>
        <v/>
      </c>
      <c r="B168" s="166" t="str">
        <f t="shared" si="4"/>
        <v>FBS</v>
      </c>
      <c r="C168" s="167" t="s">
        <v>195</v>
      </c>
      <c r="D168" s="168" t="b">
        <v>0</v>
      </c>
      <c r="E168" s="169" t="s">
        <v>204</v>
      </c>
      <c r="F168" s="170" t="str">
        <f t="array" ref="F168">IF(D168=TRUE,IF(IF(BG$3=VLOOKUP(AT168,{'▶️ Инструкция'!C:C,'▶️ Инструкция'!G:G},2,FALSE),BG168,BH168)&gt;VLOOKUP(AT168,{'▶️ Инструкция'!C:C,'▶️ Инструкция'!N:N},2,FALSE),data!A$1,data!A$2),)</f>
        <v/>
      </c>
      <c r="G168" s="171">
        <v>0.0</v>
      </c>
      <c r="H168" s="172">
        <v>1000.0</v>
      </c>
      <c r="I168" s="173">
        <v>0.0</v>
      </c>
      <c r="J168" s="173">
        <v>0.0</v>
      </c>
      <c r="K168" s="174" t="str">
        <f t="shared" si="5"/>
        <v/>
      </c>
      <c r="L168" s="175">
        <v>0.0</v>
      </c>
      <c r="M168" s="176" t="s">
        <v>197</v>
      </c>
      <c r="N168" s="177">
        <f>IFERROR(__xludf.DUMMYFUNCTION("ArrayFormula(let(category,VLOOKUP($M168, {'📄 Комиссии'!$C:$C , '📄 Комиссии'!$B:$B}, 2, 0),
data,MATCH('🔒 Доп. информация'!$J$15:$J203,TRANSPOSE(SPLIT(INDEX('▶️ Инструкция'!$Q:$Q,MATCH($AT168,'▶️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commission,VLOOKUP($M168,'📄 Комиссии'!$C:$E,IF($AV168=data!A$8,2,3),0),
IF(NOT(ISBLANK($M168)),commission/100+
"&amp;"IFERROR(VLOOKUP($AT168,{'▶️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68" s="178" t="str">
        <f t="shared" si="6"/>
        <v/>
      </c>
      <c r="Q168" s="178" t="str">
        <f t="shared" si="7"/>
        <v/>
      </c>
      <c r="S168" s="179" t="s">
        <v>192</v>
      </c>
      <c r="T168" s="180" t="s">
        <v>193</v>
      </c>
      <c r="U168" s="181">
        <v>1.0</v>
      </c>
      <c r="V168" s="182" t="str">
        <f t="shared" ref="V168:Y168" si="512">IF($D168,"🔒",)</f>
        <v/>
      </c>
      <c r="W168" s="182" t="str">
        <f t="shared" si="512"/>
        <v/>
      </c>
      <c r="X168" s="182" t="str">
        <f t="shared" si="512"/>
        <v/>
      </c>
      <c r="Y168" s="182" t="str">
        <f t="shared" si="512"/>
        <v/>
      </c>
      <c r="Z168" s="183">
        <v>0.0</v>
      </c>
      <c r="AA168" s="184">
        <f t="shared" si="31"/>
        <v>0</v>
      </c>
      <c r="AB168" s="185" t="str">
        <f t="shared" ref="AB168:AD168" si="513">IF($D168,"🔒",)</f>
        <v/>
      </c>
      <c r="AC168" s="185" t="str">
        <f t="shared" si="513"/>
        <v/>
      </c>
      <c r="AD168" s="186" t="str">
        <f t="shared" si="513"/>
        <v/>
      </c>
      <c r="AE168" s="180">
        <v>30.0</v>
      </c>
      <c r="AF168" s="187">
        <v>0.0</v>
      </c>
      <c r="AG168" s="187">
        <v>0.0</v>
      </c>
      <c r="AH168" s="187">
        <v>0.0</v>
      </c>
      <c r="AI168" s="181">
        <f t="shared" si="10"/>
        <v>0</v>
      </c>
      <c r="AJ168" s="181">
        <f t="shared" si="11"/>
        <v>0</v>
      </c>
      <c r="AK168" s="185" t="str">
        <f t="shared" si="12"/>
        <v/>
      </c>
      <c r="AL168" s="188" t="str">
        <f t="array" ref="AL168">H168*(1-I168)*VLOOKUP(AT168,{'▶️ Инструкция'!C:C,'▶️ Инструкция'!AI:AI},2,false)</f>
        <v>#N/A</v>
      </c>
      <c r="AM168" s="186" t="str">
        <f t="shared" si="13"/>
        <v/>
      </c>
      <c r="AN168" s="189">
        <v>0.0</v>
      </c>
      <c r="AO168" s="189">
        <v>0.0</v>
      </c>
      <c r="AP168" s="189">
        <v>0.0</v>
      </c>
      <c r="AQ168" s="191">
        <v>1.0</v>
      </c>
      <c r="AR168" s="191">
        <v>0.0</v>
      </c>
      <c r="AS168" s="212">
        <v>0.0</v>
      </c>
      <c r="AT168" s="193" t="s">
        <v>206</v>
      </c>
      <c r="AU168" s="193" t="s">
        <v>121</v>
      </c>
      <c r="AV168" s="193" t="s">
        <v>199</v>
      </c>
      <c r="AW168" s="194">
        <f t="shared" si="14"/>
        <v>0</v>
      </c>
      <c r="AX168" s="195">
        <f t="shared" si="15"/>
        <v>0</v>
      </c>
      <c r="AY168" s="196" t="str">
        <f t="shared" si="16"/>
        <v>#N/A</v>
      </c>
      <c r="AZ168" s="213">
        <v>250.0</v>
      </c>
      <c r="BA168" s="196">
        <f t="shared" si="17"/>
        <v>0.25</v>
      </c>
      <c r="BB168" s="213">
        <f t="shared" si="18"/>
        <v>1000</v>
      </c>
      <c r="BC168" s="199" t="str">
        <f t="shared" si="19"/>
        <v>#N/A</v>
      </c>
      <c r="BD168" s="200" t="str">
        <f t="shared" si="20"/>
        <v>#N/A</v>
      </c>
      <c r="BE168" s="200">
        <f t="shared" si="21"/>
        <v>0</v>
      </c>
      <c r="BF168" s="201" t="str">
        <f t="shared" si="22"/>
        <v/>
      </c>
      <c r="BG168" s="201" t="str">
        <f t="shared" si="23"/>
        <v/>
      </c>
      <c r="BH168" s="202" t="str">
        <f t="shared" si="24"/>
        <v/>
      </c>
      <c r="BI168" s="203"/>
      <c r="BJ168" s="204">
        <f>IFERROR(__xludf.DUMMYFUNCTION("IF(AU168=data!A$5,
IF(AV168=data!A$8,
IF(T168=data!A$3,
VLOOKUP(S168,filter('🔒 Доп. информация'!D:H,'🔒 Доп. информация'!C:C=T168),4,FALSE)+VLOOKUP(S168,filter('🔒 Доп. информация'!D:H,'🔒 Доп. информация'!C:C=T168),5,FALSE)*AJ168,
IF(AND(MAX(AF168:AH168"&amp;")&lt;80,SUM(AF168:AH168)&lt;=160,AI168&lt;20,XLOOKUP(M168,'📄 Комиссии'!C:C,'📄 Комиссии'!B:B)&lt;&gt;""Продукты""),
VLOOKUP(S168,filter('🔒 Доп. информация'!D:H,'🔒 Доп. информация'!C:C=data!$A$3),4,FALSE)+VLOOKUP(S168,filter('🔒 Доп. информация'!D:H,'🔒 Доп. информаци"&amp;"я'!C:C=data!$A$3),5,FALSE)*AJ168,
VLOOKUP(S168,filter('🔒 Доп. информация'!D:H,'🔒 Доп. информация'!C:C=T168),4,FALSE)*ROUNDUP(AF168*AG168*AH168*L168/(120*80*175))/L168)
)
*(AE168/2)
,)
,)*0"),0.0)</f>
        <v>0</v>
      </c>
      <c r="BK168" s="204">
        <f>IFERROR(__xludf.DUMMYFUNCTION("IF(AU168=data!A$5,
IF(AI168&lt;=1,IF(AI168&lt;=0.8,IF(AI168&lt;=0.6,IF(AI168&lt;=0.4,IF(AI168&lt;=0.2,23,26),29),30),32)*VLOOKUP(S168,filter('🔒 Доп. информация'!D:E,'🔒 Доп. информация'!C:C=T168),2,FALSE)/'🔒 Доп. информация'!$K$9,
IF(AV168=data!A$8,U168,1)*VLOOKUP(S16"&amp;"8,filter('🔒 Доп. информация'!D:E,'🔒 Доп. информация'!C:C=T168),2,FALSE)+
IF(AV168=data!A$8,U168,1)*VLOOKUP(S168,filter('🔒 Доп. информация'!D:F,'🔒 Доп. информация'!C:C=T168),3,FALSE)*AJ168)
,0)"),69.0)</f>
        <v>69</v>
      </c>
      <c r="BL168" s="185" t="str">
        <f t="shared" ref="BL168:BM168" si="514">IF($D168,"🔒",)</f>
        <v/>
      </c>
      <c r="BM168" s="185" t="str">
        <f t="shared" si="514"/>
        <v/>
      </c>
      <c r="BN168" s="204">
        <f>VLOOKUP(T168,'🔒 Доп. информация'!J:P,7,false)</f>
        <v>50</v>
      </c>
      <c r="BO168" s="204">
        <f>IF(AV168=data!A$9,
(AA168+AO168+AP168+BJ168+BK168+BN168)+H168*AS168,
(BJ168+BK168+BN168)+H168*AS168
)</f>
        <v>119</v>
      </c>
      <c r="BP168" s="204">
        <f t="shared" si="26"/>
        <v>69</v>
      </c>
      <c r="BQ168" s="204">
        <f t="shared" si="27"/>
        <v>320</v>
      </c>
      <c r="BR168" s="204" t="str">
        <f t="shared" si="37"/>
        <v>#N/A</v>
      </c>
      <c r="BS168" s="204" t="str">
        <f t="array" ref="BS168">IF(VLOOKUP(AT168,{'▶️ Инструкция'!C:C,'▶️ Инструкция'!Y:Y},2,FALSE)=data!A$15,
H168*(1-I168),
(H168-BR168))
*VLOOKUP(AT168,{'▶️ Инструкция'!C:C,'▶️ Инструкция'!AD:AD},2,FALSE)/(1+VLOOKUP(AT168,{'▶️ Инструкция'!C:C,'▶️ Инструкция'!AD:AD},2,FALSE))</f>
        <v>#N/A</v>
      </c>
      <c r="BT168" s="204" t="str">
        <f t="array" ref="BT168">
IF(VLOOKUP(AT168,{'▶️ Инструкция'!C:C,'▶️ Инструкция'!Y:Y},2,FALSE)=data!A$15,
H168*(1-I168)-BS168,
(H168-BR168-BS168))
*
VLOOKUP(AT168,{'▶️ Инструкция'!C:C,'▶️ Инструкция'!R:R},2,FALSE)
+BS168</f>
        <v>#N/A</v>
      </c>
      <c r="BU168" s="204" t="str">
        <f>(G168*AR168)+if(AV168=data!A$9,AO168,AN168)+AP168+BR168+BT168</f>
        <v>#N/A</v>
      </c>
      <c r="BV168" s="204" t="str">
        <f>(G168*AR168)+if(AV168=data!A$9,AO168,AN168)+AP168+BT168+G168</f>
        <v>#N/A</v>
      </c>
      <c r="BW168" s="204" t="str">
        <f t="shared" si="28"/>
        <v>#N/A</v>
      </c>
      <c r="BX168" s="204" t="str">
        <f t="shared" si="29"/>
        <v>#N/A</v>
      </c>
    </row>
    <row r="169">
      <c r="A169" s="165" t="str">
        <f>if(D169=true,if(F169=data!A$1,data!A$10,data!A$11),)</f>
        <v/>
      </c>
      <c r="B169" s="166" t="str">
        <f t="shared" si="4"/>
        <v>FBS</v>
      </c>
      <c r="C169" s="167" t="s">
        <v>195</v>
      </c>
      <c r="D169" s="168" t="b">
        <v>0</v>
      </c>
      <c r="E169" s="169" t="s">
        <v>204</v>
      </c>
      <c r="F169" s="170" t="str">
        <f t="array" ref="F169">IF(D169=TRUE,IF(IF(BG$3=VLOOKUP(AT169,{'▶️ Инструкция'!C:C,'▶️ Инструкция'!G:G},2,FALSE),BG169,BH169)&gt;VLOOKUP(AT169,{'▶️ Инструкция'!C:C,'▶️ Инструкция'!N:N},2,FALSE),data!A$1,data!A$2),)</f>
        <v/>
      </c>
      <c r="G169" s="171">
        <v>0.0</v>
      </c>
      <c r="H169" s="172">
        <v>1000.0</v>
      </c>
      <c r="I169" s="173">
        <v>0.0</v>
      </c>
      <c r="J169" s="173">
        <v>0.0</v>
      </c>
      <c r="K169" s="174" t="str">
        <f t="shared" si="5"/>
        <v/>
      </c>
      <c r="L169" s="175">
        <v>0.0</v>
      </c>
      <c r="M169" s="176" t="s">
        <v>197</v>
      </c>
      <c r="N169" s="177">
        <f>IFERROR(__xludf.DUMMYFUNCTION("ArrayFormula(let(category,VLOOKUP($M169, {'📄 Комиссии'!$C:$C , '📄 Комиссии'!$B:$B}, 2, 0),
data,MATCH('🔒 Доп. информация'!$J$15:$J203,TRANSPOSE(SPLIT(INDEX('▶️ Инструкция'!$Q:$Q,MATCH($AT169,'▶️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commission,VLOOKUP($M169,'📄 Комиссии'!$C:$E,IF($AV169=data!A$8,2,3),0),
IF(NOT(ISBLANK($M169)),commission/100+
"&amp;"IFERROR(VLOOKUP($AT169,{'▶️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69" s="178" t="str">
        <f t="shared" si="6"/>
        <v/>
      </c>
      <c r="Q169" s="178" t="str">
        <f t="shared" si="7"/>
        <v/>
      </c>
      <c r="S169" s="179" t="s">
        <v>192</v>
      </c>
      <c r="T169" s="180" t="s">
        <v>193</v>
      </c>
      <c r="U169" s="181">
        <v>1.0</v>
      </c>
      <c r="V169" s="182" t="str">
        <f t="shared" ref="V169:Y169" si="515">IF($D169,"🔒",)</f>
        <v/>
      </c>
      <c r="W169" s="182" t="str">
        <f t="shared" si="515"/>
        <v/>
      </c>
      <c r="X169" s="182" t="str">
        <f t="shared" si="515"/>
        <v/>
      </c>
      <c r="Y169" s="182" t="str">
        <f t="shared" si="515"/>
        <v/>
      </c>
      <c r="Z169" s="183">
        <v>0.0</v>
      </c>
      <c r="AA169" s="184">
        <f t="shared" si="31"/>
        <v>0</v>
      </c>
      <c r="AB169" s="185" t="str">
        <f t="shared" ref="AB169:AD169" si="516">IF($D169,"🔒",)</f>
        <v/>
      </c>
      <c r="AC169" s="185" t="str">
        <f t="shared" si="516"/>
        <v/>
      </c>
      <c r="AD169" s="186" t="str">
        <f t="shared" si="516"/>
        <v/>
      </c>
      <c r="AE169" s="180">
        <v>30.0</v>
      </c>
      <c r="AF169" s="187">
        <v>0.0</v>
      </c>
      <c r="AG169" s="187">
        <v>0.0</v>
      </c>
      <c r="AH169" s="187">
        <v>0.0</v>
      </c>
      <c r="AI169" s="181">
        <f t="shared" si="10"/>
        <v>0</v>
      </c>
      <c r="AJ169" s="181">
        <f t="shared" si="11"/>
        <v>0</v>
      </c>
      <c r="AK169" s="185" t="str">
        <f t="shared" si="12"/>
        <v/>
      </c>
      <c r="AL169" s="188" t="str">
        <f t="array" ref="AL169">H169*(1-I169)*VLOOKUP(AT169,{'▶️ Инструкция'!C:C,'▶️ Инструкция'!AI:AI},2,false)</f>
        <v>#N/A</v>
      </c>
      <c r="AM169" s="186" t="str">
        <f t="shared" si="13"/>
        <v/>
      </c>
      <c r="AN169" s="189">
        <v>0.0</v>
      </c>
      <c r="AO169" s="189">
        <v>0.0</v>
      </c>
      <c r="AP169" s="189">
        <v>0.0</v>
      </c>
      <c r="AQ169" s="191">
        <v>1.0</v>
      </c>
      <c r="AR169" s="191">
        <v>0.0</v>
      </c>
      <c r="AS169" s="212">
        <v>0.0</v>
      </c>
      <c r="AT169" s="193" t="s">
        <v>206</v>
      </c>
      <c r="AU169" s="193" t="s">
        <v>121</v>
      </c>
      <c r="AV169" s="193" t="s">
        <v>199</v>
      </c>
      <c r="AW169" s="194">
        <f t="shared" si="14"/>
        <v>0</v>
      </c>
      <c r="AX169" s="195">
        <f t="shared" si="15"/>
        <v>0</v>
      </c>
      <c r="AY169" s="196" t="str">
        <f t="shared" si="16"/>
        <v>#N/A</v>
      </c>
      <c r="AZ169" s="213">
        <v>250.0</v>
      </c>
      <c r="BA169" s="196">
        <f t="shared" si="17"/>
        <v>0.25</v>
      </c>
      <c r="BB169" s="213">
        <f t="shared" si="18"/>
        <v>1000</v>
      </c>
      <c r="BC169" s="199" t="str">
        <f t="shared" si="19"/>
        <v>#N/A</v>
      </c>
      <c r="BD169" s="200" t="str">
        <f t="shared" si="20"/>
        <v>#N/A</v>
      </c>
      <c r="BE169" s="200">
        <f t="shared" si="21"/>
        <v>0</v>
      </c>
      <c r="BF169" s="201" t="str">
        <f t="shared" si="22"/>
        <v/>
      </c>
      <c r="BG169" s="201" t="str">
        <f t="shared" si="23"/>
        <v/>
      </c>
      <c r="BH169" s="202" t="str">
        <f t="shared" si="24"/>
        <v/>
      </c>
      <c r="BI169" s="203"/>
      <c r="BJ169" s="204">
        <f>IFERROR(__xludf.DUMMYFUNCTION("IF(AU169=data!A$5,
IF(AV169=data!A$8,
IF(T169=data!A$3,
VLOOKUP(S169,filter('🔒 Доп. информация'!D:H,'🔒 Доп. информация'!C:C=T169),4,FALSE)+VLOOKUP(S169,filter('🔒 Доп. информация'!D:H,'🔒 Доп. информация'!C:C=T169),5,FALSE)*AJ169,
IF(AND(MAX(AF169:AH169"&amp;")&lt;80,SUM(AF169:AH169)&lt;=160,AI169&lt;20,XLOOKUP(M169,'📄 Комиссии'!C:C,'📄 Комиссии'!B:B)&lt;&gt;""Продукты""),
VLOOKUP(S169,filter('🔒 Доп. информация'!D:H,'🔒 Доп. информация'!C:C=data!$A$3),4,FALSE)+VLOOKUP(S169,filter('🔒 Доп. информация'!D:H,'🔒 Доп. информаци"&amp;"я'!C:C=data!$A$3),5,FALSE)*AJ169,
VLOOKUP(S169,filter('🔒 Доп. информация'!D:H,'🔒 Доп. информация'!C:C=T169),4,FALSE)*ROUNDUP(AF169*AG169*AH169*L169/(120*80*175))/L169)
)
*(AE169/2)
,)
,)*0"),0.0)</f>
        <v>0</v>
      </c>
      <c r="BK169" s="204">
        <f>IFERROR(__xludf.DUMMYFUNCTION("IF(AU169=data!A$5,
IF(AI169&lt;=1,IF(AI169&lt;=0.8,IF(AI169&lt;=0.6,IF(AI169&lt;=0.4,IF(AI169&lt;=0.2,23,26),29),30),32)*VLOOKUP(S169,filter('🔒 Доп. информация'!D:E,'🔒 Доп. информация'!C:C=T169),2,FALSE)/'🔒 Доп. информация'!$K$9,
IF(AV169=data!A$8,U169,1)*VLOOKUP(S16"&amp;"9,filter('🔒 Доп. информация'!D:E,'🔒 Доп. информация'!C:C=T169),2,FALSE)+
IF(AV169=data!A$8,U169,1)*VLOOKUP(S169,filter('🔒 Доп. информация'!D:F,'🔒 Доп. информация'!C:C=T169),3,FALSE)*AJ169)
,0)"),69.0)</f>
        <v>69</v>
      </c>
      <c r="BL169" s="185" t="str">
        <f t="shared" ref="BL169:BM169" si="517">IF($D169,"🔒",)</f>
        <v/>
      </c>
      <c r="BM169" s="185" t="str">
        <f t="shared" si="517"/>
        <v/>
      </c>
      <c r="BN169" s="204">
        <f>VLOOKUP(T169,'🔒 Доп. информация'!J:P,7,false)</f>
        <v>50</v>
      </c>
      <c r="BO169" s="204">
        <f>IF(AV169=data!A$9,
(AA169+AO169+AP169+BJ169+BK169+BN169)+H169*AS169,
(BJ169+BK169+BN169)+H169*AS169
)</f>
        <v>119</v>
      </c>
      <c r="BP169" s="204">
        <f t="shared" si="26"/>
        <v>69</v>
      </c>
      <c r="BQ169" s="204">
        <f t="shared" si="27"/>
        <v>320</v>
      </c>
      <c r="BR169" s="204" t="str">
        <f t="shared" si="37"/>
        <v>#N/A</v>
      </c>
      <c r="BS169" s="204" t="str">
        <f t="array" ref="BS169">IF(VLOOKUP(AT169,{'▶️ Инструкция'!C:C,'▶️ Инструкция'!Y:Y},2,FALSE)=data!A$15,
H169*(1-I169),
(H169-BR169))
*VLOOKUP(AT169,{'▶️ Инструкция'!C:C,'▶️ Инструкция'!AD:AD},2,FALSE)/(1+VLOOKUP(AT169,{'▶️ Инструкция'!C:C,'▶️ Инструкция'!AD:AD},2,FALSE))</f>
        <v>#N/A</v>
      </c>
      <c r="BT169" s="204" t="str">
        <f t="array" ref="BT169">
IF(VLOOKUP(AT169,{'▶️ Инструкция'!C:C,'▶️ Инструкция'!Y:Y},2,FALSE)=data!A$15,
H169*(1-I169)-BS169,
(H169-BR169-BS169))
*
VLOOKUP(AT169,{'▶️ Инструкция'!C:C,'▶️ Инструкция'!R:R},2,FALSE)
+BS169</f>
        <v>#N/A</v>
      </c>
      <c r="BU169" s="204" t="str">
        <f>(G169*AR169)+if(AV169=data!A$9,AO169,AN169)+AP169+BR169+BT169</f>
        <v>#N/A</v>
      </c>
      <c r="BV169" s="204" t="str">
        <f>(G169*AR169)+if(AV169=data!A$9,AO169,AN169)+AP169+BT169+G169</f>
        <v>#N/A</v>
      </c>
      <c r="BW169" s="204" t="str">
        <f t="shared" si="28"/>
        <v>#N/A</v>
      </c>
      <c r="BX169" s="204" t="str">
        <f t="shared" si="29"/>
        <v>#N/A</v>
      </c>
    </row>
    <row r="170">
      <c r="A170" s="165" t="str">
        <f>if(D170=true,if(F170=data!A$1,data!A$10,data!A$11),)</f>
        <v/>
      </c>
      <c r="B170" s="166" t="str">
        <f t="shared" si="4"/>
        <v>FBS</v>
      </c>
      <c r="C170" s="167" t="s">
        <v>195</v>
      </c>
      <c r="D170" s="168" t="b">
        <v>0</v>
      </c>
      <c r="E170" s="169" t="s">
        <v>204</v>
      </c>
      <c r="F170" s="170" t="str">
        <f t="array" ref="F170">IF(D170=TRUE,IF(IF(BG$3=VLOOKUP(AT170,{'▶️ Инструкция'!C:C,'▶️ Инструкция'!G:G},2,FALSE),BG170,BH170)&gt;VLOOKUP(AT170,{'▶️ Инструкция'!C:C,'▶️ Инструкция'!N:N},2,FALSE),data!A$1,data!A$2),)</f>
        <v/>
      </c>
      <c r="G170" s="171">
        <v>0.0</v>
      </c>
      <c r="H170" s="172">
        <v>1000.0</v>
      </c>
      <c r="I170" s="173">
        <v>0.0</v>
      </c>
      <c r="J170" s="173">
        <v>0.0</v>
      </c>
      <c r="K170" s="174" t="str">
        <f t="shared" si="5"/>
        <v/>
      </c>
      <c r="L170" s="175">
        <v>0.0</v>
      </c>
      <c r="M170" s="176" t="s">
        <v>197</v>
      </c>
      <c r="N170" s="177">
        <f>IFERROR(__xludf.DUMMYFUNCTION("ArrayFormula(let(category,VLOOKUP($M170, {'📄 Комиссии'!$C:$C , '📄 Комиссии'!$B:$B}, 2, 0),
data,MATCH('🔒 Доп. информация'!$J$15:$J203,TRANSPOSE(SPLIT(INDEX('▶️ Инструкция'!$Q:$Q,MATCH($AT170,'▶️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commission,VLOOKUP($M170,'📄 Комиссии'!$C:$E,IF($AV170=data!A$8,2,3),0),
IF(NOT(ISBLANK($M170)),commission/100+
"&amp;"IFERROR(VLOOKUP($AT170,{'▶️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70" s="178" t="str">
        <f t="shared" si="6"/>
        <v/>
      </c>
      <c r="Q170" s="178" t="str">
        <f t="shared" si="7"/>
        <v/>
      </c>
      <c r="S170" s="179" t="s">
        <v>192</v>
      </c>
      <c r="T170" s="180" t="s">
        <v>193</v>
      </c>
      <c r="U170" s="181">
        <v>1.0</v>
      </c>
      <c r="V170" s="182" t="str">
        <f t="shared" ref="V170:Y170" si="518">IF($D170,"🔒",)</f>
        <v/>
      </c>
      <c r="W170" s="182" t="str">
        <f t="shared" si="518"/>
        <v/>
      </c>
      <c r="X170" s="182" t="str">
        <f t="shared" si="518"/>
        <v/>
      </c>
      <c r="Y170" s="182" t="str">
        <f t="shared" si="518"/>
        <v/>
      </c>
      <c r="Z170" s="183">
        <v>0.0</v>
      </c>
      <c r="AA170" s="184">
        <f t="shared" si="31"/>
        <v>0</v>
      </c>
      <c r="AB170" s="185" t="str">
        <f t="shared" ref="AB170:AD170" si="519">IF($D170,"🔒",)</f>
        <v/>
      </c>
      <c r="AC170" s="185" t="str">
        <f t="shared" si="519"/>
        <v/>
      </c>
      <c r="AD170" s="186" t="str">
        <f t="shared" si="519"/>
        <v/>
      </c>
      <c r="AE170" s="180">
        <v>30.0</v>
      </c>
      <c r="AF170" s="187">
        <v>0.0</v>
      </c>
      <c r="AG170" s="187">
        <v>0.0</v>
      </c>
      <c r="AH170" s="187">
        <v>0.0</v>
      </c>
      <c r="AI170" s="181">
        <f t="shared" si="10"/>
        <v>0</v>
      </c>
      <c r="AJ170" s="181">
        <f t="shared" si="11"/>
        <v>0</v>
      </c>
      <c r="AK170" s="185" t="str">
        <f t="shared" si="12"/>
        <v/>
      </c>
      <c r="AL170" s="188" t="str">
        <f t="array" ref="AL170">H170*(1-I170)*VLOOKUP(AT170,{'▶️ Инструкция'!C:C,'▶️ Инструкция'!AI:AI},2,false)</f>
        <v>#N/A</v>
      </c>
      <c r="AM170" s="186" t="str">
        <f t="shared" si="13"/>
        <v/>
      </c>
      <c r="AN170" s="189">
        <v>0.0</v>
      </c>
      <c r="AO170" s="189">
        <v>0.0</v>
      </c>
      <c r="AP170" s="189">
        <v>0.0</v>
      </c>
      <c r="AQ170" s="191">
        <v>1.0</v>
      </c>
      <c r="AR170" s="191">
        <v>0.0</v>
      </c>
      <c r="AS170" s="212">
        <v>0.0</v>
      </c>
      <c r="AT170" s="193" t="s">
        <v>206</v>
      </c>
      <c r="AU170" s="193" t="s">
        <v>121</v>
      </c>
      <c r="AV170" s="193" t="s">
        <v>199</v>
      </c>
      <c r="AW170" s="194">
        <f t="shared" si="14"/>
        <v>0</v>
      </c>
      <c r="AX170" s="195">
        <f t="shared" si="15"/>
        <v>0</v>
      </c>
      <c r="AY170" s="196" t="str">
        <f t="shared" si="16"/>
        <v>#N/A</v>
      </c>
      <c r="AZ170" s="213">
        <v>250.0</v>
      </c>
      <c r="BA170" s="196">
        <f t="shared" si="17"/>
        <v>0.25</v>
      </c>
      <c r="BB170" s="213">
        <f t="shared" si="18"/>
        <v>1000</v>
      </c>
      <c r="BC170" s="199" t="str">
        <f t="shared" si="19"/>
        <v>#N/A</v>
      </c>
      <c r="BD170" s="200" t="str">
        <f t="shared" si="20"/>
        <v>#N/A</v>
      </c>
      <c r="BE170" s="200">
        <f t="shared" si="21"/>
        <v>0</v>
      </c>
      <c r="BF170" s="201" t="str">
        <f t="shared" si="22"/>
        <v/>
      </c>
      <c r="BG170" s="201" t="str">
        <f t="shared" si="23"/>
        <v/>
      </c>
      <c r="BH170" s="202" t="str">
        <f t="shared" si="24"/>
        <v/>
      </c>
      <c r="BI170" s="203"/>
      <c r="BJ170" s="204">
        <f>IFERROR(__xludf.DUMMYFUNCTION("IF(AU170=data!A$5,
IF(AV170=data!A$8,
IF(T170=data!A$3,
VLOOKUP(S170,filter('🔒 Доп. информация'!D:H,'🔒 Доп. информация'!C:C=T170),4,FALSE)+VLOOKUP(S170,filter('🔒 Доп. информация'!D:H,'🔒 Доп. информация'!C:C=T170),5,FALSE)*AJ170,
IF(AND(MAX(AF170:AH170"&amp;")&lt;80,SUM(AF170:AH170)&lt;=160,AI170&lt;20,XLOOKUP(M170,'📄 Комиссии'!C:C,'📄 Комиссии'!B:B)&lt;&gt;""Продукты""),
VLOOKUP(S170,filter('🔒 Доп. информация'!D:H,'🔒 Доп. информация'!C:C=data!$A$3),4,FALSE)+VLOOKUP(S170,filter('🔒 Доп. информация'!D:H,'🔒 Доп. информаци"&amp;"я'!C:C=data!$A$3),5,FALSE)*AJ170,
VLOOKUP(S170,filter('🔒 Доп. информация'!D:H,'🔒 Доп. информация'!C:C=T170),4,FALSE)*ROUNDUP(AF170*AG170*AH170*L170/(120*80*175))/L170)
)
*(AE170/2)
,)
,)*0"),0.0)</f>
        <v>0</v>
      </c>
      <c r="BK170" s="204">
        <f>IFERROR(__xludf.DUMMYFUNCTION("IF(AU170=data!A$5,
IF(AI170&lt;=1,IF(AI170&lt;=0.8,IF(AI170&lt;=0.6,IF(AI170&lt;=0.4,IF(AI170&lt;=0.2,23,26),29),30),32)*VLOOKUP(S170,filter('🔒 Доп. информация'!D:E,'🔒 Доп. информация'!C:C=T170),2,FALSE)/'🔒 Доп. информация'!$K$9,
IF(AV170=data!A$8,U170,1)*VLOOKUP(S17"&amp;"0,filter('🔒 Доп. информация'!D:E,'🔒 Доп. информация'!C:C=T170),2,FALSE)+
IF(AV170=data!A$8,U170,1)*VLOOKUP(S170,filter('🔒 Доп. информация'!D:F,'🔒 Доп. информация'!C:C=T170),3,FALSE)*AJ170)
,0)"),69.0)</f>
        <v>69</v>
      </c>
      <c r="BL170" s="185" t="str">
        <f t="shared" ref="BL170:BM170" si="520">IF($D170,"🔒",)</f>
        <v/>
      </c>
      <c r="BM170" s="185" t="str">
        <f t="shared" si="520"/>
        <v/>
      </c>
      <c r="BN170" s="204">
        <f>VLOOKUP(T170,'🔒 Доп. информация'!J:P,7,false)</f>
        <v>50</v>
      </c>
      <c r="BO170" s="204">
        <f>IF(AV170=data!A$9,
(AA170+AO170+AP170+BJ170+BK170+BN170)+H170*AS170,
(BJ170+BK170+BN170)+H170*AS170
)</f>
        <v>119</v>
      </c>
      <c r="BP170" s="204">
        <f t="shared" si="26"/>
        <v>69</v>
      </c>
      <c r="BQ170" s="204">
        <f t="shared" si="27"/>
        <v>320</v>
      </c>
      <c r="BR170" s="204" t="str">
        <f t="shared" si="37"/>
        <v>#N/A</v>
      </c>
      <c r="BS170" s="204" t="str">
        <f t="array" ref="BS170">IF(VLOOKUP(AT170,{'▶️ Инструкция'!C:C,'▶️ Инструкция'!Y:Y},2,FALSE)=data!A$15,
H170*(1-I170),
(H170-BR170))
*VLOOKUP(AT170,{'▶️ Инструкция'!C:C,'▶️ Инструкция'!AD:AD},2,FALSE)/(1+VLOOKUP(AT170,{'▶️ Инструкция'!C:C,'▶️ Инструкция'!AD:AD},2,FALSE))</f>
        <v>#N/A</v>
      </c>
      <c r="BT170" s="204" t="str">
        <f t="array" ref="BT170">
IF(VLOOKUP(AT170,{'▶️ Инструкция'!C:C,'▶️ Инструкция'!Y:Y},2,FALSE)=data!A$15,
H170*(1-I170)-BS170,
(H170-BR170-BS170))
*
VLOOKUP(AT170,{'▶️ Инструкция'!C:C,'▶️ Инструкция'!R:R},2,FALSE)
+BS170</f>
        <v>#N/A</v>
      </c>
      <c r="BU170" s="204" t="str">
        <f>(G170*AR170)+if(AV170=data!A$9,AO170,AN170)+AP170+BR170+BT170</f>
        <v>#N/A</v>
      </c>
      <c r="BV170" s="204" t="str">
        <f>(G170*AR170)+if(AV170=data!A$9,AO170,AN170)+AP170+BT170+G170</f>
        <v>#N/A</v>
      </c>
      <c r="BW170" s="204" t="str">
        <f t="shared" si="28"/>
        <v>#N/A</v>
      </c>
      <c r="BX170" s="204" t="str">
        <f t="shared" si="29"/>
        <v>#N/A</v>
      </c>
    </row>
    <row r="171">
      <c r="A171" s="165" t="str">
        <f>if(D171=true,if(F171=data!A$1,data!A$10,data!A$11),)</f>
        <v/>
      </c>
      <c r="B171" s="166" t="str">
        <f t="shared" si="4"/>
        <v>FBS</v>
      </c>
      <c r="C171" s="167" t="s">
        <v>195</v>
      </c>
      <c r="D171" s="168" t="b">
        <v>0</v>
      </c>
      <c r="E171" s="169" t="s">
        <v>204</v>
      </c>
      <c r="F171" s="170" t="str">
        <f t="array" ref="F171">IF(D171=TRUE,IF(IF(BG$3=VLOOKUP(AT171,{'▶️ Инструкция'!C:C,'▶️ Инструкция'!G:G},2,FALSE),BG171,BH171)&gt;VLOOKUP(AT171,{'▶️ Инструкция'!C:C,'▶️ Инструкция'!N:N},2,FALSE),data!A$1,data!A$2),)</f>
        <v/>
      </c>
      <c r="G171" s="171">
        <v>0.0</v>
      </c>
      <c r="H171" s="172">
        <v>1000.0</v>
      </c>
      <c r="I171" s="173">
        <v>0.0</v>
      </c>
      <c r="J171" s="173">
        <v>0.0</v>
      </c>
      <c r="K171" s="174" t="str">
        <f t="shared" si="5"/>
        <v/>
      </c>
      <c r="L171" s="175">
        <v>0.0</v>
      </c>
      <c r="M171" s="176" t="s">
        <v>197</v>
      </c>
      <c r="N171" s="177">
        <f>IFERROR(__xludf.DUMMYFUNCTION("ArrayFormula(let(category,VLOOKUP($M171, {'📄 Комиссии'!$C:$C , '📄 Комиссии'!$B:$B}, 2, 0),
data,MATCH('🔒 Доп. информация'!$J$15:$J203,TRANSPOSE(SPLIT(INDEX('▶️ Инструкция'!$Q:$Q,MATCH($AT171,'▶️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commission,VLOOKUP($M171,'📄 Комиссии'!$C:$E,IF($AV171=data!A$8,2,3),0),
IF(NOT(ISBLANK($M171)),commission/100+
"&amp;"IFERROR(VLOOKUP($AT171,{'▶️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71" s="178" t="str">
        <f t="shared" si="6"/>
        <v/>
      </c>
      <c r="Q171" s="178" t="str">
        <f t="shared" si="7"/>
        <v/>
      </c>
      <c r="S171" s="179" t="s">
        <v>192</v>
      </c>
      <c r="T171" s="180" t="s">
        <v>193</v>
      </c>
      <c r="U171" s="181">
        <v>1.0</v>
      </c>
      <c r="V171" s="182" t="str">
        <f t="shared" ref="V171:Y171" si="521">IF($D171,"🔒",)</f>
        <v/>
      </c>
      <c r="W171" s="182" t="str">
        <f t="shared" si="521"/>
        <v/>
      </c>
      <c r="X171" s="182" t="str">
        <f t="shared" si="521"/>
        <v/>
      </c>
      <c r="Y171" s="182" t="str">
        <f t="shared" si="521"/>
        <v/>
      </c>
      <c r="Z171" s="183">
        <v>0.0</v>
      </c>
      <c r="AA171" s="184">
        <f t="shared" si="31"/>
        <v>0</v>
      </c>
      <c r="AB171" s="185" t="str">
        <f t="shared" ref="AB171:AD171" si="522">IF($D171,"🔒",)</f>
        <v/>
      </c>
      <c r="AC171" s="185" t="str">
        <f t="shared" si="522"/>
        <v/>
      </c>
      <c r="AD171" s="186" t="str">
        <f t="shared" si="522"/>
        <v/>
      </c>
      <c r="AE171" s="180">
        <v>30.0</v>
      </c>
      <c r="AF171" s="187">
        <v>0.0</v>
      </c>
      <c r="AG171" s="187">
        <v>0.0</v>
      </c>
      <c r="AH171" s="187">
        <v>0.0</v>
      </c>
      <c r="AI171" s="181">
        <f t="shared" si="10"/>
        <v>0</v>
      </c>
      <c r="AJ171" s="181">
        <f t="shared" si="11"/>
        <v>0</v>
      </c>
      <c r="AK171" s="185" t="str">
        <f t="shared" si="12"/>
        <v/>
      </c>
      <c r="AL171" s="188" t="str">
        <f t="array" ref="AL171">H171*(1-I171)*VLOOKUP(AT171,{'▶️ Инструкция'!C:C,'▶️ Инструкция'!AI:AI},2,false)</f>
        <v>#N/A</v>
      </c>
      <c r="AM171" s="186" t="str">
        <f t="shared" si="13"/>
        <v/>
      </c>
      <c r="AN171" s="189">
        <v>0.0</v>
      </c>
      <c r="AO171" s="189">
        <v>0.0</v>
      </c>
      <c r="AP171" s="189">
        <v>0.0</v>
      </c>
      <c r="AQ171" s="191">
        <v>1.0</v>
      </c>
      <c r="AR171" s="191">
        <v>0.0</v>
      </c>
      <c r="AS171" s="212">
        <v>0.0</v>
      </c>
      <c r="AT171" s="193" t="s">
        <v>206</v>
      </c>
      <c r="AU171" s="193" t="s">
        <v>121</v>
      </c>
      <c r="AV171" s="193" t="s">
        <v>199</v>
      </c>
      <c r="AW171" s="194">
        <f t="shared" si="14"/>
        <v>0</v>
      </c>
      <c r="AX171" s="195">
        <f t="shared" si="15"/>
        <v>0</v>
      </c>
      <c r="AY171" s="196" t="str">
        <f t="shared" si="16"/>
        <v>#N/A</v>
      </c>
      <c r="AZ171" s="213">
        <v>250.0</v>
      </c>
      <c r="BA171" s="196">
        <f t="shared" si="17"/>
        <v>0.25</v>
      </c>
      <c r="BB171" s="213">
        <f t="shared" si="18"/>
        <v>1000</v>
      </c>
      <c r="BC171" s="199" t="str">
        <f t="shared" si="19"/>
        <v>#N/A</v>
      </c>
      <c r="BD171" s="200" t="str">
        <f t="shared" si="20"/>
        <v>#N/A</v>
      </c>
      <c r="BE171" s="200">
        <f t="shared" si="21"/>
        <v>0</v>
      </c>
      <c r="BF171" s="201" t="str">
        <f t="shared" si="22"/>
        <v/>
      </c>
      <c r="BG171" s="201" t="str">
        <f t="shared" si="23"/>
        <v/>
      </c>
      <c r="BH171" s="202" t="str">
        <f t="shared" si="24"/>
        <v/>
      </c>
      <c r="BI171" s="203"/>
      <c r="BJ171" s="204">
        <f>IFERROR(__xludf.DUMMYFUNCTION("IF(AU171=data!A$5,
IF(AV171=data!A$8,
IF(T171=data!A$3,
VLOOKUP(S171,filter('🔒 Доп. информация'!D:H,'🔒 Доп. информация'!C:C=T171),4,FALSE)+VLOOKUP(S171,filter('🔒 Доп. информация'!D:H,'🔒 Доп. информация'!C:C=T171),5,FALSE)*AJ171,
IF(AND(MAX(AF171:AH171"&amp;")&lt;80,SUM(AF171:AH171)&lt;=160,AI171&lt;20,XLOOKUP(M171,'📄 Комиссии'!C:C,'📄 Комиссии'!B:B)&lt;&gt;""Продукты""),
VLOOKUP(S171,filter('🔒 Доп. информация'!D:H,'🔒 Доп. информация'!C:C=data!$A$3),4,FALSE)+VLOOKUP(S171,filter('🔒 Доп. информация'!D:H,'🔒 Доп. информаци"&amp;"я'!C:C=data!$A$3),5,FALSE)*AJ171,
VLOOKUP(S171,filter('🔒 Доп. информация'!D:H,'🔒 Доп. информация'!C:C=T171),4,FALSE)*ROUNDUP(AF171*AG171*AH171*L171/(120*80*175))/L171)
)
*(AE171/2)
,)
,)*0"),0.0)</f>
        <v>0</v>
      </c>
      <c r="BK171" s="204">
        <f>IFERROR(__xludf.DUMMYFUNCTION("IF(AU171=data!A$5,
IF(AI171&lt;=1,IF(AI171&lt;=0.8,IF(AI171&lt;=0.6,IF(AI171&lt;=0.4,IF(AI171&lt;=0.2,23,26),29),30),32)*VLOOKUP(S171,filter('🔒 Доп. информация'!D:E,'🔒 Доп. информация'!C:C=T171),2,FALSE)/'🔒 Доп. информация'!$K$9,
IF(AV171=data!A$8,U171,1)*VLOOKUP(S17"&amp;"1,filter('🔒 Доп. информация'!D:E,'🔒 Доп. информация'!C:C=T171),2,FALSE)+
IF(AV171=data!A$8,U171,1)*VLOOKUP(S171,filter('🔒 Доп. информация'!D:F,'🔒 Доп. информация'!C:C=T171),3,FALSE)*AJ171)
,0)"),69.0)</f>
        <v>69</v>
      </c>
      <c r="BL171" s="185" t="str">
        <f t="shared" ref="BL171:BM171" si="523">IF($D171,"🔒",)</f>
        <v/>
      </c>
      <c r="BM171" s="185" t="str">
        <f t="shared" si="523"/>
        <v/>
      </c>
      <c r="BN171" s="204">
        <f>VLOOKUP(T171,'🔒 Доп. информация'!J:P,7,false)</f>
        <v>50</v>
      </c>
      <c r="BO171" s="204">
        <f>IF(AV171=data!A$9,
(AA171+AO171+AP171+BJ171+BK171+BN171)+H171*AS171,
(BJ171+BK171+BN171)+H171*AS171
)</f>
        <v>119</v>
      </c>
      <c r="BP171" s="204">
        <f t="shared" si="26"/>
        <v>69</v>
      </c>
      <c r="BQ171" s="204">
        <f t="shared" si="27"/>
        <v>320</v>
      </c>
      <c r="BR171" s="204" t="str">
        <f t="shared" si="37"/>
        <v>#N/A</v>
      </c>
      <c r="BS171" s="204" t="str">
        <f t="array" ref="BS171">IF(VLOOKUP(AT171,{'▶️ Инструкция'!C:C,'▶️ Инструкция'!Y:Y},2,FALSE)=data!A$15,
H171*(1-I171),
(H171-BR171))
*VLOOKUP(AT171,{'▶️ Инструкция'!C:C,'▶️ Инструкция'!AD:AD},2,FALSE)/(1+VLOOKUP(AT171,{'▶️ Инструкция'!C:C,'▶️ Инструкция'!AD:AD},2,FALSE))</f>
        <v>#N/A</v>
      </c>
      <c r="BT171" s="204" t="str">
        <f t="array" ref="BT171">
IF(VLOOKUP(AT171,{'▶️ Инструкция'!C:C,'▶️ Инструкция'!Y:Y},2,FALSE)=data!A$15,
H171*(1-I171)-BS171,
(H171-BR171-BS171))
*
VLOOKUP(AT171,{'▶️ Инструкция'!C:C,'▶️ Инструкция'!R:R},2,FALSE)
+BS171</f>
        <v>#N/A</v>
      </c>
      <c r="BU171" s="204" t="str">
        <f>(G171*AR171)+if(AV171=data!A$9,AO171,AN171)+AP171+BR171+BT171</f>
        <v>#N/A</v>
      </c>
      <c r="BV171" s="204" t="str">
        <f>(G171*AR171)+if(AV171=data!A$9,AO171,AN171)+AP171+BT171+G171</f>
        <v>#N/A</v>
      </c>
      <c r="BW171" s="204" t="str">
        <f t="shared" si="28"/>
        <v>#N/A</v>
      </c>
      <c r="BX171" s="204" t="str">
        <f t="shared" si="29"/>
        <v>#N/A</v>
      </c>
    </row>
    <row r="172">
      <c r="A172" s="165" t="str">
        <f>if(D172=true,if(F172=data!A$1,data!A$10,data!A$11),)</f>
        <v/>
      </c>
      <c r="B172" s="166" t="str">
        <f t="shared" si="4"/>
        <v>FBS</v>
      </c>
      <c r="C172" s="167" t="s">
        <v>195</v>
      </c>
      <c r="D172" s="168" t="b">
        <v>0</v>
      </c>
      <c r="E172" s="169" t="s">
        <v>204</v>
      </c>
      <c r="F172" s="170" t="str">
        <f t="array" ref="F172">IF(D172=TRUE,IF(IF(BG$3=VLOOKUP(AT172,{'▶️ Инструкция'!C:C,'▶️ Инструкция'!G:G},2,FALSE),BG172,BH172)&gt;VLOOKUP(AT172,{'▶️ Инструкция'!C:C,'▶️ Инструкция'!N:N},2,FALSE),data!A$1,data!A$2),)</f>
        <v/>
      </c>
      <c r="G172" s="171">
        <v>0.0</v>
      </c>
      <c r="H172" s="172">
        <v>1000.0</v>
      </c>
      <c r="I172" s="173">
        <v>0.0</v>
      </c>
      <c r="J172" s="173">
        <v>0.0</v>
      </c>
      <c r="K172" s="174" t="str">
        <f t="shared" si="5"/>
        <v/>
      </c>
      <c r="L172" s="175">
        <v>0.0</v>
      </c>
      <c r="M172" s="176" t="s">
        <v>197</v>
      </c>
      <c r="N172" s="177">
        <f>IFERROR(__xludf.DUMMYFUNCTION("ArrayFormula(let(category,VLOOKUP($M172, {'📄 Комиссии'!$C:$C , '📄 Комиссии'!$B:$B}, 2, 0),
data,MATCH('🔒 Доп. информация'!$J$15:$J203,TRANSPOSE(SPLIT(INDEX('▶️ Инструкция'!$Q:$Q,MATCH($AT172,'▶️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commission,VLOOKUP($M172,'📄 Комиссии'!$C:$E,IF($AV172=data!A$8,2,3),0),
IF(NOT(ISBLANK($M172)),commission/100+
"&amp;"IFERROR(VLOOKUP($AT172,{'▶️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72" s="178" t="str">
        <f t="shared" si="6"/>
        <v/>
      </c>
      <c r="Q172" s="178" t="str">
        <f t="shared" si="7"/>
        <v/>
      </c>
      <c r="S172" s="179" t="s">
        <v>192</v>
      </c>
      <c r="T172" s="180" t="s">
        <v>193</v>
      </c>
      <c r="U172" s="181">
        <v>1.0</v>
      </c>
      <c r="V172" s="182" t="str">
        <f t="shared" ref="V172:Y172" si="524">IF($D172,"🔒",)</f>
        <v/>
      </c>
      <c r="W172" s="182" t="str">
        <f t="shared" si="524"/>
        <v/>
      </c>
      <c r="X172" s="182" t="str">
        <f t="shared" si="524"/>
        <v/>
      </c>
      <c r="Y172" s="182" t="str">
        <f t="shared" si="524"/>
        <v/>
      </c>
      <c r="Z172" s="183">
        <v>0.0</v>
      </c>
      <c r="AA172" s="184">
        <f t="shared" si="31"/>
        <v>0</v>
      </c>
      <c r="AB172" s="185" t="str">
        <f t="shared" ref="AB172:AD172" si="525">IF($D172,"🔒",)</f>
        <v/>
      </c>
      <c r="AC172" s="185" t="str">
        <f t="shared" si="525"/>
        <v/>
      </c>
      <c r="AD172" s="186" t="str">
        <f t="shared" si="525"/>
        <v/>
      </c>
      <c r="AE172" s="180">
        <v>30.0</v>
      </c>
      <c r="AF172" s="187">
        <v>0.0</v>
      </c>
      <c r="AG172" s="187">
        <v>0.0</v>
      </c>
      <c r="AH172" s="187">
        <v>0.0</v>
      </c>
      <c r="AI172" s="181">
        <f t="shared" si="10"/>
        <v>0</v>
      </c>
      <c r="AJ172" s="181">
        <f t="shared" si="11"/>
        <v>0</v>
      </c>
      <c r="AK172" s="185" t="str">
        <f t="shared" si="12"/>
        <v/>
      </c>
      <c r="AL172" s="188" t="str">
        <f t="array" ref="AL172">H172*(1-I172)*VLOOKUP(AT172,{'▶️ Инструкция'!C:C,'▶️ Инструкция'!AI:AI},2,false)</f>
        <v>#N/A</v>
      </c>
      <c r="AM172" s="186" t="str">
        <f t="shared" si="13"/>
        <v/>
      </c>
      <c r="AN172" s="189">
        <v>0.0</v>
      </c>
      <c r="AO172" s="189">
        <v>0.0</v>
      </c>
      <c r="AP172" s="189">
        <v>0.0</v>
      </c>
      <c r="AQ172" s="191">
        <v>1.0</v>
      </c>
      <c r="AR172" s="191">
        <v>0.0</v>
      </c>
      <c r="AS172" s="212">
        <v>0.0</v>
      </c>
      <c r="AT172" s="193" t="s">
        <v>206</v>
      </c>
      <c r="AU172" s="193" t="s">
        <v>121</v>
      </c>
      <c r="AV172" s="193" t="s">
        <v>199</v>
      </c>
      <c r="AW172" s="194">
        <f t="shared" si="14"/>
        <v>0</v>
      </c>
      <c r="AX172" s="195">
        <f t="shared" si="15"/>
        <v>0</v>
      </c>
      <c r="AY172" s="196" t="str">
        <f t="shared" si="16"/>
        <v>#N/A</v>
      </c>
      <c r="AZ172" s="213">
        <v>250.0</v>
      </c>
      <c r="BA172" s="196">
        <f t="shared" si="17"/>
        <v>0.25</v>
      </c>
      <c r="BB172" s="213">
        <f t="shared" si="18"/>
        <v>1000</v>
      </c>
      <c r="BC172" s="199" t="str">
        <f t="shared" si="19"/>
        <v>#N/A</v>
      </c>
      <c r="BD172" s="200" t="str">
        <f t="shared" si="20"/>
        <v>#N/A</v>
      </c>
      <c r="BE172" s="200">
        <f t="shared" si="21"/>
        <v>0</v>
      </c>
      <c r="BF172" s="201" t="str">
        <f t="shared" si="22"/>
        <v/>
      </c>
      <c r="BG172" s="201" t="str">
        <f t="shared" si="23"/>
        <v/>
      </c>
      <c r="BH172" s="202" t="str">
        <f t="shared" si="24"/>
        <v/>
      </c>
      <c r="BI172" s="203"/>
      <c r="BJ172" s="204">
        <f>IFERROR(__xludf.DUMMYFUNCTION("IF(AU172=data!A$5,
IF(AV172=data!A$8,
IF(T172=data!A$3,
VLOOKUP(S172,filter('🔒 Доп. информация'!D:H,'🔒 Доп. информация'!C:C=T172),4,FALSE)+VLOOKUP(S172,filter('🔒 Доп. информация'!D:H,'🔒 Доп. информация'!C:C=T172),5,FALSE)*AJ172,
IF(AND(MAX(AF172:AH172"&amp;")&lt;80,SUM(AF172:AH172)&lt;=160,AI172&lt;20,XLOOKUP(M172,'📄 Комиссии'!C:C,'📄 Комиссии'!B:B)&lt;&gt;""Продукты""),
VLOOKUP(S172,filter('🔒 Доп. информация'!D:H,'🔒 Доп. информация'!C:C=data!$A$3),4,FALSE)+VLOOKUP(S172,filter('🔒 Доп. информация'!D:H,'🔒 Доп. информаци"&amp;"я'!C:C=data!$A$3),5,FALSE)*AJ172,
VLOOKUP(S172,filter('🔒 Доп. информация'!D:H,'🔒 Доп. информация'!C:C=T172),4,FALSE)*ROUNDUP(AF172*AG172*AH172*L172/(120*80*175))/L172)
)
*(AE172/2)
,)
,)*0"),0.0)</f>
        <v>0</v>
      </c>
      <c r="BK172" s="204">
        <f>IFERROR(__xludf.DUMMYFUNCTION("IF(AU172=data!A$5,
IF(AI172&lt;=1,IF(AI172&lt;=0.8,IF(AI172&lt;=0.6,IF(AI172&lt;=0.4,IF(AI172&lt;=0.2,23,26),29),30),32)*VLOOKUP(S172,filter('🔒 Доп. информация'!D:E,'🔒 Доп. информация'!C:C=T172),2,FALSE)/'🔒 Доп. информация'!$K$9,
IF(AV172=data!A$8,U172,1)*VLOOKUP(S17"&amp;"2,filter('🔒 Доп. информация'!D:E,'🔒 Доп. информация'!C:C=T172),2,FALSE)+
IF(AV172=data!A$8,U172,1)*VLOOKUP(S172,filter('🔒 Доп. информация'!D:F,'🔒 Доп. информация'!C:C=T172),3,FALSE)*AJ172)
,0)"),69.0)</f>
        <v>69</v>
      </c>
      <c r="BL172" s="185" t="str">
        <f t="shared" ref="BL172:BM172" si="526">IF($D172,"🔒",)</f>
        <v/>
      </c>
      <c r="BM172" s="185" t="str">
        <f t="shared" si="526"/>
        <v/>
      </c>
      <c r="BN172" s="204">
        <f>VLOOKUP(T172,'🔒 Доп. информация'!J:P,7,false)</f>
        <v>50</v>
      </c>
      <c r="BO172" s="204">
        <f>IF(AV172=data!A$9,
(AA172+AO172+AP172+BJ172+BK172+BN172)+H172*AS172,
(BJ172+BK172+BN172)+H172*AS172
)</f>
        <v>119</v>
      </c>
      <c r="BP172" s="204">
        <f t="shared" si="26"/>
        <v>69</v>
      </c>
      <c r="BQ172" s="204">
        <f t="shared" si="27"/>
        <v>320</v>
      </c>
      <c r="BR172" s="204" t="str">
        <f t="shared" si="37"/>
        <v>#N/A</v>
      </c>
      <c r="BS172" s="204" t="str">
        <f t="array" ref="BS172">IF(VLOOKUP(AT172,{'▶️ Инструкция'!C:C,'▶️ Инструкция'!Y:Y},2,FALSE)=data!A$15,
H172*(1-I172),
(H172-BR172))
*VLOOKUP(AT172,{'▶️ Инструкция'!C:C,'▶️ Инструкция'!AD:AD},2,FALSE)/(1+VLOOKUP(AT172,{'▶️ Инструкция'!C:C,'▶️ Инструкция'!AD:AD},2,FALSE))</f>
        <v>#N/A</v>
      </c>
      <c r="BT172" s="204" t="str">
        <f t="array" ref="BT172">
IF(VLOOKUP(AT172,{'▶️ Инструкция'!C:C,'▶️ Инструкция'!Y:Y},2,FALSE)=data!A$15,
H172*(1-I172)-BS172,
(H172-BR172-BS172))
*
VLOOKUP(AT172,{'▶️ Инструкция'!C:C,'▶️ Инструкция'!R:R},2,FALSE)
+BS172</f>
        <v>#N/A</v>
      </c>
      <c r="BU172" s="204" t="str">
        <f>(G172*AR172)+if(AV172=data!A$9,AO172,AN172)+AP172+BR172+BT172</f>
        <v>#N/A</v>
      </c>
      <c r="BV172" s="204" t="str">
        <f>(G172*AR172)+if(AV172=data!A$9,AO172,AN172)+AP172+BT172+G172</f>
        <v>#N/A</v>
      </c>
      <c r="BW172" s="204" t="str">
        <f t="shared" si="28"/>
        <v>#N/A</v>
      </c>
      <c r="BX172" s="204" t="str">
        <f t="shared" si="29"/>
        <v>#N/A</v>
      </c>
    </row>
    <row r="173">
      <c r="A173" s="165" t="str">
        <f>if(D173=true,if(F173=data!A$1,data!A$10,data!A$11),)</f>
        <v/>
      </c>
      <c r="B173" s="166" t="str">
        <f t="shared" si="4"/>
        <v>FBS</v>
      </c>
      <c r="C173" s="167" t="s">
        <v>195</v>
      </c>
      <c r="D173" s="168" t="b">
        <v>0</v>
      </c>
      <c r="E173" s="169" t="s">
        <v>204</v>
      </c>
      <c r="F173" s="170" t="str">
        <f t="array" ref="F173">IF(D173=TRUE,IF(IF(BG$3=VLOOKUP(AT173,{'▶️ Инструкция'!C:C,'▶️ Инструкция'!G:G},2,FALSE),BG173,BH173)&gt;VLOOKUP(AT173,{'▶️ Инструкция'!C:C,'▶️ Инструкция'!N:N},2,FALSE),data!A$1,data!A$2),)</f>
        <v/>
      </c>
      <c r="G173" s="171">
        <v>0.0</v>
      </c>
      <c r="H173" s="172">
        <v>1000.0</v>
      </c>
      <c r="I173" s="173">
        <v>0.0</v>
      </c>
      <c r="J173" s="173">
        <v>0.0</v>
      </c>
      <c r="K173" s="174" t="str">
        <f t="shared" si="5"/>
        <v/>
      </c>
      <c r="L173" s="175">
        <v>0.0</v>
      </c>
      <c r="M173" s="176" t="s">
        <v>197</v>
      </c>
      <c r="N173" s="177">
        <f>IFERROR(__xludf.DUMMYFUNCTION("ArrayFormula(let(category,VLOOKUP($M173, {'📄 Комиссии'!$C:$C , '📄 Комиссии'!$B:$B}, 2, 0),
data,MATCH('🔒 Доп. информация'!$J$15:$J203,TRANSPOSE(SPLIT(INDEX('▶️ Инструкция'!$Q:$Q,MATCH($AT173,'▶️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commission,VLOOKUP($M173,'📄 Комиссии'!$C:$E,IF($AV173=data!A$8,2,3),0),
IF(NOT(ISBLANK($M173)),commission/100+
"&amp;"IFERROR(VLOOKUP($AT173,{'▶️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73" s="178" t="str">
        <f t="shared" si="6"/>
        <v/>
      </c>
      <c r="Q173" s="178" t="str">
        <f t="shared" si="7"/>
        <v/>
      </c>
      <c r="S173" s="179" t="s">
        <v>192</v>
      </c>
      <c r="T173" s="180" t="s">
        <v>193</v>
      </c>
      <c r="U173" s="181">
        <v>1.0</v>
      </c>
      <c r="V173" s="182" t="str">
        <f t="shared" ref="V173:Y173" si="527">IF($D173,"🔒",)</f>
        <v/>
      </c>
      <c r="W173" s="182" t="str">
        <f t="shared" si="527"/>
        <v/>
      </c>
      <c r="X173" s="182" t="str">
        <f t="shared" si="527"/>
        <v/>
      </c>
      <c r="Y173" s="182" t="str">
        <f t="shared" si="527"/>
        <v/>
      </c>
      <c r="Z173" s="183">
        <v>0.0</v>
      </c>
      <c r="AA173" s="184">
        <f t="shared" si="31"/>
        <v>0</v>
      </c>
      <c r="AB173" s="185" t="str">
        <f t="shared" ref="AB173:AD173" si="528">IF($D173,"🔒",)</f>
        <v/>
      </c>
      <c r="AC173" s="185" t="str">
        <f t="shared" si="528"/>
        <v/>
      </c>
      <c r="AD173" s="186" t="str">
        <f t="shared" si="528"/>
        <v/>
      </c>
      <c r="AE173" s="180">
        <v>30.0</v>
      </c>
      <c r="AF173" s="187">
        <v>0.0</v>
      </c>
      <c r="AG173" s="187">
        <v>0.0</v>
      </c>
      <c r="AH173" s="187">
        <v>0.0</v>
      </c>
      <c r="AI173" s="181">
        <f t="shared" si="10"/>
        <v>0</v>
      </c>
      <c r="AJ173" s="181">
        <f t="shared" si="11"/>
        <v>0</v>
      </c>
      <c r="AK173" s="185" t="str">
        <f t="shared" si="12"/>
        <v/>
      </c>
      <c r="AL173" s="188" t="str">
        <f t="array" ref="AL173">H173*(1-I173)*VLOOKUP(AT173,{'▶️ Инструкция'!C:C,'▶️ Инструкция'!AI:AI},2,false)</f>
        <v>#N/A</v>
      </c>
      <c r="AM173" s="186" t="str">
        <f t="shared" si="13"/>
        <v/>
      </c>
      <c r="AN173" s="189">
        <v>0.0</v>
      </c>
      <c r="AO173" s="189">
        <v>0.0</v>
      </c>
      <c r="AP173" s="189">
        <v>0.0</v>
      </c>
      <c r="AQ173" s="191">
        <v>1.0</v>
      </c>
      <c r="AR173" s="191">
        <v>0.0</v>
      </c>
      <c r="AS173" s="212">
        <v>0.0</v>
      </c>
      <c r="AT173" s="193" t="s">
        <v>206</v>
      </c>
      <c r="AU173" s="193" t="s">
        <v>121</v>
      </c>
      <c r="AV173" s="193" t="s">
        <v>199</v>
      </c>
      <c r="AW173" s="194">
        <f t="shared" si="14"/>
        <v>0</v>
      </c>
      <c r="AX173" s="195">
        <f t="shared" si="15"/>
        <v>0</v>
      </c>
      <c r="AY173" s="196" t="str">
        <f t="shared" si="16"/>
        <v>#N/A</v>
      </c>
      <c r="AZ173" s="213">
        <v>250.0</v>
      </c>
      <c r="BA173" s="196">
        <f t="shared" si="17"/>
        <v>0.25</v>
      </c>
      <c r="BB173" s="213">
        <f t="shared" si="18"/>
        <v>1000</v>
      </c>
      <c r="BC173" s="199" t="str">
        <f t="shared" si="19"/>
        <v>#N/A</v>
      </c>
      <c r="BD173" s="200" t="str">
        <f t="shared" si="20"/>
        <v>#N/A</v>
      </c>
      <c r="BE173" s="200">
        <f t="shared" si="21"/>
        <v>0</v>
      </c>
      <c r="BF173" s="201" t="str">
        <f t="shared" si="22"/>
        <v/>
      </c>
      <c r="BG173" s="201" t="str">
        <f t="shared" si="23"/>
        <v/>
      </c>
      <c r="BH173" s="202" t="str">
        <f t="shared" si="24"/>
        <v/>
      </c>
      <c r="BI173" s="203"/>
      <c r="BJ173" s="204">
        <f>IFERROR(__xludf.DUMMYFUNCTION("IF(AU173=data!A$5,
IF(AV173=data!A$8,
IF(T173=data!A$3,
VLOOKUP(S173,filter('🔒 Доп. информация'!D:H,'🔒 Доп. информация'!C:C=T173),4,FALSE)+VLOOKUP(S173,filter('🔒 Доп. информация'!D:H,'🔒 Доп. информация'!C:C=T173),5,FALSE)*AJ173,
IF(AND(MAX(AF173:AH173"&amp;")&lt;80,SUM(AF173:AH173)&lt;=160,AI173&lt;20,XLOOKUP(M173,'📄 Комиссии'!C:C,'📄 Комиссии'!B:B)&lt;&gt;""Продукты""),
VLOOKUP(S173,filter('🔒 Доп. информация'!D:H,'🔒 Доп. информация'!C:C=data!$A$3),4,FALSE)+VLOOKUP(S173,filter('🔒 Доп. информация'!D:H,'🔒 Доп. информаци"&amp;"я'!C:C=data!$A$3),5,FALSE)*AJ173,
VLOOKUP(S173,filter('🔒 Доп. информация'!D:H,'🔒 Доп. информация'!C:C=T173),4,FALSE)*ROUNDUP(AF173*AG173*AH173*L173/(120*80*175))/L173)
)
*(AE173/2)
,)
,)*0"),0.0)</f>
        <v>0</v>
      </c>
      <c r="BK173" s="204">
        <f>IFERROR(__xludf.DUMMYFUNCTION("IF(AU173=data!A$5,
IF(AI173&lt;=1,IF(AI173&lt;=0.8,IF(AI173&lt;=0.6,IF(AI173&lt;=0.4,IF(AI173&lt;=0.2,23,26),29),30),32)*VLOOKUP(S173,filter('🔒 Доп. информация'!D:E,'🔒 Доп. информация'!C:C=T173),2,FALSE)/'🔒 Доп. информация'!$K$9,
IF(AV173=data!A$8,U173,1)*VLOOKUP(S17"&amp;"3,filter('🔒 Доп. информация'!D:E,'🔒 Доп. информация'!C:C=T173),2,FALSE)+
IF(AV173=data!A$8,U173,1)*VLOOKUP(S173,filter('🔒 Доп. информация'!D:F,'🔒 Доп. информация'!C:C=T173),3,FALSE)*AJ173)
,0)"),69.0)</f>
        <v>69</v>
      </c>
      <c r="BL173" s="185" t="str">
        <f t="shared" ref="BL173:BM173" si="529">IF($D173,"🔒",)</f>
        <v/>
      </c>
      <c r="BM173" s="185" t="str">
        <f t="shared" si="529"/>
        <v/>
      </c>
      <c r="BN173" s="204">
        <f>VLOOKUP(T173,'🔒 Доп. информация'!J:P,7,false)</f>
        <v>50</v>
      </c>
      <c r="BO173" s="204">
        <f>IF(AV173=data!A$9,
(AA173+AO173+AP173+BJ173+BK173+BN173)+H173*AS173,
(BJ173+BK173+BN173)+H173*AS173
)</f>
        <v>119</v>
      </c>
      <c r="BP173" s="204">
        <f t="shared" si="26"/>
        <v>69</v>
      </c>
      <c r="BQ173" s="204">
        <f t="shared" si="27"/>
        <v>320</v>
      </c>
      <c r="BR173" s="204" t="str">
        <f t="shared" si="37"/>
        <v>#N/A</v>
      </c>
      <c r="BS173" s="204" t="str">
        <f t="array" ref="BS173">IF(VLOOKUP(AT173,{'▶️ Инструкция'!C:C,'▶️ Инструкция'!Y:Y},2,FALSE)=data!A$15,
H173*(1-I173),
(H173-BR173))
*VLOOKUP(AT173,{'▶️ Инструкция'!C:C,'▶️ Инструкция'!AD:AD},2,FALSE)/(1+VLOOKUP(AT173,{'▶️ Инструкция'!C:C,'▶️ Инструкция'!AD:AD},2,FALSE))</f>
        <v>#N/A</v>
      </c>
      <c r="BT173" s="204" t="str">
        <f t="array" ref="BT173">
IF(VLOOKUP(AT173,{'▶️ Инструкция'!C:C,'▶️ Инструкция'!Y:Y},2,FALSE)=data!A$15,
H173*(1-I173)-BS173,
(H173-BR173-BS173))
*
VLOOKUP(AT173,{'▶️ Инструкция'!C:C,'▶️ Инструкция'!R:R},2,FALSE)
+BS173</f>
        <v>#N/A</v>
      </c>
      <c r="BU173" s="204" t="str">
        <f>(G173*AR173)+if(AV173=data!A$9,AO173,AN173)+AP173+BR173+BT173</f>
        <v>#N/A</v>
      </c>
      <c r="BV173" s="204" t="str">
        <f>(G173*AR173)+if(AV173=data!A$9,AO173,AN173)+AP173+BT173+G173</f>
        <v>#N/A</v>
      </c>
      <c r="BW173" s="204" t="str">
        <f t="shared" si="28"/>
        <v>#N/A</v>
      </c>
      <c r="BX173" s="204" t="str">
        <f t="shared" si="29"/>
        <v>#N/A</v>
      </c>
    </row>
    <row r="174">
      <c r="A174" s="165" t="str">
        <f>if(D174=true,if(F174=data!A$1,data!A$10,data!A$11),)</f>
        <v/>
      </c>
      <c r="B174" s="166" t="str">
        <f t="shared" si="4"/>
        <v>FBS</v>
      </c>
      <c r="C174" s="167" t="s">
        <v>195</v>
      </c>
      <c r="D174" s="168" t="b">
        <v>0</v>
      </c>
      <c r="E174" s="169" t="s">
        <v>204</v>
      </c>
      <c r="F174" s="170" t="str">
        <f t="array" ref="F174">IF(D174=TRUE,IF(IF(BG$3=VLOOKUP(AT174,{'▶️ Инструкция'!C:C,'▶️ Инструкция'!G:G},2,FALSE),BG174,BH174)&gt;VLOOKUP(AT174,{'▶️ Инструкция'!C:C,'▶️ Инструкция'!N:N},2,FALSE),data!A$1,data!A$2),)</f>
        <v/>
      </c>
      <c r="G174" s="171">
        <v>0.0</v>
      </c>
      <c r="H174" s="172">
        <v>1000.0</v>
      </c>
      <c r="I174" s="173">
        <v>0.0</v>
      </c>
      <c r="J174" s="173">
        <v>0.0</v>
      </c>
      <c r="K174" s="174" t="str">
        <f t="shared" si="5"/>
        <v/>
      </c>
      <c r="L174" s="175">
        <v>0.0</v>
      </c>
      <c r="M174" s="176" t="s">
        <v>197</v>
      </c>
      <c r="N174" s="177">
        <f>IFERROR(__xludf.DUMMYFUNCTION("ArrayFormula(let(category,VLOOKUP($M174, {'📄 Комиссии'!$C:$C , '📄 Комиссии'!$B:$B}, 2, 0),
data,MATCH('🔒 Доп. информация'!$J$15:$J203,TRANSPOSE(SPLIT(INDEX('▶️ Инструкция'!$Q:$Q,MATCH($AT174,'▶️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commission,VLOOKUP($M174,'📄 Комиссии'!$C:$E,IF($AV174=data!A$8,2,3),0),
IF(NOT(ISBLANK($M174)),commission/100+
"&amp;"IFERROR(VLOOKUP($AT174,{'▶️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74" s="178" t="str">
        <f t="shared" si="6"/>
        <v/>
      </c>
      <c r="Q174" s="178" t="str">
        <f t="shared" si="7"/>
        <v/>
      </c>
      <c r="S174" s="179" t="s">
        <v>192</v>
      </c>
      <c r="T174" s="180" t="s">
        <v>193</v>
      </c>
      <c r="U174" s="181">
        <v>1.0</v>
      </c>
      <c r="V174" s="182" t="str">
        <f t="shared" ref="V174:Y174" si="530">IF($D174,"🔒",)</f>
        <v/>
      </c>
      <c r="W174" s="182" t="str">
        <f t="shared" si="530"/>
        <v/>
      </c>
      <c r="X174" s="182" t="str">
        <f t="shared" si="530"/>
        <v/>
      </c>
      <c r="Y174" s="182" t="str">
        <f t="shared" si="530"/>
        <v/>
      </c>
      <c r="Z174" s="183">
        <v>0.0</v>
      </c>
      <c r="AA174" s="184">
        <f t="shared" si="31"/>
        <v>0</v>
      </c>
      <c r="AB174" s="185" t="str">
        <f t="shared" ref="AB174:AD174" si="531">IF($D174,"🔒",)</f>
        <v/>
      </c>
      <c r="AC174" s="185" t="str">
        <f t="shared" si="531"/>
        <v/>
      </c>
      <c r="AD174" s="186" t="str">
        <f t="shared" si="531"/>
        <v/>
      </c>
      <c r="AE174" s="180">
        <v>30.0</v>
      </c>
      <c r="AF174" s="187">
        <v>0.0</v>
      </c>
      <c r="AG174" s="187">
        <v>0.0</v>
      </c>
      <c r="AH174" s="187">
        <v>0.0</v>
      </c>
      <c r="AI174" s="181">
        <f t="shared" si="10"/>
        <v>0</v>
      </c>
      <c r="AJ174" s="181">
        <f t="shared" si="11"/>
        <v>0</v>
      </c>
      <c r="AK174" s="185" t="str">
        <f t="shared" si="12"/>
        <v/>
      </c>
      <c r="AL174" s="188" t="str">
        <f t="array" ref="AL174">H174*(1-I174)*VLOOKUP(AT174,{'▶️ Инструкция'!C:C,'▶️ Инструкция'!AI:AI},2,false)</f>
        <v>#N/A</v>
      </c>
      <c r="AM174" s="186" t="str">
        <f t="shared" si="13"/>
        <v/>
      </c>
      <c r="AN174" s="189">
        <v>0.0</v>
      </c>
      <c r="AO174" s="189">
        <v>0.0</v>
      </c>
      <c r="AP174" s="189">
        <v>0.0</v>
      </c>
      <c r="AQ174" s="191">
        <v>1.0</v>
      </c>
      <c r="AR174" s="191">
        <v>0.0</v>
      </c>
      <c r="AS174" s="212">
        <v>0.0</v>
      </c>
      <c r="AT174" s="193" t="s">
        <v>206</v>
      </c>
      <c r="AU174" s="193" t="s">
        <v>121</v>
      </c>
      <c r="AV174" s="193" t="s">
        <v>199</v>
      </c>
      <c r="AW174" s="194">
        <f t="shared" si="14"/>
        <v>0</v>
      </c>
      <c r="AX174" s="195">
        <f t="shared" si="15"/>
        <v>0</v>
      </c>
      <c r="AY174" s="196" t="str">
        <f t="shared" si="16"/>
        <v>#N/A</v>
      </c>
      <c r="AZ174" s="213">
        <v>250.0</v>
      </c>
      <c r="BA174" s="196">
        <f t="shared" si="17"/>
        <v>0.25</v>
      </c>
      <c r="BB174" s="213">
        <f t="shared" si="18"/>
        <v>1000</v>
      </c>
      <c r="BC174" s="199" t="str">
        <f t="shared" si="19"/>
        <v>#N/A</v>
      </c>
      <c r="BD174" s="200" t="str">
        <f t="shared" si="20"/>
        <v>#N/A</v>
      </c>
      <c r="BE174" s="200">
        <f t="shared" si="21"/>
        <v>0</v>
      </c>
      <c r="BF174" s="201" t="str">
        <f t="shared" si="22"/>
        <v/>
      </c>
      <c r="BG174" s="201" t="str">
        <f t="shared" si="23"/>
        <v/>
      </c>
      <c r="BH174" s="202" t="str">
        <f t="shared" si="24"/>
        <v/>
      </c>
      <c r="BI174" s="203"/>
      <c r="BJ174" s="204">
        <f>IFERROR(__xludf.DUMMYFUNCTION("IF(AU174=data!A$5,
IF(AV174=data!A$8,
IF(T174=data!A$3,
VLOOKUP(S174,filter('🔒 Доп. информация'!D:H,'🔒 Доп. информация'!C:C=T174),4,FALSE)+VLOOKUP(S174,filter('🔒 Доп. информация'!D:H,'🔒 Доп. информация'!C:C=T174),5,FALSE)*AJ174,
IF(AND(MAX(AF174:AH174"&amp;")&lt;80,SUM(AF174:AH174)&lt;=160,AI174&lt;20,XLOOKUP(M174,'📄 Комиссии'!C:C,'📄 Комиссии'!B:B)&lt;&gt;""Продукты""),
VLOOKUP(S174,filter('🔒 Доп. информация'!D:H,'🔒 Доп. информация'!C:C=data!$A$3),4,FALSE)+VLOOKUP(S174,filter('🔒 Доп. информация'!D:H,'🔒 Доп. информаци"&amp;"я'!C:C=data!$A$3),5,FALSE)*AJ174,
VLOOKUP(S174,filter('🔒 Доп. информация'!D:H,'🔒 Доп. информация'!C:C=T174),4,FALSE)*ROUNDUP(AF174*AG174*AH174*L174/(120*80*175))/L174)
)
*(AE174/2)
,)
,)*0"),0.0)</f>
        <v>0</v>
      </c>
      <c r="BK174" s="204">
        <f>IFERROR(__xludf.DUMMYFUNCTION("IF(AU174=data!A$5,
IF(AI174&lt;=1,IF(AI174&lt;=0.8,IF(AI174&lt;=0.6,IF(AI174&lt;=0.4,IF(AI174&lt;=0.2,23,26),29),30),32)*VLOOKUP(S174,filter('🔒 Доп. информация'!D:E,'🔒 Доп. информация'!C:C=T174),2,FALSE)/'🔒 Доп. информация'!$K$9,
IF(AV174=data!A$8,U174,1)*VLOOKUP(S17"&amp;"4,filter('🔒 Доп. информация'!D:E,'🔒 Доп. информация'!C:C=T174),2,FALSE)+
IF(AV174=data!A$8,U174,1)*VLOOKUP(S174,filter('🔒 Доп. информация'!D:F,'🔒 Доп. информация'!C:C=T174),3,FALSE)*AJ174)
,0)"),69.0)</f>
        <v>69</v>
      </c>
      <c r="BL174" s="185" t="str">
        <f t="shared" ref="BL174:BM174" si="532">IF($D174,"🔒",)</f>
        <v/>
      </c>
      <c r="BM174" s="185" t="str">
        <f t="shared" si="532"/>
        <v/>
      </c>
      <c r="BN174" s="204">
        <f>VLOOKUP(T174,'🔒 Доп. информация'!J:P,7,false)</f>
        <v>50</v>
      </c>
      <c r="BO174" s="204">
        <f>IF(AV174=data!A$9,
(AA174+AO174+AP174+BJ174+BK174+BN174)+H174*AS174,
(BJ174+BK174+BN174)+H174*AS174
)</f>
        <v>119</v>
      </c>
      <c r="BP174" s="204">
        <f t="shared" si="26"/>
        <v>69</v>
      </c>
      <c r="BQ174" s="204">
        <f t="shared" si="27"/>
        <v>320</v>
      </c>
      <c r="BR174" s="204" t="str">
        <f t="shared" si="37"/>
        <v>#N/A</v>
      </c>
      <c r="BS174" s="204" t="str">
        <f t="array" ref="BS174">IF(VLOOKUP(AT174,{'▶️ Инструкция'!C:C,'▶️ Инструкция'!Y:Y},2,FALSE)=data!A$15,
H174*(1-I174),
(H174-BR174))
*VLOOKUP(AT174,{'▶️ Инструкция'!C:C,'▶️ Инструкция'!AD:AD},2,FALSE)/(1+VLOOKUP(AT174,{'▶️ Инструкция'!C:C,'▶️ Инструкция'!AD:AD},2,FALSE))</f>
        <v>#N/A</v>
      </c>
      <c r="BT174" s="204" t="str">
        <f t="array" ref="BT174">
IF(VLOOKUP(AT174,{'▶️ Инструкция'!C:C,'▶️ Инструкция'!Y:Y},2,FALSE)=data!A$15,
H174*(1-I174)-BS174,
(H174-BR174-BS174))
*
VLOOKUP(AT174,{'▶️ Инструкция'!C:C,'▶️ Инструкция'!R:R},2,FALSE)
+BS174</f>
        <v>#N/A</v>
      </c>
      <c r="BU174" s="204" t="str">
        <f>(G174*AR174)+if(AV174=data!A$9,AO174,AN174)+AP174+BR174+BT174</f>
        <v>#N/A</v>
      </c>
      <c r="BV174" s="204" t="str">
        <f>(G174*AR174)+if(AV174=data!A$9,AO174,AN174)+AP174+BT174+G174</f>
        <v>#N/A</v>
      </c>
      <c r="BW174" s="204" t="str">
        <f t="shared" si="28"/>
        <v>#N/A</v>
      </c>
      <c r="BX174" s="204" t="str">
        <f t="shared" si="29"/>
        <v>#N/A</v>
      </c>
    </row>
    <row r="175">
      <c r="A175" s="165" t="str">
        <f>if(D175=true,if(F175=data!A$1,data!A$10,data!A$11),)</f>
        <v/>
      </c>
      <c r="B175" s="166" t="str">
        <f t="shared" si="4"/>
        <v>FBS</v>
      </c>
      <c r="C175" s="167" t="s">
        <v>195</v>
      </c>
      <c r="D175" s="168" t="b">
        <v>0</v>
      </c>
      <c r="E175" s="169" t="s">
        <v>204</v>
      </c>
      <c r="F175" s="170" t="str">
        <f t="array" ref="F175">IF(D175=TRUE,IF(IF(BG$3=VLOOKUP(AT175,{'▶️ Инструкция'!C:C,'▶️ Инструкция'!G:G},2,FALSE),BG175,BH175)&gt;VLOOKUP(AT175,{'▶️ Инструкция'!C:C,'▶️ Инструкция'!N:N},2,FALSE),data!A$1,data!A$2),)</f>
        <v/>
      </c>
      <c r="G175" s="171">
        <v>0.0</v>
      </c>
      <c r="H175" s="172">
        <v>1000.0</v>
      </c>
      <c r="I175" s="173">
        <v>0.0</v>
      </c>
      <c r="J175" s="173">
        <v>0.0</v>
      </c>
      <c r="K175" s="174" t="str">
        <f t="shared" si="5"/>
        <v/>
      </c>
      <c r="L175" s="175">
        <v>0.0</v>
      </c>
      <c r="M175" s="176" t="s">
        <v>197</v>
      </c>
      <c r="N175" s="177">
        <f>IFERROR(__xludf.DUMMYFUNCTION("ArrayFormula(let(category,VLOOKUP($M175, {'📄 Комиссии'!$C:$C , '📄 Комиссии'!$B:$B}, 2, 0),
data,MATCH('🔒 Доп. информация'!$J$15:$J203,TRANSPOSE(SPLIT(INDEX('▶️ Инструкция'!$Q:$Q,MATCH($AT175,'▶️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commission,VLOOKUP($M175,'📄 Комиссии'!$C:$E,IF($AV175=data!A$8,2,3),0),
IF(NOT(ISBLANK($M175)),commission/100+
"&amp;"IFERROR(VLOOKUP($AT175,{'▶️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75" s="178" t="str">
        <f t="shared" si="6"/>
        <v/>
      </c>
      <c r="Q175" s="178" t="str">
        <f t="shared" si="7"/>
        <v/>
      </c>
      <c r="S175" s="179" t="s">
        <v>192</v>
      </c>
      <c r="T175" s="180" t="s">
        <v>193</v>
      </c>
      <c r="U175" s="181">
        <v>1.0</v>
      </c>
      <c r="V175" s="182" t="str">
        <f t="shared" ref="V175:Y175" si="533">IF($D175,"🔒",)</f>
        <v/>
      </c>
      <c r="W175" s="182" t="str">
        <f t="shared" si="533"/>
        <v/>
      </c>
      <c r="X175" s="182" t="str">
        <f t="shared" si="533"/>
        <v/>
      </c>
      <c r="Y175" s="182" t="str">
        <f t="shared" si="533"/>
        <v/>
      </c>
      <c r="Z175" s="183">
        <v>0.0</v>
      </c>
      <c r="AA175" s="184">
        <f t="shared" si="31"/>
        <v>0</v>
      </c>
      <c r="AB175" s="185" t="str">
        <f t="shared" ref="AB175:AD175" si="534">IF($D175,"🔒",)</f>
        <v/>
      </c>
      <c r="AC175" s="185" t="str">
        <f t="shared" si="534"/>
        <v/>
      </c>
      <c r="AD175" s="186" t="str">
        <f t="shared" si="534"/>
        <v/>
      </c>
      <c r="AE175" s="180">
        <v>30.0</v>
      </c>
      <c r="AF175" s="187">
        <v>0.0</v>
      </c>
      <c r="AG175" s="187">
        <v>0.0</v>
      </c>
      <c r="AH175" s="187">
        <v>0.0</v>
      </c>
      <c r="AI175" s="181">
        <f t="shared" si="10"/>
        <v>0</v>
      </c>
      <c r="AJ175" s="181">
        <f t="shared" si="11"/>
        <v>0</v>
      </c>
      <c r="AK175" s="185" t="str">
        <f t="shared" si="12"/>
        <v/>
      </c>
      <c r="AL175" s="188" t="str">
        <f t="array" ref="AL175">H175*(1-I175)*VLOOKUP(AT175,{'▶️ Инструкция'!C:C,'▶️ Инструкция'!AI:AI},2,false)</f>
        <v>#N/A</v>
      </c>
      <c r="AM175" s="186" t="str">
        <f t="shared" si="13"/>
        <v/>
      </c>
      <c r="AN175" s="189">
        <v>0.0</v>
      </c>
      <c r="AO175" s="189">
        <v>0.0</v>
      </c>
      <c r="AP175" s="189">
        <v>0.0</v>
      </c>
      <c r="AQ175" s="191">
        <v>1.0</v>
      </c>
      <c r="AR175" s="191">
        <v>0.0</v>
      </c>
      <c r="AS175" s="212">
        <v>0.0</v>
      </c>
      <c r="AT175" s="193" t="s">
        <v>206</v>
      </c>
      <c r="AU175" s="193" t="s">
        <v>121</v>
      </c>
      <c r="AV175" s="193" t="s">
        <v>199</v>
      </c>
      <c r="AW175" s="194">
        <f t="shared" si="14"/>
        <v>0</v>
      </c>
      <c r="AX175" s="195">
        <f t="shared" si="15"/>
        <v>0</v>
      </c>
      <c r="AY175" s="196" t="str">
        <f t="shared" si="16"/>
        <v>#N/A</v>
      </c>
      <c r="AZ175" s="213">
        <v>250.0</v>
      </c>
      <c r="BA175" s="196">
        <f t="shared" si="17"/>
        <v>0.25</v>
      </c>
      <c r="BB175" s="213">
        <f t="shared" si="18"/>
        <v>1000</v>
      </c>
      <c r="BC175" s="199" t="str">
        <f t="shared" si="19"/>
        <v>#N/A</v>
      </c>
      <c r="BD175" s="200" t="str">
        <f t="shared" si="20"/>
        <v>#N/A</v>
      </c>
      <c r="BE175" s="200">
        <f t="shared" si="21"/>
        <v>0</v>
      </c>
      <c r="BF175" s="201" t="str">
        <f t="shared" si="22"/>
        <v/>
      </c>
      <c r="BG175" s="201" t="str">
        <f t="shared" si="23"/>
        <v/>
      </c>
      <c r="BH175" s="202" t="str">
        <f t="shared" si="24"/>
        <v/>
      </c>
      <c r="BI175" s="203"/>
      <c r="BJ175" s="204">
        <f>IFERROR(__xludf.DUMMYFUNCTION("IF(AU175=data!A$5,
IF(AV175=data!A$8,
IF(T175=data!A$3,
VLOOKUP(S175,filter('🔒 Доп. информация'!D:H,'🔒 Доп. информация'!C:C=T175),4,FALSE)+VLOOKUP(S175,filter('🔒 Доп. информация'!D:H,'🔒 Доп. информация'!C:C=T175),5,FALSE)*AJ175,
IF(AND(MAX(AF175:AH175"&amp;")&lt;80,SUM(AF175:AH175)&lt;=160,AI175&lt;20,XLOOKUP(M175,'📄 Комиссии'!C:C,'📄 Комиссии'!B:B)&lt;&gt;""Продукты""),
VLOOKUP(S175,filter('🔒 Доп. информация'!D:H,'🔒 Доп. информация'!C:C=data!$A$3),4,FALSE)+VLOOKUP(S175,filter('🔒 Доп. информация'!D:H,'🔒 Доп. информаци"&amp;"я'!C:C=data!$A$3),5,FALSE)*AJ175,
VLOOKUP(S175,filter('🔒 Доп. информация'!D:H,'🔒 Доп. информация'!C:C=T175),4,FALSE)*ROUNDUP(AF175*AG175*AH175*L175/(120*80*175))/L175)
)
*(AE175/2)
,)
,)*0"),0.0)</f>
        <v>0</v>
      </c>
      <c r="BK175" s="204">
        <f>IFERROR(__xludf.DUMMYFUNCTION("IF(AU175=data!A$5,
IF(AI175&lt;=1,IF(AI175&lt;=0.8,IF(AI175&lt;=0.6,IF(AI175&lt;=0.4,IF(AI175&lt;=0.2,23,26),29),30),32)*VLOOKUP(S175,filter('🔒 Доп. информация'!D:E,'🔒 Доп. информация'!C:C=T175),2,FALSE)/'🔒 Доп. информация'!$K$9,
IF(AV175=data!A$8,U175,1)*VLOOKUP(S17"&amp;"5,filter('🔒 Доп. информация'!D:E,'🔒 Доп. информация'!C:C=T175),2,FALSE)+
IF(AV175=data!A$8,U175,1)*VLOOKUP(S175,filter('🔒 Доп. информация'!D:F,'🔒 Доп. информация'!C:C=T175),3,FALSE)*AJ175)
,0)"),69.0)</f>
        <v>69</v>
      </c>
      <c r="BL175" s="185" t="str">
        <f t="shared" ref="BL175:BM175" si="535">IF($D175,"🔒",)</f>
        <v/>
      </c>
      <c r="BM175" s="185" t="str">
        <f t="shared" si="535"/>
        <v/>
      </c>
      <c r="BN175" s="204">
        <f>VLOOKUP(T175,'🔒 Доп. информация'!J:P,7,false)</f>
        <v>50</v>
      </c>
      <c r="BO175" s="204">
        <f>IF(AV175=data!A$9,
(AA175+AO175+AP175+BJ175+BK175+BN175)+H175*AS175,
(BJ175+BK175+BN175)+H175*AS175
)</f>
        <v>119</v>
      </c>
      <c r="BP175" s="204">
        <f t="shared" si="26"/>
        <v>69</v>
      </c>
      <c r="BQ175" s="204">
        <f t="shared" si="27"/>
        <v>320</v>
      </c>
      <c r="BR175" s="204" t="str">
        <f t="shared" si="37"/>
        <v>#N/A</v>
      </c>
      <c r="BS175" s="204" t="str">
        <f t="array" ref="BS175">IF(VLOOKUP(AT175,{'▶️ Инструкция'!C:C,'▶️ Инструкция'!Y:Y},2,FALSE)=data!A$15,
H175*(1-I175),
(H175-BR175))
*VLOOKUP(AT175,{'▶️ Инструкция'!C:C,'▶️ Инструкция'!AD:AD},2,FALSE)/(1+VLOOKUP(AT175,{'▶️ Инструкция'!C:C,'▶️ Инструкция'!AD:AD},2,FALSE))</f>
        <v>#N/A</v>
      </c>
      <c r="BT175" s="204" t="str">
        <f t="array" ref="BT175">
IF(VLOOKUP(AT175,{'▶️ Инструкция'!C:C,'▶️ Инструкция'!Y:Y},2,FALSE)=data!A$15,
H175*(1-I175)-BS175,
(H175-BR175-BS175))
*
VLOOKUP(AT175,{'▶️ Инструкция'!C:C,'▶️ Инструкция'!R:R},2,FALSE)
+BS175</f>
        <v>#N/A</v>
      </c>
      <c r="BU175" s="204" t="str">
        <f>(G175*AR175)+if(AV175=data!A$9,AO175,AN175)+AP175+BR175+BT175</f>
        <v>#N/A</v>
      </c>
      <c r="BV175" s="204" t="str">
        <f>(G175*AR175)+if(AV175=data!A$9,AO175,AN175)+AP175+BT175+G175</f>
        <v>#N/A</v>
      </c>
      <c r="BW175" s="204" t="str">
        <f t="shared" si="28"/>
        <v>#N/A</v>
      </c>
      <c r="BX175" s="204" t="str">
        <f t="shared" si="29"/>
        <v>#N/A</v>
      </c>
    </row>
    <row r="176">
      <c r="A176" s="165" t="str">
        <f>if(D176=true,if(F176=data!A$1,data!A$10,data!A$11),)</f>
        <v/>
      </c>
      <c r="B176" s="166" t="str">
        <f t="shared" si="4"/>
        <v>FBS</v>
      </c>
      <c r="C176" s="167" t="s">
        <v>195</v>
      </c>
      <c r="D176" s="168" t="b">
        <v>0</v>
      </c>
      <c r="E176" s="169" t="s">
        <v>204</v>
      </c>
      <c r="F176" s="170" t="str">
        <f t="array" ref="F176">IF(D176=TRUE,IF(IF(BG$3=VLOOKUP(AT176,{'▶️ Инструкция'!C:C,'▶️ Инструкция'!G:G},2,FALSE),BG176,BH176)&gt;VLOOKUP(AT176,{'▶️ Инструкция'!C:C,'▶️ Инструкция'!N:N},2,FALSE),data!A$1,data!A$2),)</f>
        <v/>
      </c>
      <c r="G176" s="171">
        <v>0.0</v>
      </c>
      <c r="H176" s="172">
        <v>1000.0</v>
      </c>
      <c r="I176" s="173">
        <v>0.0</v>
      </c>
      <c r="J176" s="173">
        <v>0.0</v>
      </c>
      <c r="K176" s="174" t="str">
        <f t="shared" si="5"/>
        <v/>
      </c>
      <c r="L176" s="175">
        <v>0.0</v>
      </c>
      <c r="M176" s="176" t="s">
        <v>197</v>
      </c>
      <c r="N176" s="177">
        <f>IFERROR(__xludf.DUMMYFUNCTION("ArrayFormula(let(category,VLOOKUP($M176, {'📄 Комиссии'!$C:$C , '📄 Комиссии'!$B:$B}, 2, 0),
data,MATCH('🔒 Доп. информация'!$J$15:$J203,TRANSPOSE(SPLIT(INDEX('▶️ Инструкция'!$Q:$Q,MATCH($AT176,'▶️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commission,VLOOKUP($M176,'📄 Комиссии'!$C:$E,IF($AV176=data!A$8,2,3),0),
IF(NOT(ISBLANK($M176)),commission/100+
"&amp;"IFERROR(VLOOKUP($AT176,{'▶️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76" s="178" t="str">
        <f t="shared" si="6"/>
        <v/>
      </c>
      <c r="Q176" s="178" t="str">
        <f t="shared" si="7"/>
        <v/>
      </c>
      <c r="S176" s="179" t="s">
        <v>192</v>
      </c>
      <c r="T176" s="180" t="s">
        <v>193</v>
      </c>
      <c r="U176" s="181">
        <v>1.0</v>
      </c>
      <c r="V176" s="182" t="str">
        <f t="shared" ref="V176:Y176" si="536">IF($D176,"🔒",)</f>
        <v/>
      </c>
      <c r="W176" s="182" t="str">
        <f t="shared" si="536"/>
        <v/>
      </c>
      <c r="X176" s="182" t="str">
        <f t="shared" si="536"/>
        <v/>
      </c>
      <c r="Y176" s="182" t="str">
        <f t="shared" si="536"/>
        <v/>
      </c>
      <c r="Z176" s="183">
        <v>0.0</v>
      </c>
      <c r="AA176" s="184">
        <f t="shared" si="31"/>
        <v>0</v>
      </c>
      <c r="AB176" s="185" t="str">
        <f t="shared" ref="AB176:AD176" si="537">IF($D176,"🔒",)</f>
        <v/>
      </c>
      <c r="AC176" s="185" t="str">
        <f t="shared" si="537"/>
        <v/>
      </c>
      <c r="AD176" s="186" t="str">
        <f t="shared" si="537"/>
        <v/>
      </c>
      <c r="AE176" s="180">
        <v>30.0</v>
      </c>
      <c r="AF176" s="187">
        <v>0.0</v>
      </c>
      <c r="AG176" s="187">
        <v>0.0</v>
      </c>
      <c r="AH176" s="187">
        <v>0.0</v>
      </c>
      <c r="AI176" s="181">
        <f t="shared" si="10"/>
        <v>0</v>
      </c>
      <c r="AJ176" s="181">
        <f t="shared" si="11"/>
        <v>0</v>
      </c>
      <c r="AK176" s="185" t="str">
        <f t="shared" si="12"/>
        <v/>
      </c>
      <c r="AL176" s="188" t="str">
        <f t="array" ref="AL176">H176*(1-I176)*VLOOKUP(AT176,{'▶️ Инструкция'!C:C,'▶️ Инструкция'!AI:AI},2,false)</f>
        <v>#N/A</v>
      </c>
      <c r="AM176" s="186" t="str">
        <f t="shared" si="13"/>
        <v/>
      </c>
      <c r="AN176" s="189">
        <v>0.0</v>
      </c>
      <c r="AO176" s="189">
        <v>0.0</v>
      </c>
      <c r="AP176" s="189">
        <v>0.0</v>
      </c>
      <c r="AQ176" s="191">
        <v>1.0</v>
      </c>
      <c r="AR176" s="191">
        <v>0.0</v>
      </c>
      <c r="AS176" s="212">
        <v>0.0</v>
      </c>
      <c r="AT176" s="193" t="s">
        <v>206</v>
      </c>
      <c r="AU176" s="193" t="s">
        <v>121</v>
      </c>
      <c r="AV176" s="193" t="s">
        <v>199</v>
      </c>
      <c r="AW176" s="194">
        <f t="shared" si="14"/>
        <v>0</v>
      </c>
      <c r="AX176" s="195">
        <f t="shared" si="15"/>
        <v>0</v>
      </c>
      <c r="AY176" s="196" t="str">
        <f t="shared" si="16"/>
        <v>#N/A</v>
      </c>
      <c r="AZ176" s="213">
        <v>250.0</v>
      </c>
      <c r="BA176" s="196">
        <f t="shared" si="17"/>
        <v>0.25</v>
      </c>
      <c r="BB176" s="213">
        <f t="shared" si="18"/>
        <v>1000</v>
      </c>
      <c r="BC176" s="199" t="str">
        <f t="shared" si="19"/>
        <v>#N/A</v>
      </c>
      <c r="BD176" s="200" t="str">
        <f t="shared" si="20"/>
        <v>#N/A</v>
      </c>
      <c r="BE176" s="200">
        <f t="shared" si="21"/>
        <v>0</v>
      </c>
      <c r="BF176" s="201" t="str">
        <f t="shared" si="22"/>
        <v/>
      </c>
      <c r="BG176" s="201" t="str">
        <f t="shared" si="23"/>
        <v/>
      </c>
      <c r="BH176" s="202" t="str">
        <f t="shared" si="24"/>
        <v/>
      </c>
      <c r="BI176" s="203"/>
      <c r="BJ176" s="204">
        <f>IFERROR(__xludf.DUMMYFUNCTION("IF(AU176=data!A$5,
IF(AV176=data!A$8,
IF(T176=data!A$3,
VLOOKUP(S176,filter('🔒 Доп. информация'!D:H,'🔒 Доп. информация'!C:C=T176),4,FALSE)+VLOOKUP(S176,filter('🔒 Доп. информация'!D:H,'🔒 Доп. информация'!C:C=T176),5,FALSE)*AJ176,
IF(AND(MAX(AF176:AH176"&amp;")&lt;80,SUM(AF176:AH176)&lt;=160,AI176&lt;20,XLOOKUP(M176,'📄 Комиссии'!C:C,'📄 Комиссии'!B:B)&lt;&gt;""Продукты""),
VLOOKUP(S176,filter('🔒 Доп. информация'!D:H,'🔒 Доп. информация'!C:C=data!$A$3),4,FALSE)+VLOOKUP(S176,filter('🔒 Доп. информация'!D:H,'🔒 Доп. информаци"&amp;"я'!C:C=data!$A$3),5,FALSE)*AJ176,
VLOOKUP(S176,filter('🔒 Доп. информация'!D:H,'🔒 Доп. информация'!C:C=T176),4,FALSE)*ROUNDUP(AF176*AG176*AH176*L176/(120*80*175))/L176)
)
*(AE176/2)
,)
,)*0"),0.0)</f>
        <v>0</v>
      </c>
      <c r="BK176" s="204">
        <f>IFERROR(__xludf.DUMMYFUNCTION("IF(AU176=data!A$5,
IF(AI176&lt;=1,IF(AI176&lt;=0.8,IF(AI176&lt;=0.6,IF(AI176&lt;=0.4,IF(AI176&lt;=0.2,23,26),29),30),32)*VLOOKUP(S176,filter('🔒 Доп. информация'!D:E,'🔒 Доп. информация'!C:C=T176),2,FALSE)/'🔒 Доп. информация'!$K$9,
IF(AV176=data!A$8,U176,1)*VLOOKUP(S17"&amp;"6,filter('🔒 Доп. информация'!D:E,'🔒 Доп. информация'!C:C=T176),2,FALSE)+
IF(AV176=data!A$8,U176,1)*VLOOKUP(S176,filter('🔒 Доп. информация'!D:F,'🔒 Доп. информация'!C:C=T176),3,FALSE)*AJ176)
,0)"),69.0)</f>
        <v>69</v>
      </c>
      <c r="BL176" s="185" t="str">
        <f t="shared" ref="BL176:BM176" si="538">IF($D176,"🔒",)</f>
        <v/>
      </c>
      <c r="BM176" s="185" t="str">
        <f t="shared" si="538"/>
        <v/>
      </c>
      <c r="BN176" s="204">
        <f>VLOOKUP(T176,'🔒 Доп. информация'!J:P,7,false)</f>
        <v>50</v>
      </c>
      <c r="BO176" s="204">
        <f>IF(AV176=data!A$9,
(AA176+AO176+AP176+BJ176+BK176+BN176)+H176*AS176,
(BJ176+BK176+BN176)+H176*AS176
)</f>
        <v>119</v>
      </c>
      <c r="BP176" s="204">
        <f t="shared" si="26"/>
        <v>69</v>
      </c>
      <c r="BQ176" s="204">
        <f t="shared" si="27"/>
        <v>320</v>
      </c>
      <c r="BR176" s="204" t="str">
        <f t="shared" si="37"/>
        <v>#N/A</v>
      </c>
      <c r="BS176" s="204" t="str">
        <f t="array" ref="BS176">IF(VLOOKUP(AT176,{'▶️ Инструкция'!C:C,'▶️ Инструкция'!Y:Y},2,FALSE)=data!A$15,
H176*(1-I176),
(H176-BR176))
*VLOOKUP(AT176,{'▶️ Инструкция'!C:C,'▶️ Инструкция'!AD:AD},2,FALSE)/(1+VLOOKUP(AT176,{'▶️ Инструкция'!C:C,'▶️ Инструкция'!AD:AD},2,FALSE))</f>
        <v>#N/A</v>
      </c>
      <c r="BT176" s="204" t="str">
        <f t="array" ref="BT176">
IF(VLOOKUP(AT176,{'▶️ Инструкция'!C:C,'▶️ Инструкция'!Y:Y},2,FALSE)=data!A$15,
H176*(1-I176)-BS176,
(H176-BR176-BS176))
*
VLOOKUP(AT176,{'▶️ Инструкция'!C:C,'▶️ Инструкция'!R:R},2,FALSE)
+BS176</f>
        <v>#N/A</v>
      </c>
      <c r="BU176" s="204" t="str">
        <f>(G176*AR176)+if(AV176=data!A$9,AO176,AN176)+AP176+BR176+BT176</f>
        <v>#N/A</v>
      </c>
      <c r="BV176" s="204" t="str">
        <f>(G176*AR176)+if(AV176=data!A$9,AO176,AN176)+AP176+BT176+G176</f>
        <v>#N/A</v>
      </c>
      <c r="BW176" s="204" t="str">
        <f t="shared" si="28"/>
        <v>#N/A</v>
      </c>
      <c r="BX176" s="204" t="str">
        <f t="shared" si="29"/>
        <v>#N/A</v>
      </c>
    </row>
    <row r="177">
      <c r="A177" s="165" t="str">
        <f>if(D177=true,if(F177=data!A$1,data!A$10,data!A$11),)</f>
        <v/>
      </c>
      <c r="B177" s="166" t="str">
        <f t="shared" si="4"/>
        <v>FBS</v>
      </c>
      <c r="C177" s="167" t="s">
        <v>195</v>
      </c>
      <c r="D177" s="168" t="b">
        <v>0</v>
      </c>
      <c r="E177" s="169" t="s">
        <v>204</v>
      </c>
      <c r="F177" s="170" t="str">
        <f t="array" ref="F177">IF(D177=TRUE,IF(IF(BG$3=VLOOKUP(AT177,{'▶️ Инструкция'!C:C,'▶️ Инструкция'!G:G},2,FALSE),BG177,BH177)&gt;VLOOKUP(AT177,{'▶️ Инструкция'!C:C,'▶️ Инструкция'!N:N},2,FALSE),data!A$1,data!A$2),)</f>
        <v/>
      </c>
      <c r="G177" s="171">
        <v>0.0</v>
      </c>
      <c r="H177" s="172">
        <v>1000.0</v>
      </c>
      <c r="I177" s="173">
        <v>0.0</v>
      </c>
      <c r="J177" s="173">
        <v>0.0</v>
      </c>
      <c r="K177" s="174" t="str">
        <f t="shared" si="5"/>
        <v/>
      </c>
      <c r="L177" s="175">
        <v>0.0</v>
      </c>
      <c r="M177" s="176" t="s">
        <v>197</v>
      </c>
      <c r="N177" s="177">
        <f>IFERROR(__xludf.DUMMYFUNCTION("ArrayFormula(let(category,VLOOKUP($M177, {'📄 Комиссии'!$C:$C , '📄 Комиссии'!$B:$B}, 2, 0),
data,MATCH('🔒 Доп. информация'!$J$15:$J203,TRANSPOSE(SPLIT(INDEX('▶️ Инструкция'!$Q:$Q,MATCH($AT177,'▶️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commission,VLOOKUP($M177,'📄 Комиссии'!$C:$E,IF($AV177=data!A$8,2,3),0),
IF(NOT(ISBLANK($M177)),commission/100+
"&amp;"IFERROR(VLOOKUP($AT177,{'▶️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77" s="178" t="str">
        <f t="shared" si="6"/>
        <v/>
      </c>
      <c r="Q177" s="178" t="str">
        <f t="shared" si="7"/>
        <v/>
      </c>
      <c r="S177" s="179" t="s">
        <v>192</v>
      </c>
      <c r="T177" s="180" t="s">
        <v>193</v>
      </c>
      <c r="U177" s="181">
        <v>1.0</v>
      </c>
      <c r="V177" s="182" t="str">
        <f t="shared" ref="V177:Y177" si="539">IF($D177,"🔒",)</f>
        <v/>
      </c>
      <c r="W177" s="182" t="str">
        <f t="shared" si="539"/>
        <v/>
      </c>
      <c r="X177" s="182" t="str">
        <f t="shared" si="539"/>
        <v/>
      </c>
      <c r="Y177" s="182" t="str">
        <f t="shared" si="539"/>
        <v/>
      </c>
      <c r="Z177" s="183">
        <v>0.0</v>
      </c>
      <c r="AA177" s="184">
        <f t="shared" si="31"/>
        <v>0</v>
      </c>
      <c r="AB177" s="185" t="str">
        <f t="shared" ref="AB177:AD177" si="540">IF($D177,"🔒",)</f>
        <v/>
      </c>
      <c r="AC177" s="185" t="str">
        <f t="shared" si="540"/>
        <v/>
      </c>
      <c r="AD177" s="186" t="str">
        <f t="shared" si="540"/>
        <v/>
      </c>
      <c r="AE177" s="180">
        <v>30.0</v>
      </c>
      <c r="AF177" s="187">
        <v>0.0</v>
      </c>
      <c r="AG177" s="187">
        <v>0.0</v>
      </c>
      <c r="AH177" s="187">
        <v>0.0</v>
      </c>
      <c r="AI177" s="181">
        <f t="shared" si="10"/>
        <v>0</v>
      </c>
      <c r="AJ177" s="181">
        <f t="shared" si="11"/>
        <v>0</v>
      </c>
      <c r="AK177" s="185" t="str">
        <f t="shared" si="12"/>
        <v/>
      </c>
      <c r="AL177" s="188" t="str">
        <f t="array" ref="AL177">H177*(1-I177)*VLOOKUP(AT177,{'▶️ Инструкция'!C:C,'▶️ Инструкция'!AI:AI},2,false)</f>
        <v>#N/A</v>
      </c>
      <c r="AM177" s="186" t="str">
        <f t="shared" si="13"/>
        <v/>
      </c>
      <c r="AN177" s="189">
        <v>0.0</v>
      </c>
      <c r="AO177" s="189">
        <v>0.0</v>
      </c>
      <c r="AP177" s="189">
        <v>0.0</v>
      </c>
      <c r="AQ177" s="191">
        <v>1.0</v>
      </c>
      <c r="AR177" s="191">
        <v>0.0</v>
      </c>
      <c r="AS177" s="212">
        <v>0.0</v>
      </c>
      <c r="AT177" s="193" t="s">
        <v>206</v>
      </c>
      <c r="AU177" s="193" t="s">
        <v>121</v>
      </c>
      <c r="AV177" s="193" t="s">
        <v>199</v>
      </c>
      <c r="AW177" s="194">
        <f t="shared" si="14"/>
        <v>0</v>
      </c>
      <c r="AX177" s="195">
        <f t="shared" si="15"/>
        <v>0</v>
      </c>
      <c r="AY177" s="196" t="str">
        <f t="shared" si="16"/>
        <v>#N/A</v>
      </c>
      <c r="AZ177" s="213">
        <v>250.0</v>
      </c>
      <c r="BA177" s="196">
        <f t="shared" si="17"/>
        <v>0.25</v>
      </c>
      <c r="BB177" s="213">
        <f t="shared" si="18"/>
        <v>1000</v>
      </c>
      <c r="BC177" s="199" t="str">
        <f t="shared" si="19"/>
        <v>#N/A</v>
      </c>
      <c r="BD177" s="200" t="str">
        <f t="shared" si="20"/>
        <v>#N/A</v>
      </c>
      <c r="BE177" s="200">
        <f t="shared" si="21"/>
        <v>0</v>
      </c>
      <c r="BF177" s="201" t="str">
        <f t="shared" si="22"/>
        <v/>
      </c>
      <c r="BG177" s="201" t="str">
        <f t="shared" si="23"/>
        <v/>
      </c>
      <c r="BH177" s="202" t="str">
        <f t="shared" si="24"/>
        <v/>
      </c>
      <c r="BI177" s="203"/>
      <c r="BJ177" s="204">
        <f>IFERROR(__xludf.DUMMYFUNCTION("IF(AU177=data!A$5,
IF(AV177=data!A$8,
IF(T177=data!A$3,
VLOOKUP(S177,filter('🔒 Доп. информация'!D:H,'🔒 Доп. информация'!C:C=T177),4,FALSE)+VLOOKUP(S177,filter('🔒 Доп. информация'!D:H,'🔒 Доп. информация'!C:C=T177),5,FALSE)*AJ177,
IF(AND(MAX(AF177:AH177"&amp;")&lt;80,SUM(AF177:AH177)&lt;=160,AI177&lt;20,XLOOKUP(M177,'📄 Комиссии'!C:C,'📄 Комиссии'!B:B)&lt;&gt;""Продукты""),
VLOOKUP(S177,filter('🔒 Доп. информация'!D:H,'🔒 Доп. информация'!C:C=data!$A$3),4,FALSE)+VLOOKUP(S177,filter('🔒 Доп. информация'!D:H,'🔒 Доп. информаци"&amp;"я'!C:C=data!$A$3),5,FALSE)*AJ177,
VLOOKUP(S177,filter('🔒 Доп. информация'!D:H,'🔒 Доп. информация'!C:C=T177),4,FALSE)*ROUNDUP(AF177*AG177*AH177*L177/(120*80*175))/L177)
)
*(AE177/2)
,)
,)*0"),0.0)</f>
        <v>0</v>
      </c>
      <c r="BK177" s="204">
        <f>IFERROR(__xludf.DUMMYFUNCTION("IF(AU177=data!A$5,
IF(AI177&lt;=1,IF(AI177&lt;=0.8,IF(AI177&lt;=0.6,IF(AI177&lt;=0.4,IF(AI177&lt;=0.2,23,26),29),30),32)*VLOOKUP(S177,filter('🔒 Доп. информация'!D:E,'🔒 Доп. информация'!C:C=T177),2,FALSE)/'🔒 Доп. информация'!$K$9,
IF(AV177=data!A$8,U177,1)*VLOOKUP(S17"&amp;"7,filter('🔒 Доп. информация'!D:E,'🔒 Доп. информация'!C:C=T177),2,FALSE)+
IF(AV177=data!A$8,U177,1)*VLOOKUP(S177,filter('🔒 Доп. информация'!D:F,'🔒 Доп. информация'!C:C=T177),3,FALSE)*AJ177)
,0)"),69.0)</f>
        <v>69</v>
      </c>
      <c r="BL177" s="185" t="str">
        <f t="shared" ref="BL177:BM177" si="541">IF($D177,"🔒",)</f>
        <v/>
      </c>
      <c r="BM177" s="185" t="str">
        <f t="shared" si="541"/>
        <v/>
      </c>
      <c r="BN177" s="204">
        <f>VLOOKUP(T177,'🔒 Доп. информация'!J:P,7,false)</f>
        <v>50</v>
      </c>
      <c r="BO177" s="204">
        <f>IF(AV177=data!A$9,
(AA177+AO177+AP177+BJ177+BK177+BN177)+H177*AS177,
(BJ177+BK177+BN177)+H177*AS177
)</f>
        <v>119</v>
      </c>
      <c r="BP177" s="204">
        <f t="shared" si="26"/>
        <v>69</v>
      </c>
      <c r="BQ177" s="204">
        <f t="shared" si="27"/>
        <v>320</v>
      </c>
      <c r="BR177" s="204" t="str">
        <f t="shared" si="37"/>
        <v>#N/A</v>
      </c>
      <c r="BS177" s="204" t="str">
        <f t="array" ref="BS177">IF(VLOOKUP(AT177,{'▶️ Инструкция'!C:C,'▶️ Инструкция'!Y:Y},2,FALSE)=data!A$15,
H177*(1-I177),
(H177-BR177))
*VLOOKUP(AT177,{'▶️ Инструкция'!C:C,'▶️ Инструкция'!AD:AD},2,FALSE)/(1+VLOOKUP(AT177,{'▶️ Инструкция'!C:C,'▶️ Инструкция'!AD:AD},2,FALSE))</f>
        <v>#N/A</v>
      </c>
      <c r="BT177" s="204" t="str">
        <f t="array" ref="BT177">
IF(VLOOKUP(AT177,{'▶️ Инструкция'!C:C,'▶️ Инструкция'!Y:Y},2,FALSE)=data!A$15,
H177*(1-I177)-BS177,
(H177-BR177-BS177))
*
VLOOKUP(AT177,{'▶️ Инструкция'!C:C,'▶️ Инструкция'!R:R},2,FALSE)
+BS177</f>
        <v>#N/A</v>
      </c>
      <c r="BU177" s="204" t="str">
        <f>(G177*AR177)+if(AV177=data!A$9,AO177,AN177)+AP177+BR177+BT177</f>
        <v>#N/A</v>
      </c>
      <c r="BV177" s="204" t="str">
        <f>(G177*AR177)+if(AV177=data!A$9,AO177,AN177)+AP177+BT177+G177</f>
        <v>#N/A</v>
      </c>
      <c r="BW177" s="204" t="str">
        <f t="shared" si="28"/>
        <v>#N/A</v>
      </c>
      <c r="BX177" s="204" t="str">
        <f t="shared" si="29"/>
        <v>#N/A</v>
      </c>
    </row>
    <row r="178">
      <c r="A178" s="165" t="str">
        <f>if(D178=true,if(F178=data!A$1,data!A$10,data!A$11),)</f>
        <v/>
      </c>
      <c r="B178" s="166" t="str">
        <f t="shared" si="4"/>
        <v>FBS</v>
      </c>
      <c r="C178" s="167" t="s">
        <v>195</v>
      </c>
      <c r="D178" s="168" t="b">
        <v>0</v>
      </c>
      <c r="E178" s="169" t="s">
        <v>204</v>
      </c>
      <c r="F178" s="170" t="str">
        <f t="array" ref="F178">IF(D178=TRUE,IF(IF(BG$3=VLOOKUP(AT178,{'▶️ Инструкция'!C:C,'▶️ Инструкция'!G:G},2,FALSE),BG178,BH178)&gt;VLOOKUP(AT178,{'▶️ Инструкция'!C:C,'▶️ Инструкция'!N:N},2,FALSE),data!A$1,data!A$2),)</f>
        <v/>
      </c>
      <c r="G178" s="171">
        <v>0.0</v>
      </c>
      <c r="H178" s="172">
        <v>1000.0</v>
      </c>
      <c r="I178" s="173">
        <v>0.0</v>
      </c>
      <c r="J178" s="173">
        <v>0.0</v>
      </c>
      <c r="K178" s="174" t="str">
        <f t="shared" si="5"/>
        <v/>
      </c>
      <c r="L178" s="175">
        <v>0.0</v>
      </c>
      <c r="M178" s="176" t="s">
        <v>197</v>
      </c>
      <c r="N178" s="177">
        <f>IFERROR(__xludf.DUMMYFUNCTION("ArrayFormula(let(category,VLOOKUP($M178, {'📄 Комиссии'!$C:$C , '📄 Комиссии'!$B:$B}, 2, 0),
data,MATCH('🔒 Доп. информация'!$J$15:$J203,TRANSPOSE(SPLIT(INDEX('▶️ Инструкция'!$Q:$Q,MATCH($AT178,'▶️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commission,VLOOKUP($M178,'📄 Комиссии'!$C:$E,IF($AV178=data!A$8,2,3),0),
IF(NOT(ISBLANK($M178)),commission/100+
"&amp;"IFERROR(VLOOKUP($AT178,{'▶️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78" s="178" t="str">
        <f t="shared" si="6"/>
        <v/>
      </c>
      <c r="Q178" s="178" t="str">
        <f t="shared" si="7"/>
        <v/>
      </c>
      <c r="S178" s="179" t="s">
        <v>192</v>
      </c>
      <c r="T178" s="180" t="s">
        <v>193</v>
      </c>
      <c r="U178" s="181">
        <v>1.0</v>
      </c>
      <c r="V178" s="182" t="str">
        <f t="shared" ref="V178:Y178" si="542">IF($D178,"🔒",)</f>
        <v/>
      </c>
      <c r="W178" s="182" t="str">
        <f t="shared" si="542"/>
        <v/>
      </c>
      <c r="X178" s="182" t="str">
        <f t="shared" si="542"/>
        <v/>
      </c>
      <c r="Y178" s="182" t="str">
        <f t="shared" si="542"/>
        <v/>
      </c>
      <c r="Z178" s="183">
        <v>0.0</v>
      </c>
      <c r="AA178" s="184">
        <f t="shared" si="31"/>
        <v>0</v>
      </c>
      <c r="AB178" s="185" t="str">
        <f t="shared" ref="AB178:AD178" si="543">IF($D178,"🔒",)</f>
        <v/>
      </c>
      <c r="AC178" s="185" t="str">
        <f t="shared" si="543"/>
        <v/>
      </c>
      <c r="AD178" s="186" t="str">
        <f t="shared" si="543"/>
        <v/>
      </c>
      <c r="AE178" s="180">
        <v>30.0</v>
      </c>
      <c r="AF178" s="187">
        <v>0.0</v>
      </c>
      <c r="AG178" s="187">
        <v>0.0</v>
      </c>
      <c r="AH178" s="187">
        <v>0.0</v>
      </c>
      <c r="AI178" s="181">
        <f t="shared" si="10"/>
        <v>0</v>
      </c>
      <c r="AJ178" s="181">
        <f t="shared" si="11"/>
        <v>0</v>
      </c>
      <c r="AK178" s="185" t="str">
        <f t="shared" si="12"/>
        <v/>
      </c>
      <c r="AL178" s="188" t="str">
        <f t="array" ref="AL178">H178*(1-I178)*VLOOKUP(AT178,{'▶️ Инструкция'!C:C,'▶️ Инструкция'!AI:AI},2,false)</f>
        <v>#N/A</v>
      </c>
      <c r="AM178" s="186" t="str">
        <f t="shared" si="13"/>
        <v/>
      </c>
      <c r="AN178" s="189">
        <v>0.0</v>
      </c>
      <c r="AO178" s="189">
        <v>0.0</v>
      </c>
      <c r="AP178" s="189">
        <v>0.0</v>
      </c>
      <c r="AQ178" s="191">
        <v>1.0</v>
      </c>
      <c r="AR178" s="191">
        <v>0.0</v>
      </c>
      <c r="AS178" s="212">
        <v>0.0</v>
      </c>
      <c r="AT178" s="193" t="s">
        <v>206</v>
      </c>
      <c r="AU178" s="193" t="s">
        <v>121</v>
      </c>
      <c r="AV178" s="193" t="s">
        <v>199</v>
      </c>
      <c r="AW178" s="194">
        <f t="shared" si="14"/>
        <v>0</v>
      </c>
      <c r="AX178" s="195">
        <f t="shared" si="15"/>
        <v>0</v>
      </c>
      <c r="AY178" s="196" t="str">
        <f t="shared" si="16"/>
        <v>#N/A</v>
      </c>
      <c r="AZ178" s="213">
        <v>250.0</v>
      </c>
      <c r="BA178" s="196">
        <f t="shared" si="17"/>
        <v>0.25</v>
      </c>
      <c r="BB178" s="213">
        <f t="shared" si="18"/>
        <v>1000</v>
      </c>
      <c r="BC178" s="199" t="str">
        <f t="shared" si="19"/>
        <v>#N/A</v>
      </c>
      <c r="BD178" s="200" t="str">
        <f t="shared" si="20"/>
        <v>#N/A</v>
      </c>
      <c r="BE178" s="200">
        <f t="shared" si="21"/>
        <v>0</v>
      </c>
      <c r="BF178" s="201" t="str">
        <f t="shared" si="22"/>
        <v/>
      </c>
      <c r="BG178" s="201" t="str">
        <f t="shared" si="23"/>
        <v/>
      </c>
      <c r="BH178" s="202" t="str">
        <f t="shared" si="24"/>
        <v/>
      </c>
      <c r="BI178" s="203"/>
      <c r="BJ178" s="204">
        <f>IFERROR(__xludf.DUMMYFUNCTION("IF(AU178=data!A$5,
IF(AV178=data!A$8,
IF(T178=data!A$3,
VLOOKUP(S178,filter('🔒 Доп. информация'!D:H,'🔒 Доп. информация'!C:C=T178),4,FALSE)+VLOOKUP(S178,filter('🔒 Доп. информация'!D:H,'🔒 Доп. информация'!C:C=T178),5,FALSE)*AJ178,
IF(AND(MAX(AF178:AH178"&amp;")&lt;80,SUM(AF178:AH178)&lt;=160,AI178&lt;20,XLOOKUP(M178,'📄 Комиссии'!C:C,'📄 Комиссии'!B:B)&lt;&gt;""Продукты""),
VLOOKUP(S178,filter('🔒 Доп. информация'!D:H,'🔒 Доп. информация'!C:C=data!$A$3),4,FALSE)+VLOOKUP(S178,filter('🔒 Доп. информация'!D:H,'🔒 Доп. информаци"&amp;"я'!C:C=data!$A$3),5,FALSE)*AJ178,
VLOOKUP(S178,filter('🔒 Доп. информация'!D:H,'🔒 Доп. информация'!C:C=T178),4,FALSE)*ROUNDUP(AF178*AG178*AH178*L178/(120*80*175))/L178)
)
*(AE178/2)
,)
,)*0"),0.0)</f>
        <v>0</v>
      </c>
      <c r="BK178" s="204">
        <f>IFERROR(__xludf.DUMMYFUNCTION("IF(AU178=data!A$5,
IF(AI178&lt;=1,IF(AI178&lt;=0.8,IF(AI178&lt;=0.6,IF(AI178&lt;=0.4,IF(AI178&lt;=0.2,23,26),29),30),32)*VLOOKUP(S178,filter('🔒 Доп. информация'!D:E,'🔒 Доп. информация'!C:C=T178),2,FALSE)/'🔒 Доп. информация'!$K$9,
IF(AV178=data!A$8,U178,1)*VLOOKUP(S17"&amp;"8,filter('🔒 Доп. информация'!D:E,'🔒 Доп. информация'!C:C=T178),2,FALSE)+
IF(AV178=data!A$8,U178,1)*VLOOKUP(S178,filter('🔒 Доп. информация'!D:F,'🔒 Доп. информация'!C:C=T178),3,FALSE)*AJ178)
,0)"),69.0)</f>
        <v>69</v>
      </c>
      <c r="BL178" s="185" t="str">
        <f t="shared" ref="BL178:BM178" si="544">IF($D178,"🔒",)</f>
        <v/>
      </c>
      <c r="BM178" s="185" t="str">
        <f t="shared" si="544"/>
        <v/>
      </c>
      <c r="BN178" s="204">
        <f>VLOOKUP(T178,'🔒 Доп. информация'!J:P,7,false)</f>
        <v>50</v>
      </c>
      <c r="BO178" s="204">
        <f>IF(AV178=data!A$9,
(AA178+AO178+AP178+BJ178+BK178+BN178)+H178*AS178,
(BJ178+BK178+BN178)+H178*AS178
)</f>
        <v>119</v>
      </c>
      <c r="BP178" s="204">
        <f t="shared" si="26"/>
        <v>69</v>
      </c>
      <c r="BQ178" s="204">
        <f t="shared" si="27"/>
        <v>320</v>
      </c>
      <c r="BR178" s="204" t="str">
        <f t="shared" si="37"/>
        <v>#N/A</v>
      </c>
      <c r="BS178" s="204" t="str">
        <f t="array" ref="BS178">IF(VLOOKUP(AT178,{'▶️ Инструкция'!C:C,'▶️ Инструкция'!Y:Y},2,FALSE)=data!A$15,
H178*(1-I178),
(H178-BR178))
*VLOOKUP(AT178,{'▶️ Инструкция'!C:C,'▶️ Инструкция'!AD:AD},2,FALSE)/(1+VLOOKUP(AT178,{'▶️ Инструкция'!C:C,'▶️ Инструкция'!AD:AD},2,FALSE))</f>
        <v>#N/A</v>
      </c>
      <c r="BT178" s="204" t="str">
        <f t="array" ref="BT178">
IF(VLOOKUP(AT178,{'▶️ Инструкция'!C:C,'▶️ Инструкция'!Y:Y},2,FALSE)=data!A$15,
H178*(1-I178)-BS178,
(H178-BR178-BS178))
*
VLOOKUP(AT178,{'▶️ Инструкция'!C:C,'▶️ Инструкция'!R:R},2,FALSE)
+BS178</f>
        <v>#N/A</v>
      </c>
      <c r="BU178" s="204" t="str">
        <f>(G178*AR178)+if(AV178=data!A$9,AO178,AN178)+AP178+BR178+BT178</f>
        <v>#N/A</v>
      </c>
      <c r="BV178" s="204" t="str">
        <f>(G178*AR178)+if(AV178=data!A$9,AO178,AN178)+AP178+BT178+G178</f>
        <v>#N/A</v>
      </c>
      <c r="BW178" s="204" t="str">
        <f t="shared" si="28"/>
        <v>#N/A</v>
      </c>
      <c r="BX178" s="204" t="str">
        <f t="shared" si="29"/>
        <v>#N/A</v>
      </c>
    </row>
    <row r="179">
      <c r="A179" s="165" t="str">
        <f>if(D179=true,if(F179=data!A$1,data!A$10,data!A$11),)</f>
        <v/>
      </c>
      <c r="B179" s="166" t="str">
        <f t="shared" si="4"/>
        <v>FBS</v>
      </c>
      <c r="C179" s="167" t="s">
        <v>195</v>
      </c>
      <c r="D179" s="168" t="b">
        <v>0</v>
      </c>
      <c r="E179" s="169" t="s">
        <v>204</v>
      </c>
      <c r="F179" s="170" t="str">
        <f t="array" ref="F179">IF(D179=TRUE,IF(IF(BG$3=VLOOKUP(AT179,{'▶️ Инструкция'!C:C,'▶️ Инструкция'!G:G},2,FALSE),BG179,BH179)&gt;VLOOKUP(AT179,{'▶️ Инструкция'!C:C,'▶️ Инструкция'!N:N},2,FALSE),data!A$1,data!A$2),)</f>
        <v/>
      </c>
      <c r="G179" s="171">
        <v>0.0</v>
      </c>
      <c r="H179" s="172">
        <v>1000.0</v>
      </c>
      <c r="I179" s="173">
        <v>0.0</v>
      </c>
      <c r="J179" s="173">
        <v>0.0</v>
      </c>
      <c r="K179" s="174" t="str">
        <f t="shared" si="5"/>
        <v/>
      </c>
      <c r="L179" s="175">
        <v>0.0</v>
      </c>
      <c r="M179" s="176" t="s">
        <v>197</v>
      </c>
      <c r="N179" s="177">
        <f>IFERROR(__xludf.DUMMYFUNCTION("ArrayFormula(let(category,VLOOKUP($M179, {'📄 Комиссии'!$C:$C , '📄 Комиссии'!$B:$B}, 2, 0),
data,MATCH('🔒 Доп. информация'!$J$15:$J203,TRANSPOSE(SPLIT(INDEX('▶️ Инструкция'!$Q:$Q,MATCH($AT179,'▶️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commission,VLOOKUP($M179,'📄 Комиссии'!$C:$E,IF($AV179=data!A$8,2,3),0),
IF(NOT(ISBLANK($M179)),commission/100+
"&amp;"IFERROR(VLOOKUP($AT179,{'▶️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79" s="178" t="str">
        <f t="shared" si="6"/>
        <v/>
      </c>
      <c r="Q179" s="178" t="str">
        <f t="shared" si="7"/>
        <v/>
      </c>
      <c r="S179" s="179" t="s">
        <v>192</v>
      </c>
      <c r="T179" s="180" t="s">
        <v>193</v>
      </c>
      <c r="U179" s="181">
        <v>1.0</v>
      </c>
      <c r="V179" s="182" t="str">
        <f t="shared" ref="V179:Y179" si="545">IF($D179,"🔒",)</f>
        <v/>
      </c>
      <c r="W179" s="182" t="str">
        <f t="shared" si="545"/>
        <v/>
      </c>
      <c r="X179" s="182" t="str">
        <f t="shared" si="545"/>
        <v/>
      </c>
      <c r="Y179" s="182" t="str">
        <f t="shared" si="545"/>
        <v/>
      </c>
      <c r="Z179" s="183">
        <v>0.0</v>
      </c>
      <c r="AA179" s="184">
        <f t="shared" si="31"/>
        <v>0</v>
      </c>
      <c r="AB179" s="185" t="str">
        <f t="shared" ref="AB179:AD179" si="546">IF($D179,"🔒",)</f>
        <v/>
      </c>
      <c r="AC179" s="185" t="str">
        <f t="shared" si="546"/>
        <v/>
      </c>
      <c r="AD179" s="186" t="str">
        <f t="shared" si="546"/>
        <v/>
      </c>
      <c r="AE179" s="180">
        <v>30.0</v>
      </c>
      <c r="AF179" s="187">
        <v>0.0</v>
      </c>
      <c r="AG179" s="187">
        <v>0.0</v>
      </c>
      <c r="AH179" s="187">
        <v>0.0</v>
      </c>
      <c r="AI179" s="181">
        <f t="shared" si="10"/>
        <v>0</v>
      </c>
      <c r="AJ179" s="181">
        <f t="shared" si="11"/>
        <v>0</v>
      </c>
      <c r="AK179" s="185" t="str">
        <f t="shared" si="12"/>
        <v/>
      </c>
      <c r="AL179" s="188" t="str">
        <f t="array" ref="AL179">H179*(1-I179)*VLOOKUP(AT179,{'▶️ Инструкция'!C:C,'▶️ Инструкция'!AI:AI},2,false)</f>
        <v>#N/A</v>
      </c>
      <c r="AM179" s="186" t="str">
        <f t="shared" si="13"/>
        <v/>
      </c>
      <c r="AN179" s="189">
        <v>0.0</v>
      </c>
      <c r="AO179" s="189">
        <v>0.0</v>
      </c>
      <c r="AP179" s="189">
        <v>0.0</v>
      </c>
      <c r="AQ179" s="191">
        <v>1.0</v>
      </c>
      <c r="AR179" s="191">
        <v>0.0</v>
      </c>
      <c r="AS179" s="212">
        <v>0.0</v>
      </c>
      <c r="AT179" s="193" t="s">
        <v>206</v>
      </c>
      <c r="AU179" s="193" t="s">
        <v>121</v>
      </c>
      <c r="AV179" s="193" t="s">
        <v>199</v>
      </c>
      <c r="AW179" s="194">
        <f t="shared" si="14"/>
        <v>0</v>
      </c>
      <c r="AX179" s="195">
        <f t="shared" si="15"/>
        <v>0</v>
      </c>
      <c r="AY179" s="196" t="str">
        <f t="shared" si="16"/>
        <v>#N/A</v>
      </c>
      <c r="AZ179" s="213">
        <v>250.0</v>
      </c>
      <c r="BA179" s="196">
        <f t="shared" si="17"/>
        <v>0.25</v>
      </c>
      <c r="BB179" s="213">
        <f t="shared" si="18"/>
        <v>1000</v>
      </c>
      <c r="BC179" s="199" t="str">
        <f t="shared" si="19"/>
        <v>#N/A</v>
      </c>
      <c r="BD179" s="200" t="str">
        <f t="shared" si="20"/>
        <v>#N/A</v>
      </c>
      <c r="BE179" s="200">
        <f t="shared" si="21"/>
        <v>0</v>
      </c>
      <c r="BF179" s="201" t="str">
        <f t="shared" si="22"/>
        <v/>
      </c>
      <c r="BG179" s="201" t="str">
        <f t="shared" si="23"/>
        <v/>
      </c>
      <c r="BH179" s="202" t="str">
        <f t="shared" si="24"/>
        <v/>
      </c>
      <c r="BI179" s="203"/>
      <c r="BJ179" s="204">
        <f>IFERROR(__xludf.DUMMYFUNCTION("IF(AU179=data!A$5,
IF(AV179=data!A$8,
IF(T179=data!A$3,
VLOOKUP(S179,filter('🔒 Доп. информация'!D:H,'🔒 Доп. информация'!C:C=T179),4,FALSE)+VLOOKUP(S179,filter('🔒 Доп. информация'!D:H,'🔒 Доп. информация'!C:C=T179),5,FALSE)*AJ179,
IF(AND(MAX(AF179:AH179"&amp;")&lt;80,SUM(AF179:AH179)&lt;=160,AI179&lt;20,XLOOKUP(M179,'📄 Комиссии'!C:C,'📄 Комиссии'!B:B)&lt;&gt;""Продукты""),
VLOOKUP(S179,filter('🔒 Доп. информация'!D:H,'🔒 Доп. информация'!C:C=data!$A$3),4,FALSE)+VLOOKUP(S179,filter('🔒 Доп. информация'!D:H,'🔒 Доп. информаци"&amp;"я'!C:C=data!$A$3),5,FALSE)*AJ179,
VLOOKUP(S179,filter('🔒 Доп. информация'!D:H,'🔒 Доп. информация'!C:C=T179),4,FALSE)*ROUNDUP(AF179*AG179*AH179*L179/(120*80*175))/L179)
)
*(AE179/2)
,)
,)*0"),0.0)</f>
        <v>0</v>
      </c>
      <c r="BK179" s="204">
        <f>IFERROR(__xludf.DUMMYFUNCTION("IF(AU179=data!A$5,
IF(AI179&lt;=1,IF(AI179&lt;=0.8,IF(AI179&lt;=0.6,IF(AI179&lt;=0.4,IF(AI179&lt;=0.2,23,26),29),30),32)*VLOOKUP(S179,filter('🔒 Доп. информация'!D:E,'🔒 Доп. информация'!C:C=T179),2,FALSE)/'🔒 Доп. информация'!$K$9,
IF(AV179=data!A$8,U179,1)*VLOOKUP(S17"&amp;"9,filter('🔒 Доп. информация'!D:E,'🔒 Доп. информация'!C:C=T179),2,FALSE)+
IF(AV179=data!A$8,U179,1)*VLOOKUP(S179,filter('🔒 Доп. информация'!D:F,'🔒 Доп. информация'!C:C=T179),3,FALSE)*AJ179)
,0)"),69.0)</f>
        <v>69</v>
      </c>
      <c r="BL179" s="185" t="str">
        <f t="shared" ref="BL179:BM179" si="547">IF($D179,"🔒",)</f>
        <v/>
      </c>
      <c r="BM179" s="185" t="str">
        <f t="shared" si="547"/>
        <v/>
      </c>
      <c r="BN179" s="204">
        <f>VLOOKUP(T179,'🔒 Доп. информация'!J:P,7,false)</f>
        <v>50</v>
      </c>
      <c r="BO179" s="204">
        <f>IF(AV179=data!A$9,
(AA179+AO179+AP179+BJ179+BK179+BN179)+H179*AS179,
(BJ179+BK179+BN179)+H179*AS179
)</f>
        <v>119</v>
      </c>
      <c r="BP179" s="204">
        <f t="shared" si="26"/>
        <v>69</v>
      </c>
      <c r="BQ179" s="204">
        <f t="shared" si="27"/>
        <v>320</v>
      </c>
      <c r="BR179" s="204" t="str">
        <f t="shared" si="37"/>
        <v>#N/A</v>
      </c>
      <c r="BS179" s="204" t="str">
        <f t="array" ref="BS179">IF(VLOOKUP(AT179,{'▶️ Инструкция'!C:C,'▶️ Инструкция'!Y:Y},2,FALSE)=data!A$15,
H179*(1-I179),
(H179-BR179))
*VLOOKUP(AT179,{'▶️ Инструкция'!C:C,'▶️ Инструкция'!AD:AD},2,FALSE)/(1+VLOOKUP(AT179,{'▶️ Инструкция'!C:C,'▶️ Инструкция'!AD:AD},2,FALSE))</f>
        <v>#N/A</v>
      </c>
      <c r="BT179" s="204" t="str">
        <f t="array" ref="BT179">
IF(VLOOKUP(AT179,{'▶️ Инструкция'!C:C,'▶️ Инструкция'!Y:Y},2,FALSE)=data!A$15,
H179*(1-I179)-BS179,
(H179-BR179-BS179))
*
VLOOKUP(AT179,{'▶️ Инструкция'!C:C,'▶️ Инструкция'!R:R},2,FALSE)
+BS179</f>
        <v>#N/A</v>
      </c>
      <c r="BU179" s="204" t="str">
        <f>(G179*AR179)+if(AV179=data!A$9,AO179,AN179)+AP179+BR179+BT179</f>
        <v>#N/A</v>
      </c>
      <c r="BV179" s="204" t="str">
        <f>(G179*AR179)+if(AV179=data!A$9,AO179,AN179)+AP179+BT179+G179</f>
        <v>#N/A</v>
      </c>
      <c r="BW179" s="204" t="str">
        <f t="shared" si="28"/>
        <v>#N/A</v>
      </c>
      <c r="BX179" s="204" t="str">
        <f t="shared" si="29"/>
        <v>#N/A</v>
      </c>
    </row>
    <row r="180">
      <c r="A180" s="165" t="str">
        <f>if(D180=true,if(F180=data!A$1,data!A$10,data!A$11),)</f>
        <v/>
      </c>
      <c r="B180" s="166" t="str">
        <f t="shared" si="4"/>
        <v>FBS</v>
      </c>
      <c r="C180" s="167" t="s">
        <v>195</v>
      </c>
      <c r="D180" s="168" t="b">
        <v>0</v>
      </c>
      <c r="E180" s="169" t="s">
        <v>204</v>
      </c>
      <c r="F180" s="170" t="str">
        <f t="array" ref="F180">IF(D180=TRUE,IF(IF(BG$3=VLOOKUP(AT180,{'▶️ Инструкция'!C:C,'▶️ Инструкция'!G:G},2,FALSE),BG180,BH180)&gt;VLOOKUP(AT180,{'▶️ Инструкция'!C:C,'▶️ Инструкция'!N:N},2,FALSE),data!A$1,data!A$2),)</f>
        <v/>
      </c>
      <c r="G180" s="171">
        <v>0.0</v>
      </c>
      <c r="H180" s="172">
        <v>1000.0</v>
      </c>
      <c r="I180" s="173">
        <v>0.0</v>
      </c>
      <c r="J180" s="173">
        <v>0.0</v>
      </c>
      <c r="K180" s="174" t="str">
        <f t="shared" si="5"/>
        <v/>
      </c>
      <c r="L180" s="175">
        <v>0.0</v>
      </c>
      <c r="M180" s="176" t="s">
        <v>197</v>
      </c>
      <c r="N180" s="177">
        <f>IFERROR(__xludf.DUMMYFUNCTION("ArrayFormula(let(category,VLOOKUP($M180, {'📄 Комиссии'!$C:$C , '📄 Комиссии'!$B:$B}, 2, 0),
data,MATCH('🔒 Доп. информация'!$J$15:$J203,TRANSPOSE(SPLIT(INDEX('▶️ Инструкция'!$Q:$Q,MATCH($AT180,'▶️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commission,VLOOKUP($M180,'📄 Комиссии'!$C:$E,IF($AV180=data!A$8,2,3),0),
IF(NOT(ISBLANK($M180)),commission/100+
"&amp;"IFERROR(VLOOKUP($AT180,{'▶️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80" s="178" t="str">
        <f t="shared" si="6"/>
        <v/>
      </c>
      <c r="Q180" s="178" t="str">
        <f t="shared" si="7"/>
        <v/>
      </c>
      <c r="S180" s="179" t="s">
        <v>192</v>
      </c>
      <c r="T180" s="180" t="s">
        <v>193</v>
      </c>
      <c r="U180" s="181">
        <v>1.0</v>
      </c>
      <c r="V180" s="182" t="str">
        <f t="shared" ref="V180:Y180" si="548">IF($D180,"🔒",)</f>
        <v/>
      </c>
      <c r="W180" s="182" t="str">
        <f t="shared" si="548"/>
        <v/>
      </c>
      <c r="X180" s="182" t="str">
        <f t="shared" si="548"/>
        <v/>
      </c>
      <c r="Y180" s="182" t="str">
        <f t="shared" si="548"/>
        <v/>
      </c>
      <c r="Z180" s="183">
        <v>0.0</v>
      </c>
      <c r="AA180" s="184">
        <f t="shared" si="31"/>
        <v>0</v>
      </c>
      <c r="AB180" s="185" t="str">
        <f t="shared" ref="AB180:AD180" si="549">IF($D180,"🔒",)</f>
        <v/>
      </c>
      <c r="AC180" s="185" t="str">
        <f t="shared" si="549"/>
        <v/>
      </c>
      <c r="AD180" s="186" t="str">
        <f t="shared" si="549"/>
        <v/>
      </c>
      <c r="AE180" s="180">
        <v>30.0</v>
      </c>
      <c r="AF180" s="187">
        <v>0.0</v>
      </c>
      <c r="AG180" s="187">
        <v>0.0</v>
      </c>
      <c r="AH180" s="187">
        <v>0.0</v>
      </c>
      <c r="AI180" s="181">
        <f t="shared" si="10"/>
        <v>0</v>
      </c>
      <c r="AJ180" s="181">
        <f t="shared" si="11"/>
        <v>0</v>
      </c>
      <c r="AK180" s="185" t="str">
        <f t="shared" si="12"/>
        <v/>
      </c>
      <c r="AL180" s="188" t="str">
        <f t="array" ref="AL180">H180*(1-I180)*VLOOKUP(AT180,{'▶️ Инструкция'!C:C,'▶️ Инструкция'!AI:AI},2,false)</f>
        <v>#N/A</v>
      </c>
      <c r="AM180" s="186" t="str">
        <f t="shared" si="13"/>
        <v/>
      </c>
      <c r="AN180" s="189">
        <v>0.0</v>
      </c>
      <c r="AO180" s="189">
        <v>0.0</v>
      </c>
      <c r="AP180" s="189">
        <v>0.0</v>
      </c>
      <c r="AQ180" s="191">
        <v>1.0</v>
      </c>
      <c r="AR180" s="191">
        <v>0.0</v>
      </c>
      <c r="AS180" s="212">
        <v>0.0</v>
      </c>
      <c r="AT180" s="193" t="s">
        <v>206</v>
      </c>
      <c r="AU180" s="193" t="s">
        <v>121</v>
      </c>
      <c r="AV180" s="193" t="s">
        <v>199</v>
      </c>
      <c r="AW180" s="194">
        <f t="shared" si="14"/>
        <v>0</v>
      </c>
      <c r="AX180" s="195">
        <f t="shared" si="15"/>
        <v>0</v>
      </c>
      <c r="AY180" s="196" t="str">
        <f t="shared" si="16"/>
        <v>#N/A</v>
      </c>
      <c r="AZ180" s="213">
        <v>250.0</v>
      </c>
      <c r="BA180" s="196">
        <f t="shared" si="17"/>
        <v>0.25</v>
      </c>
      <c r="BB180" s="213">
        <f t="shared" si="18"/>
        <v>1000</v>
      </c>
      <c r="BC180" s="199" t="str">
        <f t="shared" si="19"/>
        <v>#N/A</v>
      </c>
      <c r="BD180" s="200" t="str">
        <f t="shared" si="20"/>
        <v>#N/A</v>
      </c>
      <c r="BE180" s="200">
        <f t="shared" si="21"/>
        <v>0</v>
      </c>
      <c r="BF180" s="201" t="str">
        <f t="shared" si="22"/>
        <v/>
      </c>
      <c r="BG180" s="201" t="str">
        <f t="shared" si="23"/>
        <v/>
      </c>
      <c r="BH180" s="202" t="str">
        <f t="shared" si="24"/>
        <v/>
      </c>
      <c r="BI180" s="203"/>
      <c r="BJ180" s="204">
        <f>IFERROR(__xludf.DUMMYFUNCTION("IF(AU180=data!A$5,
IF(AV180=data!A$8,
IF(T180=data!A$3,
VLOOKUP(S180,filter('🔒 Доп. информация'!D:H,'🔒 Доп. информация'!C:C=T180),4,FALSE)+VLOOKUP(S180,filter('🔒 Доп. информация'!D:H,'🔒 Доп. информация'!C:C=T180),5,FALSE)*AJ180,
IF(AND(MAX(AF180:AH180"&amp;")&lt;80,SUM(AF180:AH180)&lt;=160,AI180&lt;20,XLOOKUP(M180,'📄 Комиссии'!C:C,'📄 Комиссии'!B:B)&lt;&gt;""Продукты""),
VLOOKUP(S180,filter('🔒 Доп. информация'!D:H,'🔒 Доп. информация'!C:C=data!$A$3),4,FALSE)+VLOOKUP(S180,filter('🔒 Доп. информация'!D:H,'🔒 Доп. информаци"&amp;"я'!C:C=data!$A$3),5,FALSE)*AJ180,
VLOOKUP(S180,filter('🔒 Доп. информация'!D:H,'🔒 Доп. информация'!C:C=T180),4,FALSE)*ROUNDUP(AF180*AG180*AH180*L180/(120*80*175))/L180)
)
*(AE180/2)
,)
,)*0"),0.0)</f>
        <v>0</v>
      </c>
      <c r="BK180" s="204">
        <f>IFERROR(__xludf.DUMMYFUNCTION("IF(AU180=data!A$5,
IF(AI180&lt;=1,IF(AI180&lt;=0.8,IF(AI180&lt;=0.6,IF(AI180&lt;=0.4,IF(AI180&lt;=0.2,23,26),29),30),32)*VLOOKUP(S180,filter('🔒 Доп. информация'!D:E,'🔒 Доп. информация'!C:C=T180),2,FALSE)/'🔒 Доп. информация'!$K$9,
IF(AV180=data!A$8,U180,1)*VLOOKUP(S18"&amp;"0,filter('🔒 Доп. информация'!D:E,'🔒 Доп. информация'!C:C=T180),2,FALSE)+
IF(AV180=data!A$8,U180,1)*VLOOKUP(S180,filter('🔒 Доп. информация'!D:F,'🔒 Доп. информация'!C:C=T180),3,FALSE)*AJ180)
,0)"),69.0)</f>
        <v>69</v>
      </c>
      <c r="BL180" s="185" t="str">
        <f t="shared" ref="BL180:BM180" si="550">IF($D180,"🔒",)</f>
        <v/>
      </c>
      <c r="BM180" s="185" t="str">
        <f t="shared" si="550"/>
        <v/>
      </c>
      <c r="BN180" s="204">
        <f>VLOOKUP(T180,'🔒 Доп. информация'!J:P,7,false)</f>
        <v>50</v>
      </c>
      <c r="BO180" s="204">
        <f>IF(AV180=data!A$9,
(AA180+AO180+AP180+BJ180+BK180+BN180)+H180*AS180,
(BJ180+BK180+BN180)+H180*AS180
)</f>
        <v>119</v>
      </c>
      <c r="BP180" s="204">
        <f t="shared" si="26"/>
        <v>69</v>
      </c>
      <c r="BQ180" s="204">
        <f t="shared" si="27"/>
        <v>320</v>
      </c>
      <c r="BR180" s="204" t="str">
        <f t="shared" si="37"/>
        <v>#N/A</v>
      </c>
      <c r="BS180" s="204" t="str">
        <f t="array" ref="BS180">IF(VLOOKUP(AT180,{'▶️ Инструкция'!C:C,'▶️ Инструкция'!Y:Y},2,FALSE)=data!A$15,
H180*(1-I180),
(H180-BR180))
*VLOOKUP(AT180,{'▶️ Инструкция'!C:C,'▶️ Инструкция'!AD:AD},2,FALSE)/(1+VLOOKUP(AT180,{'▶️ Инструкция'!C:C,'▶️ Инструкция'!AD:AD},2,FALSE))</f>
        <v>#N/A</v>
      </c>
      <c r="BT180" s="204" t="str">
        <f t="array" ref="BT180">
IF(VLOOKUP(AT180,{'▶️ Инструкция'!C:C,'▶️ Инструкция'!Y:Y},2,FALSE)=data!A$15,
H180*(1-I180)-BS180,
(H180-BR180-BS180))
*
VLOOKUP(AT180,{'▶️ Инструкция'!C:C,'▶️ Инструкция'!R:R},2,FALSE)
+BS180</f>
        <v>#N/A</v>
      </c>
      <c r="BU180" s="204" t="str">
        <f>(G180*AR180)+if(AV180=data!A$9,AO180,AN180)+AP180+BR180+BT180</f>
        <v>#N/A</v>
      </c>
      <c r="BV180" s="204" t="str">
        <f>(G180*AR180)+if(AV180=data!A$9,AO180,AN180)+AP180+BT180+G180</f>
        <v>#N/A</v>
      </c>
      <c r="BW180" s="204" t="str">
        <f t="shared" si="28"/>
        <v>#N/A</v>
      </c>
      <c r="BX180" s="204" t="str">
        <f t="shared" si="29"/>
        <v>#N/A</v>
      </c>
    </row>
    <row r="181">
      <c r="A181" s="165" t="str">
        <f>if(D181=true,if(F181=data!A$1,data!A$10,data!A$11),)</f>
        <v/>
      </c>
      <c r="B181" s="166" t="str">
        <f t="shared" si="4"/>
        <v>FBS</v>
      </c>
      <c r="C181" s="167" t="s">
        <v>195</v>
      </c>
      <c r="D181" s="168" t="b">
        <v>0</v>
      </c>
      <c r="E181" s="169" t="s">
        <v>204</v>
      </c>
      <c r="F181" s="170" t="str">
        <f t="array" ref="F181">IF(D181=TRUE,IF(IF(BG$3=VLOOKUP(AT181,{'▶️ Инструкция'!C:C,'▶️ Инструкция'!G:G},2,FALSE),BG181,BH181)&gt;VLOOKUP(AT181,{'▶️ Инструкция'!C:C,'▶️ Инструкция'!N:N},2,FALSE),data!A$1,data!A$2),)</f>
        <v/>
      </c>
      <c r="G181" s="171">
        <v>0.0</v>
      </c>
      <c r="H181" s="172">
        <v>1000.0</v>
      </c>
      <c r="I181" s="173">
        <v>0.0</v>
      </c>
      <c r="J181" s="173">
        <v>0.0</v>
      </c>
      <c r="K181" s="174" t="str">
        <f t="shared" si="5"/>
        <v/>
      </c>
      <c r="L181" s="175">
        <v>0.0</v>
      </c>
      <c r="M181" s="176" t="s">
        <v>197</v>
      </c>
      <c r="N181" s="177">
        <f>IFERROR(__xludf.DUMMYFUNCTION("ArrayFormula(let(category,VLOOKUP($M181, {'📄 Комиссии'!$C:$C , '📄 Комиссии'!$B:$B}, 2, 0),
data,MATCH('🔒 Доп. информация'!$J$15:$J203,TRANSPOSE(SPLIT(INDEX('▶️ Инструкция'!$Q:$Q,MATCH($AT181,'▶️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commission,VLOOKUP($M181,'📄 Комиссии'!$C:$E,IF($AV181=data!A$8,2,3),0),
IF(NOT(ISBLANK($M181)),commission/100+
"&amp;"IFERROR(VLOOKUP($AT181,{'▶️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81" s="178" t="str">
        <f t="shared" si="6"/>
        <v/>
      </c>
      <c r="Q181" s="178" t="str">
        <f t="shared" si="7"/>
        <v/>
      </c>
      <c r="S181" s="179" t="s">
        <v>192</v>
      </c>
      <c r="T181" s="180" t="s">
        <v>193</v>
      </c>
      <c r="U181" s="181">
        <v>1.0</v>
      </c>
      <c r="V181" s="182" t="str">
        <f t="shared" ref="V181:Y181" si="551">IF($D181,"🔒",)</f>
        <v/>
      </c>
      <c r="W181" s="182" t="str">
        <f t="shared" si="551"/>
        <v/>
      </c>
      <c r="X181" s="182" t="str">
        <f t="shared" si="551"/>
        <v/>
      </c>
      <c r="Y181" s="182" t="str">
        <f t="shared" si="551"/>
        <v/>
      </c>
      <c r="Z181" s="183">
        <v>0.0</v>
      </c>
      <c r="AA181" s="184">
        <f t="shared" si="31"/>
        <v>0</v>
      </c>
      <c r="AB181" s="185" t="str">
        <f t="shared" ref="AB181:AD181" si="552">IF($D181,"🔒",)</f>
        <v/>
      </c>
      <c r="AC181" s="185" t="str">
        <f t="shared" si="552"/>
        <v/>
      </c>
      <c r="AD181" s="186" t="str">
        <f t="shared" si="552"/>
        <v/>
      </c>
      <c r="AE181" s="180">
        <v>30.0</v>
      </c>
      <c r="AF181" s="187">
        <v>0.0</v>
      </c>
      <c r="AG181" s="187">
        <v>0.0</v>
      </c>
      <c r="AH181" s="187">
        <v>0.0</v>
      </c>
      <c r="AI181" s="181">
        <f t="shared" si="10"/>
        <v>0</v>
      </c>
      <c r="AJ181" s="181">
        <f t="shared" si="11"/>
        <v>0</v>
      </c>
      <c r="AK181" s="185" t="str">
        <f t="shared" si="12"/>
        <v/>
      </c>
      <c r="AL181" s="188" t="str">
        <f t="array" ref="AL181">H181*(1-I181)*VLOOKUP(AT181,{'▶️ Инструкция'!C:C,'▶️ Инструкция'!AI:AI},2,false)</f>
        <v>#N/A</v>
      </c>
      <c r="AM181" s="186" t="str">
        <f t="shared" si="13"/>
        <v/>
      </c>
      <c r="AN181" s="189">
        <v>0.0</v>
      </c>
      <c r="AO181" s="189">
        <v>0.0</v>
      </c>
      <c r="AP181" s="189">
        <v>0.0</v>
      </c>
      <c r="AQ181" s="191">
        <v>1.0</v>
      </c>
      <c r="AR181" s="191">
        <v>0.0</v>
      </c>
      <c r="AS181" s="212">
        <v>0.0</v>
      </c>
      <c r="AT181" s="193" t="s">
        <v>206</v>
      </c>
      <c r="AU181" s="193" t="s">
        <v>121</v>
      </c>
      <c r="AV181" s="193" t="s">
        <v>199</v>
      </c>
      <c r="AW181" s="194">
        <f t="shared" si="14"/>
        <v>0</v>
      </c>
      <c r="AX181" s="195">
        <f t="shared" si="15"/>
        <v>0</v>
      </c>
      <c r="AY181" s="196" t="str">
        <f t="shared" si="16"/>
        <v>#N/A</v>
      </c>
      <c r="AZ181" s="213">
        <v>250.0</v>
      </c>
      <c r="BA181" s="196">
        <f t="shared" si="17"/>
        <v>0.25</v>
      </c>
      <c r="BB181" s="213">
        <f t="shared" si="18"/>
        <v>1000</v>
      </c>
      <c r="BC181" s="199" t="str">
        <f t="shared" si="19"/>
        <v>#N/A</v>
      </c>
      <c r="BD181" s="200" t="str">
        <f t="shared" si="20"/>
        <v>#N/A</v>
      </c>
      <c r="BE181" s="200">
        <f t="shared" si="21"/>
        <v>0</v>
      </c>
      <c r="BF181" s="201" t="str">
        <f t="shared" si="22"/>
        <v/>
      </c>
      <c r="BG181" s="201" t="str">
        <f t="shared" si="23"/>
        <v/>
      </c>
      <c r="BH181" s="202" t="str">
        <f t="shared" si="24"/>
        <v/>
      </c>
      <c r="BI181" s="203"/>
      <c r="BJ181" s="204">
        <f>IFERROR(__xludf.DUMMYFUNCTION("IF(AU181=data!A$5,
IF(AV181=data!A$8,
IF(T181=data!A$3,
VLOOKUP(S181,filter('🔒 Доп. информация'!D:H,'🔒 Доп. информация'!C:C=T181),4,FALSE)+VLOOKUP(S181,filter('🔒 Доп. информация'!D:H,'🔒 Доп. информация'!C:C=T181),5,FALSE)*AJ181,
IF(AND(MAX(AF181:AH181"&amp;")&lt;80,SUM(AF181:AH181)&lt;=160,AI181&lt;20,XLOOKUP(M181,'📄 Комиссии'!C:C,'📄 Комиссии'!B:B)&lt;&gt;""Продукты""),
VLOOKUP(S181,filter('🔒 Доп. информация'!D:H,'🔒 Доп. информация'!C:C=data!$A$3),4,FALSE)+VLOOKUP(S181,filter('🔒 Доп. информация'!D:H,'🔒 Доп. информаци"&amp;"я'!C:C=data!$A$3),5,FALSE)*AJ181,
VLOOKUP(S181,filter('🔒 Доп. информация'!D:H,'🔒 Доп. информация'!C:C=T181),4,FALSE)*ROUNDUP(AF181*AG181*AH181*L181/(120*80*175))/L181)
)
*(AE181/2)
,)
,)*0"),0.0)</f>
        <v>0</v>
      </c>
      <c r="BK181" s="204">
        <f>IFERROR(__xludf.DUMMYFUNCTION("IF(AU181=data!A$5,
IF(AI181&lt;=1,IF(AI181&lt;=0.8,IF(AI181&lt;=0.6,IF(AI181&lt;=0.4,IF(AI181&lt;=0.2,23,26),29),30),32)*VLOOKUP(S181,filter('🔒 Доп. информация'!D:E,'🔒 Доп. информация'!C:C=T181),2,FALSE)/'🔒 Доп. информация'!$K$9,
IF(AV181=data!A$8,U181,1)*VLOOKUP(S18"&amp;"1,filter('🔒 Доп. информация'!D:E,'🔒 Доп. информация'!C:C=T181),2,FALSE)+
IF(AV181=data!A$8,U181,1)*VLOOKUP(S181,filter('🔒 Доп. информация'!D:F,'🔒 Доп. информация'!C:C=T181),3,FALSE)*AJ181)
,0)"),69.0)</f>
        <v>69</v>
      </c>
      <c r="BL181" s="185" t="str">
        <f t="shared" ref="BL181:BM181" si="553">IF($D181,"🔒",)</f>
        <v/>
      </c>
      <c r="BM181" s="185" t="str">
        <f t="shared" si="553"/>
        <v/>
      </c>
      <c r="BN181" s="204">
        <f>VLOOKUP(T181,'🔒 Доп. информация'!J:P,7,false)</f>
        <v>50</v>
      </c>
      <c r="BO181" s="204">
        <f>IF(AV181=data!A$9,
(AA181+AO181+AP181+BJ181+BK181+BN181)+H181*AS181,
(BJ181+BK181+BN181)+H181*AS181
)</f>
        <v>119</v>
      </c>
      <c r="BP181" s="204">
        <f t="shared" si="26"/>
        <v>69</v>
      </c>
      <c r="BQ181" s="204">
        <f t="shared" si="27"/>
        <v>320</v>
      </c>
      <c r="BR181" s="204" t="str">
        <f t="shared" si="37"/>
        <v>#N/A</v>
      </c>
      <c r="BS181" s="204" t="str">
        <f t="array" ref="BS181">IF(VLOOKUP(AT181,{'▶️ Инструкция'!C:C,'▶️ Инструкция'!Y:Y},2,FALSE)=data!A$15,
H181*(1-I181),
(H181-BR181))
*VLOOKUP(AT181,{'▶️ Инструкция'!C:C,'▶️ Инструкция'!AD:AD},2,FALSE)/(1+VLOOKUP(AT181,{'▶️ Инструкция'!C:C,'▶️ Инструкция'!AD:AD},2,FALSE))</f>
        <v>#N/A</v>
      </c>
      <c r="BT181" s="204" t="str">
        <f t="array" ref="BT181">
IF(VLOOKUP(AT181,{'▶️ Инструкция'!C:C,'▶️ Инструкция'!Y:Y},2,FALSE)=data!A$15,
H181*(1-I181)-BS181,
(H181-BR181-BS181))
*
VLOOKUP(AT181,{'▶️ Инструкция'!C:C,'▶️ Инструкция'!R:R},2,FALSE)
+BS181</f>
        <v>#N/A</v>
      </c>
      <c r="BU181" s="204" t="str">
        <f>(G181*AR181)+if(AV181=data!A$9,AO181,AN181)+AP181+BR181+BT181</f>
        <v>#N/A</v>
      </c>
      <c r="BV181" s="204" t="str">
        <f>(G181*AR181)+if(AV181=data!A$9,AO181,AN181)+AP181+BT181+G181</f>
        <v>#N/A</v>
      </c>
      <c r="BW181" s="204" t="str">
        <f t="shared" si="28"/>
        <v>#N/A</v>
      </c>
      <c r="BX181" s="204" t="str">
        <f t="shared" si="29"/>
        <v>#N/A</v>
      </c>
    </row>
    <row r="182">
      <c r="A182" s="165" t="str">
        <f>if(D182=true,if(F182=data!A$1,data!A$10,data!A$11),)</f>
        <v/>
      </c>
      <c r="B182" s="166" t="str">
        <f t="shared" si="4"/>
        <v>FBS</v>
      </c>
      <c r="C182" s="167" t="s">
        <v>195</v>
      </c>
      <c r="D182" s="168" t="b">
        <v>0</v>
      </c>
      <c r="E182" s="169" t="s">
        <v>204</v>
      </c>
      <c r="F182" s="170" t="str">
        <f t="array" ref="F182">IF(D182=TRUE,IF(IF(BG$3=VLOOKUP(AT182,{'▶️ Инструкция'!C:C,'▶️ Инструкция'!G:G},2,FALSE),BG182,BH182)&gt;VLOOKUP(AT182,{'▶️ Инструкция'!C:C,'▶️ Инструкция'!N:N},2,FALSE),data!A$1,data!A$2),)</f>
        <v/>
      </c>
      <c r="G182" s="171">
        <v>0.0</v>
      </c>
      <c r="H182" s="172">
        <v>1000.0</v>
      </c>
      <c r="I182" s="173">
        <v>0.0</v>
      </c>
      <c r="J182" s="173">
        <v>0.0</v>
      </c>
      <c r="K182" s="174" t="str">
        <f t="shared" si="5"/>
        <v/>
      </c>
      <c r="L182" s="175">
        <v>0.0</v>
      </c>
      <c r="M182" s="176" t="s">
        <v>197</v>
      </c>
      <c r="N182" s="177">
        <f>IFERROR(__xludf.DUMMYFUNCTION("ArrayFormula(let(category,VLOOKUP($M182, {'📄 Комиссии'!$C:$C , '📄 Комиссии'!$B:$B}, 2, 0),
data,MATCH('🔒 Доп. информация'!$J$15:$J203,TRANSPOSE(SPLIT(INDEX('▶️ Инструкция'!$Q:$Q,MATCH($AT182,'▶️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commission,VLOOKUP($M182,'📄 Комиссии'!$C:$E,IF($AV182=data!A$8,2,3),0),
IF(NOT(ISBLANK($M182)),commission/100+
"&amp;"IFERROR(VLOOKUP($AT182,{'▶️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82" s="178" t="str">
        <f t="shared" si="6"/>
        <v/>
      </c>
      <c r="Q182" s="178" t="str">
        <f t="shared" si="7"/>
        <v/>
      </c>
      <c r="S182" s="179" t="s">
        <v>192</v>
      </c>
      <c r="T182" s="180" t="s">
        <v>193</v>
      </c>
      <c r="U182" s="181">
        <v>1.0</v>
      </c>
      <c r="V182" s="182" t="str">
        <f t="shared" ref="V182:Y182" si="554">IF($D182,"🔒",)</f>
        <v/>
      </c>
      <c r="W182" s="182" t="str">
        <f t="shared" si="554"/>
        <v/>
      </c>
      <c r="X182" s="182" t="str">
        <f t="shared" si="554"/>
        <v/>
      </c>
      <c r="Y182" s="182" t="str">
        <f t="shared" si="554"/>
        <v/>
      </c>
      <c r="Z182" s="183">
        <v>0.0</v>
      </c>
      <c r="AA182" s="184">
        <f t="shared" si="31"/>
        <v>0</v>
      </c>
      <c r="AB182" s="185" t="str">
        <f t="shared" ref="AB182:AD182" si="555">IF($D182,"🔒",)</f>
        <v/>
      </c>
      <c r="AC182" s="185" t="str">
        <f t="shared" si="555"/>
        <v/>
      </c>
      <c r="AD182" s="186" t="str">
        <f t="shared" si="555"/>
        <v/>
      </c>
      <c r="AE182" s="180">
        <v>30.0</v>
      </c>
      <c r="AF182" s="187">
        <v>0.0</v>
      </c>
      <c r="AG182" s="187">
        <v>0.0</v>
      </c>
      <c r="AH182" s="187">
        <v>0.0</v>
      </c>
      <c r="AI182" s="181">
        <f t="shared" si="10"/>
        <v>0</v>
      </c>
      <c r="AJ182" s="181">
        <f t="shared" si="11"/>
        <v>0</v>
      </c>
      <c r="AK182" s="185" t="str">
        <f t="shared" si="12"/>
        <v/>
      </c>
      <c r="AL182" s="188" t="str">
        <f t="array" ref="AL182">H182*(1-I182)*VLOOKUP(AT182,{'▶️ Инструкция'!C:C,'▶️ Инструкция'!AI:AI},2,false)</f>
        <v>#N/A</v>
      </c>
      <c r="AM182" s="186" t="str">
        <f t="shared" si="13"/>
        <v/>
      </c>
      <c r="AN182" s="189">
        <v>0.0</v>
      </c>
      <c r="AO182" s="189">
        <v>0.0</v>
      </c>
      <c r="AP182" s="189">
        <v>0.0</v>
      </c>
      <c r="AQ182" s="191">
        <v>1.0</v>
      </c>
      <c r="AR182" s="191">
        <v>0.0</v>
      </c>
      <c r="AS182" s="212">
        <v>0.0</v>
      </c>
      <c r="AT182" s="193" t="s">
        <v>206</v>
      </c>
      <c r="AU182" s="193" t="s">
        <v>121</v>
      </c>
      <c r="AV182" s="193" t="s">
        <v>199</v>
      </c>
      <c r="AW182" s="194">
        <f t="shared" si="14"/>
        <v>0</v>
      </c>
      <c r="AX182" s="195">
        <f t="shared" si="15"/>
        <v>0</v>
      </c>
      <c r="AY182" s="196" t="str">
        <f t="shared" si="16"/>
        <v>#N/A</v>
      </c>
      <c r="AZ182" s="213">
        <v>250.0</v>
      </c>
      <c r="BA182" s="196">
        <f t="shared" si="17"/>
        <v>0.25</v>
      </c>
      <c r="BB182" s="213">
        <f t="shared" si="18"/>
        <v>1000</v>
      </c>
      <c r="BC182" s="199" t="str">
        <f t="shared" si="19"/>
        <v>#N/A</v>
      </c>
      <c r="BD182" s="200" t="str">
        <f t="shared" si="20"/>
        <v>#N/A</v>
      </c>
      <c r="BE182" s="200">
        <f t="shared" si="21"/>
        <v>0</v>
      </c>
      <c r="BF182" s="201" t="str">
        <f t="shared" si="22"/>
        <v/>
      </c>
      <c r="BG182" s="201" t="str">
        <f t="shared" si="23"/>
        <v/>
      </c>
      <c r="BH182" s="202" t="str">
        <f t="shared" si="24"/>
        <v/>
      </c>
      <c r="BI182" s="203"/>
      <c r="BJ182" s="204">
        <f>IFERROR(__xludf.DUMMYFUNCTION("IF(AU182=data!A$5,
IF(AV182=data!A$8,
IF(T182=data!A$3,
VLOOKUP(S182,filter('🔒 Доп. информация'!D:H,'🔒 Доп. информация'!C:C=T182),4,FALSE)+VLOOKUP(S182,filter('🔒 Доп. информация'!D:H,'🔒 Доп. информация'!C:C=T182),5,FALSE)*AJ182,
IF(AND(MAX(AF182:AH182"&amp;")&lt;80,SUM(AF182:AH182)&lt;=160,AI182&lt;20,XLOOKUP(M182,'📄 Комиссии'!C:C,'📄 Комиссии'!B:B)&lt;&gt;""Продукты""),
VLOOKUP(S182,filter('🔒 Доп. информация'!D:H,'🔒 Доп. информация'!C:C=data!$A$3),4,FALSE)+VLOOKUP(S182,filter('🔒 Доп. информация'!D:H,'🔒 Доп. информаци"&amp;"я'!C:C=data!$A$3),5,FALSE)*AJ182,
VLOOKUP(S182,filter('🔒 Доп. информация'!D:H,'🔒 Доп. информация'!C:C=T182),4,FALSE)*ROUNDUP(AF182*AG182*AH182*L182/(120*80*175))/L182)
)
*(AE182/2)
,)
,)*0"),0.0)</f>
        <v>0</v>
      </c>
      <c r="BK182" s="204">
        <f>IFERROR(__xludf.DUMMYFUNCTION("IF(AU182=data!A$5,
IF(AI182&lt;=1,IF(AI182&lt;=0.8,IF(AI182&lt;=0.6,IF(AI182&lt;=0.4,IF(AI182&lt;=0.2,23,26),29),30),32)*VLOOKUP(S182,filter('🔒 Доп. информация'!D:E,'🔒 Доп. информация'!C:C=T182),2,FALSE)/'🔒 Доп. информация'!$K$9,
IF(AV182=data!A$8,U182,1)*VLOOKUP(S18"&amp;"2,filter('🔒 Доп. информация'!D:E,'🔒 Доп. информация'!C:C=T182),2,FALSE)+
IF(AV182=data!A$8,U182,1)*VLOOKUP(S182,filter('🔒 Доп. информация'!D:F,'🔒 Доп. информация'!C:C=T182),3,FALSE)*AJ182)
,0)"),69.0)</f>
        <v>69</v>
      </c>
      <c r="BL182" s="185" t="str">
        <f t="shared" ref="BL182:BM182" si="556">IF($D182,"🔒",)</f>
        <v/>
      </c>
      <c r="BM182" s="185" t="str">
        <f t="shared" si="556"/>
        <v/>
      </c>
      <c r="BN182" s="204">
        <f>VLOOKUP(T182,'🔒 Доп. информация'!J:P,7,false)</f>
        <v>50</v>
      </c>
      <c r="BO182" s="204">
        <f>IF(AV182=data!A$9,
(AA182+AO182+AP182+BJ182+BK182+BN182)+H182*AS182,
(BJ182+BK182+BN182)+H182*AS182
)</f>
        <v>119</v>
      </c>
      <c r="BP182" s="204">
        <f t="shared" si="26"/>
        <v>69</v>
      </c>
      <c r="BQ182" s="204">
        <f t="shared" si="27"/>
        <v>320</v>
      </c>
      <c r="BR182" s="204" t="str">
        <f t="shared" si="37"/>
        <v>#N/A</v>
      </c>
      <c r="BS182" s="204" t="str">
        <f t="array" ref="BS182">IF(VLOOKUP(AT182,{'▶️ Инструкция'!C:C,'▶️ Инструкция'!Y:Y},2,FALSE)=data!A$15,
H182*(1-I182),
(H182-BR182))
*VLOOKUP(AT182,{'▶️ Инструкция'!C:C,'▶️ Инструкция'!AD:AD},2,FALSE)/(1+VLOOKUP(AT182,{'▶️ Инструкция'!C:C,'▶️ Инструкция'!AD:AD},2,FALSE))</f>
        <v>#N/A</v>
      </c>
      <c r="BT182" s="204" t="str">
        <f t="array" ref="BT182">
IF(VLOOKUP(AT182,{'▶️ Инструкция'!C:C,'▶️ Инструкция'!Y:Y},2,FALSE)=data!A$15,
H182*(1-I182)-BS182,
(H182-BR182-BS182))
*
VLOOKUP(AT182,{'▶️ Инструкция'!C:C,'▶️ Инструкция'!R:R},2,FALSE)
+BS182</f>
        <v>#N/A</v>
      </c>
      <c r="BU182" s="204" t="str">
        <f>(G182*AR182)+if(AV182=data!A$9,AO182,AN182)+AP182+BR182+BT182</f>
        <v>#N/A</v>
      </c>
      <c r="BV182" s="204" t="str">
        <f>(G182*AR182)+if(AV182=data!A$9,AO182,AN182)+AP182+BT182+G182</f>
        <v>#N/A</v>
      </c>
      <c r="BW182" s="204" t="str">
        <f t="shared" si="28"/>
        <v>#N/A</v>
      </c>
      <c r="BX182" s="204" t="str">
        <f t="shared" si="29"/>
        <v>#N/A</v>
      </c>
    </row>
    <row r="183">
      <c r="A183" s="165" t="str">
        <f>if(D183=true,if(F183=data!A$1,data!A$10,data!A$11),)</f>
        <v/>
      </c>
      <c r="B183" s="166" t="str">
        <f t="shared" si="4"/>
        <v>FBS</v>
      </c>
      <c r="C183" s="167" t="s">
        <v>195</v>
      </c>
      <c r="D183" s="168" t="b">
        <v>0</v>
      </c>
      <c r="E183" s="169" t="s">
        <v>204</v>
      </c>
      <c r="F183" s="170" t="str">
        <f t="array" ref="F183">IF(D183=TRUE,IF(IF(BG$3=VLOOKUP(AT183,{'▶️ Инструкция'!C:C,'▶️ Инструкция'!G:G},2,FALSE),BG183,BH183)&gt;VLOOKUP(AT183,{'▶️ Инструкция'!C:C,'▶️ Инструкция'!N:N},2,FALSE),data!A$1,data!A$2),)</f>
        <v/>
      </c>
      <c r="G183" s="171">
        <v>0.0</v>
      </c>
      <c r="H183" s="172">
        <v>1000.0</v>
      </c>
      <c r="I183" s="173">
        <v>0.0</v>
      </c>
      <c r="J183" s="173">
        <v>0.0</v>
      </c>
      <c r="K183" s="174" t="str">
        <f t="shared" si="5"/>
        <v/>
      </c>
      <c r="L183" s="175">
        <v>0.0</v>
      </c>
      <c r="M183" s="176" t="s">
        <v>197</v>
      </c>
      <c r="N183" s="177">
        <f>IFERROR(__xludf.DUMMYFUNCTION("ArrayFormula(let(category,VLOOKUP($M183, {'📄 Комиссии'!$C:$C , '📄 Комиссии'!$B:$B}, 2, 0),
data,MATCH('🔒 Доп. информация'!$J$15:$J203,TRANSPOSE(SPLIT(INDEX('▶️ Инструкция'!$Q:$Q,MATCH($AT183,'▶️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commission,VLOOKUP($M183,'📄 Комиссии'!$C:$E,IF($AV183=data!A$8,2,3),0),
IF(NOT(ISBLANK($M183)),commission/100+
"&amp;"IFERROR(VLOOKUP($AT183,{'▶️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83" s="178" t="str">
        <f t="shared" si="6"/>
        <v/>
      </c>
      <c r="Q183" s="178" t="str">
        <f t="shared" si="7"/>
        <v/>
      </c>
      <c r="S183" s="179" t="s">
        <v>192</v>
      </c>
      <c r="T183" s="180" t="s">
        <v>193</v>
      </c>
      <c r="U183" s="181">
        <v>1.0</v>
      </c>
      <c r="V183" s="182" t="str">
        <f t="shared" ref="V183:Y183" si="557">IF($D183,"🔒",)</f>
        <v/>
      </c>
      <c r="W183" s="182" t="str">
        <f t="shared" si="557"/>
        <v/>
      </c>
      <c r="X183" s="182" t="str">
        <f t="shared" si="557"/>
        <v/>
      </c>
      <c r="Y183" s="182" t="str">
        <f t="shared" si="557"/>
        <v/>
      </c>
      <c r="Z183" s="183">
        <v>0.0</v>
      </c>
      <c r="AA183" s="184">
        <f t="shared" si="31"/>
        <v>0</v>
      </c>
      <c r="AB183" s="185" t="str">
        <f t="shared" ref="AB183:AD183" si="558">IF($D183,"🔒",)</f>
        <v/>
      </c>
      <c r="AC183" s="185" t="str">
        <f t="shared" si="558"/>
        <v/>
      </c>
      <c r="AD183" s="186" t="str">
        <f t="shared" si="558"/>
        <v/>
      </c>
      <c r="AE183" s="180">
        <v>30.0</v>
      </c>
      <c r="AF183" s="187">
        <v>0.0</v>
      </c>
      <c r="AG183" s="187">
        <v>0.0</v>
      </c>
      <c r="AH183" s="187">
        <v>0.0</v>
      </c>
      <c r="AI183" s="181">
        <f t="shared" si="10"/>
        <v>0</v>
      </c>
      <c r="AJ183" s="181">
        <f t="shared" si="11"/>
        <v>0</v>
      </c>
      <c r="AK183" s="185" t="str">
        <f t="shared" si="12"/>
        <v/>
      </c>
      <c r="AL183" s="188" t="str">
        <f t="array" ref="AL183">H183*(1-I183)*VLOOKUP(AT183,{'▶️ Инструкция'!C:C,'▶️ Инструкция'!AI:AI},2,false)</f>
        <v>#N/A</v>
      </c>
      <c r="AM183" s="186" t="str">
        <f t="shared" si="13"/>
        <v/>
      </c>
      <c r="AN183" s="189">
        <v>0.0</v>
      </c>
      <c r="AO183" s="189">
        <v>0.0</v>
      </c>
      <c r="AP183" s="189">
        <v>0.0</v>
      </c>
      <c r="AQ183" s="191">
        <v>1.0</v>
      </c>
      <c r="AR183" s="191">
        <v>0.0</v>
      </c>
      <c r="AS183" s="212">
        <v>0.0</v>
      </c>
      <c r="AT183" s="193" t="s">
        <v>206</v>
      </c>
      <c r="AU183" s="193" t="s">
        <v>121</v>
      </c>
      <c r="AV183" s="193" t="s">
        <v>199</v>
      </c>
      <c r="AW183" s="194">
        <f t="shared" si="14"/>
        <v>0</v>
      </c>
      <c r="AX183" s="195">
        <f t="shared" si="15"/>
        <v>0</v>
      </c>
      <c r="AY183" s="196" t="str">
        <f t="shared" si="16"/>
        <v>#N/A</v>
      </c>
      <c r="AZ183" s="213">
        <v>250.0</v>
      </c>
      <c r="BA183" s="196">
        <f t="shared" si="17"/>
        <v>0.25</v>
      </c>
      <c r="BB183" s="213">
        <f t="shared" si="18"/>
        <v>1000</v>
      </c>
      <c r="BC183" s="199" t="str">
        <f t="shared" si="19"/>
        <v>#N/A</v>
      </c>
      <c r="BD183" s="200" t="str">
        <f t="shared" si="20"/>
        <v>#N/A</v>
      </c>
      <c r="BE183" s="200">
        <f t="shared" si="21"/>
        <v>0</v>
      </c>
      <c r="BF183" s="201" t="str">
        <f t="shared" si="22"/>
        <v/>
      </c>
      <c r="BG183" s="201" t="str">
        <f t="shared" si="23"/>
        <v/>
      </c>
      <c r="BH183" s="202" t="str">
        <f t="shared" si="24"/>
        <v/>
      </c>
      <c r="BI183" s="203"/>
      <c r="BJ183" s="204">
        <f>IFERROR(__xludf.DUMMYFUNCTION("IF(AU183=data!A$5,
IF(AV183=data!A$8,
IF(T183=data!A$3,
VLOOKUP(S183,filter('🔒 Доп. информация'!D:H,'🔒 Доп. информация'!C:C=T183),4,FALSE)+VLOOKUP(S183,filter('🔒 Доп. информация'!D:H,'🔒 Доп. информация'!C:C=T183),5,FALSE)*AJ183,
IF(AND(MAX(AF183:AH183"&amp;")&lt;80,SUM(AF183:AH183)&lt;=160,AI183&lt;20,XLOOKUP(M183,'📄 Комиссии'!C:C,'📄 Комиссии'!B:B)&lt;&gt;""Продукты""),
VLOOKUP(S183,filter('🔒 Доп. информация'!D:H,'🔒 Доп. информация'!C:C=data!$A$3),4,FALSE)+VLOOKUP(S183,filter('🔒 Доп. информация'!D:H,'🔒 Доп. информаци"&amp;"я'!C:C=data!$A$3),5,FALSE)*AJ183,
VLOOKUP(S183,filter('🔒 Доп. информация'!D:H,'🔒 Доп. информация'!C:C=T183),4,FALSE)*ROUNDUP(AF183*AG183*AH183*L183/(120*80*175))/L183)
)
*(AE183/2)
,)
,)*0"),0.0)</f>
        <v>0</v>
      </c>
      <c r="BK183" s="204">
        <f>IFERROR(__xludf.DUMMYFUNCTION("IF(AU183=data!A$5,
IF(AI183&lt;=1,IF(AI183&lt;=0.8,IF(AI183&lt;=0.6,IF(AI183&lt;=0.4,IF(AI183&lt;=0.2,23,26),29),30),32)*VLOOKUP(S183,filter('🔒 Доп. информация'!D:E,'🔒 Доп. информация'!C:C=T183),2,FALSE)/'🔒 Доп. информация'!$K$9,
IF(AV183=data!A$8,U183,1)*VLOOKUP(S18"&amp;"3,filter('🔒 Доп. информация'!D:E,'🔒 Доп. информация'!C:C=T183),2,FALSE)+
IF(AV183=data!A$8,U183,1)*VLOOKUP(S183,filter('🔒 Доп. информация'!D:F,'🔒 Доп. информация'!C:C=T183),3,FALSE)*AJ183)
,0)"),69.0)</f>
        <v>69</v>
      </c>
      <c r="BL183" s="185" t="str">
        <f t="shared" ref="BL183:BM183" si="559">IF($D183,"🔒",)</f>
        <v/>
      </c>
      <c r="BM183" s="185" t="str">
        <f t="shared" si="559"/>
        <v/>
      </c>
      <c r="BN183" s="204">
        <f>VLOOKUP(T183,'🔒 Доп. информация'!J:P,7,false)</f>
        <v>50</v>
      </c>
      <c r="BO183" s="204">
        <f>IF(AV183=data!A$9,
(AA183+AO183+AP183+BJ183+BK183+BN183)+H183*AS183,
(BJ183+BK183+BN183)+H183*AS183
)</f>
        <v>119</v>
      </c>
      <c r="BP183" s="204">
        <f t="shared" si="26"/>
        <v>69</v>
      </c>
      <c r="BQ183" s="204">
        <f t="shared" si="27"/>
        <v>320</v>
      </c>
      <c r="BR183" s="204" t="str">
        <f t="shared" si="37"/>
        <v>#N/A</v>
      </c>
      <c r="BS183" s="204" t="str">
        <f t="array" ref="BS183">IF(VLOOKUP(AT183,{'▶️ Инструкция'!C:C,'▶️ Инструкция'!Y:Y},2,FALSE)=data!A$15,
H183*(1-I183),
(H183-BR183))
*VLOOKUP(AT183,{'▶️ Инструкция'!C:C,'▶️ Инструкция'!AD:AD},2,FALSE)/(1+VLOOKUP(AT183,{'▶️ Инструкция'!C:C,'▶️ Инструкция'!AD:AD},2,FALSE))</f>
        <v>#N/A</v>
      </c>
      <c r="BT183" s="204" t="str">
        <f t="array" ref="BT183">
IF(VLOOKUP(AT183,{'▶️ Инструкция'!C:C,'▶️ Инструкция'!Y:Y},2,FALSE)=data!A$15,
H183*(1-I183)-BS183,
(H183-BR183-BS183))
*
VLOOKUP(AT183,{'▶️ Инструкция'!C:C,'▶️ Инструкция'!R:R},2,FALSE)
+BS183</f>
        <v>#N/A</v>
      </c>
      <c r="BU183" s="204" t="str">
        <f>(G183*AR183)+if(AV183=data!A$9,AO183,AN183)+AP183+BR183+BT183</f>
        <v>#N/A</v>
      </c>
      <c r="BV183" s="204" t="str">
        <f>(G183*AR183)+if(AV183=data!A$9,AO183,AN183)+AP183+BT183+G183</f>
        <v>#N/A</v>
      </c>
      <c r="BW183" s="204" t="str">
        <f t="shared" si="28"/>
        <v>#N/A</v>
      </c>
      <c r="BX183" s="204" t="str">
        <f t="shared" si="29"/>
        <v>#N/A</v>
      </c>
    </row>
    <row r="184">
      <c r="A184" s="165" t="str">
        <f>if(D184=true,if(F184=data!A$1,data!A$10,data!A$11),)</f>
        <v/>
      </c>
      <c r="B184" s="166" t="str">
        <f t="shared" si="4"/>
        <v>FBS</v>
      </c>
      <c r="C184" s="167" t="s">
        <v>195</v>
      </c>
      <c r="D184" s="168" t="b">
        <v>0</v>
      </c>
      <c r="E184" s="169" t="s">
        <v>204</v>
      </c>
      <c r="F184" s="170" t="str">
        <f t="array" ref="F184">IF(D184=TRUE,IF(IF(BG$3=VLOOKUP(AT184,{'▶️ Инструкция'!C:C,'▶️ Инструкция'!G:G},2,FALSE),BG184,BH184)&gt;VLOOKUP(AT184,{'▶️ Инструкция'!C:C,'▶️ Инструкция'!N:N},2,FALSE),data!A$1,data!A$2),)</f>
        <v/>
      </c>
      <c r="G184" s="171">
        <v>0.0</v>
      </c>
      <c r="H184" s="172">
        <v>1000.0</v>
      </c>
      <c r="I184" s="173">
        <v>0.0</v>
      </c>
      <c r="J184" s="173">
        <v>0.0</v>
      </c>
      <c r="K184" s="174" t="str">
        <f t="shared" si="5"/>
        <v/>
      </c>
      <c r="L184" s="175">
        <v>0.0</v>
      </c>
      <c r="M184" s="176" t="s">
        <v>197</v>
      </c>
      <c r="N184" s="177">
        <f>IFERROR(__xludf.DUMMYFUNCTION("ArrayFormula(let(category,VLOOKUP($M184, {'📄 Комиссии'!$C:$C , '📄 Комиссии'!$B:$B}, 2, 0),
data,MATCH('🔒 Доп. информация'!$J$15:$J203,TRANSPOSE(SPLIT(INDEX('▶️ Инструкция'!$Q:$Q,MATCH($AT184,'▶️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commission,VLOOKUP($M184,'📄 Комиссии'!$C:$E,IF($AV184=data!A$8,2,3),0),
IF(NOT(ISBLANK($M184)),commission/100+
"&amp;"IFERROR(VLOOKUP($AT184,{'▶️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84" s="178" t="str">
        <f t="shared" si="6"/>
        <v/>
      </c>
      <c r="Q184" s="178" t="str">
        <f t="shared" si="7"/>
        <v/>
      </c>
      <c r="S184" s="179" t="s">
        <v>192</v>
      </c>
      <c r="T184" s="180" t="s">
        <v>193</v>
      </c>
      <c r="U184" s="181">
        <v>1.0</v>
      </c>
      <c r="V184" s="182" t="str">
        <f t="shared" ref="V184:Y184" si="560">IF($D184,"🔒",)</f>
        <v/>
      </c>
      <c r="W184" s="182" t="str">
        <f t="shared" si="560"/>
        <v/>
      </c>
      <c r="X184" s="182" t="str">
        <f t="shared" si="560"/>
        <v/>
      </c>
      <c r="Y184" s="182" t="str">
        <f t="shared" si="560"/>
        <v/>
      </c>
      <c r="Z184" s="183">
        <v>0.0</v>
      </c>
      <c r="AA184" s="184">
        <f t="shared" si="31"/>
        <v>0</v>
      </c>
      <c r="AB184" s="185" t="str">
        <f t="shared" ref="AB184:AD184" si="561">IF($D184,"🔒",)</f>
        <v/>
      </c>
      <c r="AC184" s="185" t="str">
        <f t="shared" si="561"/>
        <v/>
      </c>
      <c r="AD184" s="186" t="str">
        <f t="shared" si="561"/>
        <v/>
      </c>
      <c r="AE184" s="180">
        <v>30.0</v>
      </c>
      <c r="AF184" s="187">
        <v>0.0</v>
      </c>
      <c r="AG184" s="187">
        <v>0.0</v>
      </c>
      <c r="AH184" s="187">
        <v>0.0</v>
      </c>
      <c r="AI184" s="181">
        <f t="shared" si="10"/>
        <v>0</v>
      </c>
      <c r="AJ184" s="181">
        <f t="shared" si="11"/>
        <v>0</v>
      </c>
      <c r="AK184" s="185" t="str">
        <f t="shared" si="12"/>
        <v/>
      </c>
      <c r="AL184" s="188" t="str">
        <f t="array" ref="AL184">H184*(1-I184)*VLOOKUP(AT184,{'▶️ Инструкция'!C:C,'▶️ Инструкция'!AI:AI},2,false)</f>
        <v>#N/A</v>
      </c>
      <c r="AM184" s="186" t="str">
        <f t="shared" si="13"/>
        <v/>
      </c>
      <c r="AN184" s="189">
        <v>0.0</v>
      </c>
      <c r="AO184" s="189">
        <v>0.0</v>
      </c>
      <c r="AP184" s="189">
        <v>0.0</v>
      </c>
      <c r="AQ184" s="191">
        <v>1.0</v>
      </c>
      <c r="AR184" s="191">
        <v>0.0</v>
      </c>
      <c r="AS184" s="212">
        <v>0.0</v>
      </c>
      <c r="AT184" s="193" t="s">
        <v>206</v>
      </c>
      <c r="AU184" s="193" t="s">
        <v>121</v>
      </c>
      <c r="AV184" s="193" t="s">
        <v>199</v>
      </c>
      <c r="AW184" s="194">
        <f t="shared" si="14"/>
        <v>0</v>
      </c>
      <c r="AX184" s="195">
        <f t="shared" si="15"/>
        <v>0</v>
      </c>
      <c r="AY184" s="196" t="str">
        <f t="shared" si="16"/>
        <v>#N/A</v>
      </c>
      <c r="AZ184" s="213">
        <v>250.0</v>
      </c>
      <c r="BA184" s="196">
        <f t="shared" si="17"/>
        <v>0.25</v>
      </c>
      <c r="BB184" s="213">
        <f t="shared" si="18"/>
        <v>1000</v>
      </c>
      <c r="BC184" s="199" t="str">
        <f t="shared" si="19"/>
        <v>#N/A</v>
      </c>
      <c r="BD184" s="200" t="str">
        <f t="shared" si="20"/>
        <v>#N/A</v>
      </c>
      <c r="BE184" s="200">
        <f t="shared" si="21"/>
        <v>0</v>
      </c>
      <c r="BF184" s="201" t="str">
        <f t="shared" si="22"/>
        <v/>
      </c>
      <c r="BG184" s="201" t="str">
        <f t="shared" si="23"/>
        <v/>
      </c>
      <c r="BH184" s="202" t="str">
        <f t="shared" si="24"/>
        <v/>
      </c>
      <c r="BI184" s="203"/>
      <c r="BJ184" s="204">
        <f>IFERROR(__xludf.DUMMYFUNCTION("IF(AU184=data!A$5,
IF(AV184=data!A$8,
IF(T184=data!A$3,
VLOOKUP(S184,filter('🔒 Доп. информация'!D:H,'🔒 Доп. информация'!C:C=T184),4,FALSE)+VLOOKUP(S184,filter('🔒 Доп. информация'!D:H,'🔒 Доп. информация'!C:C=T184),5,FALSE)*AJ184,
IF(AND(MAX(AF184:AH184"&amp;")&lt;80,SUM(AF184:AH184)&lt;=160,AI184&lt;20,XLOOKUP(M184,'📄 Комиссии'!C:C,'📄 Комиссии'!B:B)&lt;&gt;""Продукты""),
VLOOKUP(S184,filter('🔒 Доп. информация'!D:H,'🔒 Доп. информация'!C:C=data!$A$3),4,FALSE)+VLOOKUP(S184,filter('🔒 Доп. информация'!D:H,'🔒 Доп. информаци"&amp;"я'!C:C=data!$A$3),5,FALSE)*AJ184,
VLOOKUP(S184,filter('🔒 Доп. информация'!D:H,'🔒 Доп. информация'!C:C=T184),4,FALSE)*ROUNDUP(AF184*AG184*AH184*L184/(120*80*175))/L184)
)
*(AE184/2)
,)
,)*0"),0.0)</f>
        <v>0</v>
      </c>
      <c r="BK184" s="204">
        <f>IFERROR(__xludf.DUMMYFUNCTION("IF(AU184=data!A$5,
IF(AI184&lt;=1,IF(AI184&lt;=0.8,IF(AI184&lt;=0.6,IF(AI184&lt;=0.4,IF(AI184&lt;=0.2,23,26),29),30),32)*VLOOKUP(S184,filter('🔒 Доп. информация'!D:E,'🔒 Доп. информация'!C:C=T184),2,FALSE)/'🔒 Доп. информация'!$K$9,
IF(AV184=data!A$8,U184,1)*VLOOKUP(S18"&amp;"4,filter('🔒 Доп. информация'!D:E,'🔒 Доп. информация'!C:C=T184),2,FALSE)+
IF(AV184=data!A$8,U184,1)*VLOOKUP(S184,filter('🔒 Доп. информация'!D:F,'🔒 Доп. информация'!C:C=T184),3,FALSE)*AJ184)
,0)"),69.0)</f>
        <v>69</v>
      </c>
      <c r="BL184" s="185" t="str">
        <f t="shared" ref="BL184:BM184" si="562">IF($D184,"🔒",)</f>
        <v/>
      </c>
      <c r="BM184" s="185" t="str">
        <f t="shared" si="562"/>
        <v/>
      </c>
      <c r="BN184" s="204">
        <f>VLOOKUP(T184,'🔒 Доп. информация'!J:P,7,false)</f>
        <v>50</v>
      </c>
      <c r="BO184" s="204">
        <f>IF(AV184=data!A$9,
(AA184+AO184+AP184+BJ184+BK184+BN184)+H184*AS184,
(BJ184+BK184+BN184)+H184*AS184
)</f>
        <v>119</v>
      </c>
      <c r="BP184" s="204">
        <f t="shared" si="26"/>
        <v>69</v>
      </c>
      <c r="BQ184" s="204">
        <f t="shared" si="27"/>
        <v>320</v>
      </c>
      <c r="BR184" s="204" t="str">
        <f t="shared" si="37"/>
        <v>#N/A</v>
      </c>
      <c r="BS184" s="204" t="str">
        <f t="array" ref="BS184">IF(VLOOKUP(AT184,{'▶️ Инструкция'!C:C,'▶️ Инструкция'!Y:Y},2,FALSE)=data!A$15,
H184*(1-I184),
(H184-BR184))
*VLOOKUP(AT184,{'▶️ Инструкция'!C:C,'▶️ Инструкция'!AD:AD},2,FALSE)/(1+VLOOKUP(AT184,{'▶️ Инструкция'!C:C,'▶️ Инструкция'!AD:AD},2,FALSE))</f>
        <v>#N/A</v>
      </c>
      <c r="BT184" s="204" t="str">
        <f t="array" ref="BT184">
IF(VLOOKUP(AT184,{'▶️ Инструкция'!C:C,'▶️ Инструкция'!Y:Y},2,FALSE)=data!A$15,
H184*(1-I184)-BS184,
(H184-BR184-BS184))
*
VLOOKUP(AT184,{'▶️ Инструкция'!C:C,'▶️ Инструкция'!R:R},2,FALSE)
+BS184</f>
        <v>#N/A</v>
      </c>
      <c r="BU184" s="204" t="str">
        <f>(G184*AR184)+if(AV184=data!A$9,AO184,AN184)+AP184+BR184+BT184</f>
        <v>#N/A</v>
      </c>
      <c r="BV184" s="204" t="str">
        <f>(G184*AR184)+if(AV184=data!A$9,AO184,AN184)+AP184+BT184+G184</f>
        <v>#N/A</v>
      </c>
      <c r="BW184" s="204" t="str">
        <f t="shared" si="28"/>
        <v>#N/A</v>
      </c>
      <c r="BX184" s="204" t="str">
        <f t="shared" si="29"/>
        <v>#N/A</v>
      </c>
    </row>
    <row r="185">
      <c r="A185" s="165" t="str">
        <f>if(D185=true,if(F185=data!A$1,data!A$10,data!A$11),)</f>
        <v/>
      </c>
      <c r="B185" s="166" t="str">
        <f t="shared" si="4"/>
        <v>FBS</v>
      </c>
      <c r="C185" s="167" t="s">
        <v>195</v>
      </c>
      <c r="D185" s="168" t="b">
        <v>0</v>
      </c>
      <c r="E185" s="169" t="s">
        <v>204</v>
      </c>
      <c r="F185" s="170" t="str">
        <f t="array" ref="F185">IF(D185=TRUE,IF(IF(BG$3=VLOOKUP(AT185,{'▶️ Инструкция'!C:C,'▶️ Инструкция'!G:G},2,FALSE),BG185,BH185)&gt;VLOOKUP(AT185,{'▶️ Инструкция'!C:C,'▶️ Инструкция'!N:N},2,FALSE),data!A$1,data!A$2),)</f>
        <v/>
      </c>
      <c r="G185" s="171">
        <v>0.0</v>
      </c>
      <c r="H185" s="172">
        <v>1000.0</v>
      </c>
      <c r="I185" s="173">
        <v>0.0</v>
      </c>
      <c r="J185" s="173">
        <v>0.0</v>
      </c>
      <c r="K185" s="174" t="str">
        <f t="shared" si="5"/>
        <v/>
      </c>
      <c r="L185" s="175">
        <v>0.0</v>
      </c>
      <c r="M185" s="176" t="s">
        <v>197</v>
      </c>
      <c r="N185" s="177">
        <f>IFERROR(__xludf.DUMMYFUNCTION("ArrayFormula(let(category,VLOOKUP($M185, {'📄 Комиссии'!$C:$C , '📄 Комиссии'!$B:$B}, 2, 0),
data,MATCH('🔒 Доп. информация'!$J$15:$J203,TRANSPOSE(SPLIT(INDEX('▶️ Инструкция'!$Q:$Q,MATCH($AT185,'▶️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commission,VLOOKUP($M185,'📄 Комиссии'!$C:$E,IF($AV185=data!A$8,2,3),0),
IF(NOT(ISBLANK($M185)),commission/100+
"&amp;"IFERROR(VLOOKUP($AT185,{'▶️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85" s="178" t="str">
        <f t="shared" si="6"/>
        <v/>
      </c>
      <c r="Q185" s="178" t="str">
        <f t="shared" si="7"/>
        <v/>
      </c>
      <c r="S185" s="179" t="s">
        <v>192</v>
      </c>
      <c r="T185" s="180" t="s">
        <v>193</v>
      </c>
      <c r="U185" s="181">
        <v>1.0</v>
      </c>
      <c r="V185" s="182" t="str">
        <f t="shared" ref="V185:Y185" si="563">IF($D185,"🔒",)</f>
        <v/>
      </c>
      <c r="W185" s="182" t="str">
        <f t="shared" si="563"/>
        <v/>
      </c>
      <c r="X185" s="182" t="str">
        <f t="shared" si="563"/>
        <v/>
      </c>
      <c r="Y185" s="182" t="str">
        <f t="shared" si="563"/>
        <v/>
      </c>
      <c r="Z185" s="183">
        <v>0.0</v>
      </c>
      <c r="AA185" s="184">
        <f t="shared" si="31"/>
        <v>0</v>
      </c>
      <c r="AB185" s="185" t="str">
        <f t="shared" ref="AB185:AD185" si="564">IF($D185,"🔒",)</f>
        <v/>
      </c>
      <c r="AC185" s="185" t="str">
        <f t="shared" si="564"/>
        <v/>
      </c>
      <c r="AD185" s="186" t="str">
        <f t="shared" si="564"/>
        <v/>
      </c>
      <c r="AE185" s="180">
        <v>30.0</v>
      </c>
      <c r="AF185" s="187">
        <v>0.0</v>
      </c>
      <c r="AG185" s="187">
        <v>0.0</v>
      </c>
      <c r="AH185" s="187">
        <v>0.0</v>
      </c>
      <c r="AI185" s="181">
        <f t="shared" si="10"/>
        <v>0</v>
      </c>
      <c r="AJ185" s="181">
        <f t="shared" si="11"/>
        <v>0</v>
      </c>
      <c r="AK185" s="185" t="str">
        <f t="shared" si="12"/>
        <v/>
      </c>
      <c r="AL185" s="188" t="str">
        <f t="array" ref="AL185">H185*(1-I185)*VLOOKUP(AT185,{'▶️ Инструкция'!C:C,'▶️ Инструкция'!AI:AI},2,false)</f>
        <v>#N/A</v>
      </c>
      <c r="AM185" s="186" t="str">
        <f t="shared" si="13"/>
        <v/>
      </c>
      <c r="AN185" s="189">
        <v>0.0</v>
      </c>
      <c r="AO185" s="189">
        <v>0.0</v>
      </c>
      <c r="AP185" s="189">
        <v>0.0</v>
      </c>
      <c r="AQ185" s="191">
        <v>1.0</v>
      </c>
      <c r="AR185" s="191">
        <v>0.0</v>
      </c>
      <c r="AS185" s="212">
        <v>0.0</v>
      </c>
      <c r="AT185" s="193" t="s">
        <v>206</v>
      </c>
      <c r="AU185" s="193" t="s">
        <v>121</v>
      </c>
      <c r="AV185" s="193" t="s">
        <v>199</v>
      </c>
      <c r="AW185" s="194">
        <f t="shared" si="14"/>
        <v>0</v>
      </c>
      <c r="AX185" s="195">
        <f t="shared" si="15"/>
        <v>0</v>
      </c>
      <c r="AY185" s="196" t="str">
        <f t="shared" si="16"/>
        <v>#N/A</v>
      </c>
      <c r="AZ185" s="213">
        <v>250.0</v>
      </c>
      <c r="BA185" s="196">
        <f t="shared" si="17"/>
        <v>0.25</v>
      </c>
      <c r="BB185" s="213">
        <f t="shared" si="18"/>
        <v>1000</v>
      </c>
      <c r="BC185" s="199" t="str">
        <f t="shared" si="19"/>
        <v>#N/A</v>
      </c>
      <c r="BD185" s="200" t="str">
        <f t="shared" si="20"/>
        <v>#N/A</v>
      </c>
      <c r="BE185" s="200">
        <f t="shared" si="21"/>
        <v>0</v>
      </c>
      <c r="BF185" s="201" t="str">
        <f t="shared" si="22"/>
        <v/>
      </c>
      <c r="BG185" s="201" t="str">
        <f t="shared" si="23"/>
        <v/>
      </c>
      <c r="BH185" s="202" t="str">
        <f t="shared" si="24"/>
        <v/>
      </c>
      <c r="BI185" s="203"/>
      <c r="BJ185" s="204">
        <f>IFERROR(__xludf.DUMMYFUNCTION("IF(AU185=data!A$5,
IF(AV185=data!A$8,
IF(T185=data!A$3,
VLOOKUP(S185,filter('🔒 Доп. информация'!D:H,'🔒 Доп. информация'!C:C=T185),4,FALSE)+VLOOKUP(S185,filter('🔒 Доп. информация'!D:H,'🔒 Доп. информация'!C:C=T185),5,FALSE)*AJ185,
IF(AND(MAX(AF185:AH185"&amp;")&lt;80,SUM(AF185:AH185)&lt;=160,AI185&lt;20,XLOOKUP(M185,'📄 Комиссии'!C:C,'📄 Комиссии'!B:B)&lt;&gt;""Продукты""),
VLOOKUP(S185,filter('🔒 Доп. информация'!D:H,'🔒 Доп. информация'!C:C=data!$A$3),4,FALSE)+VLOOKUP(S185,filter('🔒 Доп. информация'!D:H,'🔒 Доп. информаци"&amp;"я'!C:C=data!$A$3),5,FALSE)*AJ185,
VLOOKUP(S185,filter('🔒 Доп. информация'!D:H,'🔒 Доп. информация'!C:C=T185),4,FALSE)*ROUNDUP(AF185*AG185*AH185*L185/(120*80*175))/L185)
)
*(AE185/2)
,)
,)*0"),0.0)</f>
        <v>0</v>
      </c>
      <c r="BK185" s="204">
        <f>IFERROR(__xludf.DUMMYFUNCTION("IF(AU185=data!A$5,
IF(AI185&lt;=1,IF(AI185&lt;=0.8,IF(AI185&lt;=0.6,IF(AI185&lt;=0.4,IF(AI185&lt;=0.2,23,26),29),30),32)*VLOOKUP(S185,filter('🔒 Доп. информация'!D:E,'🔒 Доп. информация'!C:C=T185),2,FALSE)/'🔒 Доп. информация'!$K$9,
IF(AV185=data!A$8,U185,1)*VLOOKUP(S18"&amp;"5,filter('🔒 Доп. информация'!D:E,'🔒 Доп. информация'!C:C=T185),2,FALSE)+
IF(AV185=data!A$8,U185,1)*VLOOKUP(S185,filter('🔒 Доп. информация'!D:F,'🔒 Доп. информация'!C:C=T185),3,FALSE)*AJ185)
,0)"),69.0)</f>
        <v>69</v>
      </c>
      <c r="BL185" s="185" t="str">
        <f t="shared" ref="BL185:BM185" si="565">IF($D185,"🔒",)</f>
        <v/>
      </c>
      <c r="BM185" s="185" t="str">
        <f t="shared" si="565"/>
        <v/>
      </c>
      <c r="BN185" s="204">
        <f>VLOOKUP(T185,'🔒 Доп. информация'!J:P,7,false)</f>
        <v>50</v>
      </c>
      <c r="BO185" s="204">
        <f>IF(AV185=data!A$9,
(AA185+AO185+AP185+BJ185+BK185+BN185)+H185*AS185,
(BJ185+BK185+BN185)+H185*AS185
)</f>
        <v>119</v>
      </c>
      <c r="BP185" s="204">
        <f t="shared" si="26"/>
        <v>69</v>
      </c>
      <c r="BQ185" s="204">
        <f t="shared" si="27"/>
        <v>320</v>
      </c>
      <c r="BR185" s="204" t="str">
        <f t="shared" si="37"/>
        <v>#N/A</v>
      </c>
      <c r="BS185" s="204" t="str">
        <f t="array" ref="BS185">IF(VLOOKUP(AT185,{'▶️ Инструкция'!C:C,'▶️ Инструкция'!Y:Y},2,FALSE)=data!A$15,
H185*(1-I185),
(H185-BR185))
*VLOOKUP(AT185,{'▶️ Инструкция'!C:C,'▶️ Инструкция'!AD:AD},2,FALSE)/(1+VLOOKUP(AT185,{'▶️ Инструкция'!C:C,'▶️ Инструкция'!AD:AD},2,FALSE))</f>
        <v>#N/A</v>
      </c>
      <c r="BT185" s="204" t="str">
        <f t="array" ref="BT185">
IF(VLOOKUP(AT185,{'▶️ Инструкция'!C:C,'▶️ Инструкция'!Y:Y},2,FALSE)=data!A$15,
H185*(1-I185)-BS185,
(H185-BR185-BS185))
*
VLOOKUP(AT185,{'▶️ Инструкция'!C:C,'▶️ Инструкция'!R:R},2,FALSE)
+BS185</f>
        <v>#N/A</v>
      </c>
      <c r="BU185" s="204" t="str">
        <f>(G185*AR185)+if(AV185=data!A$9,AO185,AN185)+AP185+BR185+BT185</f>
        <v>#N/A</v>
      </c>
      <c r="BV185" s="204" t="str">
        <f>(G185*AR185)+if(AV185=data!A$9,AO185,AN185)+AP185+BT185+G185</f>
        <v>#N/A</v>
      </c>
      <c r="BW185" s="204" t="str">
        <f t="shared" si="28"/>
        <v>#N/A</v>
      </c>
      <c r="BX185" s="204" t="str">
        <f t="shared" si="29"/>
        <v>#N/A</v>
      </c>
    </row>
    <row r="186">
      <c r="A186" s="165" t="str">
        <f>if(D186=true,if(F186=data!A$1,data!A$10,data!A$11),)</f>
        <v/>
      </c>
      <c r="B186" s="166" t="str">
        <f t="shared" si="4"/>
        <v>FBS</v>
      </c>
      <c r="C186" s="167" t="s">
        <v>195</v>
      </c>
      <c r="D186" s="168" t="b">
        <v>0</v>
      </c>
      <c r="E186" s="169" t="s">
        <v>204</v>
      </c>
      <c r="F186" s="170" t="str">
        <f t="array" ref="F186">IF(D186=TRUE,IF(IF(BG$3=VLOOKUP(AT186,{'▶️ Инструкция'!C:C,'▶️ Инструкция'!G:G},2,FALSE),BG186,BH186)&gt;VLOOKUP(AT186,{'▶️ Инструкция'!C:C,'▶️ Инструкция'!N:N},2,FALSE),data!A$1,data!A$2),)</f>
        <v/>
      </c>
      <c r="G186" s="171">
        <v>0.0</v>
      </c>
      <c r="H186" s="172">
        <v>1000.0</v>
      </c>
      <c r="I186" s="173">
        <v>0.0</v>
      </c>
      <c r="J186" s="173">
        <v>0.0</v>
      </c>
      <c r="K186" s="174" t="str">
        <f t="shared" si="5"/>
        <v/>
      </c>
      <c r="L186" s="175">
        <v>0.0</v>
      </c>
      <c r="M186" s="176" t="s">
        <v>197</v>
      </c>
      <c r="N186" s="177">
        <f>IFERROR(__xludf.DUMMYFUNCTION("ArrayFormula(let(category,VLOOKUP($M186, {'📄 Комиссии'!$C:$C , '📄 Комиссии'!$B:$B}, 2, 0),
data,MATCH('🔒 Доп. информация'!$J$15:$J203,TRANSPOSE(SPLIT(INDEX('▶️ Инструкция'!$Q:$Q,MATCH($AT186,'▶️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commission,VLOOKUP($M186,'📄 Комиссии'!$C:$E,IF($AV186=data!A$8,2,3),0),
IF(NOT(ISBLANK($M186)),commission/100+
"&amp;"IFERROR(VLOOKUP($AT186,{'▶️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86" s="178" t="str">
        <f t="shared" si="6"/>
        <v/>
      </c>
      <c r="Q186" s="178" t="str">
        <f t="shared" si="7"/>
        <v/>
      </c>
      <c r="S186" s="179" t="s">
        <v>192</v>
      </c>
      <c r="T186" s="180" t="s">
        <v>193</v>
      </c>
      <c r="U186" s="181">
        <v>1.0</v>
      </c>
      <c r="V186" s="182" t="str">
        <f t="shared" ref="V186:Y186" si="566">IF($D186,"🔒",)</f>
        <v/>
      </c>
      <c r="W186" s="182" t="str">
        <f t="shared" si="566"/>
        <v/>
      </c>
      <c r="X186" s="182" t="str">
        <f t="shared" si="566"/>
        <v/>
      </c>
      <c r="Y186" s="182" t="str">
        <f t="shared" si="566"/>
        <v/>
      </c>
      <c r="Z186" s="183">
        <v>0.0</v>
      </c>
      <c r="AA186" s="184">
        <f t="shared" si="31"/>
        <v>0</v>
      </c>
      <c r="AB186" s="185" t="str">
        <f t="shared" ref="AB186:AD186" si="567">IF($D186,"🔒",)</f>
        <v/>
      </c>
      <c r="AC186" s="185" t="str">
        <f t="shared" si="567"/>
        <v/>
      </c>
      <c r="AD186" s="186" t="str">
        <f t="shared" si="567"/>
        <v/>
      </c>
      <c r="AE186" s="180">
        <v>30.0</v>
      </c>
      <c r="AF186" s="187">
        <v>0.0</v>
      </c>
      <c r="AG186" s="187">
        <v>0.0</v>
      </c>
      <c r="AH186" s="187">
        <v>0.0</v>
      </c>
      <c r="AI186" s="181">
        <f t="shared" si="10"/>
        <v>0</v>
      </c>
      <c r="AJ186" s="181">
        <f t="shared" si="11"/>
        <v>0</v>
      </c>
      <c r="AK186" s="185" t="str">
        <f t="shared" si="12"/>
        <v/>
      </c>
      <c r="AL186" s="188" t="str">
        <f t="array" ref="AL186">H186*(1-I186)*VLOOKUP(AT186,{'▶️ Инструкция'!C:C,'▶️ Инструкция'!AI:AI},2,false)</f>
        <v>#N/A</v>
      </c>
      <c r="AM186" s="186" t="str">
        <f t="shared" si="13"/>
        <v/>
      </c>
      <c r="AN186" s="189">
        <v>0.0</v>
      </c>
      <c r="AO186" s="189">
        <v>0.0</v>
      </c>
      <c r="AP186" s="189">
        <v>0.0</v>
      </c>
      <c r="AQ186" s="191">
        <v>1.0</v>
      </c>
      <c r="AR186" s="191">
        <v>0.0</v>
      </c>
      <c r="AS186" s="212">
        <v>0.0</v>
      </c>
      <c r="AT186" s="193" t="s">
        <v>206</v>
      </c>
      <c r="AU186" s="193" t="s">
        <v>121</v>
      </c>
      <c r="AV186" s="193" t="s">
        <v>199</v>
      </c>
      <c r="AW186" s="194">
        <f t="shared" si="14"/>
        <v>0</v>
      </c>
      <c r="AX186" s="195">
        <f t="shared" si="15"/>
        <v>0</v>
      </c>
      <c r="AY186" s="196" t="str">
        <f t="shared" si="16"/>
        <v>#N/A</v>
      </c>
      <c r="AZ186" s="213">
        <v>250.0</v>
      </c>
      <c r="BA186" s="196">
        <f t="shared" si="17"/>
        <v>0.25</v>
      </c>
      <c r="BB186" s="213">
        <f t="shared" si="18"/>
        <v>1000</v>
      </c>
      <c r="BC186" s="199" t="str">
        <f t="shared" si="19"/>
        <v>#N/A</v>
      </c>
      <c r="BD186" s="200" t="str">
        <f t="shared" si="20"/>
        <v>#N/A</v>
      </c>
      <c r="BE186" s="200">
        <f t="shared" si="21"/>
        <v>0</v>
      </c>
      <c r="BF186" s="201" t="str">
        <f t="shared" si="22"/>
        <v/>
      </c>
      <c r="BG186" s="201" t="str">
        <f t="shared" si="23"/>
        <v/>
      </c>
      <c r="BH186" s="202" t="str">
        <f t="shared" si="24"/>
        <v/>
      </c>
      <c r="BI186" s="203"/>
      <c r="BJ186" s="204">
        <f>IFERROR(__xludf.DUMMYFUNCTION("IF(AU186=data!A$5,
IF(AV186=data!A$8,
IF(T186=data!A$3,
VLOOKUP(S186,filter('🔒 Доп. информация'!D:H,'🔒 Доп. информация'!C:C=T186),4,FALSE)+VLOOKUP(S186,filter('🔒 Доп. информация'!D:H,'🔒 Доп. информация'!C:C=T186),5,FALSE)*AJ186,
IF(AND(MAX(AF186:AH186"&amp;")&lt;80,SUM(AF186:AH186)&lt;=160,AI186&lt;20,XLOOKUP(M186,'📄 Комиссии'!C:C,'📄 Комиссии'!B:B)&lt;&gt;""Продукты""),
VLOOKUP(S186,filter('🔒 Доп. информация'!D:H,'🔒 Доп. информация'!C:C=data!$A$3),4,FALSE)+VLOOKUP(S186,filter('🔒 Доп. информация'!D:H,'🔒 Доп. информаци"&amp;"я'!C:C=data!$A$3),5,FALSE)*AJ186,
VLOOKUP(S186,filter('🔒 Доп. информация'!D:H,'🔒 Доп. информация'!C:C=T186),4,FALSE)*ROUNDUP(AF186*AG186*AH186*L186/(120*80*175))/L186)
)
*(AE186/2)
,)
,)*0"),0.0)</f>
        <v>0</v>
      </c>
      <c r="BK186" s="204">
        <f>IFERROR(__xludf.DUMMYFUNCTION("IF(AU186=data!A$5,
IF(AI186&lt;=1,IF(AI186&lt;=0.8,IF(AI186&lt;=0.6,IF(AI186&lt;=0.4,IF(AI186&lt;=0.2,23,26),29),30),32)*VLOOKUP(S186,filter('🔒 Доп. информация'!D:E,'🔒 Доп. информация'!C:C=T186),2,FALSE)/'🔒 Доп. информация'!$K$9,
IF(AV186=data!A$8,U186,1)*VLOOKUP(S18"&amp;"6,filter('🔒 Доп. информация'!D:E,'🔒 Доп. информация'!C:C=T186),2,FALSE)+
IF(AV186=data!A$8,U186,1)*VLOOKUP(S186,filter('🔒 Доп. информация'!D:F,'🔒 Доп. информация'!C:C=T186),3,FALSE)*AJ186)
,0)"),69.0)</f>
        <v>69</v>
      </c>
      <c r="BL186" s="185" t="str">
        <f t="shared" ref="BL186:BM186" si="568">IF($D186,"🔒",)</f>
        <v/>
      </c>
      <c r="BM186" s="185" t="str">
        <f t="shared" si="568"/>
        <v/>
      </c>
      <c r="BN186" s="204">
        <f>VLOOKUP(T186,'🔒 Доп. информация'!J:P,7,false)</f>
        <v>50</v>
      </c>
      <c r="BO186" s="204">
        <f>IF(AV186=data!A$9,
(AA186+AO186+AP186+BJ186+BK186+BN186)+H186*AS186,
(BJ186+BK186+BN186)+H186*AS186
)</f>
        <v>119</v>
      </c>
      <c r="BP186" s="204">
        <f t="shared" si="26"/>
        <v>69</v>
      </c>
      <c r="BQ186" s="204">
        <f t="shared" si="27"/>
        <v>320</v>
      </c>
      <c r="BR186" s="204" t="str">
        <f t="shared" si="37"/>
        <v>#N/A</v>
      </c>
      <c r="BS186" s="204" t="str">
        <f t="array" ref="BS186">IF(VLOOKUP(AT186,{'▶️ Инструкция'!C:C,'▶️ Инструкция'!Y:Y},2,FALSE)=data!A$15,
H186*(1-I186),
(H186-BR186))
*VLOOKUP(AT186,{'▶️ Инструкция'!C:C,'▶️ Инструкция'!AD:AD},2,FALSE)/(1+VLOOKUP(AT186,{'▶️ Инструкция'!C:C,'▶️ Инструкция'!AD:AD},2,FALSE))</f>
        <v>#N/A</v>
      </c>
      <c r="BT186" s="204" t="str">
        <f t="array" ref="BT186">
IF(VLOOKUP(AT186,{'▶️ Инструкция'!C:C,'▶️ Инструкция'!Y:Y},2,FALSE)=data!A$15,
H186*(1-I186)-BS186,
(H186-BR186-BS186))
*
VLOOKUP(AT186,{'▶️ Инструкция'!C:C,'▶️ Инструкция'!R:R},2,FALSE)
+BS186</f>
        <v>#N/A</v>
      </c>
      <c r="BU186" s="204" t="str">
        <f>(G186*AR186)+if(AV186=data!A$9,AO186,AN186)+AP186+BR186+BT186</f>
        <v>#N/A</v>
      </c>
      <c r="BV186" s="204" t="str">
        <f>(G186*AR186)+if(AV186=data!A$9,AO186,AN186)+AP186+BT186+G186</f>
        <v>#N/A</v>
      </c>
      <c r="BW186" s="204" t="str">
        <f t="shared" si="28"/>
        <v>#N/A</v>
      </c>
      <c r="BX186" s="204" t="str">
        <f t="shared" si="29"/>
        <v>#N/A</v>
      </c>
    </row>
    <row r="187">
      <c r="A187" s="165" t="str">
        <f>if(D187=true,if(F187=data!A$1,data!A$10,data!A$11),)</f>
        <v/>
      </c>
      <c r="B187" s="166" t="str">
        <f t="shared" si="4"/>
        <v>FBS</v>
      </c>
      <c r="C187" s="167" t="s">
        <v>195</v>
      </c>
      <c r="D187" s="168" t="b">
        <v>0</v>
      </c>
      <c r="E187" s="169" t="s">
        <v>204</v>
      </c>
      <c r="F187" s="170" t="str">
        <f t="array" ref="F187">IF(D187=TRUE,IF(IF(BG$3=VLOOKUP(AT187,{'▶️ Инструкция'!C:C,'▶️ Инструкция'!G:G},2,FALSE),BG187,BH187)&gt;VLOOKUP(AT187,{'▶️ Инструкция'!C:C,'▶️ Инструкция'!N:N},2,FALSE),data!A$1,data!A$2),)</f>
        <v/>
      </c>
      <c r="G187" s="171">
        <v>0.0</v>
      </c>
      <c r="H187" s="172">
        <v>1000.0</v>
      </c>
      <c r="I187" s="173">
        <v>0.0</v>
      </c>
      <c r="J187" s="173">
        <v>0.0</v>
      </c>
      <c r="K187" s="174" t="str">
        <f t="shared" si="5"/>
        <v/>
      </c>
      <c r="L187" s="175">
        <v>0.0</v>
      </c>
      <c r="M187" s="176" t="s">
        <v>197</v>
      </c>
      <c r="N187" s="177">
        <f>IFERROR(__xludf.DUMMYFUNCTION("ArrayFormula(let(category,VLOOKUP($M187, {'📄 Комиссии'!$C:$C , '📄 Комиссии'!$B:$B}, 2, 0),
data,MATCH('🔒 Доп. информация'!$J$15:$J203,TRANSPOSE(SPLIT(INDEX('▶️ Инструкция'!$Q:$Q,MATCH($AT187,'▶️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commission,VLOOKUP($M187,'📄 Комиссии'!$C:$E,IF($AV187=data!A$8,2,3),0),
IF(NOT(ISBLANK($M187)),commission/100+
"&amp;"IFERROR(VLOOKUP($AT187,{'▶️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87" s="178" t="str">
        <f t="shared" si="6"/>
        <v/>
      </c>
      <c r="Q187" s="178" t="str">
        <f t="shared" si="7"/>
        <v/>
      </c>
      <c r="S187" s="179" t="s">
        <v>192</v>
      </c>
      <c r="T187" s="180" t="s">
        <v>193</v>
      </c>
      <c r="U187" s="181">
        <v>1.0</v>
      </c>
      <c r="V187" s="182" t="str">
        <f t="shared" ref="V187:Y187" si="569">IF($D187,"🔒",)</f>
        <v/>
      </c>
      <c r="W187" s="182" t="str">
        <f t="shared" si="569"/>
        <v/>
      </c>
      <c r="X187" s="182" t="str">
        <f t="shared" si="569"/>
        <v/>
      </c>
      <c r="Y187" s="182" t="str">
        <f t="shared" si="569"/>
        <v/>
      </c>
      <c r="Z187" s="183">
        <v>0.0</v>
      </c>
      <c r="AA187" s="184">
        <f t="shared" si="31"/>
        <v>0</v>
      </c>
      <c r="AB187" s="185" t="str">
        <f t="shared" ref="AB187:AD187" si="570">IF($D187,"🔒",)</f>
        <v/>
      </c>
      <c r="AC187" s="185" t="str">
        <f t="shared" si="570"/>
        <v/>
      </c>
      <c r="AD187" s="186" t="str">
        <f t="shared" si="570"/>
        <v/>
      </c>
      <c r="AE187" s="180">
        <v>30.0</v>
      </c>
      <c r="AF187" s="187">
        <v>0.0</v>
      </c>
      <c r="AG187" s="187">
        <v>0.0</v>
      </c>
      <c r="AH187" s="187">
        <v>0.0</v>
      </c>
      <c r="AI187" s="181">
        <f t="shared" si="10"/>
        <v>0</v>
      </c>
      <c r="AJ187" s="181">
        <f t="shared" si="11"/>
        <v>0</v>
      </c>
      <c r="AK187" s="185" t="str">
        <f t="shared" si="12"/>
        <v/>
      </c>
      <c r="AL187" s="188" t="str">
        <f t="array" ref="AL187">H187*(1-I187)*VLOOKUP(AT187,{'▶️ Инструкция'!C:C,'▶️ Инструкция'!AI:AI},2,false)</f>
        <v>#N/A</v>
      </c>
      <c r="AM187" s="186" t="str">
        <f t="shared" si="13"/>
        <v/>
      </c>
      <c r="AN187" s="189">
        <v>0.0</v>
      </c>
      <c r="AO187" s="189">
        <v>0.0</v>
      </c>
      <c r="AP187" s="189">
        <v>0.0</v>
      </c>
      <c r="AQ187" s="191">
        <v>1.0</v>
      </c>
      <c r="AR187" s="191">
        <v>0.0</v>
      </c>
      <c r="AS187" s="212">
        <v>0.0</v>
      </c>
      <c r="AT187" s="193" t="s">
        <v>206</v>
      </c>
      <c r="AU187" s="193" t="s">
        <v>121</v>
      </c>
      <c r="AV187" s="193" t="s">
        <v>199</v>
      </c>
      <c r="AW187" s="194">
        <f t="shared" si="14"/>
        <v>0</v>
      </c>
      <c r="AX187" s="195">
        <f t="shared" si="15"/>
        <v>0</v>
      </c>
      <c r="AY187" s="196" t="str">
        <f t="shared" si="16"/>
        <v>#N/A</v>
      </c>
      <c r="AZ187" s="213">
        <v>250.0</v>
      </c>
      <c r="BA187" s="196">
        <f t="shared" si="17"/>
        <v>0.25</v>
      </c>
      <c r="BB187" s="213">
        <f t="shared" si="18"/>
        <v>1000</v>
      </c>
      <c r="BC187" s="199" t="str">
        <f t="shared" si="19"/>
        <v>#N/A</v>
      </c>
      <c r="BD187" s="200" t="str">
        <f t="shared" si="20"/>
        <v>#N/A</v>
      </c>
      <c r="BE187" s="200">
        <f t="shared" si="21"/>
        <v>0</v>
      </c>
      <c r="BF187" s="201" t="str">
        <f t="shared" si="22"/>
        <v/>
      </c>
      <c r="BG187" s="201" t="str">
        <f t="shared" si="23"/>
        <v/>
      </c>
      <c r="BH187" s="202" t="str">
        <f t="shared" si="24"/>
        <v/>
      </c>
      <c r="BI187" s="203"/>
      <c r="BJ187" s="204">
        <f>IFERROR(__xludf.DUMMYFUNCTION("IF(AU187=data!A$5,
IF(AV187=data!A$8,
IF(T187=data!A$3,
VLOOKUP(S187,filter('🔒 Доп. информация'!D:H,'🔒 Доп. информация'!C:C=T187),4,FALSE)+VLOOKUP(S187,filter('🔒 Доп. информация'!D:H,'🔒 Доп. информация'!C:C=T187),5,FALSE)*AJ187,
IF(AND(MAX(AF187:AH187"&amp;")&lt;80,SUM(AF187:AH187)&lt;=160,AI187&lt;20,XLOOKUP(M187,'📄 Комиссии'!C:C,'📄 Комиссии'!B:B)&lt;&gt;""Продукты""),
VLOOKUP(S187,filter('🔒 Доп. информация'!D:H,'🔒 Доп. информация'!C:C=data!$A$3),4,FALSE)+VLOOKUP(S187,filter('🔒 Доп. информация'!D:H,'🔒 Доп. информаци"&amp;"я'!C:C=data!$A$3),5,FALSE)*AJ187,
VLOOKUP(S187,filter('🔒 Доп. информация'!D:H,'🔒 Доп. информация'!C:C=T187),4,FALSE)*ROUNDUP(AF187*AG187*AH187*L187/(120*80*175))/L187)
)
*(AE187/2)
,)
,)*0"),0.0)</f>
        <v>0</v>
      </c>
      <c r="BK187" s="204">
        <f>IFERROR(__xludf.DUMMYFUNCTION("IF(AU187=data!A$5,
IF(AI187&lt;=1,IF(AI187&lt;=0.8,IF(AI187&lt;=0.6,IF(AI187&lt;=0.4,IF(AI187&lt;=0.2,23,26),29),30),32)*VLOOKUP(S187,filter('🔒 Доп. информация'!D:E,'🔒 Доп. информация'!C:C=T187),2,FALSE)/'🔒 Доп. информация'!$K$9,
IF(AV187=data!A$8,U187,1)*VLOOKUP(S18"&amp;"7,filter('🔒 Доп. информация'!D:E,'🔒 Доп. информация'!C:C=T187),2,FALSE)+
IF(AV187=data!A$8,U187,1)*VLOOKUP(S187,filter('🔒 Доп. информация'!D:F,'🔒 Доп. информация'!C:C=T187),3,FALSE)*AJ187)
,0)"),69.0)</f>
        <v>69</v>
      </c>
      <c r="BL187" s="185" t="str">
        <f t="shared" ref="BL187:BM187" si="571">IF($D187,"🔒",)</f>
        <v/>
      </c>
      <c r="BM187" s="185" t="str">
        <f t="shared" si="571"/>
        <v/>
      </c>
      <c r="BN187" s="204">
        <f>VLOOKUP(T187,'🔒 Доп. информация'!J:P,7,false)</f>
        <v>50</v>
      </c>
      <c r="BO187" s="204">
        <f>IF(AV187=data!A$9,
(AA187+AO187+AP187+BJ187+BK187+BN187)+H187*AS187,
(BJ187+BK187+BN187)+H187*AS187
)</f>
        <v>119</v>
      </c>
      <c r="BP187" s="204">
        <f t="shared" si="26"/>
        <v>69</v>
      </c>
      <c r="BQ187" s="204">
        <f t="shared" si="27"/>
        <v>320</v>
      </c>
      <c r="BR187" s="204" t="str">
        <f t="shared" si="37"/>
        <v>#N/A</v>
      </c>
      <c r="BS187" s="204" t="str">
        <f t="array" ref="BS187">IF(VLOOKUP(AT187,{'▶️ Инструкция'!C:C,'▶️ Инструкция'!Y:Y},2,FALSE)=data!A$15,
H187*(1-I187),
(H187-BR187))
*VLOOKUP(AT187,{'▶️ Инструкция'!C:C,'▶️ Инструкция'!AD:AD},2,FALSE)/(1+VLOOKUP(AT187,{'▶️ Инструкция'!C:C,'▶️ Инструкция'!AD:AD},2,FALSE))</f>
        <v>#N/A</v>
      </c>
      <c r="BT187" s="204" t="str">
        <f t="array" ref="BT187">
IF(VLOOKUP(AT187,{'▶️ Инструкция'!C:C,'▶️ Инструкция'!Y:Y},2,FALSE)=data!A$15,
H187*(1-I187)-BS187,
(H187-BR187-BS187))
*
VLOOKUP(AT187,{'▶️ Инструкция'!C:C,'▶️ Инструкция'!R:R},2,FALSE)
+BS187</f>
        <v>#N/A</v>
      </c>
      <c r="BU187" s="204" t="str">
        <f>(G187*AR187)+if(AV187=data!A$9,AO187,AN187)+AP187+BR187+BT187</f>
        <v>#N/A</v>
      </c>
      <c r="BV187" s="204" t="str">
        <f>(G187*AR187)+if(AV187=data!A$9,AO187,AN187)+AP187+BT187+G187</f>
        <v>#N/A</v>
      </c>
      <c r="BW187" s="204" t="str">
        <f t="shared" si="28"/>
        <v>#N/A</v>
      </c>
      <c r="BX187" s="204" t="str">
        <f t="shared" si="29"/>
        <v>#N/A</v>
      </c>
    </row>
    <row r="188">
      <c r="A188" s="165" t="str">
        <f>if(D188=true,if(F188=data!A$1,data!A$10,data!A$11),)</f>
        <v/>
      </c>
      <c r="B188" s="166" t="str">
        <f t="shared" si="4"/>
        <v>FBS</v>
      </c>
      <c r="C188" s="167" t="s">
        <v>195</v>
      </c>
      <c r="D188" s="168" t="b">
        <v>0</v>
      </c>
      <c r="E188" s="169" t="s">
        <v>204</v>
      </c>
      <c r="F188" s="170" t="str">
        <f t="array" ref="F188">IF(D188=TRUE,IF(IF(BG$3=VLOOKUP(AT188,{'▶️ Инструкция'!C:C,'▶️ Инструкция'!G:G},2,FALSE),BG188,BH188)&gt;VLOOKUP(AT188,{'▶️ Инструкция'!C:C,'▶️ Инструкция'!N:N},2,FALSE),data!A$1,data!A$2),)</f>
        <v/>
      </c>
      <c r="G188" s="171">
        <v>0.0</v>
      </c>
      <c r="H188" s="172">
        <v>1000.0</v>
      </c>
      <c r="I188" s="173">
        <v>0.0</v>
      </c>
      <c r="J188" s="173">
        <v>0.0</v>
      </c>
      <c r="K188" s="174" t="str">
        <f t="shared" si="5"/>
        <v/>
      </c>
      <c r="L188" s="175">
        <v>0.0</v>
      </c>
      <c r="M188" s="176" t="s">
        <v>197</v>
      </c>
      <c r="N188" s="177">
        <f>IFERROR(__xludf.DUMMYFUNCTION("ArrayFormula(let(category,VLOOKUP($M188, {'📄 Комиссии'!$C:$C , '📄 Комиссии'!$B:$B}, 2, 0),
data,MATCH('🔒 Доп. информация'!$J$15:$J203,TRANSPOSE(SPLIT(INDEX('▶️ Инструкция'!$Q:$Q,MATCH($AT188,'▶️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commission,VLOOKUP($M188,'📄 Комиссии'!$C:$E,IF($AV188=data!A$8,2,3),0),
IF(NOT(ISBLANK($M188)),commission/100+
"&amp;"IFERROR(VLOOKUP($AT188,{'▶️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88" s="178" t="str">
        <f t="shared" si="6"/>
        <v/>
      </c>
      <c r="Q188" s="178" t="str">
        <f t="shared" si="7"/>
        <v/>
      </c>
      <c r="S188" s="179" t="s">
        <v>192</v>
      </c>
      <c r="T188" s="180" t="s">
        <v>193</v>
      </c>
      <c r="U188" s="181">
        <v>1.0</v>
      </c>
      <c r="V188" s="182" t="str">
        <f t="shared" ref="V188:Y188" si="572">IF($D188,"🔒",)</f>
        <v/>
      </c>
      <c r="W188" s="182" t="str">
        <f t="shared" si="572"/>
        <v/>
      </c>
      <c r="X188" s="182" t="str">
        <f t="shared" si="572"/>
        <v/>
      </c>
      <c r="Y188" s="182" t="str">
        <f t="shared" si="572"/>
        <v/>
      </c>
      <c r="Z188" s="183">
        <v>0.0</v>
      </c>
      <c r="AA188" s="184">
        <f t="shared" si="31"/>
        <v>0</v>
      </c>
      <c r="AB188" s="185" t="str">
        <f t="shared" ref="AB188:AD188" si="573">IF($D188,"🔒",)</f>
        <v/>
      </c>
      <c r="AC188" s="185" t="str">
        <f t="shared" si="573"/>
        <v/>
      </c>
      <c r="AD188" s="186" t="str">
        <f t="shared" si="573"/>
        <v/>
      </c>
      <c r="AE188" s="180">
        <v>30.0</v>
      </c>
      <c r="AF188" s="187">
        <v>0.0</v>
      </c>
      <c r="AG188" s="187">
        <v>0.0</v>
      </c>
      <c r="AH188" s="187">
        <v>0.0</v>
      </c>
      <c r="AI188" s="181">
        <f t="shared" si="10"/>
        <v>0</v>
      </c>
      <c r="AJ188" s="181">
        <f t="shared" si="11"/>
        <v>0</v>
      </c>
      <c r="AK188" s="185" t="str">
        <f t="shared" si="12"/>
        <v/>
      </c>
      <c r="AL188" s="188" t="str">
        <f t="array" ref="AL188">H188*(1-I188)*VLOOKUP(AT188,{'▶️ Инструкция'!C:C,'▶️ Инструкция'!AI:AI},2,false)</f>
        <v>#N/A</v>
      </c>
      <c r="AM188" s="186" t="str">
        <f t="shared" si="13"/>
        <v/>
      </c>
      <c r="AN188" s="189">
        <v>0.0</v>
      </c>
      <c r="AO188" s="189">
        <v>0.0</v>
      </c>
      <c r="AP188" s="189">
        <v>0.0</v>
      </c>
      <c r="AQ188" s="191">
        <v>1.0</v>
      </c>
      <c r="AR188" s="191">
        <v>0.0</v>
      </c>
      <c r="AS188" s="212">
        <v>0.0</v>
      </c>
      <c r="AT188" s="193" t="s">
        <v>206</v>
      </c>
      <c r="AU188" s="193" t="s">
        <v>121</v>
      </c>
      <c r="AV188" s="193" t="s">
        <v>199</v>
      </c>
      <c r="AW188" s="194">
        <f t="shared" si="14"/>
        <v>0</v>
      </c>
      <c r="AX188" s="195">
        <f t="shared" si="15"/>
        <v>0</v>
      </c>
      <c r="AY188" s="196" t="str">
        <f t="shared" si="16"/>
        <v>#N/A</v>
      </c>
      <c r="AZ188" s="213">
        <v>250.0</v>
      </c>
      <c r="BA188" s="196">
        <f t="shared" si="17"/>
        <v>0.25</v>
      </c>
      <c r="BB188" s="213">
        <f t="shared" si="18"/>
        <v>1000</v>
      </c>
      <c r="BC188" s="199" t="str">
        <f t="shared" si="19"/>
        <v>#N/A</v>
      </c>
      <c r="BD188" s="200" t="str">
        <f t="shared" si="20"/>
        <v>#N/A</v>
      </c>
      <c r="BE188" s="200">
        <f t="shared" si="21"/>
        <v>0</v>
      </c>
      <c r="BF188" s="201" t="str">
        <f t="shared" si="22"/>
        <v/>
      </c>
      <c r="BG188" s="201" t="str">
        <f t="shared" si="23"/>
        <v/>
      </c>
      <c r="BH188" s="202" t="str">
        <f t="shared" si="24"/>
        <v/>
      </c>
      <c r="BI188" s="203"/>
      <c r="BJ188" s="204">
        <f>IFERROR(__xludf.DUMMYFUNCTION("IF(AU188=data!A$5,
IF(AV188=data!A$8,
IF(T188=data!A$3,
VLOOKUP(S188,filter('🔒 Доп. информация'!D:H,'🔒 Доп. информация'!C:C=T188),4,FALSE)+VLOOKUP(S188,filter('🔒 Доп. информация'!D:H,'🔒 Доп. информация'!C:C=T188),5,FALSE)*AJ188,
IF(AND(MAX(AF188:AH188"&amp;")&lt;80,SUM(AF188:AH188)&lt;=160,AI188&lt;20,XLOOKUP(M188,'📄 Комиссии'!C:C,'📄 Комиссии'!B:B)&lt;&gt;""Продукты""),
VLOOKUP(S188,filter('🔒 Доп. информация'!D:H,'🔒 Доп. информация'!C:C=data!$A$3),4,FALSE)+VLOOKUP(S188,filter('🔒 Доп. информация'!D:H,'🔒 Доп. информаци"&amp;"я'!C:C=data!$A$3),5,FALSE)*AJ188,
VLOOKUP(S188,filter('🔒 Доп. информация'!D:H,'🔒 Доп. информация'!C:C=T188),4,FALSE)*ROUNDUP(AF188*AG188*AH188*L188/(120*80*175))/L188)
)
*(AE188/2)
,)
,)*0"),0.0)</f>
        <v>0</v>
      </c>
      <c r="BK188" s="204">
        <f>IFERROR(__xludf.DUMMYFUNCTION("IF(AU188=data!A$5,
IF(AI188&lt;=1,IF(AI188&lt;=0.8,IF(AI188&lt;=0.6,IF(AI188&lt;=0.4,IF(AI188&lt;=0.2,23,26),29),30),32)*VLOOKUP(S188,filter('🔒 Доп. информация'!D:E,'🔒 Доп. информация'!C:C=T188),2,FALSE)/'🔒 Доп. информация'!$K$9,
IF(AV188=data!A$8,U188,1)*VLOOKUP(S18"&amp;"8,filter('🔒 Доп. информация'!D:E,'🔒 Доп. информация'!C:C=T188),2,FALSE)+
IF(AV188=data!A$8,U188,1)*VLOOKUP(S188,filter('🔒 Доп. информация'!D:F,'🔒 Доп. информация'!C:C=T188),3,FALSE)*AJ188)
,0)"),69.0)</f>
        <v>69</v>
      </c>
      <c r="BL188" s="185" t="str">
        <f t="shared" ref="BL188:BM188" si="574">IF($D188,"🔒",)</f>
        <v/>
      </c>
      <c r="BM188" s="185" t="str">
        <f t="shared" si="574"/>
        <v/>
      </c>
      <c r="BN188" s="204">
        <f>VLOOKUP(T188,'🔒 Доп. информация'!J:P,7,false)</f>
        <v>50</v>
      </c>
      <c r="BO188" s="204">
        <f>IF(AV188=data!A$9,
(AA188+AO188+AP188+BJ188+BK188+BN188)+H188*AS188,
(BJ188+BK188+BN188)+H188*AS188
)</f>
        <v>119</v>
      </c>
      <c r="BP188" s="204">
        <f t="shared" si="26"/>
        <v>69</v>
      </c>
      <c r="BQ188" s="204">
        <f t="shared" si="27"/>
        <v>320</v>
      </c>
      <c r="BR188" s="204" t="str">
        <f t="shared" si="37"/>
        <v>#N/A</v>
      </c>
      <c r="BS188" s="204" t="str">
        <f t="array" ref="BS188">IF(VLOOKUP(AT188,{'▶️ Инструкция'!C:C,'▶️ Инструкция'!Y:Y},2,FALSE)=data!A$15,
H188*(1-I188),
(H188-BR188))
*VLOOKUP(AT188,{'▶️ Инструкция'!C:C,'▶️ Инструкция'!AD:AD},2,FALSE)/(1+VLOOKUP(AT188,{'▶️ Инструкция'!C:C,'▶️ Инструкция'!AD:AD},2,FALSE))</f>
        <v>#N/A</v>
      </c>
      <c r="BT188" s="204" t="str">
        <f t="array" ref="BT188">
IF(VLOOKUP(AT188,{'▶️ Инструкция'!C:C,'▶️ Инструкция'!Y:Y},2,FALSE)=data!A$15,
H188*(1-I188)-BS188,
(H188-BR188-BS188))
*
VLOOKUP(AT188,{'▶️ Инструкция'!C:C,'▶️ Инструкция'!R:R},2,FALSE)
+BS188</f>
        <v>#N/A</v>
      </c>
      <c r="BU188" s="204" t="str">
        <f>(G188*AR188)+if(AV188=data!A$9,AO188,AN188)+AP188+BR188+BT188</f>
        <v>#N/A</v>
      </c>
      <c r="BV188" s="204" t="str">
        <f>(G188*AR188)+if(AV188=data!A$9,AO188,AN188)+AP188+BT188+G188</f>
        <v>#N/A</v>
      </c>
      <c r="BW188" s="204" t="str">
        <f t="shared" si="28"/>
        <v>#N/A</v>
      </c>
      <c r="BX188" s="204" t="str">
        <f t="shared" si="29"/>
        <v>#N/A</v>
      </c>
    </row>
    <row r="189">
      <c r="A189" s="165" t="str">
        <f>if(D189=true,if(F189=data!A$1,data!A$10,data!A$11),)</f>
        <v/>
      </c>
      <c r="B189" s="166" t="str">
        <f t="shared" si="4"/>
        <v>FBS</v>
      </c>
      <c r="C189" s="167" t="s">
        <v>195</v>
      </c>
      <c r="D189" s="168" t="b">
        <v>0</v>
      </c>
      <c r="E189" s="169" t="s">
        <v>204</v>
      </c>
      <c r="F189" s="170" t="str">
        <f t="array" ref="F189">IF(D189=TRUE,IF(IF(BG$3=VLOOKUP(AT189,{'▶️ Инструкция'!C:C,'▶️ Инструкция'!G:G},2,FALSE),BG189,BH189)&gt;VLOOKUP(AT189,{'▶️ Инструкция'!C:C,'▶️ Инструкция'!N:N},2,FALSE),data!A$1,data!A$2),)</f>
        <v/>
      </c>
      <c r="G189" s="171">
        <v>0.0</v>
      </c>
      <c r="H189" s="172">
        <v>1000.0</v>
      </c>
      <c r="I189" s="173">
        <v>0.0</v>
      </c>
      <c r="J189" s="173">
        <v>0.0</v>
      </c>
      <c r="K189" s="174" t="str">
        <f t="shared" si="5"/>
        <v/>
      </c>
      <c r="L189" s="175">
        <v>0.0</v>
      </c>
      <c r="M189" s="176" t="s">
        <v>197</v>
      </c>
      <c r="N189" s="177">
        <f>IFERROR(__xludf.DUMMYFUNCTION("ArrayFormula(let(category,VLOOKUP($M189, {'📄 Комиссии'!$C:$C , '📄 Комиссии'!$B:$B}, 2, 0),
data,MATCH('🔒 Доп. информация'!$J$15:$J203,TRANSPOSE(SPLIT(INDEX('▶️ Инструкция'!$Q:$Q,MATCH($AT189,'▶️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commission,VLOOKUP($M189,'📄 Комиссии'!$C:$E,IF($AV189=data!A$8,2,3),0),
IF(NOT(ISBLANK($M189)),commission/100+
"&amp;"IFERROR(VLOOKUP($AT189,{'▶️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89" s="178" t="str">
        <f t="shared" si="6"/>
        <v/>
      </c>
      <c r="Q189" s="178" t="str">
        <f t="shared" si="7"/>
        <v/>
      </c>
      <c r="S189" s="179" t="s">
        <v>192</v>
      </c>
      <c r="T189" s="180" t="s">
        <v>193</v>
      </c>
      <c r="U189" s="181">
        <v>1.0</v>
      </c>
      <c r="V189" s="182" t="str">
        <f t="shared" ref="V189:Y189" si="575">IF($D189,"🔒",)</f>
        <v/>
      </c>
      <c r="W189" s="182" t="str">
        <f t="shared" si="575"/>
        <v/>
      </c>
      <c r="X189" s="182" t="str">
        <f t="shared" si="575"/>
        <v/>
      </c>
      <c r="Y189" s="182" t="str">
        <f t="shared" si="575"/>
        <v/>
      </c>
      <c r="Z189" s="183">
        <v>0.0</v>
      </c>
      <c r="AA189" s="184">
        <f t="shared" si="31"/>
        <v>0</v>
      </c>
      <c r="AB189" s="185" t="str">
        <f t="shared" ref="AB189:AD189" si="576">IF($D189,"🔒",)</f>
        <v/>
      </c>
      <c r="AC189" s="185" t="str">
        <f t="shared" si="576"/>
        <v/>
      </c>
      <c r="AD189" s="186" t="str">
        <f t="shared" si="576"/>
        <v/>
      </c>
      <c r="AE189" s="180">
        <v>30.0</v>
      </c>
      <c r="AF189" s="187">
        <v>0.0</v>
      </c>
      <c r="AG189" s="187">
        <v>0.0</v>
      </c>
      <c r="AH189" s="187">
        <v>0.0</v>
      </c>
      <c r="AI189" s="181">
        <f t="shared" si="10"/>
        <v>0</v>
      </c>
      <c r="AJ189" s="181">
        <f t="shared" si="11"/>
        <v>0</v>
      </c>
      <c r="AK189" s="185" t="str">
        <f t="shared" si="12"/>
        <v/>
      </c>
      <c r="AL189" s="188" t="str">
        <f t="array" ref="AL189">H189*(1-I189)*VLOOKUP(AT189,{'▶️ Инструкция'!C:C,'▶️ Инструкция'!AI:AI},2,false)</f>
        <v>#N/A</v>
      </c>
      <c r="AM189" s="186" t="str">
        <f t="shared" si="13"/>
        <v/>
      </c>
      <c r="AN189" s="189">
        <v>0.0</v>
      </c>
      <c r="AO189" s="189">
        <v>0.0</v>
      </c>
      <c r="AP189" s="189">
        <v>0.0</v>
      </c>
      <c r="AQ189" s="191">
        <v>1.0</v>
      </c>
      <c r="AR189" s="191">
        <v>0.0</v>
      </c>
      <c r="AS189" s="212">
        <v>0.0</v>
      </c>
      <c r="AT189" s="193" t="s">
        <v>206</v>
      </c>
      <c r="AU189" s="193" t="s">
        <v>121</v>
      </c>
      <c r="AV189" s="193" t="s">
        <v>199</v>
      </c>
      <c r="AW189" s="194">
        <f t="shared" si="14"/>
        <v>0</v>
      </c>
      <c r="AX189" s="195">
        <f t="shared" si="15"/>
        <v>0</v>
      </c>
      <c r="AY189" s="196" t="str">
        <f t="shared" si="16"/>
        <v>#N/A</v>
      </c>
      <c r="AZ189" s="213">
        <v>250.0</v>
      </c>
      <c r="BA189" s="196">
        <f t="shared" si="17"/>
        <v>0.25</v>
      </c>
      <c r="BB189" s="213">
        <f t="shared" si="18"/>
        <v>1000</v>
      </c>
      <c r="BC189" s="199" t="str">
        <f t="shared" si="19"/>
        <v>#N/A</v>
      </c>
      <c r="BD189" s="200" t="str">
        <f t="shared" si="20"/>
        <v>#N/A</v>
      </c>
      <c r="BE189" s="200">
        <f t="shared" si="21"/>
        <v>0</v>
      </c>
      <c r="BF189" s="201" t="str">
        <f t="shared" si="22"/>
        <v/>
      </c>
      <c r="BG189" s="201" t="str">
        <f t="shared" si="23"/>
        <v/>
      </c>
      <c r="BH189" s="202" t="str">
        <f t="shared" si="24"/>
        <v/>
      </c>
      <c r="BI189" s="203"/>
      <c r="BJ189" s="204">
        <f>IFERROR(__xludf.DUMMYFUNCTION("IF(AU189=data!A$5,
IF(AV189=data!A$8,
IF(T189=data!A$3,
VLOOKUP(S189,filter('🔒 Доп. информация'!D:H,'🔒 Доп. информация'!C:C=T189),4,FALSE)+VLOOKUP(S189,filter('🔒 Доп. информация'!D:H,'🔒 Доп. информация'!C:C=T189),5,FALSE)*AJ189,
IF(AND(MAX(AF189:AH189"&amp;")&lt;80,SUM(AF189:AH189)&lt;=160,AI189&lt;20,XLOOKUP(M189,'📄 Комиссии'!C:C,'📄 Комиссии'!B:B)&lt;&gt;""Продукты""),
VLOOKUP(S189,filter('🔒 Доп. информация'!D:H,'🔒 Доп. информация'!C:C=data!$A$3),4,FALSE)+VLOOKUP(S189,filter('🔒 Доп. информация'!D:H,'🔒 Доп. информаци"&amp;"я'!C:C=data!$A$3),5,FALSE)*AJ189,
VLOOKUP(S189,filter('🔒 Доп. информация'!D:H,'🔒 Доп. информация'!C:C=T189),4,FALSE)*ROUNDUP(AF189*AG189*AH189*L189/(120*80*175))/L189)
)
*(AE189/2)
,)
,)*0"),0.0)</f>
        <v>0</v>
      </c>
      <c r="BK189" s="204">
        <f>IFERROR(__xludf.DUMMYFUNCTION("IF(AU189=data!A$5,
IF(AI189&lt;=1,IF(AI189&lt;=0.8,IF(AI189&lt;=0.6,IF(AI189&lt;=0.4,IF(AI189&lt;=0.2,23,26),29),30),32)*VLOOKUP(S189,filter('🔒 Доп. информация'!D:E,'🔒 Доп. информация'!C:C=T189),2,FALSE)/'🔒 Доп. информация'!$K$9,
IF(AV189=data!A$8,U189,1)*VLOOKUP(S18"&amp;"9,filter('🔒 Доп. информация'!D:E,'🔒 Доп. информация'!C:C=T189),2,FALSE)+
IF(AV189=data!A$8,U189,1)*VLOOKUP(S189,filter('🔒 Доп. информация'!D:F,'🔒 Доп. информация'!C:C=T189),3,FALSE)*AJ189)
,0)"),69.0)</f>
        <v>69</v>
      </c>
      <c r="BL189" s="185" t="str">
        <f t="shared" ref="BL189:BM189" si="577">IF($D189,"🔒",)</f>
        <v/>
      </c>
      <c r="BM189" s="185" t="str">
        <f t="shared" si="577"/>
        <v/>
      </c>
      <c r="BN189" s="204">
        <f>VLOOKUP(T189,'🔒 Доп. информация'!J:P,7,false)</f>
        <v>50</v>
      </c>
      <c r="BO189" s="204">
        <f>IF(AV189=data!A$9,
(AA189+AO189+AP189+BJ189+BK189+BN189)+H189*AS189,
(BJ189+BK189+BN189)+H189*AS189
)</f>
        <v>119</v>
      </c>
      <c r="BP189" s="204">
        <f t="shared" si="26"/>
        <v>69</v>
      </c>
      <c r="BQ189" s="204">
        <f t="shared" si="27"/>
        <v>320</v>
      </c>
      <c r="BR189" s="204" t="str">
        <f t="shared" si="37"/>
        <v>#N/A</v>
      </c>
      <c r="BS189" s="204" t="str">
        <f t="array" ref="BS189">IF(VLOOKUP(AT189,{'▶️ Инструкция'!C:C,'▶️ Инструкция'!Y:Y},2,FALSE)=data!A$15,
H189*(1-I189),
(H189-BR189))
*VLOOKUP(AT189,{'▶️ Инструкция'!C:C,'▶️ Инструкция'!AD:AD},2,FALSE)/(1+VLOOKUP(AT189,{'▶️ Инструкция'!C:C,'▶️ Инструкция'!AD:AD},2,FALSE))</f>
        <v>#N/A</v>
      </c>
      <c r="BT189" s="204" t="str">
        <f t="array" ref="BT189">
IF(VLOOKUP(AT189,{'▶️ Инструкция'!C:C,'▶️ Инструкция'!Y:Y},2,FALSE)=data!A$15,
H189*(1-I189)-BS189,
(H189-BR189-BS189))
*
VLOOKUP(AT189,{'▶️ Инструкция'!C:C,'▶️ Инструкция'!R:R},2,FALSE)
+BS189</f>
        <v>#N/A</v>
      </c>
      <c r="BU189" s="204" t="str">
        <f>(G189*AR189)+if(AV189=data!A$9,AO189,AN189)+AP189+BR189+BT189</f>
        <v>#N/A</v>
      </c>
      <c r="BV189" s="204" t="str">
        <f>(G189*AR189)+if(AV189=data!A$9,AO189,AN189)+AP189+BT189+G189</f>
        <v>#N/A</v>
      </c>
      <c r="BW189" s="204" t="str">
        <f t="shared" si="28"/>
        <v>#N/A</v>
      </c>
      <c r="BX189" s="204" t="str">
        <f t="shared" si="29"/>
        <v>#N/A</v>
      </c>
    </row>
    <row r="190">
      <c r="A190" s="165" t="str">
        <f>if(D190=true,if(F190=data!A$1,data!A$10,data!A$11),)</f>
        <v/>
      </c>
      <c r="B190" s="166" t="str">
        <f t="shared" si="4"/>
        <v>FBS</v>
      </c>
      <c r="C190" s="167" t="s">
        <v>195</v>
      </c>
      <c r="D190" s="168" t="b">
        <v>0</v>
      </c>
      <c r="E190" s="169" t="s">
        <v>204</v>
      </c>
      <c r="F190" s="170" t="str">
        <f t="array" ref="F190">IF(D190=TRUE,IF(IF(BG$3=VLOOKUP(AT190,{'▶️ Инструкция'!C:C,'▶️ Инструкция'!G:G},2,FALSE),BG190,BH190)&gt;VLOOKUP(AT190,{'▶️ Инструкция'!C:C,'▶️ Инструкция'!N:N},2,FALSE),data!A$1,data!A$2),)</f>
        <v/>
      </c>
      <c r="G190" s="171">
        <v>0.0</v>
      </c>
      <c r="H190" s="172">
        <v>1000.0</v>
      </c>
      <c r="I190" s="173">
        <v>0.0</v>
      </c>
      <c r="J190" s="173">
        <v>0.0</v>
      </c>
      <c r="K190" s="174" t="str">
        <f t="shared" si="5"/>
        <v/>
      </c>
      <c r="L190" s="175">
        <v>0.0</v>
      </c>
      <c r="M190" s="176" t="s">
        <v>197</v>
      </c>
      <c r="N190" s="177">
        <f>IFERROR(__xludf.DUMMYFUNCTION("ArrayFormula(let(category,VLOOKUP($M190, {'📄 Комиссии'!$C:$C , '📄 Комиссии'!$B:$B}, 2, 0),
data,MATCH('🔒 Доп. информация'!$J$15:$J203,TRANSPOSE(SPLIT(INDEX('▶️ Инструкция'!$Q:$Q,MATCH($AT190,'▶️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commission,VLOOKUP($M190,'📄 Комиссии'!$C:$E,IF($AV190=data!A$8,2,3),0),
IF(NOT(ISBLANK($M190)),commission/100+
"&amp;"IFERROR(VLOOKUP($AT190,{'▶️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90" s="178" t="str">
        <f t="shared" si="6"/>
        <v/>
      </c>
      <c r="Q190" s="178" t="str">
        <f t="shared" si="7"/>
        <v/>
      </c>
      <c r="S190" s="179" t="s">
        <v>192</v>
      </c>
      <c r="T190" s="180" t="s">
        <v>193</v>
      </c>
      <c r="U190" s="181">
        <v>1.0</v>
      </c>
      <c r="V190" s="182" t="str">
        <f t="shared" ref="V190:Y190" si="578">IF($D190,"🔒",)</f>
        <v/>
      </c>
      <c r="W190" s="182" t="str">
        <f t="shared" si="578"/>
        <v/>
      </c>
      <c r="X190" s="182" t="str">
        <f t="shared" si="578"/>
        <v/>
      </c>
      <c r="Y190" s="182" t="str">
        <f t="shared" si="578"/>
        <v/>
      </c>
      <c r="Z190" s="183">
        <v>0.0</v>
      </c>
      <c r="AA190" s="184">
        <f t="shared" si="31"/>
        <v>0</v>
      </c>
      <c r="AB190" s="185" t="str">
        <f t="shared" ref="AB190:AD190" si="579">IF($D190,"🔒",)</f>
        <v/>
      </c>
      <c r="AC190" s="185" t="str">
        <f t="shared" si="579"/>
        <v/>
      </c>
      <c r="AD190" s="186" t="str">
        <f t="shared" si="579"/>
        <v/>
      </c>
      <c r="AE190" s="180">
        <v>30.0</v>
      </c>
      <c r="AF190" s="187">
        <v>0.0</v>
      </c>
      <c r="AG190" s="187">
        <v>0.0</v>
      </c>
      <c r="AH190" s="187">
        <v>0.0</v>
      </c>
      <c r="AI190" s="181">
        <f t="shared" si="10"/>
        <v>0</v>
      </c>
      <c r="AJ190" s="181">
        <f t="shared" si="11"/>
        <v>0</v>
      </c>
      <c r="AK190" s="185" t="str">
        <f t="shared" si="12"/>
        <v/>
      </c>
      <c r="AL190" s="188" t="str">
        <f t="array" ref="AL190">H190*(1-I190)*VLOOKUP(AT190,{'▶️ Инструкция'!C:C,'▶️ Инструкция'!AI:AI},2,false)</f>
        <v>#N/A</v>
      </c>
      <c r="AM190" s="186" t="str">
        <f t="shared" si="13"/>
        <v/>
      </c>
      <c r="AN190" s="189">
        <v>0.0</v>
      </c>
      <c r="AO190" s="189">
        <v>0.0</v>
      </c>
      <c r="AP190" s="189">
        <v>0.0</v>
      </c>
      <c r="AQ190" s="191">
        <v>1.0</v>
      </c>
      <c r="AR190" s="191">
        <v>0.0</v>
      </c>
      <c r="AS190" s="212">
        <v>0.0</v>
      </c>
      <c r="AT190" s="193" t="s">
        <v>206</v>
      </c>
      <c r="AU190" s="193" t="s">
        <v>121</v>
      </c>
      <c r="AV190" s="193" t="s">
        <v>199</v>
      </c>
      <c r="AW190" s="194">
        <f t="shared" si="14"/>
        <v>0</v>
      </c>
      <c r="AX190" s="195">
        <f t="shared" si="15"/>
        <v>0</v>
      </c>
      <c r="AY190" s="196" t="str">
        <f t="shared" si="16"/>
        <v>#N/A</v>
      </c>
      <c r="AZ190" s="213">
        <v>250.0</v>
      </c>
      <c r="BA190" s="196">
        <f t="shared" si="17"/>
        <v>0.25</v>
      </c>
      <c r="BB190" s="213">
        <f t="shared" si="18"/>
        <v>1000</v>
      </c>
      <c r="BC190" s="199" t="str">
        <f t="shared" si="19"/>
        <v>#N/A</v>
      </c>
      <c r="BD190" s="200" t="str">
        <f t="shared" si="20"/>
        <v>#N/A</v>
      </c>
      <c r="BE190" s="200">
        <f t="shared" si="21"/>
        <v>0</v>
      </c>
      <c r="BF190" s="201" t="str">
        <f t="shared" si="22"/>
        <v/>
      </c>
      <c r="BG190" s="201" t="str">
        <f t="shared" si="23"/>
        <v/>
      </c>
      <c r="BH190" s="202" t="str">
        <f t="shared" si="24"/>
        <v/>
      </c>
      <c r="BI190" s="203"/>
      <c r="BJ190" s="204">
        <f>IFERROR(__xludf.DUMMYFUNCTION("IF(AU190=data!A$5,
IF(AV190=data!A$8,
IF(T190=data!A$3,
VLOOKUP(S190,filter('🔒 Доп. информация'!D:H,'🔒 Доп. информация'!C:C=T190),4,FALSE)+VLOOKUP(S190,filter('🔒 Доп. информация'!D:H,'🔒 Доп. информация'!C:C=T190),5,FALSE)*AJ190,
IF(AND(MAX(AF190:AH190"&amp;")&lt;80,SUM(AF190:AH190)&lt;=160,AI190&lt;20,XLOOKUP(M190,'📄 Комиссии'!C:C,'📄 Комиссии'!B:B)&lt;&gt;""Продукты""),
VLOOKUP(S190,filter('🔒 Доп. информация'!D:H,'🔒 Доп. информация'!C:C=data!$A$3),4,FALSE)+VLOOKUP(S190,filter('🔒 Доп. информация'!D:H,'🔒 Доп. информаци"&amp;"я'!C:C=data!$A$3),5,FALSE)*AJ190,
VLOOKUP(S190,filter('🔒 Доп. информация'!D:H,'🔒 Доп. информация'!C:C=T190),4,FALSE)*ROUNDUP(AF190*AG190*AH190*L190/(120*80*175))/L190)
)
*(AE190/2)
,)
,)*0"),0.0)</f>
        <v>0</v>
      </c>
      <c r="BK190" s="204">
        <f>IFERROR(__xludf.DUMMYFUNCTION("IF(AU190=data!A$5,
IF(AI190&lt;=1,IF(AI190&lt;=0.8,IF(AI190&lt;=0.6,IF(AI190&lt;=0.4,IF(AI190&lt;=0.2,23,26),29),30),32)*VLOOKUP(S190,filter('🔒 Доп. информация'!D:E,'🔒 Доп. информация'!C:C=T190),2,FALSE)/'🔒 Доп. информация'!$K$9,
IF(AV190=data!A$8,U190,1)*VLOOKUP(S19"&amp;"0,filter('🔒 Доп. информация'!D:E,'🔒 Доп. информация'!C:C=T190),2,FALSE)+
IF(AV190=data!A$8,U190,1)*VLOOKUP(S190,filter('🔒 Доп. информация'!D:F,'🔒 Доп. информация'!C:C=T190),3,FALSE)*AJ190)
,0)"),69.0)</f>
        <v>69</v>
      </c>
      <c r="BL190" s="185" t="str">
        <f t="shared" ref="BL190:BM190" si="580">IF($D190,"🔒",)</f>
        <v/>
      </c>
      <c r="BM190" s="185" t="str">
        <f t="shared" si="580"/>
        <v/>
      </c>
      <c r="BN190" s="204">
        <f>VLOOKUP(T190,'🔒 Доп. информация'!J:P,7,false)</f>
        <v>50</v>
      </c>
      <c r="BO190" s="204">
        <f>IF(AV190=data!A$9,
(AA190+AO190+AP190+BJ190+BK190+BN190)+H190*AS190,
(BJ190+BK190+BN190)+H190*AS190
)</f>
        <v>119</v>
      </c>
      <c r="BP190" s="204">
        <f t="shared" si="26"/>
        <v>69</v>
      </c>
      <c r="BQ190" s="204">
        <f t="shared" si="27"/>
        <v>320</v>
      </c>
      <c r="BR190" s="204" t="str">
        <f t="shared" si="37"/>
        <v>#N/A</v>
      </c>
      <c r="BS190" s="204" t="str">
        <f t="array" ref="BS190">IF(VLOOKUP(AT190,{'▶️ Инструкция'!C:C,'▶️ Инструкция'!Y:Y},2,FALSE)=data!A$15,
H190*(1-I190),
(H190-BR190))
*VLOOKUP(AT190,{'▶️ Инструкция'!C:C,'▶️ Инструкция'!AD:AD},2,FALSE)/(1+VLOOKUP(AT190,{'▶️ Инструкция'!C:C,'▶️ Инструкция'!AD:AD},2,FALSE))</f>
        <v>#N/A</v>
      </c>
      <c r="BT190" s="204" t="str">
        <f t="array" ref="BT190">
IF(VLOOKUP(AT190,{'▶️ Инструкция'!C:C,'▶️ Инструкция'!Y:Y},2,FALSE)=data!A$15,
H190*(1-I190)-BS190,
(H190-BR190-BS190))
*
VLOOKUP(AT190,{'▶️ Инструкция'!C:C,'▶️ Инструкция'!R:R},2,FALSE)
+BS190</f>
        <v>#N/A</v>
      </c>
      <c r="BU190" s="204" t="str">
        <f>(G190*AR190)+if(AV190=data!A$9,AO190,AN190)+AP190+BR190+BT190</f>
        <v>#N/A</v>
      </c>
      <c r="BV190" s="204" t="str">
        <f>(G190*AR190)+if(AV190=data!A$9,AO190,AN190)+AP190+BT190+G190</f>
        <v>#N/A</v>
      </c>
      <c r="BW190" s="204" t="str">
        <f t="shared" si="28"/>
        <v>#N/A</v>
      </c>
      <c r="BX190" s="204" t="str">
        <f t="shared" si="29"/>
        <v>#N/A</v>
      </c>
    </row>
    <row r="191">
      <c r="A191" s="165" t="str">
        <f>if(D191=true,if(F191=data!A$1,data!A$10,data!A$11),)</f>
        <v/>
      </c>
      <c r="B191" s="166" t="str">
        <f t="shared" si="4"/>
        <v>FBS</v>
      </c>
      <c r="C191" s="167" t="s">
        <v>195</v>
      </c>
      <c r="D191" s="168" t="b">
        <v>0</v>
      </c>
      <c r="E191" s="169" t="s">
        <v>204</v>
      </c>
      <c r="F191" s="170" t="str">
        <f t="array" ref="F191">IF(D191=TRUE,IF(IF(BG$3=VLOOKUP(AT191,{'▶️ Инструкция'!C:C,'▶️ Инструкция'!G:G},2,FALSE),BG191,BH191)&gt;VLOOKUP(AT191,{'▶️ Инструкция'!C:C,'▶️ Инструкция'!N:N},2,FALSE),data!A$1,data!A$2),)</f>
        <v/>
      </c>
      <c r="G191" s="171">
        <v>0.0</v>
      </c>
      <c r="H191" s="172">
        <v>1000.0</v>
      </c>
      <c r="I191" s="173">
        <v>0.0</v>
      </c>
      <c r="J191" s="173">
        <v>0.0</v>
      </c>
      <c r="K191" s="174" t="str">
        <f t="shared" si="5"/>
        <v/>
      </c>
      <c r="L191" s="175">
        <v>0.0</v>
      </c>
      <c r="M191" s="176" t="s">
        <v>197</v>
      </c>
      <c r="N191" s="177">
        <f>IFERROR(__xludf.DUMMYFUNCTION("ArrayFormula(let(category,VLOOKUP($M191, {'📄 Комиссии'!$C:$C , '📄 Комиссии'!$B:$B}, 2, 0),
data,MATCH('🔒 Доп. информация'!$J$15:$J203,TRANSPOSE(SPLIT(INDEX('▶️ Инструкция'!$Q:$Q,MATCH($AT191,'▶️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commission,VLOOKUP($M191,'📄 Комиссии'!$C:$E,IF($AV191=data!A$8,2,3),0),
IF(NOT(ISBLANK($M191)),commission/100+
"&amp;"IFERROR(VLOOKUP($AT191,{'▶️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91" s="178" t="str">
        <f t="shared" si="6"/>
        <v/>
      </c>
      <c r="Q191" s="178" t="str">
        <f t="shared" si="7"/>
        <v/>
      </c>
      <c r="S191" s="179" t="s">
        <v>192</v>
      </c>
      <c r="T191" s="180" t="s">
        <v>193</v>
      </c>
      <c r="U191" s="181">
        <v>1.0</v>
      </c>
      <c r="V191" s="182" t="str">
        <f t="shared" ref="V191:Y191" si="581">IF($D191,"🔒",)</f>
        <v/>
      </c>
      <c r="W191" s="182" t="str">
        <f t="shared" si="581"/>
        <v/>
      </c>
      <c r="X191" s="182" t="str">
        <f t="shared" si="581"/>
        <v/>
      </c>
      <c r="Y191" s="182" t="str">
        <f t="shared" si="581"/>
        <v/>
      </c>
      <c r="Z191" s="183">
        <v>0.0</v>
      </c>
      <c r="AA191" s="184">
        <f t="shared" si="31"/>
        <v>0</v>
      </c>
      <c r="AB191" s="185" t="str">
        <f t="shared" ref="AB191:AD191" si="582">IF($D191,"🔒",)</f>
        <v/>
      </c>
      <c r="AC191" s="185" t="str">
        <f t="shared" si="582"/>
        <v/>
      </c>
      <c r="AD191" s="186" t="str">
        <f t="shared" si="582"/>
        <v/>
      </c>
      <c r="AE191" s="180">
        <v>30.0</v>
      </c>
      <c r="AF191" s="187">
        <v>0.0</v>
      </c>
      <c r="AG191" s="187">
        <v>0.0</v>
      </c>
      <c r="AH191" s="187">
        <v>0.0</v>
      </c>
      <c r="AI191" s="181">
        <f t="shared" si="10"/>
        <v>0</v>
      </c>
      <c r="AJ191" s="181">
        <f t="shared" si="11"/>
        <v>0</v>
      </c>
      <c r="AK191" s="185" t="str">
        <f t="shared" si="12"/>
        <v/>
      </c>
      <c r="AL191" s="188" t="str">
        <f t="array" ref="AL191">H191*(1-I191)*VLOOKUP(AT191,{'▶️ Инструкция'!C:C,'▶️ Инструкция'!AI:AI},2,false)</f>
        <v>#N/A</v>
      </c>
      <c r="AM191" s="186" t="str">
        <f t="shared" si="13"/>
        <v/>
      </c>
      <c r="AN191" s="189">
        <v>0.0</v>
      </c>
      <c r="AO191" s="189">
        <v>0.0</v>
      </c>
      <c r="AP191" s="189">
        <v>0.0</v>
      </c>
      <c r="AQ191" s="191">
        <v>1.0</v>
      </c>
      <c r="AR191" s="191">
        <v>0.0</v>
      </c>
      <c r="AS191" s="212">
        <v>0.0</v>
      </c>
      <c r="AT191" s="193" t="s">
        <v>206</v>
      </c>
      <c r="AU191" s="193" t="s">
        <v>121</v>
      </c>
      <c r="AV191" s="193" t="s">
        <v>199</v>
      </c>
      <c r="AW191" s="194">
        <f t="shared" si="14"/>
        <v>0</v>
      </c>
      <c r="AX191" s="195">
        <f t="shared" si="15"/>
        <v>0</v>
      </c>
      <c r="AY191" s="196" t="str">
        <f t="shared" si="16"/>
        <v>#N/A</v>
      </c>
      <c r="AZ191" s="213">
        <v>250.0</v>
      </c>
      <c r="BA191" s="196">
        <f t="shared" si="17"/>
        <v>0.25</v>
      </c>
      <c r="BB191" s="213">
        <f t="shared" si="18"/>
        <v>1000</v>
      </c>
      <c r="BC191" s="199" t="str">
        <f t="shared" si="19"/>
        <v>#N/A</v>
      </c>
      <c r="BD191" s="200" t="str">
        <f t="shared" si="20"/>
        <v>#N/A</v>
      </c>
      <c r="BE191" s="200">
        <f t="shared" si="21"/>
        <v>0</v>
      </c>
      <c r="BF191" s="201" t="str">
        <f t="shared" si="22"/>
        <v/>
      </c>
      <c r="BG191" s="201" t="str">
        <f t="shared" si="23"/>
        <v/>
      </c>
      <c r="BH191" s="202" t="str">
        <f t="shared" si="24"/>
        <v/>
      </c>
      <c r="BI191" s="203"/>
      <c r="BJ191" s="204">
        <f>IFERROR(__xludf.DUMMYFUNCTION("IF(AU191=data!A$5,
IF(AV191=data!A$8,
IF(T191=data!A$3,
VLOOKUP(S191,filter('🔒 Доп. информация'!D:H,'🔒 Доп. информация'!C:C=T191),4,FALSE)+VLOOKUP(S191,filter('🔒 Доп. информация'!D:H,'🔒 Доп. информация'!C:C=T191),5,FALSE)*AJ191,
IF(AND(MAX(AF191:AH191"&amp;")&lt;80,SUM(AF191:AH191)&lt;=160,AI191&lt;20,XLOOKUP(M191,'📄 Комиссии'!C:C,'📄 Комиссии'!B:B)&lt;&gt;""Продукты""),
VLOOKUP(S191,filter('🔒 Доп. информация'!D:H,'🔒 Доп. информация'!C:C=data!$A$3),4,FALSE)+VLOOKUP(S191,filter('🔒 Доп. информация'!D:H,'🔒 Доп. информаци"&amp;"я'!C:C=data!$A$3),5,FALSE)*AJ191,
VLOOKUP(S191,filter('🔒 Доп. информация'!D:H,'🔒 Доп. информация'!C:C=T191),4,FALSE)*ROUNDUP(AF191*AG191*AH191*L191/(120*80*175))/L191)
)
*(AE191/2)
,)
,)*0"),0.0)</f>
        <v>0</v>
      </c>
      <c r="BK191" s="204">
        <f>IFERROR(__xludf.DUMMYFUNCTION("IF(AU191=data!A$5,
IF(AI191&lt;=1,IF(AI191&lt;=0.8,IF(AI191&lt;=0.6,IF(AI191&lt;=0.4,IF(AI191&lt;=0.2,23,26),29),30),32)*VLOOKUP(S191,filter('🔒 Доп. информация'!D:E,'🔒 Доп. информация'!C:C=T191),2,FALSE)/'🔒 Доп. информация'!$K$9,
IF(AV191=data!A$8,U191,1)*VLOOKUP(S19"&amp;"1,filter('🔒 Доп. информация'!D:E,'🔒 Доп. информация'!C:C=T191),2,FALSE)+
IF(AV191=data!A$8,U191,1)*VLOOKUP(S191,filter('🔒 Доп. информация'!D:F,'🔒 Доп. информация'!C:C=T191),3,FALSE)*AJ191)
,0)"),69.0)</f>
        <v>69</v>
      </c>
      <c r="BL191" s="185" t="str">
        <f t="shared" ref="BL191:BM191" si="583">IF($D191,"🔒",)</f>
        <v/>
      </c>
      <c r="BM191" s="185" t="str">
        <f t="shared" si="583"/>
        <v/>
      </c>
      <c r="BN191" s="204">
        <f>VLOOKUP(T191,'🔒 Доп. информация'!J:P,7,false)</f>
        <v>50</v>
      </c>
      <c r="BO191" s="204">
        <f>IF(AV191=data!A$9,
(AA191+AO191+AP191+BJ191+BK191+BN191)+H191*AS191,
(BJ191+BK191+BN191)+H191*AS191
)</f>
        <v>119</v>
      </c>
      <c r="BP191" s="204">
        <f t="shared" si="26"/>
        <v>69</v>
      </c>
      <c r="BQ191" s="204">
        <f t="shared" si="27"/>
        <v>320</v>
      </c>
      <c r="BR191" s="204" t="str">
        <f t="shared" si="37"/>
        <v>#N/A</v>
      </c>
      <c r="BS191" s="204" t="str">
        <f t="array" ref="BS191">IF(VLOOKUP(AT191,{'▶️ Инструкция'!C:C,'▶️ Инструкция'!Y:Y},2,FALSE)=data!A$15,
H191*(1-I191),
(H191-BR191))
*VLOOKUP(AT191,{'▶️ Инструкция'!C:C,'▶️ Инструкция'!AD:AD},2,FALSE)/(1+VLOOKUP(AT191,{'▶️ Инструкция'!C:C,'▶️ Инструкция'!AD:AD},2,FALSE))</f>
        <v>#N/A</v>
      </c>
      <c r="BT191" s="204" t="str">
        <f t="array" ref="BT191">
IF(VLOOKUP(AT191,{'▶️ Инструкция'!C:C,'▶️ Инструкция'!Y:Y},2,FALSE)=data!A$15,
H191*(1-I191)-BS191,
(H191-BR191-BS191))
*
VLOOKUP(AT191,{'▶️ Инструкция'!C:C,'▶️ Инструкция'!R:R},2,FALSE)
+BS191</f>
        <v>#N/A</v>
      </c>
      <c r="BU191" s="204" t="str">
        <f>(G191*AR191)+if(AV191=data!A$9,AO191,AN191)+AP191+BR191+BT191</f>
        <v>#N/A</v>
      </c>
      <c r="BV191" s="204" t="str">
        <f>(G191*AR191)+if(AV191=data!A$9,AO191,AN191)+AP191+BT191+G191</f>
        <v>#N/A</v>
      </c>
      <c r="BW191" s="204" t="str">
        <f t="shared" si="28"/>
        <v>#N/A</v>
      </c>
      <c r="BX191" s="204" t="str">
        <f t="shared" si="29"/>
        <v>#N/A</v>
      </c>
    </row>
    <row r="192">
      <c r="A192" s="165" t="str">
        <f>if(D192=true,if(F192=data!A$1,data!A$10,data!A$11),)</f>
        <v/>
      </c>
      <c r="B192" s="166" t="str">
        <f t="shared" si="4"/>
        <v>FBS</v>
      </c>
      <c r="C192" s="167" t="s">
        <v>195</v>
      </c>
      <c r="D192" s="168" t="b">
        <v>0</v>
      </c>
      <c r="E192" s="169" t="s">
        <v>204</v>
      </c>
      <c r="F192" s="170" t="str">
        <f t="array" ref="F192">IF(D192=TRUE,IF(IF(BG$3=VLOOKUP(AT192,{'▶️ Инструкция'!C:C,'▶️ Инструкция'!G:G},2,FALSE),BG192,BH192)&gt;VLOOKUP(AT192,{'▶️ Инструкция'!C:C,'▶️ Инструкция'!N:N},2,FALSE),data!A$1,data!A$2),)</f>
        <v/>
      </c>
      <c r="G192" s="171">
        <v>0.0</v>
      </c>
      <c r="H192" s="172">
        <v>1000.0</v>
      </c>
      <c r="I192" s="173">
        <v>0.0</v>
      </c>
      <c r="J192" s="173">
        <v>0.0</v>
      </c>
      <c r="K192" s="174" t="str">
        <f t="shared" si="5"/>
        <v/>
      </c>
      <c r="L192" s="175">
        <v>0.0</v>
      </c>
      <c r="M192" s="176" t="s">
        <v>197</v>
      </c>
      <c r="N192" s="177">
        <f>IFERROR(__xludf.DUMMYFUNCTION("ArrayFormula(let(category,VLOOKUP($M192, {'📄 Комиссии'!$C:$C , '📄 Комиссии'!$B:$B}, 2, 0),
data,MATCH('🔒 Доп. информация'!$J$15:$J203,TRANSPOSE(SPLIT(INDEX('▶️ Инструкция'!$Q:$Q,MATCH($AT192,'▶️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commission,VLOOKUP($M192,'📄 Комиссии'!$C:$E,IF($AV192=data!A$8,2,3),0),
IF(NOT(ISBLANK($M192)),commission/100+
"&amp;"IFERROR(VLOOKUP($AT192,{'▶️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92" s="178" t="str">
        <f t="shared" si="6"/>
        <v/>
      </c>
      <c r="Q192" s="178" t="str">
        <f t="shared" si="7"/>
        <v/>
      </c>
      <c r="S192" s="179" t="s">
        <v>192</v>
      </c>
      <c r="T192" s="180" t="s">
        <v>193</v>
      </c>
      <c r="U192" s="181">
        <v>1.0</v>
      </c>
      <c r="V192" s="182" t="str">
        <f t="shared" ref="V192:Y192" si="584">IF($D192,"🔒",)</f>
        <v/>
      </c>
      <c r="W192" s="182" t="str">
        <f t="shared" si="584"/>
        <v/>
      </c>
      <c r="X192" s="182" t="str">
        <f t="shared" si="584"/>
        <v/>
      </c>
      <c r="Y192" s="182" t="str">
        <f t="shared" si="584"/>
        <v/>
      </c>
      <c r="Z192" s="183">
        <v>0.0</v>
      </c>
      <c r="AA192" s="184">
        <f t="shared" si="31"/>
        <v>0</v>
      </c>
      <c r="AB192" s="185" t="str">
        <f t="shared" ref="AB192:AD192" si="585">IF($D192,"🔒",)</f>
        <v/>
      </c>
      <c r="AC192" s="185" t="str">
        <f t="shared" si="585"/>
        <v/>
      </c>
      <c r="AD192" s="186" t="str">
        <f t="shared" si="585"/>
        <v/>
      </c>
      <c r="AE192" s="180">
        <v>30.0</v>
      </c>
      <c r="AF192" s="187">
        <v>0.0</v>
      </c>
      <c r="AG192" s="187">
        <v>0.0</v>
      </c>
      <c r="AH192" s="187">
        <v>0.0</v>
      </c>
      <c r="AI192" s="181">
        <f t="shared" si="10"/>
        <v>0</v>
      </c>
      <c r="AJ192" s="181">
        <f t="shared" si="11"/>
        <v>0</v>
      </c>
      <c r="AK192" s="185" t="str">
        <f t="shared" si="12"/>
        <v/>
      </c>
      <c r="AL192" s="188" t="str">
        <f t="array" ref="AL192">H192*(1-I192)*VLOOKUP(AT192,{'▶️ Инструкция'!C:C,'▶️ Инструкция'!AI:AI},2,false)</f>
        <v>#N/A</v>
      </c>
      <c r="AM192" s="186" t="str">
        <f t="shared" si="13"/>
        <v/>
      </c>
      <c r="AN192" s="189">
        <v>0.0</v>
      </c>
      <c r="AO192" s="189">
        <v>0.0</v>
      </c>
      <c r="AP192" s="189">
        <v>0.0</v>
      </c>
      <c r="AQ192" s="191">
        <v>1.0</v>
      </c>
      <c r="AR192" s="191">
        <v>0.0</v>
      </c>
      <c r="AS192" s="212">
        <v>0.0</v>
      </c>
      <c r="AT192" s="193" t="s">
        <v>206</v>
      </c>
      <c r="AU192" s="193" t="s">
        <v>121</v>
      </c>
      <c r="AV192" s="193" t="s">
        <v>199</v>
      </c>
      <c r="AW192" s="194">
        <f t="shared" si="14"/>
        <v>0</v>
      </c>
      <c r="AX192" s="195">
        <f t="shared" si="15"/>
        <v>0</v>
      </c>
      <c r="AY192" s="196" t="str">
        <f t="shared" si="16"/>
        <v>#N/A</v>
      </c>
      <c r="AZ192" s="213">
        <v>250.0</v>
      </c>
      <c r="BA192" s="196">
        <f t="shared" si="17"/>
        <v>0.25</v>
      </c>
      <c r="BB192" s="213">
        <f t="shared" si="18"/>
        <v>1000</v>
      </c>
      <c r="BC192" s="199" t="str">
        <f t="shared" si="19"/>
        <v>#N/A</v>
      </c>
      <c r="BD192" s="200" t="str">
        <f t="shared" si="20"/>
        <v>#N/A</v>
      </c>
      <c r="BE192" s="200">
        <f t="shared" si="21"/>
        <v>0</v>
      </c>
      <c r="BF192" s="201" t="str">
        <f t="shared" si="22"/>
        <v/>
      </c>
      <c r="BG192" s="201" t="str">
        <f t="shared" si="23"/>
        <v/>
      </c>
      <c r="BH192" s="202" t="str">
        <f t="shared" si="24"/>
        <v/>
      </c>
      <c r="BI192" s="203"/>
      <c r="BJ192" s="204">
        <f>IFERROR(__xludf.DUMMYFUNCTION("IF(AU192=data!A$5,
IF(AV192=data!A$8,
IF(T192=data!A$3,
VLOOKUP(S192,filter('🔒 Доп. информация'!D:H,'🔒 Доп. информация'!C:C=T192),4,FALSE)+VLOOKUP(S192,filter('🔒 Доп. информация'!D:H,'🔒 Доп. информация'!C:C=T192),5,FALSE)*AJ192,
IF(AND(MAX(AF192:AH192"&amp;")&lt;80,SUM(AF192:AH192)&lt;=160,AI192&lt;20,XLOOKUP(M192,'📄 Комиссии'!C:C,'📄 Комиссии'!B:B)&lt;&gt;""Продукты""),
VLOOKUP(S192,filter('🔒 Доп. информация'!D:H,'🔒 Доп. информация'!C:C=data!$A$3),4,FALSE)+VLOOKUP(S192,filter('🔒 Доп. информация'!D:H,'🔒 Доп. информаци"&amp;"я'!C:C=data!$A$3),5,FALSE)*AJ192,
VLOOKUP(S192,filter('🔒 Доп. информация'!D:H,'🔒 Доп. информация'!C:C=T192),4,FALSE)*ROUNDUP(AF192*AG192*AH192*L192/(120*80*175))/L192)
)
*(AE192/2)
,)
,)*0"),0.0)</f>
        <v>0</v>
      </c>
      <c r="BK192" s="204">
        <f>IFERROR(__xludf.DUMMYFUNCTION("IF(AU192=data!A$5,
IF(AI192&lt;=1,IF(AI192&lt;=0.8,IF(AI192&lt;=0.6,IF(AI192&lt;=0.4,IF(AI192&lt;=0.2,23,26),29),30),32)*VLOOKUP(S192,filter('🔒 Доп. информация'!D:E,'🔒 Доп. информация'!C:C=T192),2,FALSE)/'🔒 Доп. информация'!$K$9,
IF(AV192=data!A$8,U192,1)*VLOOKUP(S19"&amp;"2,filter('🔒 Доп. информация'!D:E,'🔒 Доп. информация'!C:C=T192),2,FALSE)+
IF(AV192=data!A$8,U192,1)*VLOOKUP(S192,filter('🔒 Доп. информация'!D:F,'🔒 Доп. информация'!C:C=T192),3,FALSE)*AJ192)
,0)"),69.0)</f>
        <v>69</v>
      </c>
      <c r="BL192" s="185" t="str">
        <f t="shared" ref="BL192:BM192" si="586">IF($D192,"🔒",)</f>
        <v/>
      </c>
      <c r="BM192" s="185" t="str">
        <f t="shared" si="586"/>
        <v/>
      </c>
      <c r="BN192" s="204">
        <f>VLOOKUP(T192,'🔒 Доп. информация'!J:P,7,false)</f>
        <v>50</v>
      </c>
      <c r="BO192" s="204">
        <f>IF(AV192=data!A$9,
(AA192+AO192+AP192+BJ192+BK192+BN192)+H192*AS192,
(BJ192+BK192+BN192)+H192*AS192
)</f>
        <v>119</v>
      </c>
      <c r="BP192" s="204">
        <f t="shared" si="26"/>
        <v>69</v>
      </c>
      <c r="BQ192" s="204">
        <f t="shared" si="27"/>
        <v>320</v>
      </c>
      <c r="BR192" s="204" t="str">
        <f t="shared" si="37"/>
        <v>#N/A</v>
      </c>
      <c r="BS192" s="204" t="str">
        <f t="array" ref="BS192">IF(VLOOKUP(AT192,{'▶️ Инструкция'!C:C,'▶️ Инструкция'!Y:Y},2,FALSE)=data!A$15,
H192*(1-I192),
(H192-BR192))
*VLOOKUP(AT192,{'▶️ Инструкция'!C:C,'▶️ Инструкция'!AD:AD},2,FALSE)/(1+VLOOKUP(AT192,{'▶️ Инструкция'!C:C,'▶️ Инструкция'!AD:AD},2,FALSE))</f>
        <v>#N/A</v>
      </c>
      <c r="BT192" s="204" t="str">
        <f t="array" ref="BT192">
IF(VLOOKUP(AT192,{'▶️ Инструкция'!C:C,'▶️ Инструкция'!Y:Y},2,FALSE)=data!A$15,
H192*(1-I192)-BS192,
(H192-BR192-BS192))
*
VLOOKUP(AT192,{'▶️ Инструкция'!C:C,'▶️ Инструкция'!R:R},2,FALSE)
+BS192</f>
        <v>#N/A</v>
      </c>
      <c r="BU192" s="204" t="str">
        <f>(G192*AR192)+if(AV192=data!A$9,AO192,AN192)+AP192+BR192+BT192</f>
        <v>#N/A</v>
      </c>
      <c r="BV192" s="204" t="str">
        <f>(G192*AR192)+if(AV192=data!A$9,AO192,AN192)+AP192+BT192+G192</f>
        <v>#N/A</v>
      </c>
      <c r="BW192" s="204" t="str">
        <f t="shared" si="28"/>
        <v>#N/A</v>
      </c>
      <c r="BX192" s="204" t="str">
        <f t="shared" si="29"/>
        <v>#N/A</v>
      </c>
    </row>
    <row r="193">
      <c r="A193" s="165" t="str">
        <f>if(D193=true,if(F193=data!A$1,data!A$10,data!A$11),)</f>
        <v/>
      </c>
      <c r="B193" s="166" t="str">
        <f t="shared" si="4"/>
        <v>FBS</v>
      </c>
      <c r="C193" s="167" t="s">
        <v>195</v>
      </c>
      <c r="D193" s="168" t="b">
        <v>0</v>
      </c>
      <c r="E193" s="169" t="s">
        <v>204</v>
      </c>
      <c r="F193" s="170" t="str">
        <f t="array" ref="F193">IF(D193=TRUE,IF(IF(BG$3=VLOOKUP(AT193,{'▶️ Инструкция'!C:C,'▶️ Инструкция'!G:G},2,FALSE),BG193,BH193)&gt;VLOOKUP(AT193,{'▶️ Инструкция'!C:C,'▶️ Инструкция'!N:N},2,FALSE),data!A$1,data!A$2),)</f>
        <v/>
      </c>
      <c r="G193" s="171">
        <v>0.0</v>
      </c>
      <c r="H193" s="172">
        <v>1000.0</v>
      </c>
      <c r="I193" s="173">
        <v>0.0</v>
      </c>
      <c r="J193" s="173">
        <v>0.0</v>
      </c>
      <c r="K193" s="174" t="str">
        <f t="shared" si="5"/>
        <v/>
      </c>
      <c r="L193" s="175">
        <v>0.0</v>
      </c>
      <c r="M193" s="176" t="s">
        <v>197</v>
      </c>
      <c r="N193" s="177">
        <f>IFERROR(__xludf.DUMMYFUNCTION("ArrayFormula(let(category,VLOOKUP($M193, {'📄 Комиссии'!$C:$C , '📄 Комиссии'!$B:$B}, 2, 0),
data,MATCH('🔒 Доп. информация'!$J$15:$J203,TRANSPOSE(SPLIT(INDEX('▶️ Инструкция'!$Q:$Q,MATCH($AT193,'▶️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commission,VLOOKUP($M193,'📄 Комиссии'!$C:$E,IF($AV193=data!A$8,2,3),0),
IF(NOT(ISBLANK($M193)),commission/100+
"&amp;"IFERROR(VLOOKUP($AT193,{'▶️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93" s="178" t="str">
        <f t="shared" si="6"/>
        <v/>
      </c>
      <c r="Q193" s="178" t="str">
        <f t="shared" si="7"/>
        <v/>
      </c>
      <c r="S193" s="179" t="s">
        <v>192</v>
      </c>
      <c r="T193" s="180" t="s">
        <v>193</v>
      </c>
      <c r="U193" s="181">
        <v>1.0</v>
      </c>
      <c r="V193" s="182" t="str">
        <f t="shared" ref="V193:Y193" si="587">IF($D193,"🔒",)</f>
        <v/>
      </c>
      <c r="W193" s="182" t="str">
        <f t="shared" si="587"/>
        <v/>
      </c>
      <c r="X193" s="182" t="str">
        <f t="shared" si="587"/>
        <v/>
      </c>
      <c r="Y193" s="182" t="str">
        <f t="shared" si="587"/>
        <v/>
      </c>
      <c r="Z193" s="183">
        <v>0.0</v>
      </c>
      <c r="AA193" s="184">
        <f t="shared" si="31"/>
        <v>0</v>
      </c>
      <c r="AB193" s="185" t="str">
        <f t="shared" ref="AB193:AD193" si="588">IF($D193,"🔒",)</f>
        <v/>
      </c>
      <c r="AC193" s="185" t="str">
        <f t="shared" si="588"/>
        <v/>
      </c>
      <c r="AD193" s="186" t="str">
        <f t="shared" si="588"/>
        <v/>
      </c>
      <c r="AE193" s="180">
        <v>30.0</v>
      </c>
      <c r="AF193" s="187">
        <v>0.0</v>
      </c>
      <c r="AG193" s="187">
        <v>0.0</v>
      </c>
      <c r="AH193" s="187">
        <v>0.0</v>
      </c>
      <c r="AI193" s="181">
        <f t="shared" si="10"/>
        <v>0</v>
      </c>
      <c r="AJ193" s="181">
        <f t="shared" si="11"/>
        <v>0</v>
      </c>
      <c r="AK193" s="185" t="str">
        <f t="shared" si="12"/>
        <v/>
      </c>
      <c r="AL193" s="188" t="str">
        <f t="array" ref="AL193">H193*(1-I193)*VLOOKUP(AT193,{'▶️ Инструкция'!C:C,'▶️ Инструкция'!AI:AI},2,false)</f>
        <v>#N/A</v>
      </c>
      <c r="AM193" s="186" t="str">
        <f t="shared" si="13"/>
        <v/>
      </c>
      <c r="AN193" s="189">
        <v>0.0</v>
      </c>
      <c r="AO193" s="189">
        <v>0.0</v>
      </c>
      <c r="AP193" s="189">
        <v>0.0</v>
      </c>
      <c r="AQ193" s="191">
        <v>1.0</v>
      </c>
      <c r="AR193" s="191">
        <v>0.0</v>
      </c>
      <c r="AS193" s="212">
        <v>0.0</v>
      </c>
      <c r="AT193" s="193" t="s">
        <v>206</v>
      </c>
      <c r="AU193" s="193" t="s">
        <v>121</v>
      </c>
      <c r="AV193" s="193" t="s">
        <v>199</v>
      </c>
      <c r="AW193" s="194">
        <f t="shared" si="14"/>
        <v>0</v>
      </c>
      <c r="AX193" s="195">
        <f t="shared" si="15"/>
        <v>0</v>
      </c>
      <c r="AY193" s="196" t="str">
        <f t="shared" si="16"/>
        <v>#N/A</v>
      </c>
      <c r="AZ193" s="213">
        <v>250.0</v>
      </c>
      <c r="BA193" s="196">
        <f t="shared" si="17"/>
        <v>0.25</v>
      </c>
      <c r="BB193" s="213">
        <f t="shared" si="18"/>
        <v>1000</v>
      </c>
      <c r="BC193" s="199" t="str">
        <f t="shared" si="19"/>
        <v>#N/A</v>
      </c>
      <c r="BD193" s="200" t="str">
        <f t="shared" si="20"/>
        <v>#N/A</v>
      </c>
      <c r="BE193" s="200">
        <f t="shared" si="21"/>
        <v>0</v>
      </c>
      <c r="BF193" s="201" t="str">
        <f t="shared" si="22"/>
        <v/>
      </c>
      <c r="BG193" s="201" t="str">
        <f t="shared" si="23"/>
        <v/>
      </c>
      <c r="BH193" s="202" t="str">
        <f t="shared" si="24"/>
        <v/>
      </c>
      <c r="BI193" s="203"/>
      <c r="BJ193" s="204">
        <f>IFERROR(__xludf.DUMMYFUNCTION("IF(AU193=data!A$5,
IF(AV193=data!A$8,
IF(T193=data!A$3,
VLOOKUP(S193,filter('🔒 Доп. информация'!D:H,'🔒 Доп. информация'!C:C=T193),4,FALSE)+VLOOKUP(S193,filter('🔒 Доп. информация'!D:H,'🔒 Доп. информация'!C:C=T193),5,FALSE)*AJ193,
IF(AND(MAX(AF193:AH193"&amp;")&lt;80,SUM(AF193:AH193)&lt;=160,AI193&lt;20,XLOOKUP(M193,'📄 Комиссии'!C:C,'📄 Комиссии'!B:B)&lt;&gt;""Продукты""),
VLOOKUP(S193,filter('🔒 Доп. информация'!D:H,'🔒 Доп. информация'!C:C=data!$A$3),4,FALSE)+VLOOKUP(S193,filter('🔒 Доп. информация'!D:H,'🔒 Доп. информаци"&amp;"я'!C:C=data!$A$3),5,FALSE)*AJ193,
VLOOKUP(S193,filter('🔒 Доп. информация'!D:H,'🔒 Доп. информация'!C:C=T193),4,FALSE)*ROUNDUP(AF193*AG193*AH193*L193/(120*80*175))/L193)
)
*(AE193/2)
,)
,)*0"),0.0)</f>
        <v>0</v>
      </c>
      <c r="BK193" s="204">
        <f>IFERROR(__xludf.DUMMYFUNCTION("IF(AU193=data!A$5,
IF(AI193&lt;=1,IF(AI193&lt;=0.8,IF(AI193&lt;=0.6,IF(AI193&lt;=0.4,IF(AI193&lt;=0.2,23,26),29),30),32)*VLOOKUP(S193,filter('🔒 Доп. информация'!D:E,'🔒 Доп. информация'!C:C=T193),2,FALSE)/'🔒 Доп. информация'!$K$9,
IF(AV193=data!A$8,U193,1)*VLOOKUP(S19"&amp;"3,filter('🔒 Доп. информация'!D:E,'🔒 Доп. информация'!C:C=T193),2,FALSE)+
IF(AV193=data!A$8,U193,1)*VLOOKUP(S193,filter('🔒 Доп. информация'!D:F,'🔒 Доп. информация'!C:C=T193),3,FALSE)*AJ193)
,0)"),69.0)</f>
        <v>69</v>
      </c>
      <c r="BL193" s="185" t="str">
        <f t="shared" ref="BL193:BM193" si="589">IF($D193,"🔒",)</f>
        <v/>
      </c>
      <c r="BM193" s="185" t="str">
        <f t="shared" si="589"/>
        <v/>
      </c>
      <c r="BN193" s="204">
        <f>VLOOKUP(T193,'🔒 Доп. информация'!J:P,7,false)</f>
        <v>50</v>
      </c>
      <c r="BO193" s="204">
        <f>IF(AV193=data!A$9,
(AA193+AO193+AP193+BJ193+BK193+BN193)+H193*AS193,
(BJ193+BK193+BN193)+H193*AS193
)</f>
        <v>119</v>
      </c>
      <c r="BP193" s="204">
        <f t="shared" si="26"/>
        <v>69</v>
      </c>
      <c r="BQ193" s="204">
        <f t="shared" si="27"/>
        <v>320</v>
      </c>
      <c r="BR193" s="204" t="str">
        <f t="shared" si="37"/>
        <v>#N/A</v>
      </c>
      <c r="BS193" s="204" t="str">
        <f t="array" ref="BS193">IF(VLOOKUP(AT193,{'▶️ Инструкция'!C:C,'▶️ Инструкция'!Y:Y},2,FALSE)=data!A$15,
H193*(1-I193),
(H193-BR193))
*VLOOKUP(AT193,{'▶️ Инструкция'!C:C,'▶️ Инструкция'!AD:AD},2,FALSE)/(1+VLOOKUP(AT193,{'▶️ Инструкция'!C:C,'▶️ Инструкция'!AD:AD},2,FALSE))</f>
        <v>#N/A</v>
      </c>
      <c r="BT193" s="204" t="str">
        <f t="array" ref="BT193">
IF(VLOOKUP(AT193,{'▶️ Инструкция'!C:C,'▶️ Инструкция'!Y:Y},2,FALSE)=data!A$15,
H193*(1-I193)-BS193,
(H193-BR193-BS193))
*
VLOOKUP(AT193,{'▶️ Инструкция'!C:C,'▶️ Инструкция'!R:R},2,FALSE)
+BS193</f>
        <v>#N/A</v>
      </c>
      <c r="BU193" s="204" t="str">
        <f>(G193*AR193)+if(AV193=data!A$9,AO193,AN193)+AP193+BR193+BT193</f>
        <v>#N/A</v>
      </c>
      <c r="BV193" s="204" t="str">
        <f>(G193*AR193)+if(AV193=data!A$9,AO193,AN193)+AP193+BT193+G193</f>
        <v>#N/A</v>
      </c>
      <c r="BW193" s="204" t="str">
        <f t="shared" si="28"/>
        <v>#N/A</v>
      </c>
      <c r="BX193" s="204" t="str">
        <f t="shared" si="29"/>
        <v>#N/A</v>
      </c>
    </row>
    <row r="194">
      <c r="A194" s="165" t="str">
        <f>if(D194=true,if(F194=data!A$1,data!A$10,data!A$11),)</f>
        <v/>
      </c>
      <c r="B194" s="166" t="str">
        <f t="shared" si="4"/>
        <v>FBS</v>
      </c>
      <c r="C194" s="167" t="s">
        <v>195</v>
      </c>
      <c r="D194" s="168" t="b">
        <v>0</v>
      </c>
      <c r="E194" s="169" t="s">
        <v>204</v>
      </c>
      <c r="F194" s="170" t="str">
        <f t="array" ref="F194">IF(D194=TRUE,IF(IF(BG$3=VLOOKUP(AT194,{'▶️ Инструкция'!C:C,'▶️ Инструкция'!G:G},2,FALSE),BG194,BH194)&gt;VLOOKUP(AT194,{'▶️ Инструкция'!C:C,'▶️ Инструкция'!N:N},2,FALSE),data!A$1,data!A$2),)</f>
        <v/>
      </c>
      <c r="G194" s="171">
        <v>0.0</v>
      </c>
      <c r="H194" s="172">
        <v>1000.0</v>
      </c>
      <c r="I194" s="173">
        <v>0.0</v>
      </c>
      <c r="J194" s="173">
        <v>0.0</v>
      </c>
      <c r="K194" s="174" t="str">
        <f t="shared" si="5"/>
        <v/>
      </c>
      <c r="L194" s="175">
        <v>0.0</v>
      </c>
      <c r="M194" s="176" t="s">
        <v>197</v>
      </c>
      <c r="N194" s="177">
        <f>IFERROR(__xludf.DUMMYFUNCTION("ArrayFormula(let(category,VLOOKUP($M194, {'📄 Комиссии'!$C:$C , '📄 Комиссии'!$B:$B}, 2, 0),
data,MATCH('🔒 Доп. информация'!$J$15:$J203,TRANSPOSE(SPLIT(INDEX('▶️ Инструкция'!$Q:$Q,MATCH($AT194,'▶️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commission,VLOOKUP($M194,'📄 Комиссии'!$C:$E,IF($AV194=data!A$8,2,3),0),
IF(NOT(ISBLANK($M194)),commission/100+
"&amp;"IFERROR(VLOOKUP($AT194,{'▶️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94" s="178" t="str">
        <f t="shared" si="6"/>
        <v/>
      </c>
      <c r="Q194" s="178" t="str">
        <f t="shared" si="7"/>
        <v/>
      </c>
      <c r="S194" s="179" t="s">
        <v>192</v>
      </c>
      <c r="T194" s="180" t="s">
        <v>193</v>
      </c>
      <c r="U194" s="181">
        <v>1.0</v>
      </c>
      <c r="V194" s="182" t="str">
        <f t="shared" ref="V194:Y194" si="590">IF($D194,"🔒",)</f>
        <v/>
      </c>
      <c r="W194" s="182" t="str">
        <f t="shared" si="590"/>
        <v/>
      </c>
      <c r="X194" s="182" t="str">
        <f t="shared" si="590"/>
        <v/>
      </c>
      <c r="Y194" s="182" t="str">
        <f t="shared" si="590"/>
        <v/>
      </c>
      <c r="Z194" s="183">
        <v>0.0</v>
      </c>
      <c r="AA194" s="184">
        <f t="shared" si="31"/>
        <v>0</v>
      </c>
      <c r="AB194" s="185" t="str">
        <f t="shared" ref="AB194:AD194" si="591">IF($D194,"🔒",)</f>
        <v/>
      </c>
      <c r="AC194" s="185" t="str">
        <f t="shared" si="591"/>
        <v/>
      </c>
      <c r="AD194" s="186" t="str">
        <f t="shared" si="591"/>
        <v/>
      </c>
      <c r="AE194" s="180">
        <v>30.0</v>
      </c>
      <c r="AF194" s="187">
        <v>0.0</v>
      </c>
      <c r="AG194" s="187">
        <v>0.0</v>
      </c>
      <c r="AH194" s="187">
        <v>0.0</v>
      </c>
      <c r="AI194" s="181">
        <f t="shared" si="10"/>
        <v>0</v>
      </c>
      <c r="AJ194" s="181">
        <f t="shared" si="11"/>
        <v>0</v>
      </c>
      <c r="AK194" s="185" t="str">
        <f t="shared" si="12"/>
        <v/>
      </c>
      <c r="AL194" s="188" t="str">
        <f t="array" ref="AL194">H194*(1-I194)*VLOOKUP(AT194,{'▶️ Инструкция'!C:C,'▶️ Инструкция'!AI:AI},2,false)</f>
        <v>#N/A</v>
      </c>
      <c r="AM194" s="186" t="str">
        <f t="shared" si="13"/>
        <v/>
      </c>
      <c r="AN194" s="189">
        <v>0.0</v>
      </c>
      <c r="AO194" s="189">
        <v>0.0</v>
      </c>
      <c r="AP194" s="189">
        <v>0.0</v>
      </c>
      <c r="AQ194" s="191">
        <v>1.0</v>
      </c>
      <c r="AR194" s="191">
        <v>0.0</v>
      </c>
      <c r="AS194" s="212">
        <v>0.0</v>
      </c>
      <c r="AT194" s="193" t="s">
        <v>206</v>
      </c>
      <c r="AU194" s="193" t="s">
        <v>121</v>
      </c>
      <c r="AV194" s="193" t="s">
        <v>199</v>
      </c>
      <c r="AW194" s="194">
        <f t="shared" si="14"/>
        <v>0</v>
      </c>
      <c r="AX194" s="195">
        <f t="shared" si="15"/>
        <v>0</v>
      </c>
      <c r="AY194" s="196" t="str">
        <f t="shared" si="16"/>
        <v>#N/A</v>
      </c>
      <c r="AZ194" s="213">
        <v>250.0</v>
      </c>
      <c r="BA194" s="196">
        <f t="shared" si="17"/>
        <v>0.25</v>
      </c>
      <c r="BB194" s="213">
        <f t="shared" si="18"/>
        <v>1000</v>
      </c>
      <c r="BC194" s="199" t="str">
        <f t="shared" si="19"/>
        <v>#N/A</v>
      </c>
      <c r="BD194" s="200" t="str">
        <f t="shared" si="20"/>
        <v>#N/A</v>
      </c>
      <c r="BE194" s="200">
        <f t="shared" si="21"/>
        <v>0</v>
      </c>
      <c r="BF194" s="201" t="str">
        <f t="shared" si="22"/>
        <v/>
      </c>
      <c r="BG194" s="201" t="str">
        <f t="shared" si="23"/>
        <v/>
      </c>
      <c r="BH194" s="202" t="str">
        <f t="shared" si="24"/>
        <v/>
      </c>
      <c r="BI194" s="203"/>
      <c r="BJ194" s="204">
        <f>IFERROR(__xludf.DUMMYFUNCTION("IF(AU194=data!A$5,
IF(AV194=data!A$8,
IF(T194=data!A$3,
VLOOKUP(S194,filter('🔒 Доп. информация'!D:H,'🔒 Доп. информация'!C:C=T194),4,FALSE)+VLOOKUP(S194,filter('🔒 Доп. информация'!D:H,'🔒 Доп. информация'!C:C=T194),5,FALSE)*AJ194,
IF(AND(MAX(AF194:AH194"&amp;")&lt;80,SUM(AF194:AH194)&lt;=160,AI194&lt;20,XLOOKUP(M194,'📄 Комиссии'!C:C,'📄 Комиссии'!B:B)&lt;&gt;""Продукты""),
VLOOKUP(S194,filter('🔒 Доп. информация'!D:H,'🔒 Доп. информация'!C:C=data!$A$3),4,FALSE)+VLOOKUP(S194,filter('🔒 Доп. информация'!D:H,'🔒 Доп. информаци"&amp;"я'!C:C=data!$A$3),5,FALSE)*AJ194,
VLOOKUP(S194,filter('🔒 Доп. информация'!D:H,'🔒 Доп. информация'!C:C=T194),4,FALSE)*ROUNDUP(AF194*AG194*AH194*L194/(120*80*175))/L194)
)
*(AE194/2)
,)
,)*0"),0.0)</f>
        <v>0</v>
      </c>
      <c r="BK194" s="204">
        <f>IFERROR(__xludf.DUMMYFUNCTION("IF(AU194=data!A$5,
IF(AI194&lt;=1,IF(AI194&lt;=0.8,IF(AI194&lt;=0.6,IF(AI194&lt;=0.4,IF(AI194&lt;=0.2,23,26),29),30),32)*VLOOKUP(S194,filter('🔒 Доп. информация'!D:E,'🔒 Доп. информация'!C:C=T194),2,FALSE)/'🔒 Доп. информация'!$K$9,
IF(AV194=data!A$8,U194,1)*VLOOKUP(S19"&amp;"4,filter('🔒 Доп. информация'!D:E,'🔒 Доп. информация'!C:C=T194),2,FALSE)+
IF(AV194=data!A$8,U194,1)*VLOOKUP(S194,filter('🔒 Доп. информация'!D:F,'🔒 Доп. информация'!C:C=T194),3,FALSE)*AJ194)
,0)"),69.0)</f>
        <v>69</v>
      </c>
      <c r="BL194" s="185" t="str">
        <f t="shared" ref="BL194:BM194" si="592">IF($D194,"🔒",)</f>
        <v/>
      </c>
      <c r="BM194" s="185" t="str">
        <f t="shared" si="592"/>
        <v/>
      </c>
      <c r="BN194" s="204">
        <f>VLOOKUP(T194,'🔒 Доп. информация'!J:P,7,false)</f>
        <v>50</v>
      </c>
      <c r="BO194" s="204">
        <f>IF(AV194=data!A$9,
(AA194+AO194+AP194+BJ194+BK194+BN194)+H194*AS194,
(BJ194+BK194+BN194)+H194*AS194
)</f>
        <v>119</v>
      </c>
      <c r="BP194" s="204">
        <f t="shared" si="26"/>
        <v>69</v>
      </c>
      <c r="BQ194" s="204">
        <f t="shared" si="27"/>
        <v>320</v>
      </c>
      <c r="BR194" s="204" t="str">
        <f t="shared" si="37"/>
        <v>#N/A</v>
      </c>
      <c r="BS194" s="204" t="str">
        <f t="array" ref="BS194">IF(VLOOKUP(AT194,{'▶️ Инструкция'!C:C,'▶️ Инструкция'!Y:Y},2,FALSE)=data!A$15,
H194*(1-I194),
(H194-BR194))
*VLOOKUP(AT194,{'▶️ Инструкция'!C:C,'▶️ Инструкция'!AD:AD},2,FALSE)/(1+VLOOKUP(AT194,{'▶️ Инструкция'!C:C,'▶️ Инструкция'!AD:AD},2,FALSE))</f>
        <v>#N/A</v>
      </c>
      <c r="BT194" s="204" t="str">
        <f t="array" ref="BT194">
IF(VLOOKUP(AT194,{'▶️ Инструкция'!C:C,'▶️ Инструкция'!Y:Y},2,FALSE)=data!A$15,
H194*(1-I194)-BS194,
(H194-BR194-BS194))
*
VLOOKUP(AT194,{'▶️ Инструкция'!C:C,'▶️ Инструкция'!R:R},2,FALSE)
+BS194</f>
        <v>#N/A</v>
      </c>
      <c r="BU194" s="204" t="str">
        <f>(G194*AR194)+if(AV194=data!A$9,AO194,AN194)+AP194+BR194+BT194</f>
        <v>#N/A</v>
      </c>
      <c r="BV194" s="204" t="str">
        <f>(G194*AR194)+if(AV194=data!A$9,AO194,AN194)+AP194+BT194+G194</f>
        <v>#N/A</v>
      </c>
      <c r="BW194" s="204" t="str">
        <f t="shared" si="28"/>
        <v>#N/A</v>
      </c>
      <c r="BX194" s="204" t="str">
        <f t="shared" si="29"/>
        <v>#N/A</v>
      </c>
    </row>
    <row r="195">
      <c r="A195" s="165" t="str">
        <f>if(D195=true,if(F195=data!A$1,data!A$10,data!A$11),)</f>
        <v/>
      </c>
      <c r="B195" s="166" t="str">
        <f t="shared" si="4"/>
        <v>FBS</v>
      </c>
      <c r="C195" s="167" t="s">
        <v>195</v>
      </c>
      <c r="D195" s="168" t="b">
        <v>0</v>
      </c>
      <c r="E195" s="169" t="s">
        <v>204</v>
      </c>
      <c r="F195" s="170" t="str">
        <f t="array" ref="F195">IF(D195=TRUE,IF(IF(BG$3=VLOOKUP(AT195,{'▶️ Инструкция'!C:C,'▶️ Инструкция'!G:G},2,FALSE),BG195,BH195)&gt;VLOOKUP(AT195,{'▶️ Инструкция'!C:C,'▶️ Инструкция'!N:N},2,FALSE),data!A$1,data!A$2),)</f>
        <v/>
      </c>
      <c r="G195" s="171">
        <v>0.0</v>
      </c>
      <c r="H195" s="172">
        <v>1000.0</v>
      </c>
      <c r="I195" s="173">
        <v>0.0</v>
      </c>
      <c r="J195" s="173">
        <v>0.0</v>
      </c>
      <c r="K195" s="174" t="str">
        <f t="shared" si="5"/>
        <v/>
      </c>
      <c r="L195" s="175">
        <v>0.0</v>
      </c>
      <c r="M195" s="176" t="s">
        <v>197</v>
      </c>
      <c r="N195" s="177">
        <f>IFERROR(__xludf.DUMMYFUNCTION("ArrayFormula(let(category,VLOOKUP($M195, {'📄 Комиссии'!$C:$C , '📄 Комиссии'!$B:$B}, 2, 0),
data,MATCH('🔒 Доп. информация'!$J$15:$J203,TRANSPOSE(SPLIT(INDEX('▶️ Инструкция'!$Q:$Q,MATCH($AT195,'▶️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commission,VLOOKUP($M195,'📄 Комиссии'!$C:$E,IF($AV195=data!A$8,2,3),0),
IF(NOT(ISBLANK($M195)),commission/100+
"&amp;"IFERROR(VLOOKUP($AT195,{'▶️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95" s="178" t="str">
        <f t="shared" si="6"/>
        <v/>
      </c>
      <c r="Q195" s="178" t="str">
        <f t="shared" si="7"/>
        <v/>
      </c>
      <c r="S195" s="179" t="s">
        <v>192</v>
      </c>
      <c r="T195" s="180" t="s">
        <v>193</v>
      </c>
      <c r="U195" s="181">
        <v>1.0</v>
      </c>
      <c r="V195" s="182" t="str">
        <f t="shared" ref="V195:Y195" si="593">IF($D195,"🔒",)</f>
        <v/>
      </c>
      <c r="W195" s="182" t="str">
        <f t="shared" si="593"/>
        <v/>
      </c>
      <c r="X195" s="182" t="str">
        <f t="shared" si="593"/>
        <v/>
      </c>
      <c r="Y195" s="182" t="str">
        <f t="shared" si="593"/>
        <v/>
      </c>
      <c r="Z195" s="183">
        <v>0.0</v>
      </c>
      <c r="AA195" s="184">
        <f t="shared" si="31"/>
        <v>0</v>
      </c>
      <c r="AB195" s="185" t="str">
        <f t="shared" ref="AB195:AD195" si="594">IF($D195,"🔒",)</f>
        <v/>
      </c>
      <c r="AC195" s="185" t="str">
        <f t="shared" si="594"/>
        <v/>
      </c>
      <c r="AD195" s="186" t="str">
        <f t="shared" si="594"/>
        <v/>
      </c>
      <c r="AE195" s="180">
        <v>30.0</v>
      </c>
      <c r="AF195" s="187">
        <v>0.0</v>
      </c>
      <c r="AG195" s="187">
        <v>0.0</v>
      </c>
      <c r="AH195" s="187">
        <v>0.0</v>
      </c>
      <c r="AI195" s="181">
        <f t="shared" si="10"/>
        <v>0</v>
      </c>
      <c r="AJ195" s="181">
        <f t="shared" si="11"/>
        <v>0</v>
      </c>
      <c r="AK195" s="185" t="str">
        <f t="shared" si="12"/>
        <v/>
      </c>
      <c r="AL195" s="188" t="str">
        <f t="array" ref="AL195">H195*(1-I195)*VLOOKUP(AT195,{'▶️ Инструкция'!C:C,'▶️ Инструкция'!AI:AI},2,false)</f>
        <v>#N/A</v>
      </c>
      <c r="AM195" s="186" t="str">
        <f t="shared" si="13"/>
        <v/>
      </c>
      <c r="AN195" s="189">
        <v>0.0</v>
      </c>
      <c r="AO195" s="189">
        <v>0.0</v>
      </c>
      <c r="AP195" s="189">
        <v>0.0</v>
      </c>
      <c r="AQ195" s="191">
        <v>1.0</v>
      </c>
      <c r="AR195" s="191">
        <v>0.0</v>
      </c>
      <c r="AS195" s="212">
        <v>0.0</v>
      </c>
      <c r="AT195" s="193" t="s">
        <v>206</v>
      </c>
      <c r="AU195" s="193" t="s">
        <v>121</v>
      </c>
      <c r="AV195" s="193" t="s">
        <v>199</v>
      </c>
      <c r="AW195" s="194">
        <f t="shared" si="14"/>
        <v>0</v>
      </c>
      <c r="AX195" s="195">
        <f t="shared" si="15"/>
        <v>0</v>
      </c>
      <c r="AY195" s="196" t="str">
        <f t="shared" si="16"/>
        <v>#N/A</v>
      </c>
      <c r="AZ195" s="213">
        <v>250.0</v>
      </c>
      <c r="BA195" s="196">
        <f t="shared" si="17"/>
        <v>0.25</v>
      </c>
      <c r="BB195" s="213">
        <f t="shared" si="18"/>
        <v>1000</v>
      </c>
      <c r="BC195" s="199" t="str">
        <f t="shared" si="19"/>
        <v>#N/A</v>
      </c>
      <c r="BD195" s="200" t="str">
        <f t="shared" si="20"/>
        <v>#N/A</v>
      </c>
      <c r="BE195" s="200">
        <f t="shared" si="21"/>
        <v>0</v>
      </c>
      <c r="BF195" s="201" t="str">
        <f t="shared" si="22"/>
        <v/>
      </c>
      <c r="BG195" s="201" t="str">
        <f t="shared" si="23"/>
        <v/>
      </c>
      <c r="BH195" s="202" t="str">
        <f t="shared" si="24"/>
        <v/>
      </c>
      <c r="BI195" s="203"/>
      <c r="BJ195" s="204">
        <f>IFERROR(__xludf.DUMMYFUNCTION("IF(AU195=data!A$5,
IF(AV195=data!A$8,
IF(T195=data!A$3,
VLOOKUP(S195,filter('🔒 Доп. информация'!D:H,'🔒 Доп. информация'!C:C=T195),4,FALSE)+VLOOKUP(S195,filter('🔒 Доп. информация'!D:H,'🔒 Доп. информация'!C:C=T195),5,FALSE)*AJ195,
IF(AND(MAX(AF195:AH195"&amp;")&lt;80,SUM(AF195:AH195)&lt;=160,AI195&lt;20,XLOOKUP(M195,'📄 Комиссии'!C:C,'📄 Комиссии'!B:B)&lt;&gt;""Продукты""),
VLOOKUP(S195,filter('🔒 Доп. информация'!D:H,'🔒 Доп. информация'!C:C=data!$A$3),4,FALSE)+VLOOKUP(S195,filter('🔒 Доп. информация'!D:H,'🔒 Доп. информаци"&amp;"я'!C:C=data!$A$3),5,FALSE)*AJ195,
VLOOKUP(S195,filter('🔒 Доп. информация'!D:H,'🔒 Доп. информация'!C:C=T195),4,FALSE)*ROUNDUP(AF195*AG195*AH195*L195/(120*80*175))/L195)
)
*(AE195/2)
,)
,)*0"),0.0)</f>
        <v>0</v>
      </c>
      <c r="BK195" s="204">
        <f>IFERROR(__xludf.DUMMYFUNCTION("IF(AU195=data!A$5,
IF(AI195&lt;=1,IF(AI195&lt;=0.8,IF(AI195&lt;=0.6,IF(AI195&lt;=0.4,IF(AI195&lt;=0.2,23,26),29),30),32)*VLOOKUP(S195,filter('🔒 Доп. информация'!D:E,'🔒 Доп. информация'!C:C=T195),2,FALSE)/'🔒 Доп. информация'!$K$9,
IF(AV195=data!A$8,U195,1)*VLOOKUP(S19"&amp;"5,filter('🔒 Доп. информация'!D:E,'🔒 Доп. информация'!C:C=T195),2,FALSE)+
IF(AV195=data!A$8,U195,1)*VLOOKUP(S195,filter('🔒 Доп. информация'!D:F,'🔒 Доп. информация'!C:C=T195),3,FALSE)*AJ195)
,0)"),69.0)</f>
        <v>69</v>
      </c>
      <c r="BL195" s="185" t="str">
        <f t="shared" ref="BL195:BM195" si="595">IF($D195,"🔒",)</f>
        <v/>
      </c>
      <c r="BM195" s="185" t="str">
        <f t="shared" si="595"/>
        <v/>
      </c>
      <c r="BN195" s="204">
        <f>VLOOKUP(T195,'🔒 Доп. информация'!J:P,7,false)</f>
        <v>50</v>
      </c>
      <c r="BO195" s="204">
        <f>IF(AV195=data!A$9,
(AA195+AO195+AP195+BJ195+BK195+BN195)+H195*AS195,
(BJ195+BK195+BN195)+H195*AS195
)</f>
        <v>119</v>
      </c>
      <c r="BP195" s="204">
        <f t="shared" si="26"/>
        <v>69</v>
      </c>
      <c r="BQ195" s="204">
        <f t="shared" si="27"/>
        <v>320</v>
      </c>
      <c r="BR195" s="204" t="str">
        <f t="shared" si="37"/>
        <v>#N/A</v>
      </c>
      <c r="BS195" s="204" t="str">
        <f t="array" ref="BS195">IF(VLOOKUP(AT195,{'▶️ Инструкция'!C:C,'▶️ Инструкция'!Y:Y},2,FALSE)=data!A$15,
H195*(1-I195),
(H195-BR195))
*VLOOKUP(AT195,{'▶️ Инструкция'!C:C,'▶️ Инструкция'!AD:AD},2,FALSE)/(1+VLOOKUP(AT195,{'▶️ Инструкция'!C:C,'▶️ Инструкция'!AD:AD},2,FALSE))</f>
        <v>#N/A</v>
      </c>
      <c r="BT195" s="204" t="str">
        <f t="array" ref="BT195">
IF(VLOOKUP(AT195,{'▶️ Инструкция'!C:C,'▶️ Инструкция'!Y:Y},2,FALSE)=data!A$15,
H195*(1-I195)-BS195,
(H195-BR195-BS195))
*
VLOOKUP(AT195,{'▶️ Инструкция'!C:C,'▶️ Инструкция'!R:R},2,FALSE)
+BS195</f>
        <v>#N/A</v>
      </c>
      <c r="BU195" s="204" t="str">
        <f>(G195*AR195)+if(AV195=data!A$9,AO195,AN195)+AP195+BR195+BT195</f>
        <v>#N/A</v>
      </c>
      <c r="BV195" s="204" t="str">
        <f>(G195*AR195)+if(AV195=data!A$9,AO195,AN195)+AP195+BT195+G195</f>
        <v>#N/A</v>
      </c>
      <c r="BW195" s="204" t="str">
        <f t="shared" si="28"/>
        <v>#N/A</v>
      </c>
      <c r="BX195" s="204" t="str">
        <f t="shared" si="29"/>
        <v>#N/A</v>
      </c>
    </row>
    <row r="196">
      <c r="A196" s="165" t="str">
        <f>if(D196=true,if(F196=data!A$1,data!A$10,data!A$11),)</f>
        <v/>
      </c>
      <c r="B196" s="166" t="str">
        <f t="shared" si="4"/>
        <v>FBS</v>
      </c>
      <c r="C196" s="167" t="s">
        <v>195</v>
      </c>
      <c r="D196" s="168" t="b">
        <v>0</v>
      </c>
      <c r="E196" s="169" t="s">
        <v>204</v>
      </c>
      <c r="F196" s="170" t="str">
        <f t="array" ref="F196">IF(D196=TRUE,IF(IF(BG$3=VLOOKUP(AT196,{'▶️ Инструкция'!C:C,'▶️ Инструкция'!G:G},2,FALSE),BG196,BH196)&gt;VLOOKUP(AT196,{'▶️ Инструкция'!C:C,'▶️ Инструкция'!N:N},2,FALSE),data!A$1,data!A$2),)</f>
        <v/>
      </c>
      <c r="G196" s="171">
        <v>0.0</v>
      </c>
      <c r="H196" s="172">
        <v>1000.0</v>
      </c>
      <c r="I196" s="173">
        <v>0.0</v>
      </c>
      <c r="J196" s="173">
        <v>0.0</v>
      </c>
      <c r="K196" s="174" t="str">
        <f t="shared" si="5"/>
        <v/>
      </c>
      <c r="L196" s="175">
        <v>0.0</v>
      </c>
      <c r="M196" s="176" t="s">
        <v>197</v>
      </c>
      <c r="N196" s="177">
        <f>IFERROR(__xludf.DUMMYFUNCTION("ArrayFormula(let(category,VLOOKUP($M196, {'📄 Комиссии'!$C:$C , '📄 Комиссии'!$B:$B}, 2, 0),
data,MATCH('🔒 Доп. информация'!$J$15:$J203,TRANSPOSE(SPLIT(INDEX('▶️ Инструкция'!$Q:$Q,MATCH($AT196,'▶️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commission,VLOOKUP($M196,'📄 Комиссии'!$C:$E,IF($AV196=data!A$8,2,3),0),
IF(NOT(ISBLANK($M196)),commission/100+
"&amp;"IFERROR(VLOOKUP($AT196,{'▶️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96" s="178" t="str">
        <f t="shared" si="6"/>
        <v/>
      </c>
      <c r="Q196" s="178" t="str">
        <f t="shared" si="7"/>
        <v/>
      </c>
      <c r="S196" s="179" t="s">
        <v>192</v>
      </c>
      <c r="T196" s="180" t="s">
        <v>193</v>
      </c>
      <c r="U196" s="181">
        <v>1.0</v>
      </c>
      <c r="V196" s="182" t="str">
        <f t="shared" ref="V196:Y196" si="596">IF($D196,"🔒",)</f>
        <v/>
      </c>
      <c r="W196" s="182" t="str">
        <f t="shared" si="596"/>
        <v/>
      </c>
      <c r="X196" s="182" t="str">
        <f t="shared" si="596"/>
        <v/>
      </c>
      <c r="Y196" s="182" t="str">
        <f t="shared" si="596"/>
        <v/>
      </c>
      <c r="Z196" s="183">
        <v>0.0</v>
      </c>
      <c r="AA196" s="184">
        <f t="shared" si="31"/>
        <v>0</v>
      </c>
      <c r="AB196" s="185" t="str">
        <f t="shared" ref="AB196:AD196" si="597">IF($D196,"🔒",)</f>
        <v/>
      </c>
      <c r="AC196" s="185" t="str">
        <f t="shared" si="597"/>
        <v/>
      </c>
      <c r="AD196" s="186" t="str">
        <f t="shared" si="597"/>
        <v/>
      </c>
      <c r="AE196" s="180">
        <v>30.0</v>
      </c>
      <c r="AF196" s="187">
        <v>0.0</v>
      </c>
      <c r="AG196" s="187">
        <v>0.0</v>
      </c>
      <c r="AH196" s="187">
        <v>0.0</v>
      </c>
      <c r="AI196" s="181">
        <f t="shared" si="10"/>
        <v>0</v>
      </c>
      <c r="AJ196" s="181">
        <f t="shared" si="11"/>
        <v>0</v>
      </c>
      <c r="AK196" s="185" t="str">
        <f t="shared" si="12"/>
        <v/>
      </c>
      <c r="AL196" s="188" t="str">
        <f t="array" ref="AL196">H196*(1-I196)*VLOOKUP(AT196,{'▶️ Инструкция'!C:C,'▶️ Инструкция'!AI:AI},2,false)</f>
        <v>#N/A</v>
      </c>
      <c r="AM196" s="186" t="str">
        <f t="shared" si="13"/>
        <v/>
      </c>
      <c r="AN196" s="189">
        <v>0.0</v>
      </c>
      <c r="AO196" s="189">
        <v>0.0</v>
      </c>
      <c r="AP196" s="189">
        <v>0.0</v>
      </c>
      <c r="AQ196" s="191">
        <v>1.0</v>
      </c>
      <c r="AR196" s="191">
        <v>0.0</v>
      </c>
      <c r="AS196" s="212">
        <v>0.0</v>
      </c>
      <c r="AT196" s="193" t="s">
        <v>206</v>
      </c>
      <c r="AU196" s="193" t="s">
        <v>121</v>
      </c>
      <c r="AV196" s="193" t="s">
        <v>199</v>
      </c>
      <c r="AW196" s="194">
        <f t="shared" si="14"/>
        <v>0</v>
      </c>
      <c r="AX196" s="195">
        <f t="shared" si="15"/>
        <v>0</v>
      </c>
      <c r="AY196" s="196" t="str">
        <f t="shared" si="16"/>
        <v>#N/A</v>
      </c>
      <c r="AZ196" s="213">
        <v>250.0</v>
      </c>
      <c r="BA196" s="196">
        <f t="shared" si="17"/>
        <v>0.25</v>
      </c>
      <c r="BB196" s="213">
        <f t="shared" si="18"/>
        <v>1000</v>
      </c>
      <c r="BC196" s="199" t="str">
        <f t="shared" si="19"/>
        <v>#N/A</v>
      </c>
      <c r="BD196" s="200" t="str">
        <f t="shared" si="20"/>
        <v>#N/A</v>
      </c>
      <c r="BE196" s="200">
        <f t="shared" si="21"/>
        <v>0</v>
      </c>
      <c r="BF196" s="201" t="str">
        <f t="shared" si="22"/>
        <v/>
      </c>
      <c r="BG196" s="201" t="str">
        <f t="shared" si="23"/>
        <v/>
      </c>
      <c r="BH196" s="202" t="str">
        <f t="shared" si="24"/>
        <v/>
      </c>
      <c r="BI196" s="203"/>
      <c r="BJ196" s="204">
        <f>IFERROR(__xludf.DUMMYFUNCTION("IF(AU196=data!A$5,
IF(AV196=data!A$8,
IF(T196=data!A$3,
VLOOKUP(S196,filter('🔒 Доп. информация'!D:H,'🔒 Доп. информация'!C:C=T196),4,FALSE)+VLOOKUP(S196,filter('🔒 Доп. информация'!D:H,'🔒 Доп. информация'!C:C=T196),5,FALSE)*AJ196,
IF(AND(MAX(AF196:AH196"&amp;")&lt;80,SUM(AF196:AH196)&lt;=160,AI196&lt;20,XLOOKUP(M196,'📄 Комиссии'!C:C,'📄 Комиссии'!B:B)&lt;&gt;""Продукты""),
VLOOKUP(S196,filter('🔒 Доп. информация'!D:H,'🔒 Доп. информация'!C:C=data!$A$3),4,FALSE)+VLOOKUP(S196,filter('🔒 Доп. информация'!D:H,'🔒 Доп. информаци"&amp;"я'!C:C=data!$A$3),5,FALSE)*AJ196,
VLOOKUP(S196,filter('🔒 Доп. информация'!D:H,'🔒 Доп. информация'!C:C=T196),4,FALSE)*ROUNDUP(AF196*AG196*AH196*L196/(120*80*175))/L196)
)
*(AE196/2)
,)
,)*0"),0.0)</f>
        <v>0</v>
      </c>
      <c r="BK196" s="204">
        <f>IFERROR(__xludf.DUMMYFUNCTION("IF(AU196=data!A$5,
IF(AI196&lt;=1,IF(AI196&lt;=0.8,IF(AI196&lt;=0.6,IF(AI196&lt;=0.4,IF(AI196&lt;=0.2,23,26),29),30),32)*VLOOKUP(S196,filter('🔒 Доп. информация'!D:E,'🔒 Доп. информация'!C:C=T196),2,FALSE)/'🔒 Доп. информация'!$K$9,
IF(AV196=data!A$8,U196,1)*VLOOKUP(S19"&amp;"6,filter('🔒 Доп. информация'!D:E,'🔒 Доп. информация'!C:C=T196),2,FALSE)+
IF(AV196=data!A$8,U196,1)*VLOOKUP(S196,filter('🔒 Доп. информация'!D:F,'🔒 Доп. информация'!C:C=T196),3,FALSE)*AJ196)
,0)"),69.0)</f>
        <v>69</v>
      </c>
      <c r="BL196" s="185" t="str">
        <f t="shared" ref="BL196:BM196" si="598">IF($D196,"🔒",)</f>
        <v/>
      </c>
      <c r="BM196" s="185" t="str">
        <f t="shared" si="598"/>
        <v/>
      </c>
      <c r="BN196" s="204">
        <f>VLOOKUP(T196,'🔒 Доп. информация'!J:P,7,false)</f>
        <v>50</v>
      </c>
      <c r="BO196" s="204">
        <f>IF(AV196=data!A$9,
(AA196+AO196+AP196+BJ196+BK196+BN196)+H196*AS196,
(BJ196+BK196+BN196)+H196*AS196
)</f>
        <v>119</v>
      </c>
      <c r="BP196" s="204">
        <f t="shared" si="26"/>
        <v>69</v>
      </c>
      <c r="BQ196" s="204">
        <f t="shared" si="27"/>
        <v>320</v>
      </c>
      <c r="BR196" s="204" t="str">
        <f t="shared" si="37"/>
        <v>#N/A</v>
      </c>
      <c r="BS196" s="204" t="str">
        <f t="array" ref="BS196">IF(VLOOKUP(AT196,{'▶️ Инструкция'!C:C,'▶️ Инструкция'!Y:Y},2,FALSE)=data!A$15,
H196*(1-I196),
(H196-BR196))
*VLOOKUP(AT196,{'▶️ Инструкция'!C:C,'▶️ Инструкция'!AD:AD},2,FALSE)/(1+VLOOKUP(AT196,{'▶️ Инструкция'!C:C,'▶️ Инструкция'!AD:AD},2,FALSE))</f>
        <v>#N/A</v>
      </c>
      <c r="BT196" s="204" t="str">
        <f t="array" ref="BT196">
IF(VLOOKUP(AT196,{'▶️ Инструкция'!C:C,'▶️ Инструкция'!Y:Y},2,FALSE)=data!A$15,
H196*(1-I196)-BS196,
(H196-BR196-BS196))
*
VLOOKUP(AT196,{'▶️ Инструкция'!C:C,'▶️ Инструкция'!R:R},2,FALSE)
+BS196</f>
        <v>#N/A</v>
      </c>
      <c r="BU196" s="204" t="str">
        <f>(G196*AR196)+if(AV196=data!A$9,AO196,AN196)+AP196+BR196+BT196</f>
        <v>#N/A</v>
      </c>
      <c r="BV196" s="204" t="str">
        <f>(G196*AR196)+if(AV196=data!A$9,AO196,AN196)+AP196+BT196+G196</f>
        <v>#N/A</v>
      </c>
      <c r="BW196" s="204" t="str">
        <f t="shared" si="28"/>
        <v>#N/A</v>
      </c>
      <c r="BX196" s="204" t="str">
        <f t="shared" si="29"/>
        <v>#N/A</v>
      </c>
    </row>
    <row r="197">
      <c r="A197" s="165" t="str">
        <f>if(D197=true,if(F197=data!A$1,data!A$10,data!A$11),)</f>
        <v/>
      </c>
      <c r="B197" s="166" t="str">
        <f t="shared" si="4"/>
        <v>FBS</v>
      </c>
      <c r="C197" s="167" t="s">
        <v>195</v>
      </c>
      <c r="D197" s="168" t="b">
        <v>0</v>
      </c>
      <c r="E197" s="169" t="s">
        <v>204</v>
      </c>
      <c r="F197" s="170" t="str">
        <f t="array" ref="F197">IF(D197=TRUE,IF(IF(BG$3=VLOOKUP(AT197,{'▶️ Инструкция'!C:C,'▶️ Инструкция'!G:G},2,FALSE),BG197,BH197)&gt;VLOOKUP(AT197,{'▶️ Инструкция'!C:C,'▶️ Инструкция'!N:N},2,FALSE),data!A$1,data!A$2),)</f>
        <v/>
      </c>
      <c r="G197" s="171">
        <v>0.0</v>
      </c>
      <c r="H197" s="172">
        <v>1000.0</v>
      </c>
      <c r="I197" s="173">
        <v>0.0</v>
      </c>
      <c r="J197" s="173">
        <v>0.0</v>
      </c>
      <c r="K197" s="174" t="str">
        <f t="shared" si="5"/>
        <v/>
      </c>
      <c r="L197" s="175">
        <v>0.0</v>
      </c>
      <c r="M197" s="176" t="s">
        <v>197</v>
      </c>
      <c r="N197" s="177">
        <f>IFERROR(__xludf.DUMMYFUNCTION("ArrayFormula(let(category,VLOOKUP($M197, {'📄 Комиссии'!$C:$C , '📄 Комиссии'!$B:$B}, 2, 0),
data,MATCH('🔒 Доп. информация'!$J$15:$J203,TRANSPOSE(SPLIT(INDEX('▶️ Инструкция'!$Q:$Q,MATCH($AT197,'▶️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commission,VLOOKUP($M197,'📄 Комиссии'!$C:$E,IF($AV197=data!A$8,2,3),0),
IF(NOT(ISBLANK($M197)),commission/100+
"&amp;"IFERROR(VLOOKUP($AT197,{'▶️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97" s="178" t="str">
        <f t="shared" si="6"/>
        <v/>
      </c>
      <c r="Q197" s="178" t="str">
        <f t="shared" si="7"/>
        <v/>
      </c>
      <c r="S197" s="179" t="s">
        <v>192</v>
      </c>
      <c r="T197" s="180" t="s">
        <v>193</v>
      </c>
      <c r="U197" s="181">
        <v>1.0</v>
      </c>
      <c r="V197" s="182" t="str">
        <f t="shared" ref="V197:Y197" si="599">IF($D197,"🔒",)</f>
        <v/>
      </c>
      <c r="W197" s="182" t="str">
        <f t="shared" si="599"/>
        <v/>
      </c>
      <c r="X197" s="182" t="str">
        <f t="shared" si="599"/>
        <v/>
      </c>
      <c r="Y197" s="182" t="str">
        <f t="shared" si="599"/>
        <v/>
      </c>
      <c r="Z197" s="183">
        <v>0.0</v>
      </c>
      <c r="AA197" s="184">
        <f t="shared" si="31"/>
        <v>0</v>
      </c>
      <c r="AB197" s="185" t="str">
        <f t="shared" ref="AB197:AD197" si="600">IF($D197,"🔒",)</f>
        <v/>
      </c>
      <c r="AC197" s="185" t="str">
        <f t="shared" si="600"/>
        <v/>
      </c>
      <c r="AD197" s="186" t="str">
        <f t="shared" si="600"/>
        <v/>
      </c>
      <c r="AE197" s="180">
        <v>30.0</v>
      </c>
      <c r="AF197" s="187">
        <v>0.0</v>
      </c>
      <c r="AG197" s="187">
        <v>0.0</v>
      </c>
      <c r="AH197" s="187">
        <v>0.0</v>
      </c>
      <c r="AI197" s="181">
        <f t="shared" si="10"/>
        <v>0</v>
      </c>
      <c r="AJ197" s="181">
        <f t="shared" si="11"/>
        <v>0</v>
      </c>
      <c r="AK197" s="185" t="str">
        <f t="shared" si="12"/>
        <v/>
      </c>
      <c r="AL197" s="188" t="str">
        <f t="array" ref="AL197">H197*(1-I197)*VLOOKUP(AT197,{'▶️ Инструкция'!C:C,'▶️ Инструкция'!AI:AI},2,false)</f>
        <v>#N/A</v>
      </c>
      <c r="AM197" s="186" t="str">
        <f t="shared" si="13"/>
        <v/>
      </c>
      <c r="AN197" s="189">
        <v>0.0</v>
      </c>
      <c r="AO197" s="189">
        <v>0.0</v>
      </c>
      <c r="AP197" s="189">
        <v>0.0</v>
      </c>
      <c r="AQ197" s="191">
        <v>1.0</v>
      </c>
      <c r="AR197" s="191">
        <v>0.0</v>
      </c>
      <c r="AS197" s="212">
        <v>0.0</v>
      </c>
      <c r="AT197" s="193" t="s">
        <v>206</v>
      </c>
      <c r="AU197" s="193" t="s">
        <v>121</v>
      </c>
      <c r="AV197" s="193" t="s">
        <v>199</v>
      </c>
      <c r="AW197" s="194">
        <f t="shared" si="14"/>
        <v>0</v>
      </c>
      <c r="AX197" s="195">
        <f t="shared" si="15"/>
        <v>0</v>
      </c>
      <c r="AY197" s="196" t="str">
        <f t="shared" si="16"/>
        <v>#N/A</v>
      </c>
      <c r="AZ197" s="213">
        <v>250.0</v>
      </c>
      <c r="BA197" s="196">
        <f t="shared" si="17"/>
        <v>0.25</v>
      </c>
      <c r="BB197" s="213">
        <f t="shared" si="18"/>
        <v>1000</v>
      </c>
      <c r="BC197" s="199" t="str">
        <f t="shared" si="19"/>
        <v>#N/A</v>
      </c>
      <c r="BD197" s="200" t="str">
        <f t="shared" si="20"/>
        <v>#N/A</v>
      </c>
      <c r="BE197" s="200">
        <f t="shared" si="21"/>
        <v>0</v>
      </c>
      <c r="BF197" s="201" t="str">
        <f t="shared" si="22"/>
        <v/>
      </c>
      <c r="BG197" s="201" t="str">
        <f t="shared" si="23"/>
        <v/>
      </c>
      <c r="BH197" s="202" t="str">
        <f t="shared" si="24"/>
        <v/>
      </c>
      <c r="BI197" s="203"/>
      <c r="BJ197" s="204">
        <f>IFERROR(__xludf.DUMMYFUNCTION("IF(AU197=data!A$5,
IF(AV197=data!A$8,
IF(T197=data!A$3,
VLOOKUP(S197,filter('🔒 Доп. информация'!D:H,'🔒 Доп. информация'!C:C=T197),4,FALSE)+VLOOKUP(S197,filter('🔒 Доп. информация'!D:H,'🔒 Доп. информация'!C:C=T197),5,FALSE)*AJ197,
IF(AND(MAX(AF197:AH197"&amp;")&lt;80,SUM(AF197:AH197)&lt;=160,AI197&lt;20,XLOOKUP(M197,'📄 Комиссии'!C:C,'📄 Комиссии'!B:B)&lt;&gt;""Продукты""),
VLOOKUP(S197,filter('🔒 Доп. информация'!D:H,'🔒 Доп. информация'!C:C=data!$A$3),4,FALSE)+VLOOKUP(S197,filter('🔒 Доп. информация'!D:H,'🔒 Доп. информаци"&amp;"я'!C:C=data!$A$3),5,FALSE)*AJ197,
VLOOKUP(S197,filter('🔒 Доп. информация'!D:H,'🔒 Доп. информация'!C:C=T197),4,FALSE)*ROUNDUP(AF197*AG197*AH197*L197/(120*80*175))/L197)
)
*(AE197/2)
,)
,)*0"),0.0)</f>
        <v>0</v>
      </c>
      <c r="BK197" s="204">
        <f>IFERROR(__xludf.DUMMYFUNCTION("IF(AU197=data!A$5,
IF(AI197&lt;=1,IF(AI197&lt;=0.8,IF(AI197&lt;=0.6,IF(AI197&lt;=0.4,IF(AI197&lt;=0.2,23,26),29),30),32)*VLOOKUP(S197,filter('🔒 Доп. информация'!D:E,'🔒 Доп. информация'!C:C=T197),2,FALSE)/'🔒 Доп. информация'!$K$9,
IF(AV197=data!A$8,U197,1)*VLOOKUP(S19"&amp;"7,filter('🔒 Доп. информация'!D:E,'🔒 Доп. информация'!C:C=T197),2,FALSE)+
IF(AV197=data!A$8,U197,1)*VLOOKUP(S197,filter('🔒 Доп. информация'!D:F,'🔒 Доп. информация'!C:C=T197),3,FALSE)*AJ197)
,0)"),69.0)</f>
        <v>69</v>
      </c>
      <c r="BL197" s="185" t="str">
        <f t="shared" ref="BL197:BM197" si="601">IF($D197,"🔒",)</f>
        <v/>
      </c>
      <c r="BM197" s="185" t="str">
        <f t="shared" si="601"/>
        <v/>
      </c>
      <c r="BN197" s="204">
        <f>VLOOKUP(T197,'🔒 Доп. информация'!J:P,7,false)</f>
        <v>50</v>
      </c>
      <c r="BO197" s="204">
        <f>IF(AV197=data!A$9,
(AA197+AO197+AP197+BJ197+BK197+BN197)+H197*AS197,
(BJ197+BK197+BN197)+H197*AS197
)</f>
        <v>119</v>
      </c>
      <c r="BP197" s="204">
        <f t="shared" si="26"/>
        <v>69</v>
      </c>
      <c r="BQ197" s="204">
        <f t="shared" si="27"/>
        <v>320</v>
      </c>
      <c r="BR197" s="204" t="str">
        <f t="shared" si="37"/>
        <v>#N/A</v>
      </c>
      <c r="BS197" s="204" t="str">
        <f t="array" ref="BS197">IF(VLOOKUP(AT197,{'▶️ Инструкция'!C:C,'▶️ Инструкция'!Y:Y},2,FALSE)=data!A$15,
H197*(1-I197),
(H197-BR197))
*VLOOKUP(AT197,{'▶️ Инструкция'!C:C,'▶️ Инструкция'!AD:AD},2,FALSE)/(1+VLOOKUP(AT197,{'▶️ Инструкция'!C:C,'▶️ Инструкция'!AD:AD},2,FALSE))</f>
        <v>#N/A</v>
      </c>
      <c r="BT197" s="204" t="str">
        <f t="array" ref="BT197">
IF(VLOOKUP(AT197,{'▶️ Инструкция'!C:C,'▶️ Инструкция'!Y:Y},2,FALSE)=data!A$15,
H197*(1-I197)-BS197,
(H197-BR197-BS197))
*
VLOOKUP(AT197,{'▶️ Инструкция'!C:C,'▶️ Инструкция'!R:R},2,FALSE)
+BS197</f>
        <v>#N/A</v>
      </c>
      <c r="BU197" s="204" t="str">
        <f>(G197*AR197)+if(AV197=data!A$9,AO197,AN197)+AP197+BR197+BT197</f>
        <v>#N/A</v>
      </c>
      <c r="BV197" s="204" t="str">
        <f>(G197*AR197)+if(AV197=data!A$9,AO197,AN197)+AP197+BT197+G197</f>
        <v>#N/A</v>
      </c>
      <c r="BW197" s="204" t="str">
        <f t="shared" si="28"/>
        <v>#N/A</v>
      </c>
      <c r="BX197" s="204" t="str">
        <f t="shared" si="29"/>
        <v>#N/A</v>
      </c>
    </row>
    <row r="198">
      <c r="A198" s="165" t="str">
        <f>if(D198=true,if(F198=data!A$1,data!A$10,data!A$11),)</f>
        <v/>
      </c>
      <c r="B198" s="166" t="str">
        <f t="shared" si="4"/>
        <v>FBS</v>
      </c>
      <c r="C198" s="167" t="s">
        <v>195</v>
      </c>
      <c r="D198" s="168" t="b">
        <v>0</v>
      </c>
      <c r="E198" s="169" t="s">
        <v>204</v>
      </c>
      <c r="F198" s="170" t="str">
        <f t="array" ref="F198">IF(D198=TRUE,IF(IF(BG$3=VLOOKUP(AT198,{'▶️ Инструкция'!C:C,'▶️ Инструкция'!G:G},2,FALSE),BG198,BH198)&gt;VLOOKUP(AT198,{'▶️ Инструкция'!C:C,'▶️ Инструкция'!N:N},2,FALSE),data!A$1,data!A$2),)</f>
        <v/>
      </c>
      <c r="G198" s="171">
        <v>0.0</v>
      </c>
      <c r="H198" s="172">
        <v>1000.0</v>
      </c>
      <c r="I198" s="173">
        <v>0.0</v>
      </c>
      <c r="J198" s="173">
        <v>0.0</v>
      </c>
      <c r="K198" s="174" t="str">
        <f t="shared" si="5"/>
        <v/>
      </c>
      <c r="L198" s="175">
        <v>0.0</v>
      </c>
      <c r="M198" s="176" t="s">
        <v>197</v>
      </c>
      <c r="N198" s="177">
        <f>IFERROR(__xludf.DUMMYFUNCTION("ArrayFormula(let(category,VLOOKUP($M198, {'📄 Комиссии'!$C:$C , '📄 Комиссии'!$B:$B}, 2, 0),
data,MATCH('🔒 Доп. информация'!$J$15:$J203,TRANSPOSE(SPLIT(INDEX('▶️ Инструкция'!$Q:$Q,MATCH($AT198,'▶️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commission,VLOOKUP($M198,'📄 Комиссии'!$C:$E,IF($AV198=data!A$8,2,3),0),
IF(NOT(ISBLANK($M198)),commission/100+
"&amp;"IFERROR(VLOOKUP($AT198,{'▶️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98" s="178" t="str">
        <f t="shared" si="6"/>
        <v/>
      </c>
      <c r="Q198" s="178" t="str">
        <f t="shared" si="7"/>
        <v/>
      </c>
      <c r="S198" s="179" t="s">
        <v>192</v>
      </c>
      <c r="T198" s="180" t="s">
        <v>193</v>
      </c>
      <c r="U198" s="181">
        <v>1.0</v>
      </c>
      <c r="V198" s="182" t="str">
        <f t="shared" ref="V198:Y198" si="602">IF($D198,"🔒",)</f>
        <v/>
      </c>
      <c r="W198" s="182" t="str">
        <f t="shared" si="602"/>
        <v/>
      </c>
      <c r="X198" s="182" t="str">
        <f t="shared" si="602"/>
        <v/>
      </c>
      <c r="Y198" s="182" t="str">
        <f t="shared" si="602"/>
        <v/>
      </c>
      <c r="Z198" s="183">
        <v>0.0</v>
      </c>
      <c r="AA198" s="184">
        <f t="shared" si="31"/>
        <v>0</v>
      </c>
      <c r="AB198" s="185" t="str">
        <f t="shared" ref="AB198:AD198" si="603">IF($D198,"🔒",)</f>
        <v/>
      </c>
      <c r="AC198" s="185" t="str">
        <f t="shared" si="603"/>
        <v/>
      </c>
      <c r="AD198" s="186" t="str">
        <f t="shared" si="603"/>
        <v/>
      </c>
      <c r="AE198" s="180">
        <v>30.0</v>
      </c>
      <c r="AF198" s="187">
        <v>0.0</v>
      </c>
      <c r="AG198" s="187">
        <v>0.0</v>
      </c>
      <c r="AH198" s="187">
        <v>0.0</v>
      </c>
      <c r="AI198" s="181">
        <f t="shared" si="10"/>
        <v>0</v>
      </c>
      <c r="AJ198" s="181">
        <f t="shared" si="11"/>
        <v>0</v>
      </c>
      <c r="AK198" s="185" t="str">
        <f t="shared" si="12"/>
        <v/>
      </c>
      <c r="AL198" s="188" t="str">
        <f t="array" ref="AL198">H198*(1-I198)*VLOOKUP(AT198,{'▶️ Инструкция'!C:C,'▶️ Инструкция'!AI:AI},2,false)</f>
        <v>#N/A</v>
      </c>
      <c r="AM198" s="186" t="str">
        <f t="shared" si="13"/>
        <v/>
      </c>
      <c r="AN198" s="189">
        <v>0.0</v>
      </c>
      <c r="AO198" s="189">
        <v>0.0</v>
      </c>
      <c r="AP198" s="189">
        <v>0.0</v>
      </c>
      <c r="AQ198" s="191">
        <v>1.0</v>
      </c>
      <c r="AR198" s="191">
        <v>0.0</v>
      </c>
      <c r="AS198" s="212">
        <v>0.0</v>
      </c>
      <c r="AT198" s="193" t="s">
        <v>206</v>
      </c>
      <c r="AU198" s="193" t="s">
        <v>121</v>
      </c>
      <c r="AV198" s="193" t="s">
        <v>199</v>
      </c>
      <c r="AW198" s="194">
        <f t="shared" si="14"/>
        <v>0</v>
      </c>
      <c r="AX198" s="195">
        <f t="shared" si="15"/>
        <v>0</v>
      </c>
      <c r="AY198" s="196" t="str">
        <f t="shared" si="16"/>
        <v>#N/A</v>
      </c>
      <c r="AZ198" s="213">
        <v>250.0</v>
      </c>
      <c r="BA198" s="196">
        <f t="shared" si="17"/>
        <v>0.25</v>
      </c>
      <c r="BB198" s="213">
        <f t="shared" si="18"/>
        <v>1000</v>
      </c>
      <c r="BC198" s="199" t="str">
        <f t="shared" si="19"/>
        <v>#N/A</v>
      </c>
      <c r="BD198" s="200" t="str">
        <f t="shared" si="20"/>
        <v>#N/A</v>
      </c>
      <c r="BE198" s="200">
        <f t="shared" si="21"/>
        <v>0</v>
      </c>
      <c r="BF198" s="201" t="str">
        <f t="shared" si="22"/>
        <v/>
      </c>
      <c r="BG198" s="201" t="str">
        <f t="shared" si="23"/>
        <v/>
      </c>
      <c r="BH198" s="202" t="str">
        <f t="shared" si="24"/>
        <v/>
      </c>
      <c r="BI198" s="203"/>
      <c r="BJ198" s="204">
        <f>IFERROR(__xludf.DUMMYFUNCTION("IF(AU198=data!A$5,
IF(AV198=data!A$8,
IF(T198=data!A$3,
VLOOKUP(S198,filter('🔒 Доп. информация'!D:H,'🔒 Доп. информация'!C:C=T198),4,FALSE)+VLOOKUP(S198,filter('🔒 Доп. информация'!D:H,'🔒 Доп. информация'!C:C=T198),5,FALSE)*AJ198,
IF(AND(MAX(AF198:AH198"&amp;")&lt;80,SUM(AF198:AH198)&lt;=160,AI198&lt;20,XLOOKUP(M198,'📄 Комиссии'!C:C,'📄 Комиссии'!B:B)&lt;&gt;""Продукты""),
VLOOKUP(S198,filter('🔒 Доп. информация'!D:H,'🔒 Доп. информация'!C:C=data!$A$3),4,FALSE)+VLOOKUP(S198,filter('🔒 Доп. информация'!D:H,'🔒 Доп. информаци"&amp;"я'!C:C=data!$A$3),5,FALSE)*AJ198,
VLOOKUP(S198,filter('🔒 Доп. информация'!D:H,'🔒 Доп. информация'!C:C=T198),4,FALSE)*ROUNDUP(AF198*AG198*AH198*L198/(120*80*175))/L198)
)
*(AE198/2)
,)
,)*0"),0.0)</f>
        <v>0</v>
      </c>
      <c r="BK198" s="204">
        <f>IFERROR(__xludf.DUMMYFUNCTION("IF(AU198=data!A$5,
IF(AI198&lt;=1,IF(AI198&lt;=0.8,IF(AI198&lt;=0.6,IF(AI198&lt;=0.4,IF(AI198&lt;=0.2,23,26),29),30),32)*VLOOKUP(S198,filter('🔒 Доп. информация'!D:E,'🔒 Доп. информация'!C:C=T198),2,FALSE)/'🔒 Доп. информация'!$K$9,
IF(AV198=data!A$8,U198,1)*VLOOKUP(S19"&amp;"8,filter('🔒 Доп. информация'!D:E,'🔒 Доп. информация'!C:C=T198),2,FALSE)+
IF(AV198=data!A$8,U198,1)*VLOOKUP(S198,filter('🔒 Доп. информация'!D:F,'🔒 Доп. информация'!C:C=T198),3,FALSE)*AJ198)
,0)"),69.0)</f>
        <v>69</v>
      </c>
      <c r="BL198" s="185" t="str">
        <f t="shared" ref="BL198:BM198" si="604">IF($D198,"🔒",)</f>
        <v/>
      </c>
      <c r="BM198" s="185" t="str">
        <f t="shared" si="604"/>
        <v/>
      </c>
      <c r="BN198" s="204">
        <f>VLOOKUP(T198,'🔒 Доп. информация'!J:P,7,false)</f>
        <v>50</v>
      </c>
      <c r="BO198" s="204">
        <f>IF(AV198=data!A$9,
(AA198+AO198+AP198+BJ198+BK198+BN198)+H198*AS198,
(BJ198+BK198+BN198)+H198*AS198
)</f>
        <v>119</v>
      </c>
      <c r="BP198" s="204">
        <f t="shared" si="26"/>
        <v>69</v>
      </c>
      <c r="BQ198" s="204">
        <f t="shared" si="27"/>
        <v>320</v>
      </c>
      <c r="BR198" s="204" t="str">
        <f t="shared" si="37"/>
        <v>#N/A</v>
      </c>
      <c r="BS198" s="204" t="str">
        <f t="array" ref="BS198">IF(VLOOKUP(AT198,{'▶️ Инструкция'!C:C,'▶️ Инструкция'!Y:Y},2,FALSE)=data!A$15,
H198*(1-I198),
(H198-BR198))
*VLOOKUP(AT198,{'▶️ Инструкция'!C:C,'▶️ Инструкция'!AD:AD},2,FALSE)/(1+VLOOKUP(AT198,{'▶️ Инструкция'!C:C,'▶️ Инструкция'!AD:AD},2,FALSE))</f>
        <v>#N/A</v>
      </c>
      <c r="BT198" s="204" t="str">
        <f t="array" ref="BT198">
IF(VLOOKUP(AT198,{'▶️ Инструкция'!C:C,'▶️ Инструкция'!Y:Y},2,FALSE)=data!A$15,
H198*(1-I198)-BS198,
(H198-BR198-BS198))
*
VLOOKUP(AT198,{'▶️ Инструкция'!C:C,'▶️ Инструкция'!R:R},2,FALSE)
+BS198</f>
        <v>#N/A</v>
      </c>
      <c r="BU198" s="204" t="str">
        <f>(G198*AR198)+if(AV198=data!A$9,AO198,AN198)+AP198+BR198+BT198</f>
        <v>#N/A</v>
      </c>
      <c r="BV198" s="204" t="str">
        <f>(G198*AR198)+if(AV198=data!A$9,AO198,AN198)+AP198+BT198+G198</f>
        <v>#N/A</v>
      </c>
      <c r="BW198" s="204" t="str">
        <f t="shared" si="28"/>
        <v>#N/A</v>
      </c>
      <c r="BX198" s="204" t="str">
        <f t="shared" si="29"/>
        <v>#N/A</v>
      </c>
    </row>
    <row r="199">
      <c r="A199" s="165" t="str">
        <f>if(D199=true,if(F199=data!A$1,data!A$10,data!A$11),)</f>
        <v/>
      </c>
      <c r="B199" s="166" t="str">
        <f t="shared" si="4"/>
        <v>FBS</v>
      </c>
      <c r="C199" s="167" t="s">
        <v>195</v>
      </c>
      <c r="D199" s="168" t="b">
        <v>0</v>
      </c>
      <c r="E199" s="169" t="s">
        <v>204</v>
      </c>
      <c r="F199" s="170" t="str">
        <f t="array" ref="F199">IF(D199=TRUE,IF(IF(BG$3=VLOOKUP(AT199,{'▶️ Инструкция'!C:C,'▶️ Инструкция'!G:G},2,FALSE),BG199,BH199)&gt;VLOOKUP(AT199,{'▶️ Инструкция'!C:C,'▶️ Инструкция'!N:N},2,FALSE),data!A$1,data!A$2),)</f>
        <v/>
      </c>
      <c r="G199" s="171">
        <v>0.0</v>
      </c>
      <c r="H199" s="172">
        <v>1000.0</v>
      </c>
      <c r="I199" s="173">
        <v>0.0</v>
      </c>
      <c r="J199" s="173">
        <v>0.0</v>
      </c>
      <c r="K199" s="174" t="str">
        <f t="shared" si="5"/>
        <v/>
      </c>
      <c r="L199" s="175">
        <v>0.0</v>
      </c>
      <c r="M199" s="176" t="s">
        <v>197</v>
      </c>
      <c r="N199" s="177">
        <f>IFERROR(__xludf.DUMMYFUNCTION("ArrayFormula(let(category,VLOOKUP($M199, {'📄 Комиссии'!$C:$C , '📄 Комиссии'!$B:$B}, 2, 0),
data,MATCH('🔒 Доп. информация'!$J$15:$J203,TRANSPOSE(SPLIT(INDEX('▶️ Инструкция'!$Q:$Q,MATCH($AT199,'▶️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commission,VLOOKUP($M199,'📄 Комиссии'!$C:$E,IF($AV199=data!A$8,2,3),0),
IF(NOT(ISBLANK($M199)),commission/100+
"&amp;"IFERROR(VLOOKUP($AT199,{'▶️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199" s="178" t="str">
        <f t="shared" si="6"/>
        <v/>
      </c>
      <c r="Q199" s="178" t="str">
        <f t="shared" si="7"/>
        <v/>
      </c>
      <c r="S199" s="179" t="s">
        <v>192</v>
      </c>
      <c r="T199" s="180" t="s">
        <v>193</v>
      </c>
      <c r="U199" s="181">
        <v>1.0</v>
      </c>
      <c r="V199" s="182" t="str">
        <f t="shared" ref="V199:Y199" si="605">IF($D199,"🔒",)</f>
        <v/>
      </c>
      <c r="W199" s="182" t="str">
        <f t="shared" si="605"/>
        <v/>
      </c>
      <c r="X199" s="182" t="str">
        <f t="shared" si="605"/>
        <v/>
      </c>
      <c r="Y199" s="182" t="str">
        <f t="shared" si="605"/>
        <v/>
      </c>
      <c r="Z199" s="183">
        <v>0.0</v>
      </c>
      <c r="AA199" s="184">
        <f t="shared" si="31"/>
        <v>0</v>
      </c>
      <c r="AB199" s="185" t="str">
        <f t="shared" ref="AB199:AD199" si="606">IF($D199,"🔒",)</f>
        <v/>
      </c>
      <c r="AC199" s="185" t="str">
        <f t="shared" si="606"/>
        <v/>
      </c>
      <c r="AD199" s="186" t="str">
        <f t="shared" si="606"/>
        <v/>
      </c>
      <c r="AE199" s="180">
        <v>30.0</v>
      </c>
      <c r="AF199" s="187">
        <v>0.0</v>
      </c>
      <c r="AG199" s="187">
        <v>0.0</v>
      </c>
      <c r="AH199" s="187">
        <v>0.0</v>
      </c>
      <c r="AI199" s="181">
        <f t="shared" si="10"/>
        <v>0</v>
      </c>
      <c r="AJ199" s="181">
        <f t="shared" si="11"/>
        <v>0</v>
      </c>
      <c r="AK199" s="185" t="str">
        <f t="shared" si="12"/>
        <v/>
      </c>
      <c r="AL199" s="188" t="str">
        <f t="array" ref="AL199">H199*(1-I199)*VLOOKUP(AT199,{'▶️ Инструкция'!C:C,'▶️ Инструкция'!AI:AI},2,false)</f>
        <v>#N/A</v>
      </c>
      <c r="AM199" s="186" t="str">
        <f t="shared" si="13"/>
        <v/>
      </c>
      <c r="AN199" s="189">
        <v>0.0</v>
      </c>
      <c r="AO199" s="189">
        <v>0.0</v>
      </c>
      <c r="AP199" s="189">
        <v>0.0</v>
      </c>
      <c r="AQ199" s="191">
        <v>1.0</v>
      </c>
      <c r="AR199" s="191">
        <v>0.0</v>
      </c>
      <c r="AS199" s="212">
        <v>0.0</v>
      </c>
      <c r="AT199" s="193" t="s">
        <v>206</v>
      </c>
      <c r="AU199" s="193" t="s">
        <v>121</v>
      </c>
      <c r="AV199" s="193" t="s">
        <v>199</v>
      </c>
      <c r="AW199" s="194">
        <f t="shared" si="14"/>
        <v>0</v>
      </c>
      <c r="AX199" s="195">
        <f t="shared" si="15"/>
        <v>0</v>
      </c>
      <c r="AY199" s="196" t="str">
        <f t="shared" si="16"/>
        <v>#N/A</v>
      </c>
      <c r="AZ199" s="213">
        <v>250.0</v>
      </c>
      <c r="BA199" s="196">
        <f t="shared" si="17"/>
        <v>0.25</v>
      </c>
      <c r="BB199" s="213">
        <f t="shared" si="18"/>
        <v>1000</v>
      </c>
      <c r="BC199" s="199" t="str">
        <f t="shared" si="19"/>
        <v>#N/A</v>
      </c>
      <c r="BD199" s="200" t="str">
        <f t="shared" si="20"/>
        <v>#N/A</v>
      </c>
      <c r="BE199" s="200">
        <f t="shared" si="21"/>
        <v>0</v>
      </c>
      <c r="BF199" s="201" t="str">
        <f t="shared" si="22"/>
        <v/>
      </c>
      <c r="BG199" s="201" t="str">
        <f t="shared" si="23"/>
        <v/>
      </c>
      <c r="BH199" s="202" t="str">
        <f t="shared" si="24"/>
        <v/>
      </c>
      <c r="BI199" s="203"/>
      <c r="BJ199" s="204">
        <f>IFERROR(__xludf.DUMMYFUNCTION("IF(AU199=data!A$5,
IF(AV199=data!A$8,
IF(T199=data!A$3,
VLOOKUP(S199,filter('🔒 Доп. информация'!D:H,'🔒 Доп. информация'!C:C=T199),4,FALSE)+VLOOKUP(S199,filter('🔒 Доп. информация'!D:H,'🔒 Доп. информация'!C:C=T199),5,FALSE)*AJ199,
IF(AND(MAX(AF199:AH199"&amp;")&lt;80,SUM(AF199:AH199)&lt;=160,AI199&lt;20,XLOOKUP(M199,'📄 Комиссии'!C:C,'📄 Комиссии'!B:B)&lt;&gt;""Продукты""),
VLOOKUP(S199,filter('🔒 Доп. информация'!D:H,'🔒 Доп. информация'!C:C=data!$A$3),4,FALSE)+VLOOKUP(S199,filter('🔒 Доп. информация'!D:H,'🔒 Доп. информаци"&amp;"я'!C:C=data!$A$3),5,FALSE)*AJ199,
VLOOKUP(S199,filter('🔒 Доп. информация'!D:H,'🔒 Доп. информация'!C:C=T199),4,FALSE)*ROUNDUP(AF199*AG199*AH199*L199/(120*80*175))/L199)
)
*(AE199/2)
,)
,)*0"),0.0)</f>
        <v>0</v>
      </c>
      <c r="BK199" s="204">
        <f>IFERROR(__xludf.DUMMYFUNCTION("IF(AU199=data!A$5,
IF(AI199&lt;=1,IF(AI199&lt;=0.8,IF(AI199&lt;=0.6,IF(AI199&lt;=0.4,IF(AI199&lt;=0.2,23,26),29),30),32)*VLOOKUP(S199,filter('🔒 Доп. информация'!D:E,'🔒 Доп. информация'!C:C=T199),2,FALSE)/'🔒 Доп. информация'!$K$9,
IF(AV199=data!A$8,U199,1)*VLOOKUP(S19"&amp;"9,filter('🔒 Доп. информация'!D:E,'🔒 Доп. информация'!C:C=T199),2,FALSE)+
IF(AV199=data!A$8,U199,1)*VLOOKUP(S199,filter('🔒 Доп. информация'!D:F,'🔒 Доп. информация'!C:C=T199),3,FALSE)*AJ199)
,0)"),69.0)</f>
        <v>69</v>
      </c>
      <c r="BL199" s="185" t="str">
        <f t="shared" ref="BL199:BM199" si="607">IF($D199,"🔒",)</f>
        <v/>
      </c>
      <c r="BM199" s="185" t="str">
        <f t="shared" si="607"/>
        <v/>
      </c>
      <c r="BN199" s="204">
        <f>VLOOKUP(T199,'🔒 Доп. информация'!J:P,7,false)</f>
        <v>50</v>
      </c>
      <c r="BO199" s="204">
        <f>IF(AV199=data!A$9,
(AA199+AO199+AP199+BJ199+BK199+BN199)+H199*AS199,
(BJ199+BK199+BN199)+H199*AS199
)</f>
        <v>119</v>
      </c>
      <c r="BP199" s="204">
        <f t="shared" si="26"/>
        <v>69</v>
      </c>
      <c r="BQ199" s="204">
        <f t="shared" si="27"/>
        <v>320</v>
      </c>
      <c r="BR199" s="204" t="str">
        <f t="shared" si="37"/>
        <v>#N/A</v>
      </c>
      <c r="BS199" s="204" t="str">
        <f t="array" ref="BS199">IF(VLOOKUP(AT199,{'▶️ Инструкция'!C:C,'▶️ Инструкция'!Y:Y},2,FALSE)=data!A$15,
H199*(1-I199),
(H199-BR199))
*VLOOKUP(AT199,{'▶️ Инструкция'!C:C,'▶️ Инструкция'!AD:AD},2,FALSE)/(1+VLOOKUP(AT199,{'▶️ Инструкция'!C:C,'▶️ Инструкция'!AD:AD},2,FALSE))</f>
        <v>#N/A</v>
      </c>
      <c r="BT199" s="204" t="str">
        <f t="array" ref="BT199">
IF(VLOOKUP(AT199,{'▶️ Инструкция'!C:C,'▶️ Инструкция'!Y:Y},2,FALSE)=data!A$15,
H199*(1-I199)-BS199,
(H199-BR199-BS199))
*
VLOOKUP(AT199,{'▶️ Инструкция'!C:C,'▶️ Инструкция'!R:R},2,FALSE)
+BS199</f>
        <v>#N/A</v>
      </c>
      <c r="BU199" s="204" t="str">
        <f>(G199*AR199)+if(AV199=data!A$9,AO199,AN199)+AP199+BR199+BT199</f>
        <v>#N/A</v>
      </c>
      <c r="BV199" s="204" t="str">
        <f>(G199*AR199)+if(AV199=data!A$9,AO199,AN199)+AP199+BT199+G199</f>
        <v>#N/A</v>
      </c>
      <c r="BW199" s="204" t="str">
        <f t="shared" si="28"/>
        <v>#N/A</v>
      </c>
      <c r="BX199" s="204" t="str">
        <f t="shared" si="29"/>
        <v>#N/A</v>
      </c>
    </row>
    <row r="200">
      <c r="A200" s="165" t="str">
        <f>if(D200=true,if(F200=data!A$1,data!A$10,data!A$11),)</f>
        <v/>
      </c>
      <c r="B200" s="166" t="str">
        <f t="shared" si="4"/>
        <v>FBS</v>
      </c>
      <c r="C200" s="167" t="s">
        <v>195</v>
      </c>
      <c r="D200" s="168" t="b">
        <v>0</v>
      </c>
      <c r="E200" s="169" t="s">
        <v>204</v>
      </c>
      <c r="F200" s="170" t="str">
        <f t="array" ref="F200">IF(D200=TRUE,IF(IF(BG$3=VLOOKUP(AT200,{'▶️ Инструкция'!C:C,'▶️ Инструкция'!G:G},2,FALSE),BG200,BH200)&gt;VLOOKUP(AT200,{'▶️ Инструкция'!C:C,'▶️ Инструкция'!N:N},2,FALSE),data!A$1,data!A$2),)</f>
        <v/>
      </c>
      <c r="G200" s="171">
        <v>0.0</v>
      </c>
      <c r="H200" s="172">
        <v>1000.0</v>
      </c>
      <c r="I200" s="173">
        <v>0.0</v>
      </c>
      <c r="J200" s="173">
        <v>0.0</v>
      </c>
      <c r="K200" s="174" t="str">
        <f t="shared" si="5"/>
        <v/>
      </c>
      <c r="L200" s="175">
        <v>0.0</v>
      </c>
      <c r="M200" s="176" t="s">
        <v>197</v>
      </c>
      <c r="N200" s="177">
        <f>IFERROR(__xludf.DUMMYFUNCTION("ArrayFormula(let(category,VLOOKUP($M200, {'📄 Комиссии'!$C:$C , '📄 Комиссии'!$B:$B}, 2, 0),
data,MATCH('🔒 Доп. информация'!$J$15:$J203,TRANSPOSE(SPLIT(INDEX('▶️ Инструкция'!$Q:$Q,MATCH($AT200,'▶️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commission,VLOOKUP($M200,'📄 Комиссии'!$C:$E,IF($AV200=data!A$8,2,3),0),
IF(NOT(ISBLANK($M200)),commission/100+
"&amp;"IFERROR(VLOOKUP($AT200,{'▶️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200" s="178" t="str">
        <f t="shared" si="6"/>
        <v/>
      </c>
      <c r="Q200" s="178" t="str">
        <f t="shared" si="7"/>
        <v/>
      </c>
      <c r="S200" s="179" t="s">
        <v>192</v>
      </c>
      <c r="T200" s="180" t="s">
        <v>193</v>
      </c>
      <c r="U200" s="181">
        <v>1.0</v>
      </c>
      <c r="V200" s="182" t="str">
        <f t="shared" ref="V200:Y200" si="608">IF($D200,"🔒",)</f>
        <v/>
      </c>
      <c r="W200" s="182" t="str">
        <f t="shared" si="608"/>
        <v/>
      </c>
      <c r="X200" s="182" t="str">
        <f t="shared" si="608"/>
        <v/>
      </c>
      <c r="Y200" s="182" t="str">
        <f t="shared" si="608"/>
        <v/>
      </c>
      <c r="Z200" s="183">
        <v>0.0</v>
      </c>
      <c r="AA200" s="184">
        <f t="shared" si="31"/>
        <v>0</v>
      </c>
      <c r="AB200" s="185" t="str">
        <f t="shared" ref="AB200:AD200" si="609">IF($D200,"🔒",)</f>
        <v/>
      </c>
      <c r="AC200" s="185" t="str">
        <f t="shared" si="609"/>
        <v/>
      </c>
      <c r="AD200" s="186" t="str">
        <f t="shared" si="609"/>
        <v/>
      </c>
      <c r="AE200" s="180">
        <v>30.0</v>
      </c>
      <c r="AF200" s="187">
        <v>0.0</v>
      </c>
      <c r="AG200" s="187">
        <v>0.0</v>
      </c>
      <c r="AH200" s="187">
        <v>0.0</v>
      </c>
      <c r="AI200" s="181">
        <f t="shared" si="10"/>
        <v>0</v>
      </c>
      <c r="AJ200" s="181">
        <f t="shared" si="11"/>
        <v>0</v>
      </c>
      <c r="AK200" s="185" t="str">
        <f t="shared" si="12"/>
        <v/>
      </c>
      <c r="AL200" s="188" t="str">
        <f t="array" ref="AL200">H200*(1-I200)*VLOOKUP(AT200,{'▶️ Инструкция'!C:C,'▶️ Инструкция'!AI:AI},2,false)</f>
        <v>#N/A</v>
      </c>
      <c r="AM200" s="186" t="str">
        <f t="shared" si="13"/>
        <v/>
      </c>
      <c r="AN200" s="189">
        <v>0.0</v>
      </c>
      <c r="AO200" s="189">
        <v>0.0</v>
      </c>
      <c r="AP200" s="189">
        <v>0.0</v>
      </c>
      <c r="AQ200" s="191">
        <v>1.0</v>
      </c>
      <c r="AR200" s="191">
        <v>0.0</v>
      </c>
      <c r="AS200" s="212">
        <v>0.0</v>
      </c>
      <c r="AT200" s="193" t="s">
        <v>206</v>
      </c>
      <c r="AU200" s="193" t="s">
        <v>121</v>
      </c>
      <c r="AV200" s="193" t="s">
        <v>199</v>
      </c>
      <c r="AW200" s="194">
        <f t="shared" si="14"/>
        <v>0</v>
      </c>
      <c r="AX200" s="195">
        <f t="shared" si="15"/>
        <v>0</v>
      </c>
      <c r="AY200" s="196" t="str">
        <f t="shared" si="16"/>
        <v>#N/A</v>
      </c>
      <c r="AZ200" s="213">
        <v>250.0</v>
      </c>
      <c r="BA200" s="196">
        <f t="shared" si="17"/>
        <v>0.25</v>
      </c>
      <c r="BB200" s="213">
        <f t="shared" si="18"/>
        <v>1000</v>
      </c>
      <c r="BC200" s="199" t="str">
        <f t="shared" si="19"/>
        <v>#N/A</v>
      </c>
      <c r="BD200" s="200" t="str">
        <f t="shared" si="20"/>
        <v>#N/A</v>
      </c>
      <c r="BE200" s="200">
        <f t="shared" si="21"/>
        <v>0</v>
      </c>
      <c r="BF200" s="201" t="str">
        <f t="shared" si="22"/>
        <v/>
      </c>
      <c r="BG200" s="201" t="str">
        <f t="shared" si="23"/>
        <v/>
      </c>
      <c r="BH200" s="202" t="str">
        <f t="shared" si="24"/>
        <v/>
      </c>
      <c r="BI200" s="203"/>
      <c r="BJ200" s="204">
        <f>IFERROR(__xludf.DUMMYFUNCTION("IF(AU200=data!A$5,
IF(AV200=data!A$8,
IF(T200=data!A$3,
VLOOKUP(S200,filter('🔒 Доп. информация'!D:H,'🔒 Доп. информация'!C:C=T200),4,FALSE)+VLOOKUP(S200,filter('🔒 Доп. информация'!D:H,'🔒 Доп. информация'!C:C=T200),5,FALSE)*AJ200,
IF(AND(MAX(AF200:AH200"&amp;")&lt;80,SUM(AF200:AH200)&lt;=160,AI200&lt;20,XLOOKUP(M200,'📄 Комиссии'!C:C,'📄 Комиссии'!B:B)&lt;&gt;""Продукты""),
VLOOKUP(S200,filter('🔒 Доп. информация'!D:H,'🔒 Доп. информация'!C:C=data!$A$3),4,FALSE)+VLOOKUP(S200,filter('🔒 Доп. информация'!D:H,'🔒 Доп. информаци"&amp;"я'!C:C=data!$A$3),5,FALSE)*AJ200,
VLOOKUP(S200,filter('🔒 Доп. информация'!D:H,'🔒 Доп. информация'!C:C=T200),4,FALSE)*ROUNDUP(AF200*AG200*AH200*L200/(120*80*175))/L200)
)
*(AE200/2)
,)
,)*0"),0.0)</f>
        <v>0</v>
      </c>
      <c r="BK200" s="204">
        <f>IFERROR(__xludf.DUMMYFUNCTION("IF(AU200=data!A$5,
IF(AI200&lt;=1,IF(AI200&lt;=0.8,IF(AI200&lt;=0.6,IF(AI200&lt;=0.4,IF(AI200&lt;=0.2,23,26),29),30),32)*VLOOKUP(S200,filter('🔒 Доп. информация'!D:E,'🔒 Доп. информация'!C:C=T200),2,FALSE)/'🔒 Доп. информация'!$K$9,
IF(AV200=data!A$8,U200,1)*VLOOKUP(S20"&amp;"0,filter('🔒 Доп. информация'!D:E,'🔒 Доп. информация'!C:C=T200),2,FALSE)+
IF(AV200=data!A$8,U200,1)*VLOOKUP(S200,filter('🔒 Доп. информация'!D:F,'🔒 Доп. информация'!C:C=T200),3,FALSE)*AJ200)
,0)"),69.0)</f>
        <v>69</v>
      </c>
      <c r="BL200" s="185" t="str">
        <f t="shared" ref="BL200:BM200" si="610">IF($D200,"🔒",)</f>
        <v/>
      </c>
      <c r="BM200" s="185" t="str">
        <f t="shared" si="610"/>
        <v/>
      </c>
      <c r="BN200" s="204">
        <f>VLOOKUP(T200,'🔒 Доп. информация'!J:P,7,false)</f>
        <v>50</v>
      </c>
      <c r="BO200" s="204">
        <f>IF(AV200=data!A$9,
(AA200+AO200+AP200+BJ200+BK200+BN200)+H200*AS200,
(BJ200+BK200+BN200)+H200*AS200
)</f>
        <v>119</v>
      </c>
      <c r="BP200" s="204">
        <f t="shared" si="26"/>
        <v>69</v>
      </c>
      <c r="BQ200" s="204">
        <f t="shared" si="27"/>
        <v>320</v>
      </c>
      <c r="BR200" s="204" t="str">
        <f t="shared" si="37"/>
        <v>#N/A</v>
      </c>
      <c r="BS200" s="204" t="str">
        <f t="array" ref="BS200">IF(VLOOKUP(AT200,{'▶️ Инструкция'!C:C,'▶️ Инструкция'!Y:Y},2,FALSE)=data!A$15,
H200*(1-I200),
(H200-BR200))
*VLOOKUP(AT200,{'▶️ Инструкция'!C:C,'▶️ Инструкция'!AD:AD},2,FALSE)/(1+VLOOKUP(AT200,{'▶️ Инструкция'!C:C,'▶️ Инструкция'!AD:AD},2,FALSE))</f>
        <v>#N/A</v>
      </c>
      <c r="BT200" s="204" t="str">
        <f t="array" ref="BT200">
IF(VLOOKUP(AT200,{'▶️ Инструкция'!C:C,'▶️ Инструкция'!Y:Y},2,FALSE)=data!A$15,
H200*(1-I200)-BS200,
(H200-BR200-BS200))
*
VLOOKUP(AT200,{'▶️ Инструкция'!C:C,'▶️ Инструкция'!R:R},2,FALSE)
+BS200</f>
        <v>#N/A</v>
      </c>
      <c r="BU200" s="204" t="str">
        <f>(G200*AR200)+if(AV200=data!A$9,AO200,AN200)+AP200+BR200+BT200</f>
        <v>#N/A</v>
      </c>
      <c r="BV200" s="204" t="str">
        <f>(G200*AR200)+if(AV200=data!A$9,AO200,AN200)+AP200+BT200+G200</f>
        <v>#N/A</v>
      </c>
      <c r="BW200" s="204" t="str">
        <f t="shared" si="28"/>
        <v>#N/A</v>
      </c>
      <c r="BX200" s="204" t="str">
        <f t="shared" si="29"/>
        <v>#N/A</v>
      </c>
    </row>
    <row r="201">
      <c r="A201" s="165" t="str">
        <f>if(D201=true,if(F201=data!A$1,data!A$10,data!A$11),)</f>
        <v/>
      </c>
      <c r="B201" s="166" t="str">
        <f t="shared" si="4"/>
        <v>FBS</v>
      </c>
      <c r="C201" s="167" t="s">
        <v>195</v>
      </c>
      <c r="D201" s="168" t="b">
        <v>0</v>
      </c>
      <c r="E201" s="169" t="s">
        <v>204</v>
      </c>
      <c r="F201" s="170" t="str">
        <f t="array" ref="F201">IF(D201=TRUE,IF(IF(BG$3=VLOOKUP(AT201,{'▶️ Инструкция'!C:C,'▶️ Инструкция'!G:G},2,FALSE),BG201,BH201)&gt;VLOOKUP(AT201,{'▶️ Инструкция'!C:C,'▶️ Инструкция'!N:N},2,FALSE),data!A$1,data!A$2),)</f>
        <v/>
      </c>
      <c r="G201" s="171">
        <v>0.0</v>
      </c>
      <c r="H201" s="172">
        <v>1000.0</v>
      </c>
      <c r="I201" s="173">
        <v>0.0</v>
      </c>
      <c r="J201" s="173">
        <v>0.0</v>
      </c>
      <c r="K201" s="174" t="str">
        <f t="shared" si="5"/>
        <v/>
      </c>
      <c r="L201" s="175">
        <v>0.0</v>
      </c>
      <c r="M201" s="176" t="s">
        <v>197</v>
      </c>
      <c r="N201" s="177">
        <f>IFERROR(__xludf.DUMMYFUNCTION("ArrayFormula(let(category,VLOOKUP($M201, {'📄 Комиссии'!$C:$C , '📄 Комиссии'!$B:$B}, 2, 0),
data,MATCH('🔒 Доп. информация'!$J$15:$J203,TRANSPOSE(SPLIT(INDEX('▶️ Инструкция'!$Q:$Q,MATCH($AT201,'▶️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commission,VLOOKUP($M201,'📄 Комиссии'!$C:$E,IF($AV201=data!A$8,2,3),0),
IF(NOT(ISBLANK($M201)),commission/100+
"&amp;"IFERROR(VLOOKUP($AT201,{'▶️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201" s="178" t="str">
        <f t="shared" si="6"/>
        <v/>
      </c>
      <c r="Q201" s="178" t="str">
        <f t="shared" si="7"/>
        <v/>
      </c>
      <c r="S201" s="179" t="s">
        <v>192</v>
      </c>
      <c r="T201" s="180" t="s">
        <v>193</v>
      </c>
      <c r="U201" s="181">
        <v>1.0</v>
      </c>
      <c r="V201" s="182" t="str">
        <f t="shared" ref="V201:Y201" si="611">IF($D201,"🔒",)</f>
        <v/>
      </c>
      <c r="W201" s="182" t="str">
        <f t="shared" si="611"/>
        <v/>
      </c>
      <c r="X201" s="182" t="str">
        <f t="shared" si="611"/>
        <v/>
      </c>
      <c r="Y201" s="182" t="str">
        <f t="shared" si="611"/>
        <v/>
      </c>
      <c r="Z201" s="183">
        <v>0.0</v>
      </c>
      <c r="AA201" s="184">
        <f t="shared" si="31"/>
        <v>0</v>
      </c>
      <c r="AB201" s="185" t="str">
        <f t="shared" ref="AB201:AD201" si="612">IF($D201,"🔒",)</f>
        <v/>
      </c>
      <c r="AC201" s="185" t="str">
        <f t="shared" si="612"/>
        <v/>
      </c>
      <c r="AD201" s="186" t="str">
        <f t="shared" si="612"/>
        <v/>
      </c>
      <c r="AE201" s="180">
        <v>30.0</v>
      </c>
      <c r="AF201" s="187">
        <v>0.0</v>
      </c>
      <c r="AG201" s="187">
        <v>0.0</v>
      </c>
      <c r="AH201" s="187">
        <v>0.0</v>
      </c>
      <c r="AI201" s="181">
        <f t="shared" si="10"/>
        <v>0</v>
      </c>
      <c r="AJ201" s="181">
        <f t="shared" si="11"/>
        <v>0</v>
      </c>
      <c r="AK201" s="185" t="str">
        <f t="shared" si="12"/>
        <v/>
      </c>
      <c r="AL201" s="188" t="str">
        <f t="array" ref="AL201">H201*(1-I201)*VLOOKUP(AT201,{'▶️ Инструкция'!C:C,'▶️ Инструкция'!AI:AI},2,false)</f>
        <v>#N/A</v>
      </c>
      <c r="AM201" s="186" t="str">
        <f t="shared" si="13"/>
        <v/>
      </c>
      <c r="AN201" s="189">
        <v>0.0</v>
      </c>
      <c r="AO201" s="189">
        <v>0.0</v>
      </c>
      <c r="AP201" s="189">
        <v>0.0</v>
      </c>
      <c r="AQ201" s="191">
        <v>1.0</v>
      </c>
      <c r="AR201" s="191">
        <v>0.0</v>
      </c>
      <c r="AS201" s="212">
        <v>0.0</v>
      </c>
      <c r="AT201" s="193" t="s">
        <v>206</v>
      </c>
      <c r="AU201" s="193" t="s">
        <v>121</v>
      </c>
      <c r="AV201" s="193" t="s">
        <v>199</v>
      </c>
      <c r="AW201" s="194">
        <f t="shared" si="14"/>
        <v>0</v>
      </c>
      <c r="AX201" s="195">
        <f t="shared" si="15"/>
        <v>0</v>
      </c>
      <c r="AY201" s="196" t="str">
        <f t="shared" si="16"/>
        <v>#N/A</v>
      </c>
      <c r="AZ201" s="213">
        <v>250.0</v>
      </c>
      <c r="BA201" s="196">
        <f t="shared" si="17"/>
        <v>0.25</v>
      </c>
      <c r="BB201" s="213">
        <f t="shared" si="18"/>
        <v>1000</v>
      </c>
      <c r="BC201" s="199" t="str">
        <f t="shared" si="19"/>
        <v>#N/A</v>
      </c>
      <c r="BD201" s="200" t="str">
        <f t="shared" si="20"/>
        <v>#N/A</v>
      </c>
      <c r="BE201" s="200">
        <f t="shared" si="21"/>
        <v>0</v>
      </c>
      <c r="BF201" s="201" t="str">
        <f t="shared" si="22"/>
        <v/>
      </c>
      <c r="BG201" s="201" t="str">
        <f t="shared" si="23"/>
        <v/>
      </c>
      <c r="BH201" s="202" t="str">
        <f t="shared" si="24"/>
        <v/>
      </c>
      <c r="BI201" s="203"/>
      <c r="BJ201" s="204">
        <f>IFERROR(__xludf.DUMMYFUNCTION("IF(AU201=data!A$5,
IF(AV201=data!A$8,
IF(T201=data!A$3,
VLOOKUP(S201,filter('🔒 Доп. информация'!D:H,'🔒 Доп. информация'!C:C=T201),4,FALSE)+VLOOKUP(S201,filter('🔒 Доп. информация'!D:H,'🔒 Доп. информация'!C:C=T201),5,FALSE)*AJ201,
IF(AND(MAX(AF201:AH201"&amp;")&lt;80,SUM(AF201:AH201)&lt;=160,AI201&lt;20,XLOOKUP(M201,'📄 Комиссии'!C:C,'📄 Комиссии'!B:B)&lt;&gt;""Продукты""),
VLOOKUP(S201,filter('🔒 Доп. информация'!D:H,'🔒 Доп. информация'!C:C=data!$A$3),4,FALSE)+VLOOKUP(S201,filter('🔒 Доп. информация'!D:H,'🔒 Доп. информаци"&amp;"я'!C:C=data!$A$3),5,FALSE)*AJ201,
VLOOKUP(S201,filter('🔒 Доп. информация'!D:H,'🔒 Доп. информация'!C:C=T201),4,FALSE)*ROUNDUP(AF201*AG201*AH201*L201/(120*80*175))/L201)
)
*(AE201/2)
,)
,)*0"),0.0)</f>
        <v>0</v>
      </c>
      <c r="BK201" s="204">
        <f>IFERROR(__xludf.DUMMYFUNCTION("IF(AU201=data!A$5,
IF(AI201&lt;=1,IF(AI201&lt;=0.8,IF(AI201&lt;=0.6,IF(AI201&lt;=0.4,IF(AI201&lt;=0.2,23,26),29),30),32)*VLOOKUP(S201,filter('🔒 Доп. информация'!D:E,'🔒 Доп. информация'!C:C=T201),2,FALSE)/'🔒 Доп. информация'!$K$9,
IF(AV201=data!A$8,U201,1)*VLOOKUP(S20"&amp;"1,filter('🔒 Доп. информация'!D:E,'🔒 Доп. информация'!C:C=T201),2,FALSE)+
IF(AV201=data!A$8,U201,1)*VLOOKUP(S201,filter('🔒 Доп. информация'!D:F,'🔒 Доп. информация'!C:C=T201),3,FALSE)*AJ201)
,0)"),69.0)</f>
        <v>69</v>
      </c>
      <c r="BL201" s="185" t="str">
        <f t="shared" ref="BL201:BM201" si="613">IF($D201,"🔒",)</f>
        <v/>
      </c>
      <c r="BM201" s="185" t="str">
        <f t="shared" si="613"/>
        <v/>
      </c>
      <c r="BN201" s="204">
        <f>VLOOKUP(T201,'🔒 Доп. информация'!J:P,7,false)</f>
        <v>50</v>
      </c>
      <c r="BO201" s="204">
        <f>IF(AV201=data!A$9,
(AA201+AO201+AP201+BJ201+BK201+BN201)+H201*AS201,
(BJ201+BK201+BN201)+H201*AS201
)</f>
        <v>119</v>
      </c>
      <c r="BP201" s="204">
        <f t="shared" si="26"/>
        <v>69</v>
      </c>
      <c r="BQ201" s="204">
        <f t="shared" si="27"/>
        <v>320</v>
      </c>
      <c r="BR201" s="204" t="str">
        <f t="shared" si="37"/>
        <v>#N/A</v>
      </c>
      <c r="BS201" s="204" t="str">
        <f t="array" ref="BS201">IF(VLOOKUP(AT201,{'▶️ Инструкция'!C:C,'▶️ Инструкция'!Y:Y},2,FALSE)=data!A$15,
H201*(1-I201),
(H201-BR201))
*VLOOKUP(AT201,{'▶️ Инструкция'!C:C,'▶️ Инструкция'!AD:AD},2,FALSE)/(1+VLOOKUP(AT201,{'▶️ Инструкция'!C:C,'▶️ Инструкция'!AD:AD},2,FALSE))</f>
        <v>#N/A</v>
      </c>
      <c r="BT201" s="204" t="str">
        <f t="array" ref="BT201">
IF(VLOOKUP(AT201,{'▶️ Инструкция'!C:C,'▶️ Инструкция'!Y:Y},2,FALSE)=data!A$15,
H201*(1-I201)-BS201,
(H201-BR201-BS201))
*
VLOOKUP(AT201,{'▶️ Инструкция'!C:C,'▶️ Инструкция'!R:R},2,FALSE)
+BS201</f>
        <v>#N/A</v>
      </c>
      <c r="BU201" s="204" t="str">
        <f>(G201*AR201)+if(AV201=data!A$9,AO201,AN201)+AP201+BR201+BT201</f>
        <v>#N/A</v>
      </c>
      <c r="BV201" s="204" t="str">
        <f>(G201*AR201)+if(AV201=data!A$9,AO201,AN201)+AP201+BT201+G201</f>
        <v>#N/A</v>
      </c>
      <c r="BW201" s="204" t="str">
        <f t="shared" si="28"/>
        <v>#N/A</v>
      </c>
      <c r="BX201" s="204" t="str">
        <f t="shared" si="29"/>
        <v>#N/A</v>
      </c>
    </row>
    <row r="202">
      <c r="A202" s="165" t="str">
        <f>if(D202=true,if(F202=data!A$1,data!A$10,data!A$11),)</f>
        <v/>
      </c>
      <c r="B202" s="166" t="str">
        <f t="shared" si="4"/>
        <v>FBS</v>
      </c>
      <c r="C202" s="167" t="s">
        <v>195</v>
      </c>
      <c r="D202" s="168" t="b">
        <v>0</v>
      </c>
      <c r="E202" s="169" t="s">
        <v>204</v>
      </c>
      <c r="F202" s="170" t="str">
        <f t="array" ref="F202">IF(D202=TRUE,IF(IF(BG$3=VLOOKUP(AT202,{'▶️ Инструкция'!C:C,'▶️ Инструкция'!G:G},2,FALSE),BG202,BH202)&gt;VLOOKUP(AT202,{'▶️ Инструкция'!C:C,'▶️ Инструкция'!N:N},2,FALSE),data!A$1,data!A$2),)</f>
        <v/>
      </c>
      <c r="G202" s="171">
        <v>0.0</v>
      </c>
      <c r="H202" s="172">
        <v>1000.0</v>
      </c>
      <c r="I202" s="173">
        <v>0.0</v>
      </c>
      <c r="J202" s="173">
        <v>0.0</v>
      </c>
      <c r="K202" s="174" t="str">
        <f t="shared" si="5"/>
        <v/>
      </c>
      <c r="L202" s="175">
        <v>0.0</v>
      </c>
      <c r="M202" s="176" t="s">
        <v>197</v>
      </c>
      <c r="N202" s="177">
        <f>IFERROR(__xludf.DUMMYFUNCTION("ArrayFormula(let(category,VLOOKUP($M202, {'📄 Комиссии'!$C:$C , '📄 Комиссии'!$B:$B}, 2, 0),
data,MATCH('🔒 Доп. информация'!$J$15:$J203,TRANSPOSE(SPLIT(INDEX('▶️ Инструкция'!$Q:$Q,MATCH($AT202,'▶️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commission,VLOOKUP($M202,'📄 Комиссии'!$C:$E,IF($AV202=data!A$8,2,3),0),
IF(NOT(ISBLANK($M202)),commission/100+
"&amp;"IFERROR(VLOOKUP($AT202,{'▶️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202" s="178" t="str">
        <f t="shared" si="6"/>
        <v/>
      </c>
      <c r="Q202" s="178" t="str">
        <f t="shared" si="7"/>
        <v/>
      </c>
      <c r="S202" s="179" t="s">
        <v>192</v>
      </c>
      <c r="T202" s="180" t="s">
        <v>193</v>
      </c>
      <c r="U202" s="181">
        <v>1.0</v>
      </c>
      <c r="V202" s="182" t="str">
        <f t="shared" ref="V202:Y202" si="614">IF($D202,"🔒",)</f>
        <v/>
      </c>
      <c r="W202" s="182" t="str">
        <f t="shared" si="614"/>
        <v/>
      </c>
      <c r="X202" s="182" t="str">
        <f t="shared" si="614"/>
        <v/>
      </c>
      <c r="Y202" s="182" t="str">
        <f t="shared" si="614"/>
        <v/>
      </c>
      <c r="Z202" s="183">
        <v>0.0</v>
      </c>
      <c r="AA202" s="184">
        <f t="shared" si="31"/>
        <v>0</v>
      </c>
      <c r="AB202" s="185" t="str">
        <f t="shared" ref="AB202:AD202" si="615">IF($D202,"🔒",)</f>
        <v/>
      </c>
      <c r="AC202" s="185" t="str">
        <f t="shared" si="615"/>
        <v/>
      </c>
      <c r="AD202" s="186" t="str">
        <f t="shared" si="615"/>
        <v/>
      </c>
      <c r="AE202" s="180">
        <v>30.0</v>
      </c>
      <c r="AF202" s="187">
        <v>0.0</v>
      </c>
      <c r="AG202" s="187">
        <v>0.0</v>
      </c>
      <c r="AH202" s="187">
        <v>0.0</v>
      </c>
      <c r="AI202" s="181">
        <f t="shared" si="10"/>
        <v>0</v>
      </c>
      <c r="AJ202" s="181">
        <f t="shared" si="11"/>
        <v>0</v>
      </c>
      <c r="AK202" s="185" t="str">
        <f t="shared" si="12"/>
        <v/>
      </c>
      <c r="AL202" s="188" t="str">
        <f t="array" ref="AL202">H202*(1-I202)*VLOOKUP(AT202,{'▶️ Инструкция'!C:C,'▶️ Инструкция'!AI:AI},2,false)</f>
        <v>#N/A</v>
      </c>
      <c r="AM202" s="186" t="str">
        <f t="shared" si="13"/>
        <v/>
      </c>
      <c r="AN202" s="189">
        <v>0.0</v>
      </c>
      <c r="AO202" s="189">
        <v>0.0</v>
      </c>
      <c r="AP202" s="189">
        <v>0.0</v>
      </c>
      <c r="AQ202" s="191">
        <v>1.0</v>
      </c>
      <c r="AR202" s="191">
        <v>0.0</v>
      </c>
      <c r="AS202" s="212">
        <v>0.0</v>
      </c>
      <c r="AT202" s="193" t="s">
        <v>206</v>
      </c>
      <c r="AU202" s="193" t="s">
        <v>121</v>
      </c>
      <c r="AV202" s="193" t="s">
        <v>199</v>
      </c>
      <c r="AW202" s="194">
        <f t="shared" si="14"/>
        <v>0</v>
      </c>
      <c r="AX202" s="195">
        <f t="shared" si="15"/>
        <v>0</v>
      </c>
      <c r="AY202" s="196" t="str">
        <f t="shared" si="16"/>
        <v>#N/A</v>
      </c>
      <c r="AZ202" s="213">
        <v>250.0</v>
      </c>
      <c r="BA202" s="196">
        <f t="shared" si="17"/>
        <v>0.25</v>
      </c>
      <c r="BB202" s="213">
        <f t="shared" si="18"/>
        <v>1000</v>
      </c>
      <c r="BC202" s="199" t="str">
        <f t="shared" si="19"/>
        <v>#N/A</v>
      </c>
      <c r="BD202" s="200" t="str">
        <f t="shared" si="20"/>
        <v>#N/A</v>
      </c>
      <c r="BE202" s="200">
        <f t="shared" si="21"/>
        <v>0</v>
      </c>
      <c r="BF202" s="201" t="str">
        <f t="shared" si="22"/>
        <v/>
      </c>
      <c r="BG202" s="201" t="str">
        <f t="shared" si="23"/>
        <v/>
      </c>
      <c r="BH202" s="202" t="str">
        <f t="shared" si="24"/>
        <v/>
      </c>
      <c r="BI202" s="203"/>
      <c r="BJ202" s="204">
        <f>IFERROR(__xludf.DUMMYFUNCTION("IF(AU202=data!A$5,
IF(AV202=data!A$8,
IF(T202=data!A$3,
VLOOKUP(S202,filter('🔒 Доп. информация'!D:H,'🔒 Доп. информация'!C:C=T202),4,FALSE)+VLOOKUP(S202,filter('🔒 Доп. информация'!D:H,'🔒 Доп. информация'!C:C=T202),5,FALSE)*AJ202,
IF(AND(MAX(AF202:AH202"&amp;")&lt;80,SUM(AF202:AH202)&lt;=160,AI202&lt;20,XLOOKUP(M202,'📄 Комиссии'!C:C,'📄 Комиссии'!B:B)&lt;&gt;""Продукты""),
VLOOKUP(S202,filter('🔒 Доп. информация'!D:H,'🔒 Доп. информация'!C:C=data!$A$3),4,FALSE)+VLOOKUP(S202,filter('🔒 Доп. информация'!D:H,'🔒 Доп. информаци"&amp;"я'!C:C=data!$A$3),5,FALSE)*AJ202,
VLOOKUP(S202,filter('🔒 Доп. информация'!D:H,'🔒 Доп. информация'!C:C=T202),4,FALSE)*ROUNDUP(AF202*AG202*AH202*L202/(120*80*175))/L202)
)
*(AE202/2)
,)
,)*0"),0.0)</f>
        <v>0</v>
      </c>
      <c r="BK202" s="204">
        <f>IFERROR(__xludf.DUMMYFUNCTION("IF(AU202=data!A$5,
IF(AI202&lt;=1,IF(AI202&lt;=0.8,IF(AI202&lt;=0.6,IF(AI202&lt;=0.4,IF(AI202&lt;=0.2,23,26),29),30),32)*VLOOKUP(S202,filter('🔒 Доп. информация'!D:E,'🔒 Доп. информация'!C:C=T202),2,FALSE)/'🔒 Доп. информация'!$K$9,
IF(AV202=data!A$8,U202,1)*VLOOKUP(S20"&amp;"2,filter('🔒 Доп. информация'!D:E,'🔒 Доп. информация'!C:C=T202),2,FALSE)+
IF(AV202=data!A$8,U202,1)*VLOOKUP(S202,filter('🔒 Доп. информация'!D:F,'🔒 Доп. информация'!C:C=T202),3,FALSE)*AJ202)
,0)"),69.0)</f>
        <v>69</v>
      </c>
      <c r="BL202" s="185" t="str">
        <f t="shared" ref="BL202:BM202" si="616">IF($D202,"🔒",)</f>
        <v/>
      </c>
      <c r="BM202" s="185" t="str">
        <f t="shared" si="616"/>
        <v/>
      </c>
      <c r="BN202" s="204">
        <f>VLOOKUP(T202,'🔒 Доп. информация'!J:P,7,false)</f>
        <v>50</v>
      </c>
      <c r="BO202" s="204">
        <f>IF(AV202=data!A$9,
(AA202+AO202+AP202+BJ202+BK202+BN202)+H202*AS202,
(BJ202+BK202+BN202)+H202*AS202
)</f>
        <v>119</v>
      </c>
      <c r="BP202" s="204">
        <f t="shared" si="26"/>
        <v>69</v>
      </c>
      <c r="BQ202" s="204">
        <f t="shared" si="27"/>
        <v>320</v>
      </c>
      <c r="BR202" s="204" t="str">
        <f t="shared" si="37"/>
        <v>#N/A</v>
      </c>
      <c r="BS202" s="204" t="str">
        <f t="array" ref="BS202">IF(VLOOKUP(AT202,{'▶️ Инструкция'!C:C,'▶️ Инструкция'!Y:Y},2,FALSE)=data!A$15,
H202*(1-I202),
(H202-BR202))
*VLOOKUP(AT202,{'▶️ Инструкция'!C:C,'▶️ Инструкция'!AD:AD},2,FALSE)/(1+VLOOKUP(AT202,{'▶️ Инструкция'!C:C,'▶️ Инструкция'!AD:AD},2,FALSE))</f>
        <v>#N/A</v>
      </c>
      <c r="BT202" s="204" t="str">
        <f t="array" ref="BT202">
IF(VLOOKUP(AT202,{'▶️ Инструкция'!C:C,'▶️ Инструкция'!Y:Y},2,FALSE)=data!A$15,
H202*(1-I202)-BS202,
(H202-BR202-BS202))
*
VLOOKUP(AT202,{'▶️ Инструкция'!C:C,'▶️ Инструкция'!R:R},2,FALSE)
+BS202</f>
        <v>#N/A</v>
      </c>
      <c r="BU202" s="204" t="str">
        <f>(G202*AR202)+if(AV202=data!A$9,AO202,AN202)+AP202+BR202+BT202</f>
        <v>#N/A</v>
      </c>
      <c r="BV202" s="204" t="str">
        <f>(G202*AR202)+if(AV202=data!A$9,AO202,AN202)+AP202+BT202+G202</f>
        <v>#N/A</v>
      </c>
      <c r="BW202" s="204" t="str">
        <f t="shared" si="28"/>
        <v>#N/A</v>
      </c>
      <c r="BX202" s="204" t="str">
        <f t="shared" si="29"/>
        <v>#N/A</v>
      </c>
    </row>
    <row r="203">
      <c r="A203" s="165" t="str">
        <f>if(D203=true,if(F203=data!A$1,data!A$10,data!A$11),)</f>
        <v/>
      </c>
      <c r="B203" s="166" t="str">
        <f t="shared" si="4"/>
        <v>FBS</v>
      </c>
      <c r="C203" s="167" t="s">
        <v>195</v>
      </c>
      <c r="D203" s="168" t="b">
        <v>0</v>
      </c>
      <c r="E203" s="169" t="s">
        <v>204</v>
      </c>
      <c r="F203" s="170" t="str">
        <f t="array" ref="F203">IF(D203=TRUE,IF(IF(BG$3=VLOOKUP(AT203,{'▶️ Инструкция'!C:C,'▶️ Инструкция'!G:G},2,FALSE),BG203,BH203)&gt;VLOOKUP(AT203,{'▶️ Инструкция'!C:C,'▶️ Инструкция'!N:N},2,FALSE),data!A$1,data!A$2),)</f>
        <v/>
      </c>
      <c r="G203" s="171">
        <v>0.0</v>
      </c>
      <c r="H203" s="172">
        <v>1000.0</v>
      </c>
      <c r="I203" s="173">
        <v>0.0</v>
      </c>
      <c r="J203" s="173">
        <v>0.0</v>
      </c>
      <c r="K203" s="174" t="str">
        <f t="shared" si="5"/>
        <v/>
      </c>
      <c r="L203" s="175">
        <v>0.0</v>
      </c>
      <c r="M203" s="176" t="s">
        <v>197</v>
      </c>
      <c r="N203" s="177">
        <f>IFERROR(__xludf.DUMMYFUNCTION("ArrayFormula(let(category,VLOOKUP($M203, {'📄 Комиссии'!$C:$C , '📄 Комиссии'!$B:$B}, 2, 0),
data,MATCH('🔒 Доп. информация'!$J$15:$J203,TRANSPOSE(SPLIT(INDEX('▶️ Инструкция'!$Q:$Q,MATCH($AT203,'▶️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commission,VLOOKUP($M203,'📄 Комиссии'!$C:$E,IF($AV203=data!A$8,2,3),0),
IF(NOT(ISBLANK($M203)),commission/100+
"&amp;"IFERROR(VLOOKUP($AT203,{'▶️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+ 2%,0))))))"),0.32)</f>
        <v>0.32</v>
      </c>
      <c r="O203" s="178" t="str">
        <f t="shared" si="6"/>
        <v/>
      </c>
      <c r="Q203" s="178" t="str">
        <f t="shared" si="7"/>
        <v/>
      </c>
      <c r="S203" s="179" t="s">
        <v>192</v>
      </c>
      <c r="T203" s="180" t="s">
        <v>193</v>
      </c>
      <c r="U203" s="181">
        <v>1.0</v>
      </c>
      <c r="V203" s="182" t="str">
        <f t="shared" ref="V203:Y203" si="617">IF($D203,"🔒",)</f>
        <v/>
      </c>
      <c r="W203" s="182" t="str">
        <f t="shared" si="617"/>
        <v/>
      </c>
      <c r="X203" s="182" t="str">
        <f t="shared" si="617"/>
        <v/>
      </c>
      <c r="Y203" s="182" t="str">
        <f t="shared" si="617"/>
        <v/>
      </c>
      <c r="Z203" s="183">
        <v>0.0</v>
      </c>
      <c r="AA203" s="184">
        <f t="shared" si="31"/>
        <v>0</v>
      </c>
      <c r="AB203" s="185" t="str">
        <f t="shared" ref="AB203:AD203" si="618">IF($D203,"🔒",)</f>
        <v/>
      </c>
      <c r="AC203" s="185" t="str">
        <f t="shared" si="618"/>
        <v/>
      </c>
      <c r="AD203" s="186" t="str">
        <f t="shared" si="618"/>
        <v/>
      </c>
      <c r="AE203" s="180">
        <v>30.0</v>
      </c>
      <c r="AF203" s="187">
        <v>0.0</v>
      </c>
      <c r="AG203" s="187">
        <v>0.0</v>
      </c>
      <c r="AH203" s="187">
        <v>0.0</v>
      </c>
      <c r="AI203" s="181">
        <f t="shared" si="10"/>
        <v>0</v>
      </c>
      <c r="AJ203" s="181">
        <f t="shared" si="11"/>
        <v>0</v>
      </c>
      <c r="AK203" s="185" t="str">
        <f t="shared" si="12"/>
        <v/>
      </c>
      <c r="AL203" s="188" t="str">
        <f t="array" ref="AL203">H203*(1-I203)*VLOOKUP(AT203,{'▶️ Инструкция'!C:C,'▶️ Инструкция'!AI:AI},2,false)</f>
        <v>#N/A</v>
      </c>
      <c r="AM203" s="186" t="str">
        <f t="shared" si="13"/>
        <v/>
      </c>
      <c r="AN203" s="189">
        <v>0.0</v>
      </c>
      <c r="AO203" s="189">
        <v>0.0</v>
      </c>
      <c r="AP203" s="189">
        <v>0.0</v>
      </c>
      <c r="AQ203" s="191">
        <v>1.0</v>
      </c>
      <c r="AR203" s="191">
        <v>0.0</v>
      </c>
      <c r="AS203" s="212">
        <v>0.0</v>
      </c>
      <c r="AT203" s="193" t="s">
        <v>206</v>
      </c>
      <c r="AU203" s="193" t="s">
        <v>121</v>
      </c>
      <c r="AV203" s="193" t="s">
        <v>199</v>
      </c>
      <c r="AW203" s="194">
        <f t="shared" si="14"/>
        <v>0</v>
      </c>
      <c r="AX203" s="195">
        <f t="shared" si="15"/>
        <v>0</v>
      </c>
      <c r="AY203" s="196" t="str">
        <f t="shared" si="16"/>
        <v>#N/A</v>
      </c>
      <c r="AZ203" s="213">
        <v>250.0</v>
      </c>
      <c r="BA203" s="196">
        <f t="shared" si="17"/>
        <v>0.25</v>
      </c>
      <c r="BB203" s="213">
        <f t="shared" si="18"/>
        <v>1000</v>
      </c>
      <c r="BC203" s="199" t="str">
        <f t="shared" si="19"/>
        <v>#N/A</v>
      </c>
      <c r="BD203" s="200" t="str">
        <f t="shared" si="20"/>
        <v>#N/A</v>
      </c>
      <c r="BE203" s="200">
        <f t="shared" si="21"/>
        <v>0</v>
      </c>
      <c r="BF203" s="201" t="str">
        <f t="shared" si="22"/>
        <v/>
      </c>
      <c r="BG203" s="201" t="str">
        <f t="shared" si="23"/>
        <v/>
      </c>
      <c r="BH203" s="202" t="str">
        <f t="shared" si="24"/>
        <v/>
      </c>
      <c r="BI203" s="203"/>
      <c r="BJ203" s="204">
        <f>IFERROR(__xludf.DUMMYFUNCTION("IF(AU203=data!A$5,
IF(AV203=data!A$8,
IF(T203=data!A$3,
VLOOKUP(S203,filter('🔒 Доп. информация'!D:H,'🔒 Доп. информация'!C:C=T203),4,FALSE)+VLOOKUP(S203,filter('🔒 Доп. информация'!D:H,'🔒 Доп. информация'!C:C=T203),5,FALSE)*AJ203,
IF(AND(MAX(AF203:AH203"&amp;")&lt;80,SUM(AF203:AH203)&lt;=160,AI203&lt;20,XLOOKUP(M203,'📄 Комиссии'!C:C,'📄 Комиссии'!B:B)&lt;&gt;""Продукты""),
VLOOKUP(S203,filter('🔒 Доп. информация'!D:H,'🔒 Доп. информация'!C:C=data!$A$3),4,FALSE)+VLOOKUP(S203,filter('🔒 Доп. информация'!D:H,'🔒 Доп. информаци"&amp;"я'!C:C=data!$A$3),5,FALSE)*AJ203,
VLOOKUP(S203,filter('🔒 Доп. информация'!D:H,'🔒 Доп. информация'!C:C=T203),4,FALSE)*ROUNDUP(AF203*AG203*AH203*L203/(120*80*175))/L203)
)
*(AE203/2)
,)
,)*0"),0.0)</f>
        <v>0</v>
      </c>
      <c r="BK203" s="204">
        <f>IFERROR(__xludf.DUMMYFUNCTION("IF(AU203=data!A$5,
IF(AI203&lt;=1,IF(AI203&lt;=0.8,IF(AI203&lt;=0.6,IF(AI203&lt;=0.4,IF(AI203&lt;=0.2,23,26),29),30),32)*VLOOKUP(S203,filter('🔒 Доп. информация'!D:E,'🔒 Доп. информация'!C:C=T203),2,FALSE)/'🔒 Доп. информация'!$K$9,
IF(AV203=data!A$8,U203,1)*VLOOKUP(S20"&amp;"3,filter('🔒 Доп. информация'!D:E,'🔒 Доп. информация'!C:C=T203),2,FALSE)+
IF(AV203=data!A$8,U203,1)*VLOOKUP(S203,filter('🔒 Доп. информация'!D:F,'🔒 Доп. информация'!C:C=T203),3,FALSE)*AJ203)
,0)"),69.0)</f>
        <v>69</v>
      </c>
      <c r="BL203" s="185" t="str">
        <f t="shared" ref="BL203:BM203" si="619">IF($D203,"🔒",)</f>
        <v/>
      </c>
      <c r="BM203" s="185" t="str">
        <f t="shared" si="619"/>
        <v/>
      </c>
      <c r="BN203" s="204">
        <f>VLOOKUP(T203,'🔒 Доп. информация'!J:P,7,false)</f>
        <v>50</v>
      </c>
      <c r="BO203" s="204">
        <f>IF(AV203=data!A$9,
(AA203+AO203+AP203+BJ203+BK203+BN203)+H203*AS203,
(BJ203+BK203+BN203)+H203*AS203
)</f>
        <v>119</v>
      </c>
      <c r="BP203" s="204">
        <f t="shared" si="26"/>
        <v>69</v>
      </c>
      <c r="BQ203" s="204">
        <f t="shared" si="27"/>
        <v>320</v>
      </c>
      <c r="BR203" s="204" t="str">
        <f t="shared" si="37"/>
        <v>#N/A</v>
      </c>
      <c r="BS203" s="204" t="str">
        <f t="array" ref="BS203">IF(VLOOKUP(AT203,{'▶️ Инструкция'!C:C,'▶️ Инструкция'!Y:Y},2,FALSE)=data!A$15,
H203*(1-I203),
(H203-BR203))
*VLOOKUP(AT203,{'▶️ Инструкция'!C:C,'▶️ Инструкция'!AD:AD},2,FALSE)/(1+VLOOKUP(AT203,{'▶️ Инструкция'!C:C,'▶️ Инструкция'!AD:AD},2,FALSE))</f>
        <v>#N/A</v>
      </c>
      <c r="BT203" s="204" t="str">
        <f t="array" ref="BT203">
IF(VLOOKUP(AT203,{'▶️ Инструкция'!C:C,'▶️ Инструкция'!Y:Y},2,FALSE)=data!A$15,
H203*(1-I203)-BS203,
(H203-BR203-BS203))
*
VLOOKUP(AT203,{'▶️ Инструкция'!C:C,'▶️ Инструкция'!R:R},2,FALSE)
+BS203</f>
        <v>#N/A</v>
      </c>
      <c r="BU203" s="204" t="str">
        <f>(G203*AR203)+if(AV203=data!A$9,AO203,AN203)+AP203+BR203+BT203</f>
        <v>#N/A</v>
      </c>
      <c r="BV203" s="204" t="str">
        <f>(G203*AR203)+if(AV203=data!A$9,AO203,AN203)+AP203+BT203+G203</f>
        <v>#N/A</v>
      </c>
      <c r="BW203" s="204" t="str">
        <f t="shared" si="28"/>
        <v>#N/A</v>
      </c>
      <c r="BX203" s="204" t="str">
        <f t="shared" si="29"/>
        <v>#N/A</v>
      </c>
    </row>
  </sheetData>
  <mergeCells count="477">
    <mergeCell ref="BF3:BF4"/>
    <mergeCell ref="BG3:BG4"/>
    <mergeCell ref="AY3:AY4"/>
    <mergeCell ref="AZ3:AZ4"/>
    <mergeCell ref="BA3:BA4"/>
    <mergeCell ref="BB3:BB4"/>
    <mergeCell ref="BC3:BC4"/>
    <mergeCell ref="BD3:BD4"/>
    <mergeCell ref="BE3:BE4"/>
    <mergeCell ref="BO3:BO4"/>
    <mergeCell ref="BP3:BP4"/>
    <mergeCell ref="BH3:BH4"/>
    <mergeCell ref="BI3:BI4"/>
    <mergeCell ref="BJ3:BJ4"/>
    <mergeCell ref="BK3:BK4"/>
    <mergeCell ref="BL3:BL4"/>
    <mergeCell ref="BM3:BM4"/>
    <mergeCell ref="BN3:BN4"/>
    <mergeCell ref="G1:AS1"/>
    <mergeCell ref="AT1:AV2"/>
    <mergeCell ref="AW1:BH1"/>
    <mergeCell ref="BI1:BI2"/>
    <mergeCell ref="BJ1:BX2"/>
    <mergeCell ref="O2:P2"/>
    <mergeCell ref="Q2:R2"/>
    <mergeCell ref="A1:C2"/>
    <mergeCell ref="A3:A4"/>
    <mergeCell ref="B3:B4"/>
    <mergeCell ref="C3:C4"/>
    <mergeCell ref="D3:D4"/>
    <mergeCell ref="E3:E4"/>
    <mergeCell ref="F3:F4"/>
    <mergeCell ref="S3:T4"/>
    <mergeCell ref="U3:U4"/>
    <mergeCell ref="V3:V4"/>
    <mergeCell ref="W3:X4"/>
    <mergeCell ref="Y3:Y4"/>
    <mergeCell ref="Z3:Z4"/>
    <mergeCell ref="AA3:AA4"/>
    <mergeCell ref="AB3:AB4"/>
    <mergeCell ref="AC3:AC4"/>
    <mergeCell ref="AD3:AD4"/>
    <mergeCell ref="AE3:AE4"/>
    <mergeCell ref="AF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BQ3:BQ4"/>
    <mergeCell ref="BR3:BR4"/>
    <mergeCell ref="BS3:BS4"/>
    <mergeCell ref="BT3:BT4"/>
    <mergeCell ref="BU3:BU4"/>
    <mergeCell ref="BV3:BV4"/>
    <mergeCell ref="BW3:BW4"/>
    <mergeCell ref="BX3:BX4"/>
    <mergeCell ref="AR3:AR4"/>
    <mergeCell ref="AS3:AS4"/>
    <mergeCell ref="AT3:AT4"/>
    <mergeCell ref="AU3:AU4"/>
    <mergeCell ref="AV3:AV4"/>
    <mergeCell ref="AW3:AW4"/>
    <mergeCell ref="AX3:AX4"/>
    <mergeCell ref="M4:N4"/>
    <mergeCell ref="O4:P4"/>
    <mergeCell ref="W5:X5"/>
    <mergeCell ref="AF5:AH5"/>
    <mergeCell ref="AN5:AO5"/>
    <mergeCell ref="G3:G4"/>
    <mergeCell ref="H3:H4"/>
    <mergeCell ref="I3:I4"/>
    <mergeCell ref="J3:J4"/>
    <mergeCell ref="K3:K4"/>
    <mergeCell ref="L3:L4"/>
    <mergeCell ref="M3:R3"/>
    <mergeCell ref="Q4:R4"/>
    <mergeCell ref="O6:P6"/>
    <mergeCell ref="Q6:R6"/>
    <mergeCell ref="O7:P7"/>
    <mergeCell ref="Q7:R7"/>
    <mergeCell ref="O8:P8"/>
    <mergeCell ref="Q8:R8"/>
    <mergeCell ref="O9:P9"/>
    <mergeCell ref="Q9:R9"/>
    <mergeCell ref="O10:P10"/>
    <mergeCell ref="Q10:R10"/>
    <mergeCell ref="O11:P11"/>
    <mergeCell ref="Q11:R11"/>
    <mergeCell ref="Q12:R12"/>
    <mergeCell ref="O12:P12"/>
    <mergeCell ref="O13:P13"/>
    <mergeCell ref="O14:P14"/>
    <mergeCell ref="O15:P15"/>
    <mergeCell ref="O16:P16"/>
    <mergeCell ref="O17:P17"/>
    <mergeCell ref="O18:P18"/>
    <mergeCell ref="Q20:R20"/>
    <mergeCell ref="Q21:R21"/>
    <mergeCell ref="Q22:R22"/>
    <mergeCell ref="Q23:R23"/>
    <mergeCell ref="Q24:R24"/>
    <mergeCell ref="Q25:R25"/>
    <mergeCell ref="Q26:R26"/>
    <mergeCell ref="Q13:R13"/>
    <mergeCell ref="Q14:R14"/>
    <mergeCell ref="Q15:R15"/>
    <mergeCell ref="Q16:R16"/>
    <mergeCell ref="Q17:R17"/>
    <mergeCell ref="Q18:R18"/>
    <mergeCell ref="Q19:R19"/>
    <mergeCell ref="Q48:R48"/>
    <mergeCell ref="Q49:R49"/>
    <mergeCell ref="Q41:R41"/>
    <mergeCell ref="Q42:R42"/>
    <mergeCell ref="Q43:R43"/>
    <mergeCell ref="Q44:R44"/>
    <mergeCell ref="Q45:R45"/>
    <mergeCell ref="Q46:R46"/>
    <mergeCell ref="Q47:R47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Q27:R27"/>
    <mergeCell ref="O28:P28"/>
    <mergeCell ref="Q28:R28"/>
    <mergeCell ref="O29:P29"/>
    <mergeCell ref="Q29:R29"/>
    <mergeCell ref="O30:P30"/>
    <mergeCell ref="Q30:R30"/>
    <mergeCell ref="O31:P31"/>
    <mergeCell ref="Q31:R31"/>
    <mergeCell ref="O32:P32"/>
    <mergeCell ref="Q32:R32"/>
    <mergeCell ref="Q33:R33"/>
    <mergeCell ref="O33:P33"/>
    <mergeCell ref="O34:P34"/>
    <mergeCell ref="O35:P35"/>
    <mergeCell ref="O36:P36"/>
    <mergeCell ref="O37:P37"/>
    <mergeCell ref="O38:P38"/>
    <mergeCell ref="O39:P39"/>
    <mergeCell ref="Q34:R34"/>
    <mergeCell ref="Q35:R35"/>
    <mergeCell ref="Q36:R36"/>
    <mergeCell ref="Q37:R37"/>
    <mergeCell ref="Q38:R38"/>
    <mergeCell ref="Q39:R39"/>
    <mergeCell ref="Q40:R40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Q50:R50"/>
    <mergeCell ref="O51:P51"/>
    <mergeCell ref="Q51:R51"/>
    <mergeCell ref="O84:P84"/>
    <mergeCell ref="O85:P85"/>
    <mergeCell ref="O81:P81"/>
    <mergeCell ref="Q81:R81"/>
    <mergeCell ref="O82:P82"/>
    <mergeCell ref="Q82:R82"/>
    <mergeCell ref="O83:P83"/>
    <mergeCell ref="Q83:R83"/>
    <mergeCell ref="Q84:R84"/>
    <mergeCell ref="Q85:R85"/>
    <mergeCell ref="O76:P76"/>
    <mergeCell ref="O77:P77"/>
    <mergeCell ref="O78:P78"/>
    <mergeCell ref="O79:P79"/>
    <mergeCell ref="Q79:R79"/>
    <mergeCell ref="O80:P80"/>
    <mergeCell ref="Q80:R80"/>
    <mergeCell ref="Q86:R86"/>
    <mergeCell ref="O86:P86"/>
    <mergeCell ref="O87:P87"/>
    <mergeCell ref="Q87:R87"/>
    <mergeCell ref="O88:P88"/>
    <mergeCell ref="Q88:R88"/>
    <mergeCell ref="O89:P89"/>
    <mergeCell ref="Q89:R89"/>
    <mergeCell ref="O52:P52"/>
    <mergeCell ref="Q52:R52"/>
    <mergeCell ref="O53:P53"/>
    <mergeCell ref="Q53:R53"/>
    <mergeCell ref="O54:P54"/>
    <mergeCell ref="Q54:R54"/>
    <mergeCell ref="Q55:R55"/>
    <mergeCell ref="O55:P55"/>
    <mergeCell ref="O56:P56"/>
    <mergeCell ref="O57:P57"/>
    <mergeCell ref="O58:P58"/>
    <mergeCell ref="O59:P59"/>
    <mergeCell ref="O60:P60"/>
    <mergeCell ref="O61:P61"/>
    <mergeCell ref="Q56:R56"/>
    <mergeCell ref="Q57:R57"/>
    <mergeCell ref="Q58:R58"/>
    <mergeCell ref="Q59:R59"/>
    <mergeCell ref="Q60:R60"/>
    <mergeCell ref="Q61:R61"/>
    <mergeCell ref="Q62:R62"/>
    <mergeCell ref="O62:P62"/>
    <mergeCell ref="O63:P63"/>
    <mergeCell ref="O64:P64"/>
    <mergeCell ref="O65:P65"/>
    <mergeCell ref="O66:P66"/>
    <mergeCell ref="O67:P67"/>
    <mergeCell ref="O68:P68"/>
    <mergeCell ref="Q63:R63"/>
    <mergeCell ref="Q64:R64"/>
    <mergeCell ref="Q65:R65"/>
    <mergeCell ref="Q66:R66"/>
    <mergeCell ref="Q67:R67"/>
    <mergeCell ref="Q68:R68"/>
    <mergeCell ref="Q69:R69"/>
    <mergeCell ref="O69:P69"/>
    <mergeCell ref="O70:P70"/>
    <mergeCell ref="O71:P71"/>
    <mergeCell ref="O72:P72"/>
    <mergeCell ref="O73:P73"/>
    <mergeCell ref="O74:P74"/>
    <mergeCell ref="O75:P75"/>
    <mergeCell ref="Q119:R119"/>
    <mergeCell ref="Q120:R120"/>
    <mergeCell ref="Q141:R141"/>
    <mergeCell ref="Q142:R142"/>
    <mergeCell ref="Q134:R134"/>
    <mergeCell ref="Q135:R135"/>
    <mergeCell ref="Q136:R136"/>
    <mergeCell ref="Q137:R137"/>
    <mergeCell ref="Q138:R138"/>
    <mergeCell ref="Q139:R139"/>
    <mergeCell ref="Q140:R140"/>
    <mergeCell ref="Q114:R114"/>
    <mergeCell ref="Q115:R115"/>
    <mergeCell ref="O116:P116"/>
    <mergeCell ref="Q116:R116"/>
    <mergeCell ref="O117:P117"/>
    <mergeCell ref="Q117:R117"/>
    <mergeCell ref="Q118:R118"/>
    <mergeCell ref="O118:P118"/>
    <mergeCell ref="O119:P119"/>
    <mergeCell ref="O120:P120"/>
    <mergeCell ref="O121:P121"/>
    <mergeCell ref="Q121:R121"/>
    <mergeCell ref="O122:P122"/>
    <mergeCell ref="Q122:R122"/>
    <mergeCell ref="O123:P123"/>
    <mergeCell ref="Q123:R123"/>
    <mergeCell ref="O124:P124"/>
    <mergeCell ref="Q124:R124"/>
    <mergeCell ref="O125:P125"/>
    <mergeCell ref="Q125:R125"/>
    <mergeCell ref="Q126:R126"/>
    <mergeCell ref="O126:P126"/>
    <mergeCell ref="O127:P127"/>
    <mergeCell ref="O128:P128"/>
    <mergeCell ref="O129:P129"/>
    <mergeCell ref="O130:P130"/>
    <mergeCell ref="O131:P131"/>
    <mergeCell ref="O132:P132"/>
    <mergeCell ref="Q127:R127"/>
    <mergeCell ref="Q128:R128"/>
    <mergeCell ref="Q129:R129"/>
    <mergeCell ref="Q130:R130"/>
    <mergeCell ref="Q131:R131"/>
    <mergeCell ref="Q132:R132"/>
    <mergeCell ref="Q133:R133"/>
    <mergeCell ref="O133:P133"/>
    <mergeCell ref="O134:P134"/>
    <mergeCell ref="O135:P135"/>
    <mergeCell ref="O136:P136"/>
    <mergeCell ref="O137:P137"/>
    <mergeCell ref="O138:P138"/>
    <mergeCell ref="O139:P139"/>
    <mergeCell ref="O140:P140"/>
    <mergeCell ref="O141:P141"/>
    <mergeCell ref="O142:P142"/>
    <mergeCell ref="O143:P143"/>
    <mergeCell ref="Q143:R143"/>
    <mergeCell ref="O144:P144"/>
    <mergeCell ref="Q144:R144"/>
    <mergeCell ref="Q170:R170"/>
    <mergeCell ref="Q171:R171"/>
    <mergeCell ref="Q163:R163"/>
    <mergeCell ref="Q164:R164"/>
    <mergeCell ref="Q165:R165"/>
    <mergeCell ref="Q166:R166"/>
    <mergeCell ref="Q167:R167"/>
    <mergeCell ref="Q168:R168"/>
    <mergeCell ref="Q169:R169"/>
    <mergeCell ref="O145:P145"/>
    <mergeCell ref="Q145:R145"/>
    <mergeCell ref="O146:P146"/>
    <mergeCell ref="Q146:R146"/>
    <mergeCell ref="O147:P147"/>
    <mergeCell ref="Q147:R147"/>
    <mergeCell ref="Q148:R148"/>
    <mergeCell ref="O148:P148"/>
    <mergeCell ref="O149:P149"/>
    <mergeCell ref="O150:P150"/>
    <mergeCell ref="O151:P151"/>
    <mergeCell ref="O152:P152"/>
    <mergeCell ref="O153:P153"/>
    <mergeCell ref="O154:P154"/>
    <mergeCell ref="Q149:R149"/>
    <mergeCell ref="Q150:R150"/>
    <mergeCell ref="Q151:R151"/>
    <mergeCell ref="Q152:R152"/>
    <mergeCell ref="Q153:R153"/>
    <mergeCell ref="Q154:R154"/>
    <mergeCell ref="Q155:R155"/>
    <mergeCell ref="O155:P155"/>
    <mergeCell ref="O156:P156"/>
    <mergeCell ref="O157:P157"/>
    <mergeCell ref="O158:P158"/>
    <mergeCell ref="O159:P159"/>
    <mergeCell ref="O160:P160"/>
    <mergeCell ref="O161:P161"/>
    <mergeCell ref="Q156:R156"/>
    <mergeCell ref="Q157:R157"/>
    <mergeCell ref="Q158:R158"/>
    <mergeCell ref="Q159:R159"/>
    <mergeCell ref="Q160:R160"/>
    <mergeCell ref="Q161:R161"/>
    <mergeCell ref="Q162:R162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0:P170"/>
    <mergeCell ref="O171:P171"/>
    <mergeCell ref="O172:P172"/>
    <mergeCell ref="Q172:R172"/>
    <mergeCell ref="O173:P173"/>
    <mergeCell ref="Q173:R173"/>
    <mergeCell ref="Q77:R77"/>
    <mergeCell ref="Q78:R78"/>
    <mergeCell ref="Q70:R70"/>
    <mergeCell ref="Q71:R71"/>
    <mergeCell ref="Q72:R72"/>
    <mergeCell ref="Q73:R73"/>
    <mergeCell ref="Q74:R74"/>
    <mergeCell ref="Q75:R75"/>
    <mergeCell ref="Q76:R76"/>
    <mergeCell ref="O93:P93"/>
    <mergeCell ref="O94:P94"/>
    <mergeCell ref="O95:P95"/>
    <mergeCell ref="O90:P90"/>
    <mergeCell ref="Q90:R90"/>
    <mergeCell ref="O91:P91"/>
    <mergeCell ref="Q91:R91"/>
    <mergeCell ref="O92:P92"/>
    <mergeCell ref="Q92:R92"/>
    <mergeCell ref="Q93:R93"/>
    <mergeCell ref="O98:P98"/>
    <mergeCell ref="O99:P99"/>
    <mergeCell ref="O100:P100"/>
    <mergeCell ref="Q94:R94"/>
    <mergeCell ref="Q95:R95"/>
    <mergeCell ref="O96:P96"/>
    <mergeCell ref="Q96:R96"/>
    <mergeCell ref="O97:P97"/>
    <mergeCell ref="Q97:R97"/>
    <mergeCell ref="Q98:R98"/>
    <mergeCell ref="O103:P103"/>
    <mergeCell ref="O104:P104"/>
    <mergeCell ref="O105:P105"/>
    <mergeCell ref="Q99:R99"/>
    <mergeCell ref="Q100:R100"/>
    <mergeCell ref="O101:P101"/>
    <mergeCell ref="Q101:R101"/>
    <mergeCell ref="O102:P102"/>
    <mergeCell ref="Q102:R102"/>
    <mergeCell ref="Q103:R103"/>
    <mergeCell ref="O108:P108"/>
    <mergeCell ref="O109:P109"/>
    <mergeCell ref="O110:P110"/>
    <mergeCell ref="Q104:R104"/>
    <mergeCell ref="Q105:R105"/>
    <mergeCell ref="O106:P106"/>
    <mergeCell ref="Q106:R106"/>
    <mergeCell ref="O107:P107"/>
    <mergeCell ref="Q107:R107"/>
    <mergeCell ref="Q108:R108"/>
    <mergeCell ref="O113:P113"/>
    <mergeCell ref="O114:P114"/>
    <mergeCell ref="O115:P115"/>
    <mergeCell ref="Q109:R109"/>
    <mergeCell ref="Q110:R110"/>
    <mergeCell ref="O111:P111"/>
    <mergeCell ref="Q111:R111"/>
    <mergeCell ref="O112:P112"/>
    <mergeCell ref="Q112:R112"/>
    <mergeCell ref="Q113:R113"/>
    <mergeCell ref="Q199:R199"/>
    <mergeCell ref="Q200:R200"/>
    <mergeCell ref="Q192:R192"/>
    <mergeCell ref="Q193:R193"/>
    <mergeCell ref="Q194:R194"/>
    <mergeCell ref="Q195:R195"/>
    <mergeCell ref="Q196:R196"/>
    <mergeCell ref="Q197:R197"/>
    <mergeCell ref="Q198:R198"/>
    <mergeCell ref="O174:P174"/>
    <mergeCell ref="Q174:R174"/>
    <mergeCell ref="O175:P175"/>
    <mergeCell ref="Q175:R175"/>
    <mergeCell ref="O176:P176"/>
    <mergeCell ref="Q176:R176"/>
    <mergeCell ref="Q177:R177"/>
    <mergeCell ref="O177:P177"/>
    <mergeCell ref="O178:P178"/>
    <mergeCell ref="O179:P179"/>
    <mergeCell ref="O180:P180"/>
    <mergeCell ref="O181:P181"/>
    <mergeCell ref="O182:P182"/>
    <mergeCell ref="O183:P183"/>
    <mergeCell ref="Q178:R178"/>
    <mergeCell ref="Q179:R179"/>
    <mergeCell ref="Q180:R180"/>
    <mergeCell ref="Q181:R181"/>
    <mergeCell ref="Q182:R182"/>
    <mergeCell ref="Q183:R183"/>
    <mergeCell ref="Q184:R184"/>
    <mergeCell ref="O184:P184"/>
    <mergeCell ref="O185:P185"/>
    <mergeCell ref="O186:P186"/>
    <mergeCell ref="O187:P187"/>
    <mergeCell ref="O188:P188"/>
    <mergeCell ref="O189:P189"/>
    <mergeCell ref="O190:P190"/>
    <mergeCell ref="Q185:R185"/>
    <mergeCell ref="Q186:R186"/>
    <mergeCell ref="Q187:R187"/>
    <mergeCell ref="Q188:R188"/>
    <mergeCell ref="Q189:R189"/>
    <mergeCell ref="Q190:R190"/>
    <mergeCell ref="Q191:R191"/>
    <mergeCell ref="O191:P191"/>
    <mergeCell ref="O192:P192"/>
    <mergeCell ref="O193:P193"/>
    <mergeCell ref="O194:P194"/>
    <mergeCell ref="O195:P195"/>
    <mergeCell ref="O196:P196"/>
    <mergeCell ref="O197:P197"/>
    <mergeCell ref="O203:P203"/>
    <mergeCell ref="Q203:R203"/>
    <mergeCell ref="O198:P198"/>
    <mergeCell ref="O199:P199"/>
    <mergeCell ref="O200:P200"/>
    <mergeCell ref="O201:P201"/>
    <mergeCell ref="Q201:R201"/>
    <mergeCell ref="O202:P202"/>
    <mergeCell ref="Q202:R202"/>
  </mergeCells>
  <conditionalFormatting sqref="A6:C203 E6:BX203">
    <cfRule type="expression" dxfId="0" priority="1">
      <formula>$D6=false</formula>
    </cfRule>
  </conditionalFormatting>
  <conditionalFormatting sqref="K6:K203 O6:R203 V6:Y203 AB6:AD203 AK6:AK203 AM6:AM203 BL6:BM203">
    <cfRule type="expression" dxfId="1" priority="2">
      <formula>$AU6="WB"</formula>
    </cfRule>
  </conditionalFormatting>
  <conditionalFormatting sqref="M6:N203 Q6:U203 Y6:AB203 AD6:AE203 AK6:AK203 AM6:AM203 BM6:BM203">
    <cfRule type="expression" dxfId="1" priority="3">
      <formula>$AU6="OZON"</formula>
    </cfRule>
  </conditionalFormatting>
  <conditionalFormatting sqref="I6:K203 M6:P203 S6:X203 Z6:AC203 AE6:AE203 AL6:AL203 BL6:BL203">
    <cfRule type="expression" dxfId="1" priority="4">
      <formula>$AU6="Я.Маркет"</formula>
    </cfRule>
  </conditionalFormatting>
  <conditionalFormatting sqref="AE6:AE203">
    <cfRule type="expression" dxfId="1" priority="5">
      <formula>$AV6="FBS"</formula>
    </cfRule>
  </conditionalFormatting>
  <conditionalFormatting sqref="G6:M203 O6:O203 Q6:Q203 S6:Z203 AE6:AH203 AK6:AK203 AN6:AS203">
    <cfRule type="notContainsBlanks" dxfId="2" priority="6">
      <formula>LEN(TRIM(G6))&gt;0</formula>
    </cfRule>
  </conditionalFormatting>
  <conditionalFormatting sqref="B6:C203 E6:E203 AT6:AV203">
    <cfRule type="expression" dxfId="3" priority="7">
      <formula>$AU6="WB"</formula>
    </cfRule>
  </conditionalFormatting>
  <conditionalFormatting sqref="B6:C203 E6:E203 AT6:AV203">
    <cfRule type="expression" dxfId="4" priority="8">
      <formula>$AU6="OZON"</formula>
    </cfRule>
  </conditionalFormatting>
  <conditionalFormatting sqref="B6:C203 E6:E203 AT6:AV203">
    <cfRule type="expression" dxfId="5" priority="9">
      <formula>$AU6="Я.Маркет"</formula>
    </cfRule>
  </conditionalFormatting>
  <conditionalFormatting sqref="A6:BX203">
    <cfRule type="expression" dxfId="6" priority="10">
      <formula>FIND("Недо",$F6)=1</formula>
    </cfRule>
  </conditionalFormatting>
  <conditionalFormatting sqref="A6:BX203">
    <cfRule type="expression" dxfId="7" priority="11">
      <formula>FIND("Срочно",$F6)=1</formula>
    </cfRule>
  </conditionalFormatting>
  <dataValidations>
    <dataValidation type="list" allowBlank="1" showErrorMessage="1" sqref="S6:S203">
      <formula1>'🔒 Доп. информация'!D$10:D203</formula1>
    </dataValidation>
    <dataValidation type="list" allowBlank="1" showErrorMessage="1" sqref="AV6:AV203">
      <formula1>data!A$8:A$9</formula1>
    </dataValidation>
    <dataValidation type="list" allowBlank="1" showErrorMessage="1" sqref="AT6:AT203">
      <formula1>'▶️ Инструкция'!C$16:C$20</formula1>
    </dataValidation>
    <dataValidation type="list" allowBlank="1" sqref="M6:M203">
      <formula1>'📄 Комиссии'!$C$7:$C203</formula1>
    </dataValidation>
    <dataValidation type="list" allowBlank="1" showErrorMessage="1" sqref="AU6:AU203">
      <formula1>data!A$5:A$7</formula1>
    </dataValidation>
    <dataValidation type="list" allowBlank="1" sqref="T6:T203">
      <formula1>data!$A$3:$A$4</formula1>
    </dataValidation>
  </dataValidations>
  <hyperlinks>
    <hyperlink display="Вывод, продаем или не продаем товар, основываясь на типе и размере маржинальности во вкладке &#10;«▶️ Инструкция»" location="'▶️ Инструкция'!A1" ref="F5"/>
    <hyperlink display="Название склада для отгрузки. Если складов несколько, то задаем их в «▶️ Инструкция» в столбце Е:Е, а потом тут выбираем «Макс. из наших»" location="'▶️ Инструкция'!A1" ref="S5"/>
    <hyperlink r:id="rId1" location="%D0%BE%D0%B1%D1%80%D0%B0%D0%B1%D0%BE%D1%82%D0%BA%D0%B0-%D1%82%D0%BE%D0%B2%D0%B0%D1%80%D0%B0-%D0%B2%C2%A0%D1%81%D0%BE%D1%81%D1%82%D0%B0%D0%B2%D0%B5-%D0%B3%D1%80%D1%83%D0%B7%D0%BE%D0%BC%D0%B5%D1%81%D1%82%D0%B0" ref="W5"/>
    <hyperlink r:id="rId2" ref="Z5"/>
    <hyperlink r:id="rId3" ref="AA5"/>
    <hyperlink display="Цена приемки OZON, формируется исходя из выбора, сделанного в «⚙️Настройки»" location="null!A1" ref="AC5"/>
    <hyperlink display="Цена приемки Я.Маркет, формируется исходя из выбора, сделанного в «⚙️Настройки»" location="null!A1" ref="AD5"/>
    <hyperlink display="Стоимость эквайринга рассчиты-&#10;вается автомати-&#10;чески, исходя из выбора, сделанного в «▶️ Инструкция»" location="'▶️ Инструкция'!A1" ref="AL5"/>
    <hyperlink display="Стоимость Перевода платежей от Я.Маркет вам рассчиты-&#10;вается автомати-&#10;чески, исходя из выбора, сделанного в «⚙️Настройки»" location="null!A1" ref="AM5"/>
    <hyperlink display="Налог, рассчиты-&#10;ваемый&#10;на основании данных в «▶️ Инструкция»" location="'▶️ Инструкция'!A1" ref="BT5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E4BA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75"/>
  <cols>
    <col customWidth="1" min="1" max="1" width="4.56"/>
    <col customWidth="1" min="2" max="2" width="34.0"/>
    <col customWidth="1" min="3" max="3" width="39.11"/>
    <col customWidth="1" min="4" max="4" width="13.11"/>
    <col customWidth="1" min="5" max="6" width="16.67"/>
    <col customWidth="1" min="7" max="7" width="4.56"/>
  </cols>
  <sheetData>
    <row r="1" ht="15.0" customHeight="1">
      <c r="A1" s="214"/>
      <c r="B1" s="214"/>
      <c r="C1" s="214"/>
      <c r="D1" s="214"/>
      <c r="E1" s="94"/>
      <c r="F1" s="215"/>
      <c r="G1" s="215"/>
    </row>
    <row r="2" ht="30.0" customHeight="1">
      <c r="A2" s="216"/>
      <c r="B2" s="216" t="s">
        <v>207</v>
      </c>
      <c r="G2" s="216"/>
    </row>
    <row r="3" ht="7.5" customHeight="1">
      <c r="A3" s="217"/>
      <c r="B3" s="217"/>
      <c r="C3" s="218"/>
      <c r="D3" s="218"/>
      <c r="E3" s="218"/>
      <c r="F3" s="218"/>
      <c r="G3" s="218"/>
    </row>
    <row r="4" ht="15.0" customHeight="1">
      <c r="A4" s="219"/>
      <c r="B4" s="220" t="s">
        <v>208</v>
      </c>
      <c r="D4" s="221"/>
      <c r="G4" s="219"/>
    </row>
    <row r="5" ht="22.5" customHeight="1">
      <c r="A5" s="222"/>
      <c r="B5" s="222"/>
      <c r="C5" s="222"/>
      <c r="D5" s="223" t="s">
        <v>209</v>
      </c>
      <c r="F5" s="224">
        <v>45972.0</v>
      </c>
      <c r="G5" s="225"/>
    </row>
    <row r="6" ht="60.75" customHeight="1">
      <c r="A6" s="226"/>
      <c r="B6" s="112" t="s">
        <v>210</v>
      </c>
      <c r="C6" s="112" t="s">
        <v>211</v>
      </c>
      <c r="D6" s="112" t="s">
        <v>212</v>
      </c>
      <c r="E6" s="112" t="s">
        <v>213</v>
      </c>
      <c r="F6" s="227" t="s">
        <v>214</v>
      </c>
      <c r="G6" s="227"/>
    </row>
    <row r="7">
      <c r="A7" s="228"/>
      <c r="B7" s="168" t="s">
        <v>215</v>
      </c>
      <c r="C7" s="168" t="s">
        <v>216</v>
      </c>
      <c r="D7" s="229">
        <v>27.5</v>
      </c>
      <c r="E7" s="229">
        <v>31.0</v>
      </c>
      <c r="F7" s="230">
        <v>3.0</v>
      </c>
      <c r="G7" s="231"/>
    </row>
    <row r="8">
      <c r="A8" s="2"/>
      <c r="B8" s="168" t="s">
        <v>217</v>
      </c>
      <c r="C8" s="168" t="s">
        <v>218</v>
      </c>
      <c r="D8" s="229">
        <v>27.5</v>
      </c>
      <c r="E8" s="229">
        <v>31.0</v>
      </c>
      <c r="F8" s="230">
        <v>3.0</v>
      </c>
      <c r="G8" s="232"/>
    </row>
    <row r="9">
      <c r="A9" s="2"/>
      <c r="B9" s="168" t="s">
        <v>219</v>
      </c>
      <c r="C9" s="168" t="s">
        <v>220</v>
      </c>
      <c r="D9" s="229">
        <v>28.5</v>
      </c>
      <c r="E9" s="229">
        <v>32.0</v>
      </c>
      <c r="F9" s="230">
        <v>3.0</v>
      </c>
      <c r="G9" s="232"/>
    </row>
    <row r="10">
      <c r="A10" s="2"/>
      <c r="B10" s="168" t="s">
        <v>221</v>
      </c>
      <c r="C10" s="168" t="s">
        <v>222</v>
      </c>
      <c r="D10" s="229">
        <v>27.5</v>
      </c>
      <c r="E10" s="229">
        <v>31.0</v>
      </c>
      <c r="F10" s="230">
        <v>3.0</v>
      </c>
      <c r="G10" s="232"/>
    </row>
    <row r="11">
      <c r="A11" s="2"/>
      <c r="B11" s="168" t="s">
        <v>223</v>
      </c>
      <c r="C11" s="168" t="s">
        <v>224</v>
      </c>
      <c r="D11" s="229">
        <v>26.5</v>
      </c>
      <c r="E11" s="229">
        <v>30.0</v>
      </c>
      <c r="F11" s="230">
        <v>3.0</v>
      </c>
      <c r="G11" s="232"/>
    </row>
    <row r="12">
      <c r="A12" s="2"/>
      <c r="B12" s="168" t="s">
        <v>215</v>
      </c>
      <c r="C12" s="168" t="s">
        <v>225</v>
      </c>
      <c r="D12" s="229">
        <v>24.5</v>
      </c>
      <c r="E12" s="229">
        <v>28.0</v>
      </c>
      <c r="F12" s="230">
        <v>3.0</v>
      </c>
      <c r="G12" s="232"/>
    </row>
    <row r="13">
      <c r="A13" s="2"/>
      <c r="B13" s="168" t="s">
        <v>217</v>
      </c>
      <c r="C13" s="168" t="s">
        <v>226</v>
      </c>
      <c r="D13" s="229">
        <v>27.5</v>
      </c>
      <c r="E13" s="229">
        <v>31.0</v>
      </c>
      <c r="F13" s="230">
        <v>3.0</v>
      </c>
      <c r="G13" s="232"/>
    </row>
    <row r="14">
      <c r="A14" s="2"/>
      <c r="B14" s="168" t="s">
        <v>223</v>
      </c>
      <c r="C14" s="168" t="s">
        <v>227</v>
      </c>
      <c r="D14" s="229">
        <v>26.5</v>
      </c>
      <c r="E14" s="229">
        <v>30.0</v>
      </c>
      <c r="F14" s="230">
        <v>3.0</v>
      </c>
      <c r="G14" s="232"/>
    </row>
    <row r="15">
      <c r="A15" s="2"/>
      <c r="B15" s="168" t="s">
        <v>228</v>
      </c>
      <c r="C15" s="168" t="s">
        <v>229</v>
      </c>
      <c r="D15" s="229">
        <v>26.5</v>
      </c>
      <c r="E15" s="229">
        <v>26.5</v>
      </c>
      <c r="F15" s="230">
        <v>3.0</v>
      </c>
      <c r="G15" s="232"/>
    </row>
    <row r="16">
      <c r="A16" s="2"/>
      <c r="B16" s="168" t="s">
        <v>230</v>
      </c>
      <c r="C16" s="168" t="s">
        <v>231</v>
      </c>
      <c r="D16" s="229">
        <v>21.5</v>
      </c>
      <c r="E16" s="229">
        <v>25.0</v>
      </c>
      <c r="F16" s="230">
        <v>3.0</v>
      </c>
      <c r="G16" s="232"/>
    </row>
    <row r="17">
      <c r="A17" s="2"/>
      <c r="B17" s="168" t="s">
        <v>232</v>
      </c>
      <c r="C17" s="168" t="s">
        <v>233</v>
      </c>
      <c r="D17" s="229">
        <v>31.5</v>
      </c>
      <c r="E17" s="229">
        <v>35.0</v>
      </c>
      <c r="F17" s="230">
        <v>3.0</v>
      </c>
      <c r="G17" s="232"/>
    </row>
    <row r="18">
      <c r="A18" s="2"/>
      <c r="B18" s="168" t="s">
        <v>234</v>
      </c>
      <c r="C18" s="168" t="s">
        <v>235</v>
      </c>
      <c r="D18" s="229">
        <v>24.5</v>
      </c>
      <c r="E18" s="229">
        <v>28.0</v>
      </c>
      <c r="F18" s="230">
        <v>3.0</v>
      </c>
      <c r="G18" s="232"/>
    </row>
    <row r="19">
      <c r="A19" s="2"/>
      <c r="B19" s="168" t="s">
        <v>236</v>
      </c>
      <c r="C19" s="168" t="s">
        <v>237</v>
      </c>
      <c r="D19" s="229">
        <v>34.5</v>
      </c>
      <c r="E19" s="229">
        <v>38.0</v>
      </c>
      <c r="F19" s="230">
        <v>3.0</v>
      </c>
      <c r="G19" s="232"/>
    </row>
    <row r="20">
      <c r="A20" s="2"/>
      <c r="B20" s="168" t="s">
        <v>215</v>
      </c>
      <c r="C20" s="168" t="s">
        <v>238</v>
      </c>
      <c r="D20" s="229">
        <v>29.5</v>
      </c>
      <c r="E20" s="229">
        <v>33.0</v>
      </c>
      <c r="F20" s="230">
        <v>3.0</v>
      </c>
      <c r="G20" s="232"/>
    </row>
    <row r="21">
      <c r="A21" s="2"/>
      <c r="B21" s="168" t="s">
        <v>239</v>
      </c>
      <c r="C21" s="168" t="s">
        <v>240</v>
      </c>
      <c r="D21" s="229">
        <v>29.5</v>
      </c>
      <c r="E21" s="229">
        <v>33.0</v>
      </c>
      <c r="F21" s="230">
        <v>3.0</v>
      </c>
      <c r="G21" s="232"/>
    </row>
    <row r="22">
      <c r="A22" s="2"/>
      <c r="B22" s="168" t="s">
        <v>241</v>
      </c>
      <c r="C22" s="168" t="s">
        <v>242</v>
      </c>
      <c r="D22" s="229">
        <v>32.5</v>
      </c>
      <c r="E22" s="229">
        <v>36.0</v>
      </c>
      <c r="F22" s="230">
        <v>3.0</v>
      </c>
      <c r="G22" s="232"/>
    </row>
    <row r="23">
      <c r="A23" s="2"/>
      <c r="B23" s="168" t="s">
        <v>243</v>
      </c>
      <c r="C23" s="168" t="s">
        <v>244</v>
      </c>
      <c r="D23" s="229">
        <v>29.5</v>
      </c>
      <c r="E23" s="229">
        <v>33.0</v>
      </c>
      <c r="F23" s="230">
        <v>3.0</v>
      </c>
      <c r="G23" s="232"/>
    </row>
    <row r="24">
      <c r="A24" s="2"/>
      <c r="B24" s="168" t="s">
        <v>245</v>
      </c>
      <c r="C24" s="168" t="s">
        <v>246</v>
      </c>
      <c r="D24" s="229">
        <v>29.5</v>
      </c>
      <c r="E24" s="229">
        <v>33.0</v>
      </c>
      <c r="F24" s="230">
        <v>3.0</v>
      </c>
      <c r="G24" s="232"/>
    </row>
    <row r="25">
      <c r="A25" s="2"/>
      <c r="B25" s="168" t="s">
        <v>247</v>
      </c>
      <c r="C25" s="168" t="s">
        <v>248</v>
      </c>
      <c r="D25" s="229">
        <v>24.5</v>
      </c>
      <c r="E25" s="229">
        <v>28.0</v>
      </c>
      <c r="F25" s="230">
        <v>3.0</v>
      </c>
      <c r="G25" s="232"/>
    </row>
    <row r="26">
      <c r="A26" s="2"/>
      <c r="B26" s="168" t="s">
        <v>249</v>
      </c>
      <c r="C26" s="168" t="s">
        <v>250</v>
      </c>
      <c r="D26" s="229">
        <v>3.0</v>
      </c>
      <c r="E26" s="229">
        <v>3.0</v>
      </c>
      <c r="F26" s="230">
        <v>3.0</v>
      </c>
      <c r="G26" s="232"/>
    </row>
    <row r="27">
      <c r="A27" s="2"/>
      <c r="B27" s="168" t="s">
        <v>251</v>
      </c>
      <c r="C27" s="168" t="s">
        <v>252</v>
      </c>
      <c r="D27" s="229">
        <v>34.5</v>
      </c>
      <c r="E27" s="229">
        <v>38.0</v>
      </c>
      <c r="F27" s="230">
        <v>3.0</v>
      </c>
      <c r="G27" s="232"/>
    </row>
    <row r="28">
      <c r="A28" s="2"/>
      <c r="B28" s="168" t="s">
        <v>230</v>
      </c>
      <c r="C28" s="168" t="s">
        <v>253</v>
      </c>
      <c r="D28" s="229">
        <v>21.5</v>
      </c>
      <c r="E28" s="229">
        <v>25.0</v>
      </c>
      <c r="F28" s="230">
        <v>3.0</v>
      </c>
      <c r="G28" s="232"/>
    </row>
    <row r="29">
      <c r="A29" s="2"/>
      <c r="B29" s="168" t="s">
        <v>254</v>
      </c>
      <c r="C29" s="168" t="s">
        <v>254</v>
      </c>
      <c r="D29" s="229">
        <v>26.5</v>
      </c>
      <c r="E29" s="229">
        <v>30.0</v>
      </c>
      <c r="F29" s="230">
        <v>3.0</v>
      </c>
      <c r="G29" s="232"/>
    </row>
    <row r="30">
      <c r="A30" s="2"/>
      <c r="B30" s="168" t="s">
        <v>255</v>
      </c>
      <c r="C30" s="168" t="s">
        <v>256</v>
      </c>
      <c r="D30" s="229">
        <v>31.5</v>
      </c>
      <c r="E30" s="229">
        <v>35.0</v>
      </c>
      <c r="F30" s="230">
        <v>3.0</v>
      </c>
      <c r="G30" s="232"/>
    </row>
    <row r="31">
      <c r="A31" s="2"/>
      <c r="B31" s="168" t="s">
        <v>257</v>
      </c>
      <c r="C31" s="168" t="s">
        <v>258</v>
      </c>
      <c r="D31" s="229">
        <v>28.5</v>
      </c>
      <c r="E31" s="229">
        <v>32.0</v>
      </c>
      <c r="F31" s="230">
        <v>3.0</v>
      </c>
      <c r="G31" s="232"/>
    </row>
    <row r="32">
      <c r="A32" s="2"/>
      <c r="B32" s="168" t="s">
        <v>232</v>
      </c>
      <c r="C32" s="168" t="s">
        <v>259</v>
      </c>
      <c r="D32" s="229">
        <v>25.5</v>
      </c>
      <c r="E32" s="229">
        <v>29.0</v>
      </c>
      <c r="F32" s="230">
        <v>3.0</v>
      </c>
      <c r="G32" s="232"/>
    </row>
    <row r="33">
      <c r="A33" s="2"/>
      <c r="B33" s="168" t="s">
        <v>260</v>
      </c>
      <c r="C33" s="168" t="s">
        <v>261</v>
      </c>
      <c r="D33" s="229">
        <v>28.5</v>
      </c>
      <c r="E33" s="229">
        <v>32.0</v>
      </c>
      <c r="F33" s="230">
        <v>3.0</v>
      </c>
      <c r="G33" s="232"/>
    </row>
    <row r="34">
      <c r="A34" s="2"/>
      <c r="B34" s="168" t="s">
        <v>262</v>
      </c>
      <c r="C34" s="168" t="s">
        <v>263</v>
      </c>
      <c r="D34" s="229">
        <v>29.5</v>
      </c>
      <c r="E34" s="229">
        <v>33.0</v>
      </c>
      <c r="F34" s="230">
        <v>3.0</v>
      </c>
      <c r="G34" s="232"/>
    </row>
    <row r="35">
      <c r="A35" s="2"/>
      <c r="B35" s="168" t="s">
        <v>243</v>
      </c>
      <c r="C35" s="168" t="s">
        <v>264</v>
      </c>
      <c r="D35" s="229">
        <v>29.5</v>
      </c>
      <c r="E35" s="229">
        <v>33.0</v>
      </c>
      <c r="F35" s="230">
        <v>3.0</v>
      </c>
      <c r="G35" s="232"/>
    </row>
    <row r="36">
      <c r="A36" s="2"/>
      <c r="B36" s="168" t="s">
        <v>217</v>
      </c>
      <c r="C36" s="168" t="s">
        <v>265</v>
      </c>
      <c r="D36" s="229">
        <v>27.5</v>
      </c>
      <c r="E36" s="229">
        <v>31.0</v>
      </c>
      <c r="F36" s="230">
        <v>3.0</v>
      </c>
      <c r="G36" s="232"/>
    </row>
    <row r="37">
      <c r="A37" s="2"/>
      <c r="B37" s="168" t="s">
        <v>266</v>
      </c>
      <c r="C37" s="168" t="s">
        <v>267</v>
      </c>
      <c r="D37" s="229">
        <v>33.0</v>
      </c>
      <c r="E37" s="229">
        <v>33.0</v>
      </c>
      <c r="F37" s="230">
        <v>3.0</v>
      </c>
      <c r="G37" s="232"/>
    </row>
    <row r="38">
      <c r="A38" s="2"/>
      <c r="B38" s="168" t="s">
        <v>232</v>
      </c>
      <c r="C38" s="168" t="s">
        <v>268</v>
      </c>
      <c r="D38" s="229">
        <v>31.5</v>
      </c>
      <c r="E38" s="229">
        <v>35.0</v>
      </c>
      <c r="F38" s="230">
        <v>3.0</v>
      </c>
      <c r="G38" s="232"/>
    </row>
    <row r="39">
      <c r="A39" s="2"/>
      <c r="B39" s="168" t="s">
        <v>269</v>
      </c>
      <c r="C39" s="168" t="s">
        <v>270</v>
      </c>
      <c r="D39" s="229">
        <v>26.5</v>
      </c>
      <c r="E39" s="229">
        <v>30.0</v>
      </c>
      <c r="F39" s="230">
        <v>3.0</v>
      </c>
      <c r="G39" s="232"/>
    </row>
    <row r="40">
      <c r="A40" s="2"/>
      <c r="B40" s="168" t="s">
        <v>271</v>
      </c>
      <c r="C40" s="168" t="s">
        <v>272</v>
      </c>
      <c r="D40" s="229">
        <v>30.5</v>
      </c>
      <c r="E40" s="229">
        <v>34.0</v>
      </c>
      <c r="F40" s="230">
        <v>3.0</v>
      </c>
      <c r="G40" s="232"/>
    </row>
    <row r="41">
      <c r="A41" s="2"/>
      <c r="B41" s="168" t="s">
        <v>273</v>
      </c>
      <c r="C41" s="168" t="s">
        <v>274</v>
      </c>
      <c r="D41" s="229">
        <v>29.5</v>
      </c>
      <c r="E41" s="229">
        <v>33.0</v>
      </c>
      <c r="F41" s="230">
        <v>3.0</v>
      </c>
      <c r="G41" s="232"/>
    </row>
    <row r="42">
      <c r="A42" s="2"/>
      <c r="B42" s="168" t="s">
        <v>275</v>
      </c>
      <c r="C42" s="168" t="s">
        <v>276</v>
      </c>
      <c r="D42" s="229">
        <v>26.5</v>
      </c>
      <c r="E42" s="229">
        <v>30.0</v>
      </c>
      <c r="F42" s="230">
        <v>3.0</v>
      </c>
      <c r="G42" s="232"/>
    </row>
    <row r="43">
      <c r="A43" s="2"/>
      <c r="B43" s="168" t="s">
        <v>232</v>
      </c>
      <c r="C43" s="168" t="s">
        <v>277</v>
      </c>
      <c r="D43" s="229">
        <v>25.5</v>
      </c>
      <c r="E43" s="229">
        <v>29.0</v>
      </c>
      <c r="F43" s="230">
        <v>3.0</v>
      </c>
      <c r="G43" s="232"/>
    </row>
    <row r="44">
      <c r="A44" s="2"/>
      <c r="B44" s="168" t="s">
        <v>221</v>
      </c>
      <c r="C44" s="168" t="s">
        <v>278</v>
      </c>
      <c r="D44" s="229">
        <v>27.5</v>
      </c>
      <c r="E44" s="229">
        <v>31.0</v>
      </c>
      <c r="F44" s="230">
        <v>3.0</v>
      </c>
      <c r="G44" s="232"/>
    </row>
    <row r="45">
      <c r="A45" s="2"/>
      <c r="B45" s="168" t="s">
        <v>249</v>
      </c>
      <c r="C45" s="168" t="s">
        <v>279</v>
      </c>
      <c r="D45" s="229">
        <v>3.0</v>
      </c>
      <c r="E45" s="229">
        <v>3.0</v>
      </c>
      <c r="F45" s="230">
        <v>3.0</v>
      </c>
      <c r="G45" s="232"/>
    </row>
    <row r="46">
      <c r="A46" s="2"/>
      <c r="B46" s="168" t="s">
        <v>280</v>
      </c>
      <c r="C46" s="168" t="s">
        <v>281</v>
      </c>
      <c r="D46" s="229">
        <v>28.5</v>
      </c>
      <c r="E46" s="229">
        <v>32.0</v>
      </c>
      <c r="F46" s="230">
        <v>3.0</v>
      </c>
      <c r="G46" s="232"/>
    </row>
    <row r="47">
      <c r="A47" s="2"/>
      <c r="B47" s="168" t="s">
        <v>282</v>
      </c>
      <c r="C47" s="168" t="s">
        <v>283</v>
      </c>
      <c r="D47" s="229">
        <v>34.5</v>
      </c>
      <c r="E47" s="229">
        <v>38.0</v>
      </c>
      <c r="F47" s="230">
        <v>3.0</v>
      </c>
      <c r="G47" s="232"/>
    </row>
    <row r="48">
      <c r="A48" s="2"/>
      <c r="B48" s="168" t="s">
        <v>217</v>
      </c>
      <c r="C48" s="168" t="s">
        <v>284</v>
      </c>
      <c r="D48" s="229">
        <v>27.5</v>
      </c>
      <c r="E48" s="229">
        <v>31.0</v>
      </c>
      <c r="F48" s="230">
        <v>3.0</v>
      </c>
      <c r="G48" s="232"/>
    </row>
    <row r="49">
      <c r="A49" s="2"/>
      <c r="B49" s="168" t="s">
        <v>285</v>
      </c>
      <c r="C49" s="168" t="s">
        <v>286</v>
      </c>
      <c r="D49" s="229">
        <v>19.5</v>
      </c>
      <c r="E49" s="229">
        <v>23.0</v>
      </c>
      <c r="F49" s="230">
        <v>3.0</v>
      </c>
      <c r="G49" s="232"/>
    </row>
    <row r="50">
      <c r="A50" s="2"/>
      <c r="B50" s="168" t="s">
        <v>232</v>
      </c>
      <c r="C50" s="168" t="s">
        <v>287</v>
      </c>
      <c r="D50" s="229">
        <v>32.5</v>
      </c>
      <c r="E50" s="229">
        <v>36.0</v>
      </c>
      <c r="F50" s="230">
        <v>3.0</v>
      </c>
      <c r="G50" s="232"/>
    </row>
    <row r="51">
      <c r="A51" s="2"/>
      <c r="B51" s="168" t="s">
        <v>288</v>
      </c>
      <c r="C51" s="168" t="s">
        <v>289</v>
      </c>
      <c r="D51" s="229">
        <v>21.5</v>
      </c>
      <c r="E51" s="229">
        <v>25.0</v>
      </c>
      <c r="F51" s="230">
        <v>3.0</v>
      </c>
      <c r="G51" s="232"/>
    </row>
    <row r="52">
      <c r="A52" s="2"/>
      <c r="B52" s="168" t="s">
        <v>290</v>
      </c>
      <c r="C52" s="168" t="s">
        <v>291</v>
      </c>
      <c r="D52" s="229">
        <v>29.5</v>
      </c>
      <c r="E52" s="229">
        <v>33.0</v>
      </c>
      <c r="F52" s="230">
        <v>3.0</v>
      </c>
      <c r="G52" s="232"/>
    </row>
    <row r="53">
      <c r="A53" s="2"/>
      <c r="B53" s="168" t="s">
        <v>230</v>
      </c>
      <c r="C53" s="168" t="s">
        <v>292</v>
      </c>
      <c r="D53" s="229">
        <v>16.5</v>
      </c>
      <c r="E53" s="229">
        <v>20.0</v>
      </c>
      <c r="F53" s="230">
        <v>3.0</v>
      </c>
      <c r="G53" s="232"/>
    </row>
    <row r="54">
      <c r="A54" s="2"/>
      <c r="B54" s="168" t="s">
        <v>290</v>
      </c>
      <c r="C54" s="168" t="s">
        <v>293</v>
      </c>
      <c r="D54" s="229">
        <v>27.5</v>
      </c>
      <c r="E54" s="229">
        <v>31.0</v>
      </c>
      <c r="F54" s="230">
        <v>3.0</v>
      </c>
      <c r="G54" s="232"/>
    </row>
    <row r="55">
      <c r="A55" s="2"/>
      <c r="B55" s="168" t="s">
        <v>294</v>
      </c>
      <c r="C55" s="168" t="s">
        <v>295</v>
      </c>
      <c r="D55" s="229">
        <v>19.5</v>
      </c>
      <c r="E55" s="229">
        <v>19.5</v>
      </c>
      <c r="F55" s="230">
        <v>3.0</v>
      </c>
      <c r="G55" s="232"/>
    </row>
    <row r="56">
      <c r="A56" s="2"/>
      <c r="B56" s="168" t="s">
        <v>296</v>
      </c>
      <c r="C56" s="168" t="s">
        <v>297</v>
      </c>
      <c r="D56" s="229">
        <v>26.5</v>
      </c>
      <c r="E56" s="229">
        <v>30.0</v>
      </c>
      <c r="F56" s="230">
        <v>3.0</v>
      </c>
      <c r="G56" s="232"/>
    </row>
    <row r="57">
      <c r="A57" s="2"/>
      <c r="B57" s="168" t="s">
        <v>243</v>
      </c>
      <c r="C57" s="168" t="s">
        <v>298</v>
      </c>
      <c r="D57" s="229">
        <v>29.5</v>
      </c>
      <c r="E57" s="229">
        <v>33.0</v>
      </c>
      <c r="F57" s="230">
        <v>3.0</v>
      </c>
      <c r="G57" s="232"/>
    </row>
    <row r="58">
      <c r="A58" s="2"/>
      <c r="B58" s="168" t="s">
        <v>254</v>
      </c>
      <c r="C58" s="168" t="s">
        <v>299</v>
      </c>
      <c r="D58" s="229">
        <v>26.5</v>
      </c>
      <c r="E58" s="229">
        <v>30.0</v>
      </c>
      <c r="F58" s="230">
        <v>3.0</v>
      </c>
      <c r="G58" s="232"/>
    </row>
    <row r="59">
      <c r="A59" s="2"/>
      <c r="B59" s="168" t="s">
        <v>300</v>
      </c>
      <c r="C59" s="168" t="s">
        <v>301</v>
      </c>
      <c r="D59" s="229">
        <v>28.5</v>
      </c>
      <c r="E59" s="229">
        <v>32.0</v>
      </c>
      <c r="F59" s="230">
        <v>3.0</v>
      </c>
      <c r="G59" s="232"/>
    </row>
    <row r="60">
      <c r="A60" s="2"/>
      <c r="B60" s="168" t="s">
        <v>302</v>
      </c>
      <c r="C60" s="168" t="s">
        <v>303</v>
      </c>
      <c r="D60" s="229">
        <v>34.5</v>
      </c>
      <c r="E60" s="229">
        <v>38.0</v>
      </c>
      <c r="F60" s="230">
        <v>3.0</v>
      </c>
      <c r="G60" s="232"/>
    </row>
    <row r="61">
      <c r="A61" s="2"/>
      <c r="B61" s="168" t="s">
        <v>255</v>
      </c>
      <c r="C61" s="168" t="s">
        <v>304</v>
      </c>
      <c r="D61" s="229">
        <v>31.5</v>
      </c>
      <c r="E61" s="229">
        <v>35.0</v>
      </c>
      <c r="F61" s="230">
        <v>3.0</v>
      </c>
      <c r="G61" s="232"/>
    </row>
    <row r="62">
      <c r="A62" s="2"/>
      <c r="B62" s="168" t="s">
        <v>290</v>
      </c>
      <c r="C62" s="168" t="s">
        <v>305</v>
      </c>
      <c r="D62" s="229">
        <v>29.5</v>
      </c>
      <c r="E62" s="229">
        <v>33.0</v>
      </c>
      <c r="F62" s="230">
        <v>3.0</v>
      </c>
      <c r="G62" s="232"/>
    </row>
    <row r="63">
      <c r="A63" s="2"/>
      <c r="B63" s="168" t="s">
        <v>288</v>
      </c>
      <c r="C63" s="168" t="s">
        <v>306</v>
      </c>
      <c r="D63" s="229">
        <v>21.5</v>
      </c>
      <c r="E63" s="229">
        <v>25.0</v>
      </c>
      <c r="F63" s="230">
        <v>3.0</v>
      </c>
      <c r="G63" s="232"/>
    </row>
    <row r="64">
      <c r="A64" s="2"/>
      <c r="B64" s="168" t="s">
        <v>245</v>
      </c>
      <c r="C64" s="168" t="s">
        <v>307</v>
      </c>
      <c r="D64" s="229">
        <v>27.5</v>
      </c>
      <c r="E64" s="229">
        <v>31.0</v>
      </c>
      <c r="F64" s="230">
        <v>3.0</v>
      </c>
      <c r="G64" s="232"/>
    </row>
    <row r="65">
      <c r="A65" s="2"/>
      <c r="B65" s="168" t="s">
        <v>296</v>
      </c>
      <c r="C65" s="168" t="s">
        <v>308</v>
      </c>
      <c r="D65" s="229">
        <v>21.5</v>
      </c>
      <c r="E65" s="229">
        <v>25.0</v>
      </c>
      <c r="F65" s="230">
        <v>3.0</v>
      </c>
      <c r="G65" s="232"/>
    </row>
    <row r="66">
      <c r="A66" s="2"/>
      <c r="B66" s="168" t="s">
        <v>288</v>
      </c>
      <c r="C66" s="168" t="s">
        <v>309</v>
      </c>
      <c r="D66" s="229">
        <v>16.5</v>
      </c>
      <c r="E66" s="229">
        <v>20.0</v>
      </c>
      <c r="F66" s="230">
        <v>3.0</v>
      </c>
      <c r="G66" s="232"/>
    </row>
    <row r="67">
      <c r="A67" s="2"/>
      <c r="B67" s="168" t="s">
        <v>310</v>
      </c>
      <c r="C67" s="168" t="s">
        <v>311</v>
      </c>
      <c r="D67" s="229">
        <v>34.5</v>
      </c>
      <c r="E67" s="229">
        <v>38.0</v>
      </c>
      <c r="F67" s="230">
        <v>3.0</v>
      </c>
      <c r="G67" s="232"/>
    </row>
    <row r="68">
      <c r="A68" s="2"/>
      <c r="B68" s="168" t="s">
        <v>310</v>
      </c>
      <c r="C68" s="168" t="s">
        <v>312</v>
      </c>
      <c r="D68" s="229">
        <v>34.5</v>
      </c>
      <c r="E68" s="229">
        <v>38.0</v>
      </c>
      <c r="F68" s="230">
        <v>3.0</v>
      </c>
      <c r="G68" s="232"/>
    </row>
    <row r="69">
      <c r="A69" s="2"/>
      <c r="B69" s="168" t="s">
        <v>313</v>
      </c>
      <c r="C69" s="168" t="s">
        <v>314</v>
      </c>
      <c r="D69" s="229">
        <v>20.0</v>
      </c>
      <c r="E69" s="229">
        <v>20.0</v>
      </c>
      <c r="F69" s="230">
        <v>3.0</v>
      </c>
      <c r="G69" s="232"/>
    </row>
    <row r="70">
      <c r="A70" s="2"/>
      <c r="B70" s="168" t="s">
        <v>232</v>
      </c>
      <c r="C70" s="168" t="s">
        <v>315</v>
      </c>
      <c r="D70" s="229">
        <v>27.5</v>
      </c>
      <c r="E70" s="229">
        <v>31.0</v>
      </c>
      <c r="F70" s="230">
        <v>3.0</v>
      </c>
      <c r="G70" s="232"/>
    </row>
    <row r="71">
      <c r="A71" s="2"/>
      <c r="B71" s="168" t="s">
        <v>275</v>
      </c>
      <c r="C71" s="168" t="s">
        <v>316</v>
      </c>
      <c r="D71" s="229">
        <v>21.5</v>
      </c>
      <c r="E71" s="229">
        <v>25.0</v>
      </c>
      <c r="F71" s="230">
        <v>3.0</v>
      </c>
      <c r="G71" s="232"/>
    </row>
    <row r="72">
      <c r="A72" s="2"/>
      <c r="B72" s="168" t="s">
        <v>241</v>
      </c>
      <c r="C72" s="168" t="s">
        <v>317</v>
      </c>
      <c r="D72" s="229">
        <v>31.5</v>
      </c>
      <c r="E72" s="229">
        <v>35.0</v>
      </c>
      <c r="F72" s="230">
        <v>3.0</v>
      </c>
      <c r="G72" s="232"/>
    </row>
    <row r="73">
      <c r="A73" s="2"/>
      <c r="B73" s="168" t="s">
        <v>318</v>
      </c>
      <c r="C73" s="168" t="s">
        <v>319</v>
      </c>
      <c r="D73" s="229">
        <v>25.5</v>
      </c>
      <c r="E73" s="229">
        <v>29.0</v>
      </c>
      <c r="F73" s="230">
        <v>3.0</v>
      </c>
      <c r="G73" s="232"/>
    </row>
    <row r="74">
      <c r="A74" s="2"/>
      <c r="B74" s="168" t="s">
        <v>230</v>
      </c>
      <c r="C74" s="168" t="s">
        <v>320</v>
      </c>
      <c r="D74" s="229">
        <v>21.5</v>
      </c>
      <c r="E74" s="229">
        <v>25.0</v>
      </c>
      <c r="F74" s="230">
        <v>3.0</v>
      </c>
      <c r="G74" s="232"/>
    </row>
    <row r="75">
      <c r="A75" s="2"/>
      <c r="B75" s="168" t="s">
        <v>230</v>
      </c>
      <c r="C75" s="168" t="s">
        <v>321</v>
      </c>
      <c r="D75" s="229">
        <v>21.5</v>
      </c>
      <c r="E75" s="229">
        <v>25.0</v>
      </c>
      <c r="F75" s="230">
        <v>3.0</v>
      </c>
      <c r="G75" s="232"/>
    </row>
    <row r="76">
      <c r="A76" s="2"/>
      <c r="B76" s="168" t="s">
        <v>241</v>
      </c>
      <c r="C76" s="168" t="s">
        <v>322</v>
      </c>
      <c r="D76" s="229">
        <v>32.5</v>
      </c>
      <c r="E76" s="229">
        <v>36.0</v>
      </c>
      <c r="F76" s="230">
        <v>3.0</v>
      </c>
      <c r="G76" s="232"/>
    </row>
    <row r="77">
      <c r="A77" s="2"/>
      <c r="B77" s="168" t="s">
        <v>217</v>
      </c>
      <c r="C77" s="168" t="s">
        <v>323</v>
      </c>
      <c r="D77" s="229">
        <v>27.5</v>
      </c>
      <c r="E77" s="229">
        <v>31.0</v>
      </c>
      <c r="F77" s="230">
        <v>3.0</v>
      </c>
      <c r="G77" s="232"/>
    </row>
    <row r="78">
      <c r="A78" s="2"/>
      <c r="B78" s="168" t="s">
        <v>241</v>
      </c>
      <c r="C78" s="168" t="s">
        <v>324</v>
      </c>
      <c r="D78" s="229">
        <v>32.0</v>
      </c>
      <c r="E78" s="229">
        <v>35.5</v>
      </c>
      <c r="F78" s="230">
        <v>3.0</v>
      </c>
      <c r="G78" s="232"/>
    </row>
    <row r="79">
      <c r="A79" s="2"/>
      <c r="B79" s="168" t="s">
        <v>241</v>
      </c>
      <c r="C79" s="168" t="s">
        <v>325</v>
      </c>
      <c r="D79" s="229">
        <v>32.5</v>
      </c>
      <c r="E79" s="229">
        <v>36.0</v>
      </c>
      <c r="F79" s="230">
        <v>3.0</v>
      </c>
      <c r="G79" s="232"/>
    </row>
    <row r="80">
      <c r="A80" s="2"/>
      <c r="B80" s="168" t="s">
        <v>223</v>
      </c>
      <c r="C80" s="168" t="s">
        <v>326</v>
      </c>
      <c r="D80" s="229">
        <v>26.5</v>
      </c>
      <c r="E80" s="229">
        <v>30.0</v>
      </c>
      <c r="F80" s="230">
        <v>3.0</v>
      </c>
      <c r="G80" s="232"/>
    </row>
    <row r="81">
      <c r="A81" s="2"/>
      <c r="B81" s="168" t="s">
        <v>255</v>
      </c>
      <c r="C81" s="168" t="s">
        <v>327</v>
      </c>
      <c r="D81" s="229">
        <v>31.5</v>
      </c>
      <c r="E81" s="229">
        <v>35.0</v>
      </c>
      <c r="F81" s="230">
        <v>3.0</v>
      </c>
      <c r="G81" s="232"/>
    </row>
    <row r="82">
      <c r="A82" s="2"/>
      <c r="B82" s="168" t="s">
        <v>328</v>
      </c>
      <c r="C82" s="168" t="s">
        <v>329</v>
      </c>
      <c r="D82" s="229">
        <v>34.5</v>
      </c>
      <c r="E82" s="229">
        <v>38.0</v>
      </c>
      <c r="F82" s="230">
        <v>3.0</v>
      </c>
      <c r="G82" s="232"/>
    </row>
    <row r="83">
      <c r="A83" s="2"/>
      <c r="B83" s="168" t="s">
        <v>330</v>
      </c>
      <c r="C83" s="168" t="s">
        <v>331</v>
      </c>
      <c r="D83" s="229">
        <v>24.5</v>
      </c>
      <c r="E83" s="229">
        <v>28.0</v>
      </c>
      <c r="F83" s="230">
        <v>3.0</v>
      </c>
      <c r="G83" s="232"/>
    </row>
    <row r="84">
      <c r="A84" s="2"/>
      <c r="B84" s="168" t="s">
        <v>332</v>
      </c>
      <c r="C84" s="168" t="s">
        <v>333</v>
      </c>
      <c r="D84" s="229">
        <v>28.5</v>
      </c>
      <c r="E84" s="229">
        <v>32.0</v>
      </c>
      <c r="F84" s="230">
        <v>3.0</v>
      </c>
      <c r="G84" s="232"/>
    </row>
    <row r="85">
      <c r="A85" s="2"/>
      <c r="B85" s="168" t="s">
        <v>290</v>
      </c>
      <c r="C85" s="168" t="s">
        <v>334</v>
      </c>
      <c r="D85" s="229">
        <v>25.5</v>
      </c>
      <c r="E85" s="229">
        <v>29.0</v>
      </c>
      <c r="F85" s="230">
        <v>3.0</v>
      </c>
      <c r="G85" s="232"/>
    </row>
    <row r="86">
      <c r="A86" s="2"/>
      <c r="B86" s="168" t="s">
        <v>335</v>
      </c>
      <c r="C86" s="168" t="s">
        <v>336</v>
      </c>
      <c r="D86" s="229">
        <v>34.5</v>
      </c>
      <c r="E86" s="229">
        <v>38.0</v>
      </c>
      <c r="F86" s="230">
        <v>3.0</v>
      </c>
      <c r="G86" s="232"/>
    </row>
    <row r="87">
      <c r="A87" s="2"/>
      <c r="B87" s="168" t="s">
        <v>337</v>
      </c>
      <c r="C87" s="168" t="s">
        <v>338</v>
      </c>
      <c r="D87" s="229">
        <v>24.5</v>
      </c>
      <c r="E87" s="229">
        <v>28.0</v>
      </c>
      <c r="F87" s="230">
        <v>3.0</v>
      </c>
      <c r="G87" s="232"/>
    </row>
    <row r="88">
      <c r="A88" s="2"/>
      <c r="B88" s="168" t="s">
        <v>285</v>
      </c>
      <c r="C88" s="168" t="s">
        <v>339</v>
      </c>
      <c r="D88" s="229">
        <v>24.5</v>
      </c>
      <c r="E88" s="229">
        <v>28.0</v>
      </c>
      <c r="F88" s="230">
        <v>3.0</v>
      </c>
      <c r="G88" s="232"/>
    </row>
    <row r="89">
      <c r="A89" s="2"/>
      <c r="B89" s="168" t="s">
        <v>296</v>
      </c>
      <c r="C89" s="168" t="s">
        <v>340</v>
      </c>
      <c r="D89" s="229">
        <v>26.5</v>
      </c>
      <c r="E89" s="229">
        <v>30.0</v>
      </c>
      <c r="F89" s="230">
        <v>3.0</v>
      </c>
      <c r="G89" s="232"/>
    </row>
    <row r="90">
      <c r="A90" s="2"/>
      <c r="B90" s="168" t="s">
        <v>341</v>
      </c>
      <c r="C90" s="168" t="s">
        <v>342</v>
      </c>
      <c r="D90" s="229">
        <v>29.5</v>
      </c>
      <c r="E90" s="229">
        <v>29.5</v>
      </c>
      <c r="F90" s="230">
        <v>3.0</v>
      </c>
      <c r="G90" s="232"/>
    </row>
    <row r="91">
      <c r="A91" s="2"/>
      <c r="B91" s="168" t="s">
        <v>310</v>
      </c>
      <c r="C91" s="168" t="s">
        <v>343</v>
      </c>
      <c r="D91" s="229">
        <v>34.5</v>
      </c>
      <c r="E91" s="229">
        <v>38.0</v>
      </c>
      <c r="F91" s="230">
        <v>3.0</v>
      </c>
      <c r="G91" s="232"/>
    </row>
    <row r="92">
      <c r="A92" s="2"/>
      <c r="B92" s="168" t="s">
        <v>234</v>
      </c>
      <c r="C92" s="168" t="s">
        <v>344</v>
      </c>
      <c r="D92" s="229">
        <v>24.5</v>
      </c>
      <c r="E92" s="229">
        <v>28.0</v>
      </c>
      <c r="F92" s="230">
        <v>3.0</v>
      </c>
      <c r="G92" s="232"/>
    </row>
    <row r="93">
      <c r="A93" s="2"/>
      <c r="B93" s="168" t="s">
        <v>345</v>
      </c>
      <c r="C93" s="168" t="s">
        <v>346</v>
      </c>
      <c r="D93" s="229">
        <v>26.5</v>
      </c>
      <c r="E93" s="229">
        <v>30.0</v>
      </c>
      <c r="F93" s="230">
        <v>3.0</v>
      </c>
      <c r="G93" s="232"/>
    </row>
    <row r="94">
      <c r="A94" s="2"/>
      <c r="B94" s="168" t="s">
        <v>223</v>
      </c>
      <c r="C94" s="168" t="s">
        <v>347</v>
      </c>
      <c r="D94" s="229">
        <v>26.5</v>
      </c>
      <c r="E94" s="229">
        <v>30.0</v>
      </c>
      <c r="F94" s="230">
        <v>3.0</v>
      </c>
      <c r="G94" s="232"/>
    </row>
    <row r="95">
      <c r="A95" s="2"/>
      <c r="B95" s="168" t="s">
        <v>348</v>
      </c>
      <c r="C95" s="168" t="s">
        <v>349</v>
      </c>
      <c r="D95" s="229">
        <v>14.5</v>
      </c>
      <c r="E95" s="229">
        <v>18.0</v>
      </c>
      <c r="F95" s="230">
        <v>3.0</v>
      </c>
      <c r="G95" s="232"/>
    </row>
    <row r="96">
      <c r="A96" s="2"/>
      <c r="B96" s="168" t="s">
        <v>273</v>
      </c>
      <c r="C96" s="168" t="s">
        <v>350</v>
      </c>
      <c r="D96" s="229">
        <v>29.5</v>
      </c>
      <c r="E96" s="229">
        <v>33.0</v>
      </c>
      <c r="F96" s="230">
        <v>3.0</v>
      </c>
      <c r="G96" s="232"/>
    </row>
    <row r="97">
      <c r="A97" s="2"/>
      <c r="B97" s="168" t="s">
        <v>296</v>
      </c>
      <c r="C97" s="168" t="s">
        <v>351</v>
      </c>
      <c r="D97" s="229">
        <v>26.5</v>
      </c>
      <c r="E97" s="229">
        <v>30.0</v>
      </c>
      <c r="F97" s="230">
        <v>3.0</v>
      </c>
      <c r="G97" s="232"/>
    </row>
    <row r="98">
      <c r="A98" s="2"/>
      <c r="B98" s="168" t="s">
        <v>241</v>
      </c>
      <c r="C98" s="168" t="s">
        <v>352</v>
      </c>
      <c r="D98" s="229">
        <v>32.5</v>
      </c>
      <c r="E98" s="229">
        <v>36.0</v>
      </c>
      <c r="F98" s="230">
        <v>3.0</v>
      </c>
      <c r="G98" s="232"/>
    </row>
    <row r="99">
      <c r="A99" s="2"/>
      <c r="B99" s="168" t="s">
        <v>232</v>
      </c>
      <c r="C99" s="168" t="s">
        <v>353</v>
      </c>
      <c r="D99" s="229">
        <v>27.5</v>
      </c>
      <c r="E99" s="229">
        <v>31.0</v>
      </c>
      <c r="F99" s="230">
        <v>3.0</v>
      </c>
      <c r="G99" s="232"/>
    </row>
    <row r="100">
      <c r="A100" s="2"/>
      <c r="B100" s="168" t="s">
        <v>296</v>
      </c>
      <c r="C100" s="168" t="s">
        <v>354</v>
      </c>
      <c r="D100" s="229">
        <v>26.5</v>
      </c>
      <c r="E100" s="229">
        <v>30.0</v>
      </c>
      <c r="F100" s="230">
        <v>3.0</v>
      </c>
      <c r="G100" s="232"/>
    </row>
    <row r="101">
      <c r="A101" s="2"/>
      <c r="B101" s="168" t="s">
        <v>296</v>
      </c>
      <c r="C101" s="168" t="s">
        <v>355</v>
      </c>
      <c r="D101" s="229">
        <v>26.5</v>
      </c>
      <c r="E101" s="229">
        <v>30.0</v>
      </c>
      <c r="F101" s="230">
        <v>3.0</v>
      </c>
      <c r="G101" s="232"/>
    </row>
    <row r="102">
      <c r="A102" s="2"/>
      <c r="B102" s="168" t="s">
        <v>337</v>
      </c>
      <c r="C102" s="168" t="s">
        <v>356</v>
      </c>
      <c r="D102" s="229">
        <v>28.5</v>
      </c>
      <c r="E102" s="229">
        <v>32.0</v>
      </c>
      <c r="F102" s="230">
        <v>3.0</v>
      </c>
      <c r="G102" s="232"/>
    </row>
    <row r="103">
      <c r="A103" s="2"/>
      <c r="B103" s="168" t="s">
        <v>230</v>
      </c>
      <c r="C103" s="168" t="s">
        <v>357</v>
      </c>
      <c r="D103" s="229">
        <v>21.5</v>
      </c>
      <c r="E103" s="229">
        <v>25.0</v>
      </c>
      <c r="F103" s="230">
        <v>3.0</v>
      </c>
      <c r="G103" s="232"/>
    </row>
    <row r="104">
      <c r="A104" s="2"/>
      <c r="B104" s="168" t="s">
        <v>335</v>
      </c>
      <c r="C104" s="168" t="s">
        <v>358</v>
      </c>
      <c r="D104" s="229">
        <v>34.5</v>
      </c>
      <c r="E104" s="229">
        <v>38.0</v>
      </c>
      <c r="F104" s="230">
        <v>3.0</v>
      </c>
      <c r="G104" s="232"/>
    </row>
    <row r="105">
      <c r="A105" s="2"/>
      <c r="B105" s="168" t="s">
        <v>300</v>
      </c>
      <c r="C105" s="168" t="s">
        <v>359</v>
      </c>
      <c r="D105" s="229">
        <v>28.5</v>
      </c>
      <c r="E105" s="229">
        <v>32.0</v>
      </c>
      <c r="F105" s="230">
        <v>3.0</v>
      </c>
      <c r="G105" s="232"/>
    </row>
    <row r="106">
      <c r="A106" s="2"/>
      <c r="B106" s="168" t="s">
        <v>296</v>
      </c>
      <c r="C106" s="168" t="s">
        <v>360</v>
      </c>
      <c r="D106" s="229">
        <v>26.5</v>
      </c>
      <c r="E106" s="229">
        <v>30.0</v>
      </c>
      <c r="F106" s="230">
        <v>3.0</v>
      </c>
      <c r="G106" s="232"/>
    </row>
    <row r="107">
      <c r="A107" s="2"/>
      <c r="B107" s="168" t="s">
        <v>255</v>
      </c>
      <c r="C107" s="168" t="s">
        <v>361</v>
      </c>
      <c r="D107" s="229">
        <v>31.5</v>
      </c>
      <c r="E107" s="229">
        <v>35.0</v>
      </c>
      <c r="F107" s="230">
        <v>3.0</v>
      </c>
      <c r="G107" s="232"/>
    </row>
    <row r="108">
      <c r="A108" s="2"/>
      <c r="B108" s="168" t="s">
        <v>245</v>
      </c>
      <c r="C108" s="168" t="s">
        <v>362</v>
      </c>
      <c r="D108" s="229">
        <v>29.0</v>
      </c>
      <c r="E108" s="229">
        <v>32.5</v>
      </c>
      <c r="F108" s="230">
        <v>3.0</v>
      </c>
      <c r="G108" s="232"/>
    </row>
    <row r="109">
      <c r="A109" s="2"/>
      <c r="B109" s="168" t="s">
        <v>217</v>
      </c>
      <c r="C109" s="168" t="s">
        <v>363</v>
      </c>
      <c r="D109" s="229">
        <v>27.5</v>
      </c>
      <c r="E109" s="229">
        <v>31.0</v>
      </c>
      <c r="F109" s="230">
        <v>3.0</v>
      </c>
      <c r="G109" s="232"/>
    </row>
    <row r="110">
      <c r="A110" s="2"/>
      <c r="B110" s="168" t="s">
        <v>245</v>
      </c>
      <c r="C110" s="168" t="s">
        <v>364</v>
      </c>
      <c r="D110" s="229">
        <v>29.5</v>
      </c>
      <c r="E110" s="229">
        <v>33.0</v>
      </c>
      <c r="F110" s="230">
        <v>3.0</v>
      </c>
      <c r="G110" s="232"/>
    </row>
    <row r="111">
      <c r="A111" s="2"/>
      <c r="B111" s="168" t="s">
        <v>290</v>
      </c>
      <c r="C111" s="168" t="s">
        <v>365</v>
      </c>
      <c r="D111" s="229">
        <v>29.5</v>
      </c>
      <c r="E111" s="229">
        <v>33.0</v>
      </c>
      <c r="F111" s="230">
        <v>3.0</v>
      </c>
      <c r="G111" s="232"/>
    </row>
    <row r="112">
      <c r="A112" s="2"/>
      <c r="B112" s="168" t="s">
        <v>215</v>
      </c>
      <c r="C112" s="168" t="s">
        <v>366</v>
      </c>
      <c r="D112" s="229">
        <v>27.5</v>
      </c>
      <c r="E112" s="229">
        <v>31.0</v>
      </c>
      <c r="F112" s="230">
        <v>3.0</v>
      </c>
      <c r="G112" s="232"/>
    </row>
    <row r="113">
      <c r="A113" s="2"/>
      <c r="B113" s="168" t="s">
        <v>217</v>
      </c>
      <c r="C113" s="168" t="s">
        <v>367</v>
      </c>
      <c r="D113" s="229">
        <v>27.5</v>
      </c>
      <c r="E113" s="229">
        <v>31.0</v>
      </c>
      <c r="F113" s="230">
        <v>3.0</v>
      </c>
      <c r="G113" s="232"/>
    </row>
    <row r="114">
      <c r="A114" s="2"/>
      <c r="B114" s="168" t="s">
        <v>368</v>
      </c>
      <c r="C114" s="168" t="s">
        <v>369</v>
      </c>
      <c r="D114" s="229">
        <v>32.5</v>
      </c>
      <c r="E114" s="229">
        <v>36.0</v>
      </c>
      <c r="F114" s="230">
        <v>3.0</v>
      </c>
      <c r="G114" s="232"/>
    </row>
    <row r="115">
      <c r="A115" s="2"/>
      <c r="B115" s="168" t="s">
        <v>290</v>
      </c>
      <c r="C115" s="168" t="s">
        <v>370</v>
      </c>
      <c r="D115" s="229">
        <v>29.5</v>
      </c>
      <c r="E115" s="229">
        <v>33.0</v>
      </c>
      <c r="F115" s="230">
        <v>3.0</v>
      </c>
      <c r="G115" s="232"/>
    </row>
    <row r="116">
      <c r="A116" s="2"/>
      <c r="B116" s="168" t="s">
        <v>230</v>
      </c>
      <c r="C116" s="168" t="s">
        <v>371</v>
      </c>
      <c r="D116" s="229">
        <v>16.5</v>
      </c>
      <c r="E116" s="229">
        <v>20.0</v>
      </c>
      <c r="F116" s="230">
        <v>3.0</v>
      </c>
      <c r="G116" s="232"/>
    </row>
    <row r="117">
      <c r="A117" s="2"/>
      <c r="B117" s="168" t="s">
        <v>269</v>
      </c>
      <c r="C117" s="168" t="s">
        <v>372</v>
      </c>
      <c r="D117" s="229">
        <v>26.5</v>
      </c>
      <c r="E117" s="229">
        <v>30.0</v>
      </c>
      <c r="F117" s="230">
        <v>3.0</v>
      </c>
      <c r="G117" s="232"/>
    </row>
    <row r="118">
      <c r="A118" s="2"/>
      <c r="B118" s="168" t="s">
        <v>332</v>
      </c>
      <c r="C118" s="168" t="s">
        <v>373</v>
      </c>
      <c r="D118" s="229">
        <v>28.5</v>
      </c>
      <c r="E118" s="229">
        <v>32.0</v>
      </c>
      <c r="F118" s="230">
        <v>3.0</v>
      </c>
      <c r="G118" s="232"/>
    </row>
    <row r="119">
      <c r="A119" s="2"/>
      <c r="B119" s="168" t="s">
        <v>332</v>
      </c>
      <c r="C119" s="168" t="s">
        <v>374</v>
      </c>
      <c r="D119" s="229">
        <v>23.5</v>
      </c>
      <c r="E119" s="229">
        <v>27.0</v>
      </c>
      <c r="F119" s="230">
        <v>3.0</v>
      </c>
      <c r="G119" s="232"/>
    </row>
    <row r="120">
      <c r="A120" s="2"/>
      <c r="B120" s="168" t="s">
        <v>375</v>
      </c>
      <c r="C120" s="168" t="s">
        <v>376</v>
      </c>
      <c r="D120" s="229">
        <v>26.5</v>
      </c>
      <c r="E120" s="229">
        <v>30.0</v>
      </c>
      <c r="F120" s="230">
        <v>3.0</v>
      </c>
      <c r="G120" s="232"/>
    </row>
    <row r="121">
      <c r="A121" s="2"/>
      <c r="B121" s="168" t="s">
        <v>377</v>
      </c>
      <c r="C121" s="168" t="s">
        <v>378</v>
      </c>
      <c r="D121" s="229">
        <v>29.5</v>
      </c>
      <c r="E121" s="229">
        <v>33.0</v>
      </c>
      <c r="F121" s="230">
        <v>3.0</v>
      </c>
      <c r="G121" s="232"/>
    </row>
    <row r="122">
      <c r="A122" s="2"/>
      <c r="B122" s="168" t="s">
        <v>243</v>
      </c>
      <c r="C122" s="168" t="s">
        <v>379</v>
      </c>
      <c r="D122" s="229">
        <v>29.5</v>
      </c>
      <c r="E122" s="229">
        <v>33.0</v>
      </c>
      <c r="F122" s="230">
        <v>3.0</v>
      </c>
      <c r="G122" s="232"/>
    </row>
    <row r="123">
      <c r="A123" s="2"/>
      <c r="B123" s="168" t="s">
        <v>217</v>
      </c>
      <c r="C123" s="168" t="s">
        <v>380</v>
      </c>
      <c r="D123" s="229">
        <v>27.5</v>
      </c>
      <c r="E123" s="229">
        <v>31.0</v>
      </c>
      <c r="F123" s="230">
        <v>3.0</v>
      </c>
      <c r="G123" s="232"/>
    </row>
    <row r="124">
      <c r="A124" s="2"/>
      <c r="B124" s="168" t="s">
        <v>381</v>
      </c>
      <c r="C124" s="168" t="s">
        <v>382</v>
      </c>
      <c r="D124" s="229">
        <v>23.5</v>
      </c>
      <c r="E124" s="229">
        <v>27.0</v>
      </c>
      <c r="F124" s="230">
        <v>3.0</v>
      </c>
      <c r="G124" s="232"/>
    </row>
    <row r="125">
      <c r="A125" s="2"/>
      <c r="B125" s="168" t="s">
        <v>337</v>
      </c>
      <c r="C125" s="168" t="s">
        <v>383</v>
      </c>
      <c r="D125" s="229">
        <v>28.5</v>
      </c>
      <c r="E125" s="229">
        <v>32.0</v>
      </c>
      <c r="F125" s="230">
        <v>3.0</v>
      </c>
      <c r="G125" s="232"/>
    </row>
    <row r="126">
      <c r="A126" s="2"/>
      <c r="B126" s="168" t="s">
        <v>241</v>
      </c>
      <c r="C126" s="168" t="s">
        <v>384</v>
      </c>
      <c r="D126" s="229">
        <v>32.5</v>
      </c>
      <c r="E126" s="229">
        <v>36.0</v>
      </c>
      <c r="F126" s="230">
        <v>3.0</v>
      </c>
      <c r="G126" s="232"/>
    </row>
    <row r="127">
      <c r="A127" s="2"/>
      <c r="B127" s="168" t="s">
        <v>381</v>
      </c>
      <c r="C127" s="168" t="s">
        <v>385</v>
      </c>
      <c r="D127" s="229">
        <v>28.5</v>
      </c>
      <c r="E127" s="229">
        <v>32.0</v>
      </c>
      <c r="F127" s="230">
        <v>3.0</v>
      </c>
      <c r="G127" s="232"/>
    </row>
    <row r="128">
      <c r="A128" s="2"/>
      <c r="B128" s="168" t="s">
        <v>386</v>
      </c>
      <c r="C128" s="168" t="s">
        <v>387</v>
      </c>
      <c r="D128" s="229">
        <v>34.5</v>
      </c>
      <c r="E128" s="229">
        <v>38.0</v>
      </c>
      <c r="F128" s="230">
        <v>3.0</v>
      </c>
      <c r="G128" s="232"/>
    </row>
    <row r="129">
      <c r="A129" s="2"/>
      <c r="B129" s="168" t="s">
        <v>388</v>
      </c>
      <c r="C129" s="168" t="s">
        <v>389</v>
      </c>
      <c r="D129" s="229">
        <v>21.5</v>
      </c>
      <c r="E129" s="229">
        <v>25.0</v>
      </c>
      <c r="F129" s="230">
        <v>3.0</v>
      </c>
      <c r="G129" s="232"/>
    </row>
    <row r="130">
      <c r="A130" s="2"/>
      <c r="B130" s="168" t="s">
        <v>245</v>
      </c>
      <c r="C130" s="168" t="s">
        <v>390</v>
      </c>
      <c r="D130" s="229">
        <v>29.5</v>
      </c>
      <c r="E130" s="229">
        <v>33.0</v>
      </c>
      <c r="F130" s="230">
        <v>3.0</v>
      </c>
      <c r="G130" s="232"/>
    </row>
    <row r="131">
      <c r="A131" s="2"/>
      <c r="B131" s="168" t="s">
        <v>337</v>
      </c>
      <c r="C131" s="168" t="s">
        <v>391</v>
      </c>
      <c r="D131" s="229">
        <v>28.5</v>
      </c>
      <c r="E131" s="229">
        <v>32.0</v>
      </c>
      <c r="F131" s="230">
        <v>3.0</v>
      </c>
      <c r="G131" s="232"/>
    </row>
    <row r="132">
      <c r="A132" s="2"/>
      <c r="B132" s="168" t="s">
        <v>219</v>
      </c>
      <c r="C132" s="168" t="s">
        <v>392</v>
      </c>
      <c r="D132" s="229">
        <v>28.5</v>
      </c>
      <c r="E132" s="229">
        <v>32.0</v>
      </c>
      <c r="F132" s="230">
        <v>3.0</v>
      </c>
      <c r="G132" s="232"/>
    </row>
    <row r="133">
      <c r="A133" s="2"/>
      <c r="B133" s="168" t="s">
        <v>345</v>
      </c>
      <c r="C133" s="168" t="s">
        <v>393</v>
      </c>
      <c r="D133" s="229">
        <v>26.5</v>
      </c>
      <c r="E133" s="229">
        <v>30.0</v>
      </c>
      <c r="F133" s="230">
        <v>3.0</v>
      </c>
      <c r="G133" s="232"/>
    </row>
    <row r="134">
      <c r="A134" s="2"/>
      <c r="B134" s="168" t="s">
        <v>221</v>
      </c>
      <c r="C134" s="168" t="s">
        <v>394</v>
      </c>
      <c r="D134" s="229">
        <v>27.5</v>
      </c>
      <c r="E134" s="229">
        <v>31.0</v>
      </c>
      <c r="F134" s="230">
        <v>3.0</v>
      </c>
      <c r="G134" s="232"/>
    </row>
    <row r="135">
      <c r="A135" s="2"/>
      <c r="B135" s="168" t="s">
        <v>282</v>
      </c>
      <c r="C135" s="168" t="s">
        <v>395</v>
      </c>
      <c r="D135" s="229">
        <v>34.5</v>
      </c>
      <c r="E135" s="229">
        <v>38.0</v>
      </c>
      <c r="F135" s="230">
        <v>3.0</v>
      </c>
      <c r="G135" s="232"/>
    </row>
    <row r="136">
      <c r="A136" s="2"/>
      <c r="B136" s="168" t="s">
        <v>221</v>
      </c>
      <c r="C136" s="168" t="s">
        <v>396</v>
      </c>
      <c r="D136" s="229">
        <v>27.5</v>
      </c>
      <c r="E136" s="229">
        <v>31.0</v>
      </c>
      <c r="F136" s="230">
        <v>3.0</v>
      </c>
      <c r="G136" s="232"/>
    </row>
    <row r="137">
      <c r="A137" s="2"/>
      <c r="B137" s="168" t="s">
        <v>232</v>
      </c>
      <c r="C137" s="168" t="s">
        <v>397</v>
      </c>
      <c r="D137" s="229">
        <v>25.5</v>
      </c>
      <c r="E137" s="229">
        <v>29.0</v>
      </c>
      <c r="F137" s="230">
        <v>3.0</v>
      </c>
      <c r="G137" s="232"/>
    </row>
    <row r="138">
      <c r="A138" s="2"/>
      <c r="B138" s="168" t="s">
        <v>285</v>
      </c>
      <c r="C138" s="168" t="s">
        <v>398</v>
      </c>
      <c r="D138" s="229">
        <v>24.5</v>
      </c>
      <c r="E138" s="229">
        <v>28.0</v>
      </c>
      <c r="F138" s="230">
        <v>3.0</v>
      </c>
      <c r="G138" s="232"/>
    </row>
    <row r="139">
      <c r="A139" s="2"/>
      <c r="B139" s="168" t="s">
        <v>388</v>
      </c>
      <c r="C139" s="168" t="s">
        <v>399</v>
      </c>
      <c r="D139" s="229">
        <v>21.5</v>
      </c>
      <c r="E139" s="229">
        <v>25.0</v>
      </c>
      <c r="F139" s="230">
        <v>3.0</v>
      </c>
      <c r="G139" s="232"/>
    </row>
    <row r="140">
      <c r="A140" s="2"/>
      <c r="B140" s="168" t="s">
        <v>335</v>
      </c>
      <c r="C140" s="168" t="s">
        <v>400</v>
      </c>
      <c r="D140" s="229">
        <v>34.5</v>
      </c>
      <c r="E140" s="229">
        <v>38.0</v>
      </c>
      <c r="F140" s="230">
        <v>3.0</v>
      </c>
      <c r="G140" s="232"/>
    </row>
    <row r="141">
      <c r="A141" s="2"/>
      <c r="B141" s="168" t="s">
        <v>388</v>
      </c>
      <c r="C141" s="168" t="s">
        <v>401</v>
      </c>
      <c r="D141" s="229">
        <v>16.5</v>
      </c>
      <c r="E141" s="229">
        <v>20.0</v>
      </c>
      <c r="F141" s="230">
        <v>3.0</v>
      </c>
      <c r="G141" s="232"/>
    </row>
    <row r="142">
      <c r="A142" s="2"/>
      <c r="B142" s="168" t="s">
        <v>234</v>
      </c>
      <c r="C142" s="168" t="s">
        <v>402</v>
      </c>
      <c r="D142" s="229">
        <v>24.5</v>
      </c>
      <c r="E142" s="229">
        <v>28.0</v>
      </c>
      <c r="F142" s="230">
        <v>3.0</v>
      </c>
      <c r="G142" s="232"/>
    </row>
    <row r="143">
      <c r="A143" s="2"/>
      <c r="B143" s="168" t="s">
        <v>377</v>
      </c>
      <c r="C143" s="168" t="s">
        <v>403</v>
      </c>
      <c r="D143" s="229">
        <v>29.5</v>
      </c>
      <c r="E143" s="229">
        <v>33.0</v>
      </c>
      <c r="F143" s="230">
        <v>3.0</v>
      </c>
      <c r="G143" s="232"/>
    </row>
    <row r="144">
      <c r="A144" s="2"/>
      <c r="B144" s="168" t="s">
        <v>404</v>
      </c>
      <c r="C144" s="168" t="s">
        <v>405</v>
      </c>
      <c r="D144" s="229">
        <v>29.5</v>
      </c>
      <c r="E144" s="229">
        <v>33.0</v>
      </c>
      <c r="F144" s="230">
        <v>3.0</v>
      </c>
      <c r="G144" s="232"/>
    </row>
    <row r="145">
      <c r="A145" s="2"/>
      <c r="B145" s="168" t="s">
        <v>406</v>
      </c>
      <c r="C145" s="168" t="s">
        <v>407</v>
      </c>
      <c r="D145" s="229">
        <v>24.5</v>
      </c>
      <c r="E145" s="229">
        <v>28.0</v>
      </c>
      <c r="F145" s="230">
        <v>3.0</v>
      </c>
      <c r="G145" s="232"/>
    </row>
    <row r="146">
      <c r="A146" s="2"/>
      <c r="B146" s="168" t="s">
        <v>245</v>
      </c>
      <c r="C146" s="168" t="s">
        <v>408</v>
      </c>
      <c r="D146" s="229">
        <v>27.5</v>
      </c>
      <c r="E146" s="229">
        <v>31.0</v>
      </c>
      <c r="F146" s="230">
        <v>3.0</v>
      </c>
      <c r="G146" s="232"/>
    </row>
    <row r="147">
      <c r="A147" s="2"/>
      <c r="B147" s="168" t="s">
        <v>335</v>
      </c>
      <c r="C147" s="168" t="s">
        <v>409</v>
      </c>
      <c r="D147" s="229">
        <v>34.5</v>
      </c>
      <c r="E147" s="229">
        <v>38.0</v>
      </c>
      <c r="F147" s="230">
        <v>3.0</v>
      </c>
      <c r="G147" s="232"/>
    </row>
    <row r="148">
      <c r="A148" s="2"/>
      <c r="B148" s="168" t="s">
        <v>232</v>
      </c>
      <c r="C148" s="168" t="s">
        <v>410</v>
      </c>
      <c r="D148" s="229">
        <v>25.5</v>
      </c>
      <c r="E148" s="229">
        <v>29.0</v>
      </c>
      <c r="F148" s="230">
        <v>3.0</v>
      </c>
      <c r="G148" s="232"/>
    </row>
    <row r="149">
      <c r="A149" s="2"/>
      <c r="B149" s="168" t="s">
        <v>232</v>
      </c>
      <c r="C149" s="168" t="s">
        <v>411</v>
      </c>
      <c r="D149" s="229">
        <v>25.5</v>
      </c>
      <c r="E149" s="229">
        <v>29.0</v>
      </c>
      <c r="F149" s="230">
        <v>3.0</v>
      </c>
      <c r="G149" s="232"/>
    </row>
    <row r="150">
      <c r="A150" s="2"/>
      <c r="B150" s="168" t="s">
        <v>275</v>
      </c>
      <c r="C150" s="168" t="s">
        <v>412</v>
      </c>
      <c r="D150" s="229">
        <v>26.5</v>
      </c>
      <c r="E150" s="229">
        <v>30.0</v>
      </c>
      <c r="F150" s="230">
        <v>3.0</v>
      </c>
      <c r="G150" s="232"/>
    </row>
    <row r="151">
      <c r="A151" s="2"/>
      <c r="B151" s="168" t="s">
        <v>413</v>
      </c>
      <c r="C151" s="168" t="s">
        <v>414</v>
      </c>
      <c r="D151" s="229">
        <v>29.5</v>
      </c>
      <c r="E151" s="229">
        <v>33.0</v>
      </c>
      <c r="F151" s="230">
        <v>3.0</v>
      </c>
      <c r="G151" s="232"/>
    </row>
    <row r="152">
      <c r="A152" s="2"/>
      <c r="B152" s="168" t="s">
        <v>406</v>
      </c>
      <c r="C152" s="168" t="s">
        <v>415</v>
      </c>
      <c r="D152" s="229">
        <v>26.5</v>
      </c>
      <c r="E152" s="229">
        <v>30.0</v>
      </c>
      <c r="F152" s="230">
        <v>3.0</v>
      </c>
      <c r="G152" s="232"/>
    </row>
    <row r="153">
      <c r="A153" s="2"/>
      <c r="B153" s="168" t="s">
        <v>288</v>
      </c>
      <c r="C153" s="168" t="s">
        <v>416</v>
      </c>
      <c r="D153" s="229">
        <v>21.5</v>
      </c>
      <c r="E153" s="229">
        <v>25.0</v>
      </c>
      <c r="F153" s="230">
        <v>3.0</v>
      </c>
      <c r="G153" s="232"/>
    </row>
    <row r="154">
      <c r="A154" s="2"/>
      <c r="B154" s="168" t="s">
        <v>232</v>
      </c>
      <c r="C154" s="168" t="s">
        <v>417</v>
      </c>
      <c r="D154" s="229">
        <v>27.5</v>
      </c>
      <c r="E154" s="229">
        <v>31.0</v>
      </c>
      <c r="F154" s="230">
        <v>3.0</v>
      </c>
      <c r="G154" s="232"/>
    </row>
    <row r="155">
      <c r="A155" s="2"/>
      <c r="B155" s="168" t="s">
        <v>219</v>
      </c>
      <c r="C155" s="168" t="s">
        <v>418</v>
      </c>
      <c r="D155" s="229">
        <v>28.5</v>
      </c>
      <c r="E155" s="229">
        <v>32.0</v>
      </c>
      <c r="F155" s="230">
        <v>3.0</v>
      </c>
      <c r="G155" s="232"/>
    </row>
    <row r="156">
      <c r="A156" s="2"/>
      <c r="B156" s="168" t="s">
        <v>243</v>
      </c>
      <c r="C156" s="168" t="s">
        <v>419</v>
      </c>
      <c r="D156" s="229">
        <v>29.5</v>
      </c>
      <c r="E156" s="229">
        <v>33.0</v>
      </c>
      <c r="F156" s="230">
        <v>3.0</v>
      </c>
      <c r="G156" s="232"/>
    </row>
    <row r="157">
      <c r="A157" s="2"/>
      <c r="B157" s="168" t="s">
        <v>257</v>
      </c>
      <c r="C157" s="168" t="s">
        <v>420</v>
      </c>
      <c r="D157" s="229">
        <v>28.5</v>
      </c>
      <c r="E157" s="229">
        <v>32.0</v>
      </c>
      <c r="F157" s="230">
        <v>3.0</v>
      </c>
      <c r="G157" s="232"/>
    </row>
    <row r="158">
      <c r="A158" s="2"/>
      <c r="B158" s="168" t="s">
        <v>345</v>
      </c>
      <c r="C158" s="168" t="s">
        <v>421</v>
      </c>
      <c r="D158" s="229">
        <v>26.0</v>
      </c>
      <c r="E158" s="229">
        <v>29.5</v>
      </c>
      <c r="F158" s="230">
        <v>3.0</v>
      </c>
      <c r="G158" s="232"/>
    </row>
    <row r="159">
      <c r="A159" s="2"/>
      <c r="B159" s="168" t="s">
        <v>332</v>
      </c>
      <c r="C159" s="168" t="s">
        <v>422</v>
      </c>
      <c r="D159" s="229">
        <v>28.5</v>
      </c>
      <c r="E159" s="229">
        <v>32.0</v>
      </c>
      <c r="F159" s="230">
        <v>3.0</v>
      </c>
      <c r="G159" s="232"/>
    </row>
    <row r="160">
      <c r="A160" s="2"/>
      <c r="B160" s="168" t="s">
        <v>245</v>
      </c>
      <c r="C160" s="168" t="s">
        <v>423</v>
      </c>
      <c r="D160" s="229">
        <v>29.5</v>
      </c>
      <c r="E160" s="229">
        <v>33.0</v>
      </c>
      <c r="F160" s="230">
        <v>3.0</v>
      </c>
      <c r="G160" s="232"/>
    </row>
    <row r="161">
      <c r="A161" s="2"/>
      <c r="B161" s="168" t="s">
        <v>234</v>
      </c>
      <c r="C161" s="168" t="s">
        <v>424</v>
      </c>
      <c r="D161" s="229">
        <v>29.5</v>
      </c>
      <c r="E161" s="229">
        <v>33.0</v>
      </c>
      <c r="F161" s="230">
        <v>3.0</v>
      </c>
      <c r="G161" s="232"/>
    </row>
    <row r="162">
      <c r="A162" s="2"/>
      <c r="B162" s="168" t="s">
        <v>243</v>
      </c>
      <c r="C162" s="168" t="s">
        <v>425</v>
      </c>
      <c r="D162" s="229">
        <v>29.5</v>
      </c>
      <c r="E162" s="229">
        <v>33.0</v>
      </c>
      <c r="F162" s="230">
        <v>3.0</v>
      </c>
      <c r="G162" s="232"/>
    </row>
    <row r="163">
      <c r="A163" s="2"/>
      <c r="B163" s="168" t="s">
        <v>221</v>
      </c>
      <c r="C163" s="168" t="s">
        <v>426</v>
      </c>
      <c r="D163" s="229">
        <v>27.5</v>
      </c>
      <c r="E163" s="229">
        <v>31.0</v>
      </c>
      <c r="F163" s="230">
        <v>3.0</v>
      </c>
      <c r="G163" s="232"/>
    </row>
    <row r="164">
      <c r="A164" s="2"/>
      <c r="B164" s="168" t="s">
        <v>427</v>
      </c>
      <c r="C164" s="168" t="s">
        <v>428</v>
      </c>
      <c r="D164" s="229">
        <v>26.5</v>
      </c>
      <c r="E164" s="229">
        <v>30.0</v>
      </c>
      <c r="F164" s="230">
        <v>3.0</v>
      </c>
      <c r="G164" s="232"/>
    </row>
    <row r="165">
      <c r="A165" s="2"/>
      <c r="B165" s="168" t="s">
        <v>288</v>
      </c>
      <c r="C165" s="168" t="s">
        <v>429</v>
      </c>
      <c r="D165" s="229">
        <v>21.5</v>
      </c>
      <c r="E165" s="229">
        <v>25.0</v>
      </c>
      <c r="F165" s="230">
        <v>3.0</v>
      </c>
      <c r="G165" s="232"/>
    </row>
    <row r="166">
      <c r="A166" s="2"/>
      <c r="B166" s="168" t="s">
        <v>430</v>
      </c>
      <c r="C166" s="168" t="s">
        <v>431</v>
      </c>
      <c r="D166" s="229">
        <v>34.5</v>
      </c>
      <c r="E166" s="229">
        <v>38.0</v>
      </c>
      <c r="F166" s="230">
        <v>3.0</v>
      </c>
      <c r="G166" s="232"/>
    </row>
    <row r="167">
      <c r="A167" s="2"/>
      <c r="B167" s="168" t="s">
        <v>232</v>
      </c>
      <c r="C167" s="168" t="s">
        <v>432</v>
      </c>
      <c r="D167" s="229">
        <v>32.5</v>
      </c>
      <c r="E167" s="229">
        <v>36.0</v>
      </c>
      <c r="F167" s="230">
        <v>3.0</v>
      </c>
      <c r="G167" s="232"/>
    </row>
    <row r="168">
      <c r="A168" s="2"/>
      <c r="B168" s="168" t="s">
        <v>230</v>
      </c>
      <c r="C168" s="168" t="s">
        <v>433</v>
      </c>
      <c r="D168" s="229">
        <v>16.5</v>
      </c>
      <c r="E168" s="229">
        <v>20.0</v>
      </c>
      <c r="F168" s="230">
        <v>3.0</v>
      </c>
      <c r="G168" s="232"/>
    </row>
    <row r="169">
      <c r="A169" s="2"/>
      <c r="B169" s="168" t="s">
        <v>335</v>
      </c>
      <c r="C169" s="168" t="s">
        <v>434</v>
      </c>
      <c r="D169" s="229">
        <v>34.5</v>
      </c>
      <c r="E169" s="229">
        <v>38.0</v>
      </c>
      <c r="F169" s="230">
        <v>3.0</v>
      </c>
      <c r="G169" s="232"/>
    </row>
    <row r="170">
      <c r="A170" s="2"/>
      <c r="B170" s="168" t="s">
        <v>435</v>
      </c>
      <c r="C170" s="168" t="s">
        <v>435</v>
      </c>
      <c r="D170" s="229">
        <v>10.0</v>
      </c>
      <c r="E170" s="229">
        <v>10.0</v>
      </c>
      <c r="F170" s="230">
        <v>3.0</v>
      </c>
      <c r="G170" s="232"/>
    </row>
    <row r="171">
      <c r="A171" s="2"/>
      <c r="B171" s="168" t="s">
        <v>241</v>
      </c>
      <c r="C171" s="168" t="s">
        <v>436</v>
      </c>
      <c r="D171" s="229">
        <v>32.5</v>
      </c>
      <c r="E171" s="229">
        <v>36.0</v>
      </c>
      <c r="F171" s="230">
        <v>3.0</v>
      </c>
      <c r="G171" s="232"/>
    </row>
    <row r="172">
      <c r="A172" s="2"/>
      <c r="B172" s="168" t="s">
        <v>285</v>
      </c>
      <c r="C172" s="168" t="s">
        <v>437</v>
      </c>
      <c r="D172" s="229">
        <v>24.5</v>
      </c>
      <c r="E172" s="229">
        <v>28.0</v>
      </c>
      <c r="F172" s="230">
        <v>3.0</v>
      </c>
      <c r="G172" s="232"/>
    </row>
    <row r="173">
      <c r="A173" s="2"/>
      <c r="B173" s="168" t="s">
        <v>438</v>
      </c>
      <c r="C173" s="168" t="s">
        <v>439</v>
      </c>
      <c r="D173" s="229">
        <v>29.5</v>
      </c>
      <c r="E173" s="229">
        <v>33.0</v>
      </c>
      <c r="F173" s="230">
        <v>3.0</v>
      </c>
      <c r="G173" s="232"/>
    </row>
    <row r="174">
      <c r="A174" s="2"/>
      <c r="B174" s="168" t="s">
        <v>255</v>
      </c>
      <c r="C174" s="168" t="s">
        <v>440</v>
      </c>
      <c r="D174" s="229">
        <v>31.5</v>
      </c>
      <c r="E174" s="229">
        <v>35.0</v>
      </c>
      <c r="F174" s="230">
        <v>3.0</v>
      </c>
      <c r="G174" s="232"/>
    </row>
    <row r="175">
      <c r="A175" s="2"/>
      <c r="B175" s="168" t="s">
        <v>430</v>
      </c>
      <c r="C175" s="168" t="s">
        <v>441</v>
      </c>
      <c r="D175" s="229">
        <v>34.5</v>
      </c>
      <c r="E175" s="229">
        <v>38.0</v>
      </c>
      <c r="F175" s="230">
        <v>3.0</v>
      </c>
      <c r="G175" s="232"/>
    </row>
    <row r="176">
      <c r="A176" s="2"/>
      <c r="B176" s="168" t="s">
        <v>296</v>
      </c>
      <c r="C176" s="168" t="s">
        <v>442</v>
      </c>
      <c r="D176" s="229">
        <v>26.5</v>
      </c>
      <c r="E176" s="229">
        <v>30.0</v>
      </c>
      <c r="F176" s="230">
        <v>3.0</v>
      </c>
      <c r="G176" s="232"/>
    </row>
    <row r="177">
      <c r="A177" s="2"/>
      <c r="B177" s="168" t="s">
        <v>430</v>
      </c>
      <c r="C177" s="168" t="s">
        <v>443</v>
      </c>
      <c r="D177" s="229">
        <v>29.5</v>
      </c>
      <c r="E177" s="229">
        <v>33.0</v>
      </c>
      <c r="F177" s="230">
        <v>3.0</v>
      </c>
      <c r="G177" s="232"/>
    </row>
    <row r="178">
      <c r="A178" s="2"/>
      <c r="B178" s="168" t="s">
        <v>282</v>
      </c>
      <c r="C178" s="168" t="s">
        <v>444</v>
      </c>
      <c r="D178" s="229">
        <v>34.5</v>
      </c>
      <c r="E178" s="229">
        <v>38.0</v>
      </c>
      <c r="F178" s="230">
        <v>3.0</v>
      </c>
      <c r="G178" s="232"/>
    </row>
    <row r="179">
      <c r="A179" s="2"/>
      <c r="B179" s="168" t="s">
        <v>245</v>
      </c>
      <c r="C179" s="168" t="s">
        <v>445</v>
      </c>
      <c r="D179" s="229">
        <v>29.5</v>
      </c>
      <c r="E179" s="229">
        <v>33.0</v>
      </c>
      <c r="F179" s="230">
        <v>3.0</v>
      </c>
      <c r="G179" s="232"/>
    </row>
    <row r="180">
      <c r="A180" s="2"/>
      <c r="B180" s="168" t="s">
        <v>446</v>
      </c>
      <c r="C180" s="168" t="s">
        <v>447</v>
      </c>
      <c r="D180" s="229">
        <v>4.5</v>
      </c>
      <c r="E180" s="229">
        <v>4.5</v>
      </c>
      <c r="F180" s="230">
        <v>3.0</v>
      </c>
      <c r="G180" s="232"/>
    </row>
    <row r="181">
      <c r="A181" s="2"/>
      <c r="B181" s="168" t="s">
        <v>217</v>
      </c>
      <c r="C181" s="168" t="s">
        <v>448</v>
      </c>
      <c r="D181" s="229">
        <v>27.5</v>
      </c>
      <c r="E181" s="229">
        <v>31.0</v>
      </c>
      <c r="F181" s="230">
        <v>3.0</v>
      </c>
      <c r="G181" s="232"/>
    </row>
    <row r="182">
      <c r="A182" s="2"/>
      <c r="B182" s="168" t="s">
        <v>449</v>
      </c>
      <c r="C182" s="168" t="s">
        <v>450</v>
      </c>
      <c r="D182" s="229">
        <v>28.5</v>
      </c>
      <c r="E182" s="229">
        <v>32.0</v>
      </c>
      <c r="F182" s="230">
        <v>3.0</v>
      </c>
      <c r="G182" s="232"/>
    </row>
    <row r="183">
      <c r="A183" s="2"/>
      <c r="B183" s="168" t="s">
        <v>255</v>
      </c>
      <c r="C183" s="168" t="s">
        <v>451</v>
      </c>
      <c r="D183" s="229">
        <v>31.0</v>
      </c>
      <c r="E183" s="229">
        <v>34.5</v>
      </c>
      <c r="F183" s="230">
        <v>3.0</v>
      </c>
      <c r="G183" s="232"/>
    </row>
    <row r="184">
      <c r="A184" s="2"/>
      <c r="B184" s="168" t="s">
        <v>230</v>
      </c>
      <c r="C184" s="168" t="s">
        <v>452</v>
      </c>
      <c r="D184" s="229">
        <v>21.5</v>
      </c>
      <c r="E184" s="229">
        <v>25.0</v>
      </c>
      <c r="F184" s="230">
        <v>3.0</v>
      </c>
      <c r="G184" s="232"/>
    </row>
    <row r="185">
      <c r="A185" s="2"/>
      <c r="B185" s="168" t="s">
        <v>282</v>
      </c>
      <c r="C185" s="168" t="s">
        <v>453</v>
      </c>
      <c r="D185" s="229">
        <v>34.5</v>
      </c>
      <c r="E185" s="229">
        <v>38.0</v>
      </c>
      <c r="F185" s="230">
        <v>3.0</v>
      </c>
      <c r="G185" s="232"/>
    </row>
    <row r="186">
      <c r="A186" s="2"/>
      <c r="B186" s="168" t="s">
        <v>427</v>
      </c>
      <c r="C186" s="168" t="s">
        <v>454</v>
      </c>
      <c r="D186" s="229">
        <v>26.5</v>
      </c>
      <c r="E186" s="229">
        <v>30.0</v>
      </c>
      <c r="F186" s="230">
        <v>3.0</v>
      </c>
      <c r="G186" s="232"/>
    </row>
    <row r="187">
      <c r="A187" s="2"/>
      <c r="B187" s="168" t="s">
        <v>296</v>
      </c>
      <c r="C187" s="168" t="s">
        <v>455</v>
      </c>
      <c r="D187" s="229">
        <v>26.5</v>
      </c>
      <c r="E187" s="229">
        <v>30.0</v>
      </c>
      <c r="F187" s="230">
        <v>3.0</v>
      </c>
      <c r="G187" s="232"/>
    </row>
    <row r="188">
      <c r="A188" s="2"/>
      <c r="B188" s="168" t="s">
        <v>456</v>
      </c>
      <c r="C188" s="168" t="s">
        <v>457</v>
      </c>
      <c r="D188" s="229">
        <v>21.5</v>
      </c>
      <c r="E188" s="229">
        <v>25.0</v>
      </c>
      <c r="F188" s="230">
        <v>3.0</v>
      </c>
      <c r="G188" s="232"/>
    </row>
    <row r="189">
      <c r="A189" s="2"/>
      <c r="B189" s="168" t="s">
        <v>260</v>
      </c>
      <c r="C189" s="168" t="s">
        <v>458</v>
      </c>
      <c r="D189" s="229">
        <v>28.5</v>
      </c>
      <c r="E189" s="229">
        <v>32.0</v>
      </c>
      <c r="F189" s="230">
        <v>3.0</v>
      </c>
      <c r="G189" s="232"/>
    </row>
    <row r="190">
      <c r="A190" s="2"/>
      <c r="B190" s="168" t="s">
        <v>337</v>
      </c>
      <c r="C190" s="168" t="s">
        <v>459</v>
      </c>
      <c r="D190" s="229">
        <v>28.5</v>
      </c>
      <c r="E190" s="229">
        <v>32.0</v>
      </c>
      <c r="F190" s="230">
        <v>3.0</v>
      </c>
      <c r="G190" s="232"/>
    </row>
    <row r="191">
      <c r="A191" s="2"/>
      <c r="B191" s="168" t="s">
        <v>230</v>
      </c>
      <c r="C191" s="168" t="s">
        <v>460</v>
      </c>
      <c r="D191" s="229">
        <v>16.5</v>
      </c>
      <c r="E191" s="229">
        <v>20.0</v>
      </c>
      <c r="F191" s="230">
        <v>3.0</v>
      </c>
      <c r="G191" s="232"/>
    </row>
    <row r="192">
      <c r="A192" s="2"/>
      <c r="B192" s="168" t="s">
        <v>377</v>
      </c>
      <c r="C192" s="168" t="s">
        <v>461</v>
      </c>
      <c r="D192" s="229">
        <v>29.5</v>
      </c>
      <c r="E192" s="229">
        <v>33.0</v>
      </c>
      <c r="F192" s="230">
        <v>3.0</v>
      </c>
      <c r="G192" s="232"/>
    </row>
    <row r="193">
      <c r="A193" s="2"/>
      <c r="B193" s="168" t="s">
        <v>332</v>
      </c>
      <c r="C193" s="168" t="s">
        <v>462</v>
      </c>
      <c r="D193" s="229">
        <v>28.5</v>
      </c>
      <c r="E193" s="229">
        <v>32.0</v>
      </c>
      <c r="F193" s="230">
        <v>3.0</v>
      </c>
      <c r="G193" s="232"/>
    </row>
    <row r="194">
      <c r="A194" s="2"/>
      <c r="B194" s="168" t="s">
        <v>269</v>
      </c>
      <c r="C194" s="168" t="s">
        <v>463</v>
      </c>
      <c r="D194" s="229">
        <v>26.5</v>
      </c>
      <c r="E194" s="229">
        <v>30.0</v>
      </c>
      <c r="F194" s="230">
        <v>3.0</v>
      </c>
      <c r="G194" s="232"/>
    </row>
    <row r="195">
      <c r="A195" s="2"/>
      <c r="B195" s="168" t="s">
        <v>464</v>
      </c>
      <c r="C195" s="168" t="s">
        <v>465</v>
      </c>
      <c r="D195" s="229">
        <v>0.5</v>
      </c>
      <c r="E195" s="229">
        <v>0.5</v>
      </c>
      <c r="F195" s="230">
        <v>0.5</v>
      </c>
      <c r="G195" s="232"/>
    </row>
    <row r="196">
      <c r="A196" s="2"/>
      <c r="B196" s="168" t="s">
        <v>288</v>
      </c>
      <c r="C196" s="168" t="s">
        <v>466</v>
      </c>
      <c r="D196" s="229">
        <v>21.5</v>
      </c>
      <c r="E196" s="229">
        <v>25.0</v>
      </c>
      <c r="F196" s="230">
        <v>3.0</v>
      </c>
      <c r="G196" s="232"/>
    </row>
    <row r="197">
      <c r="A197" s="2"/>
      <c r="B197" s="168" t="s">
        <v>406</v>
      </c>
      <c r="C197" s="168" t="s">
        <v>467</v>
      </c>
      <c r="D197" s="229">
        <v>21.5</v>
      </c>
      <c r="E197" s="229">
        <v>25.0</v>
      </c>
      <c r="F197" s="230">
        <v>3.0</v>
      </c>
      <c r="G197" s="232"/>
    </row>
    <row r="198">
      <c r="A198" s="2"/>
      <c r="B198" s="168" t="s">
        <v>271</v>
      </c>
      <c r="C198" s="168" t="s">
        <v>468</v>
      </c>
      <c r="D198" s="229">
        <v>30.5</v>
      </c>
      <c r="E198" s="229">
        <v>34.0</v>
      </c>
      <c r="F198" s="230">
        <v>3.0</v>
      </c>
      <c r="G198" s="232"/>
    </row>
    <row r="199">
      <c r="A199" s="2"/>
      <c r="B199" s="168" t="s">
        <v>290</v>
      </c>
      <c r="C199" s="168" t="s">
        <v>469</v>
      </c>
      <c r="D199" s="229">
        <v>29.5</v>
      </c>
      <c r="E199" s="229">
        <v>33.0</v>
      </c>
      <c r="F199" s="230">
        <v>3.0</v>
      </c>
      <c r="G199" s="232"/>
    </row>
    <row r="200">
      <c r="A200" s="2"/>
      <c r="B200" s="168" t="s">
        <v>230</v>
      </c>
      <c r="C200" s="168" t="s">
        <v>470</v>
      </c>
      <c r="D200" s="229">
        <v>21.5</v>
      </c>
      <c r="E200" s="229">
        <v>25.0</v>
      </c>
      <c r="F200" s="230">
        <v>3.0</v>
      </c>
      <c r="G200" s="232"/>
    </row>
    <row r="201">
      <c r="A201" s="2"/>
      <c r="B201" s="168" t="s">
        <v>269</v>
      </c>
      <c r="C201" s="168" t="s">
        <v>471</v>
      </c>
      <c r="D201" s="229">
        <v>26.5</v>
      </c>
      <c r="E201" s="229">
        <v>30.0</v>
      </c>
      <c r="F201" s="230">
        <v>3.0</v>
      </c>
      <c r="G201" s="232"/>
    </row>
    <row r="202">
      <c r="A202" s="2"/>
      <c r="B202" s="168" t="s">
        <v>215</v>
      </c>
      <c r="C202" s="168" t="s">
        <v>472</v>
      </c>
      <c r="D202" s="229">
        <v>27.5</v>
      </c>
      <c r="E202" s="229">
        <v>31.0</v>
      </c>
      <c r="F202" s="230">
        <v>3.0</v>
      </c>
      <c r="G202" s="232"/>
    </row>
    <row r="203">
      <c r="A203" s="2"/>
      <c r="B203" s="168" t="s">
        <v>245</v>
      </c>
      <c r="C203" s="168" t="s">
        <v>473</v>
      </c>
      <c r="D203" s="229">
        <v>29.5</v>
      </c>
      <c r="E203" s="229">
        <v>33.0</v>
      </c>
      <c r="F203" s="230">
        <v>3.0</v>
      </c>
      <c r="G203" s="232"/>
    </row>
    <row r="204">
      <c r="A204" s="2"/>
      <c r="B204" s="168" t="s">
        <v>243</v>
      </c>
      <c r="C204" s="168" t="s">
        <v>474</v>
      </c>
      <c r="D204" s="229">
        <v>29.5</v>
      </c>
      <c r="E204" s="229">
        <v>33.0</v>
      </c>
      <c r="F204" s="230">
        <v>3.0</v>
      </c>
      <c r="G204" s="232"/>
    </row>
    <row r="205">
      <c r="A205" s="2"/>
      <c r="B205" s="168" t="s">
        <v>217</v>
      </c>
      <c r="C205" s="168" t="s">
        <v>475</v>
      </c>
      <c r="D205" s="229">
        <v>22.5</v>
      </c>
      <c r="E205" s="229">
        <v>26.0</v>
      </c>
      <c r="F205" s="230">
        <v>3.0</v>
      </c>
      <c r="G205" s="232"/>
    </row>
    <row r="206">
      <c r="A206" s="2"/>
      <c r="B206" s="168" t="s">
        <v>273</v>
      </c>
      <c r="C206" s="168" t="s">
        <v>476</v>
      </c>
      <c r="D206" s="229">
        <v>29.5</v>
      </c>
      <c r="E206" s="229">
        <v>33.0</v>
      </c>
      <c r="F206" s="230">
        <v>3.0</v>
      </c>
      <c r="G206" s="232"/>
    </row>
    <row r="207">
      <c r="A207" s="2"/>
      <c r="B207" s="168" t="s">
        <v>232</v>
      </c>
      <c r="C207" s="168" t="s">
        <v>477</v>
      </c>
      <c r="D207" s="229">
        <v>27.5</v>
      </c>
      <c r="E207" s="229">
        <v>31.0</v>
      </c>
      <c r="F207" s="230">
        <v>3.0</v>
      </c>
      <c r="G207" s="232"/>
    </row>
    <row r="208">
      <c r="A208" s="2"/>
      <c r="B208" s="168" t="s">
        <v>302</v>
      </c>
      <c r="C208" s="168" t="s">
        <v>478</v>
      </c>
      <c r="D208" s="229">
        <v>34.5</v>
      </c>
      <c r="E208" s="229">
        <v>38.0</v>
      </c>
      <c r="F208" s="230">
        <v>3.0</v>
      </c>
      <c r="G208" s="232"/>
    </row>
    <row r="209">
      <c r="A209" s="2"/>
      <c r="B209" s="168" t="s">
        <v>215</v>
      </c>
      <c r="C209" s="168" t="s">
        <v>479</v>
      </c>
      <c r="D209" s="229">
        <v>24.5</v>
      </c>
      <c r="E209" s="229">
        <v>28.0</v>
      </c>
      <c r="F209" s="230">
        <v>3.0</v>
      </c>
      <c r="G209" s="232"/>
    </row>
    <row r="210">
      <c r="A210" s="2"/>
      <c r="B210" s="168" t="s">
        <v>337</v>
      </c>
      <c r="C210" s="168" t="s">
        <v>480</v>
      </c>
      <c r="D210" s="229">
        <v>28.5</v>
      </c>
      <c r="E210" s="229">
        <v>32.0</v>
      </c>
      <c r="F210" s="230">
        <v>3.0</v>
      </c>
      <c r="G210" s="232"/>
    </row>
    <row r="211">
      <c r="A211" s="2"/>
      <c r="B211" s="168" t="s">
        <v>288</v>
      </c>
      <c r="C211" s="168" t="s">
        <v>481</v>
      </c>
      <c r="D211" s="229">
        <v>21.5</v>
      </c>
      <c r="E211" s="229">
        <v>25.0</v>
      </c>
      <c r="F211" s="230">
        <v>3.0</v>
      </c>
      <c r="G211" s="232"/>
    </row>
    <row r="212">
      <c r="A212" s="2"/>
      <c r="B212" s="168" t="s">
        <v>260</v>
      </c>
      <c r="C212" s="168" t="s">
        <v>482</v>
      </c>
      <c r="D212" s="229">
        <v>28.0</v>
      </c>
      <c r="E212" s="229">
        <v>31.5</v>
      </c>
      <c r="F212" s="230">
        <v>3.0</v>
      </c>
      <c r="G212" s="232"/>
    </row>
    <row r="213">
      <c r="A213" s="2"/>
      <c r="B213" s="168" t="s">
        <v>232</v>
      </c>
      <c r="C213" s="168" t="s">
        <v>483</v>
      </c>
      <c r="D213" s="229">
        <v>31.5</v>
      </c>
      <c r="E213" s="229">
        <v>35.0</v>
      </c>
      <c r="F213" s="230">
        <v>3.0</v>
      </c>
      <c r="G213" s="232"/>
    </row>
    <row r="214">
      <c r="A214" s="2"/>
      <c r="B214" s="168" t="s">
        <v>318</v>
      </c>
      <c r="C214" s="168" t="s">
        <v>484</v>
      </c>
      <c r="D214" s="229">
        <v>25.5</v>
      </c>
      <c r="E214" s="229">
        <v>29.0</v>
      </c>
      <c r="F214" s="230">
        <v>3.0</v>
      </c>
      <c r="G214" s="232"/>
    </row>
    <row r="215">
      <c r="A215" s="2"/>
      <c r="B215" s="168" t="s">
        <v>341</v>
      </c>
      <c r="C215" s="168" t="s">
        <v>485</v>
      </c>
      <c r="D215" s="229">
        <v>29.5</v>
      </c>
      <c r="E215" s="229">
        <v>29.5</v>
      </c>
      <c r="F215" s="230">
        <v>3.0</v>
      </c>
      <c r="G215" s="232"/>
    </row>
    <row r="216">
      <c r="A216" s="2"/>
      <c r="B216" s="168" t="s">
        <v>260</v>
      </c>
      <c r="C216" s="168" t="s">
        <v>486</v>
      </c>
      <c r="D216" s="229">
        <v>28.5</v>
      </c>
      <c r="E216" s="229">
        <v>32.0</v>
      </c>
      <c r="F216" s="230">
        <v>3.0</v>
      </c>
      <c r="G216" s="232"/>
    </row>
    <row r="217">
      <c r="A217" s="2"/>
      <c r="B217" s="168" t="s">
        <v>217</v>
      </c>
      <c r="C217" s="168" t="s">
        <v>487</v>
      </c>
      <c r="D217" s="229">
        <v>27.5</v>
      </c>
      <c r="E217" s="229">
        <v>31.0</v>
      </c>
      <c r="F217" s="230">
        <v>3.0</v>
      </c>
      <c r="G217" s="232"/>
    </row>
    <row r="218">
      <c r="A218" s="2"/>
      <c r="B218" s="168" t="s">
        <v>243</v>
      </c>
      <c r="C218" s="168" t="s">
        <v>488</v>
      </c>
      <c r="D218" s="229">
        <v>29.5</v>
      </c>
      <c r="E218" s="229">
        <v>33.0</v>
      </c>
      <c r="F218" s="230">
        <v>3.0</v>
      </c>
      <c r="G218" s="232"/>
    </row>
    <row r="219">
      <c r="A219" s="2"/>
      <c r="B219" s="168" t="s">
        <v>234</v>
      </c>
      <c r="C219" s="168" t="s">
        <v>489</v>
      </c>
      <c r="D219" s="229">
        <v>29.5</v>
      </c>
      <c r="E219" s="229">
        <v>33.0</v>
      </c>
      <c r="F219" s="230">
        <v>3.0</v>
      </c>
      <c r="G219" s="232"/>
    </row>
    <row r="220">
      <c r="A220" s="2"/>
      <c r="B220" s="168" t="s">
        <v>490</v>
      </c>
      <c r="C220" s="168" t="s">
        <v>491</v>
      </c>
      <c r="D220" s="229">
        <v>34.5</v>
      </c>
      <c r="E220" s="229">
        <v>38.0</v>
      </c>
      <c r="F220" s="230">
        <v>3.0</v>
      </c>
      <c r="G220" s="232"/>
    </row>
    <row r="221">
      <c r="A221" s="2"/>
      <c r="B221" s="168" t="s">
        <v>269</v>
      </c>
      <c r="C221" s="168" t="s">
        <v>492</v>
      </c>
      <c r="D221" s="229">
        <v>26.5</v>
      </c>
      <c r="E221" s="229">
        <v>30.0</v>
      </c>
      <c r="F221" s="230">
        <v>3.0</v>
      </c>
      <c r="G221" s="232"/>
    </row>
    <row r="222">
      <c r="A222" s="2"/>
      <c r="B222" s="168" t="s">
        <v>243</v>
      </c>
      <c r="C222" s="168" t="s">
        <v>493</v>
      </c>
      <c r="D222" s="229">
        <v>29.5</v>
      </c>
      <c r="E222" s="229">
        <v>33.0</v>
      </c>
      <c r="F222" s="230">
        <v>3.0</v>
      </c>
      <c r="G222" s="232"/>
    </row>
    <row r="223">
      <c r="A223" s="2"/>
      <c r="B223" s="168" t="s">
        <v>269</v>
      </c>
      <c r="C223" s="168" t="s">
        <v>494</v>
      </c>
      <c r="D223" s="229">
        <v>26.0</v>
      </c>
      <c r="E223" s="229">
        <v>29.5</v>
      </c>
      <c r="F223" s="230">
        <v>3.0</v>
      </c>
      <c r="G223" s="232"/>
    </row>
    <row r="224">
      <c r="A224" s="2"/>
      <c r="B224" s="168" t="s">
        <v>337</v>
      </c>
      <c r="C224" s="168" t="s">
        <v>495</v>
      </c>
      <c r="D224" s="229">
        <v>28.5</v>
      </c>
      <c r="E224" s="229">
        <v>32.0</v>
      </c>
      <c r="F224" s="230">
        <v>3.0</v>
      </c>
      <c r="G224" s="232"/>
    </row>
    <row r="225">
      <c r="A225" s="2"/>
      <c r="B225" s="168" t="s">
        <v>345</v>
      </c>
      <c r="C225" s="168" t="s">
        <v>496</v>
      </c>
      <c r="D225" s="229">
        <v>26.5</v>
      </c>
      <c r="E225" s="229">
        <v>30.0</v>
      </c>
      <c r="F225" s="230">
        <v>3.0</v>
      </c>
      <c r="G225" s="232"/>
    </row>
    <row r="226">
      <c r="A226" s="2"/>
      <c r="B226" s="168" t="s">
        <v>269</v>
      </c>
      <c r="C226" s="168" t="s">
        <v>497</v>
      </c>
      <c r="D226" s="229">
        <v>26.5</v>
      </c>
      <c r="E226" s="229">
        <v>30.0</v>
      </c>
      <c r="F226" s="230">
        <v>3.0</v>
      </c>
      <c r="G226" s="232"/>
    </row>
    <row r="227">
      <c r="A227" s="2"/>
      <c r="B227" s="168" t="s">
        <v>255</v>
      </c>
      <c r="C227" s="168" t="s">
        <v>498</v>
      </c>
      <c r="D227" s="229">
        <v>31.5</v>
      </c>
      <c r="E227" s="229">
        <v>35.0</v>
      </c>
      <c r="F227" s="230">
        <v>3.0</v>
      </c>
      <c r="G227" s="232"/>
    </row>
    <row r="228">
      <c r="A228" s="2"/>
      <c r="B228" s="168" t="s">
        <v>241</v>
      </c>
      <c r="C228" s="168" t="s">
        <v>499</v>
      </c>
      <c r="D228" s="229">
        <v>32.5</v>
      </c>
      <c r="E228" s="229">
        <v>36.0</v>
      </c>
      <c r="F228" s="230">
        <v>3.0</v>
      </c>
      <c r="G228" s="232"/>
    </row>
    <row r="229">
      <c r="A229" s="2"/>
      <c r="B229" s="168" t="s">
        <v>217</v>
      </c>
      <c r="C229" s="168" t="s">
        <v>500</v>
      </c>
      <c r="D229" s="229">
        <v>27.5</v>
      </c>
      <c r="E229" s="229">
        <v>31.0</v>
      </c>
      <c r="F229" s="230">
        <v>3.0</v>
      </c>
      <c r="G229" s="232"/>
    </row>
    <row r="230">
      <c r="A230" s="2"/>
      <c r="B230" s="168" t="s">
        <v>280</v>
      </c>
      <c r="C230" s="168" t="s">
        <v>501</v>
      </c>
      <c r="D230" s="229">
        <v>28.5</v>
      </c>
      <c r="E230" s="229">
        <v>32.0</v>
      </c>
      <c r="F230" s="230">
        <v>3.0</v>
      </c>
      <c r="G230" s="232"/>
    </row>
    <row r="231">
      <c r="A231" s="2"/>
      <c r="B231" s="168" t="s">
        <v>269</v>
      </c>
      <c r="C231" s="168" t="s">
        <v>502</v>
      </c>
      <c r="D231" s="229">
        <v>26.5</v>
      </c>
      <c r="E231" s="229">
        <v>30.0</v>
      </c>
      <c r="F231" s="230">
        <v>3.0</v>
      </c>
      <c r="G231" s="232"/>
    </row>
    <row r="232">
      <c r="A232" s="2"/>
      <c r="B232" s="168" t="s">
        <v>345</v>
      </c>
      <c r="C232" s="168" t="s">
        <v>503</v>
      </c>
      <c r="D232" s="229">
        <v>26.5</v>
      </c>
      <c r="E232" s="229">
        <v>30.0</v>
      </c>
      <c r="F232" s="230">
        <v>3.0</v>
      </c>
      <c r="G232" s="232"/>
    </row>
    <row r="233">
      <c r="A233" s="2"/>
      <c r="B233" s="168" t="s">
        <v>232</v>
      </c>
      <c r="C233" s="168" t="s">
        <v>504</v>
      </c>
      <c r="D233" s="229">
        <v>25.0</v>
      </c>
      <c r="E233" s="229">
        <v>28.5</v>
      </c>
      <c r="F233" s="230">
        <v>3.0</v>
      </c>
      <c r="G233" s="232"/>
    </row>
    <row r="234">
      <c r="A234" s="2"/>
      <c r="B234" s="168" t="s">
        <v>217</v>
      </c>
      <c r="C234" s="168" t="s">
        <v>505</v>
      </c>
      <c r="D234" s="229">
        <v>27.5</v>
      </c>
      <c r="E234" s="229">
        <v>31.0</v>
      </c>
      <c r="F234" s="230">
        <v>3.0</v>
      </c>
      <c r="G234" s="232"/>
    </row>
    <row r="235">
      <c r="A235" s="2"/>
      <c r="B235" s="168" t="s">
        <v>243</v>
      </c>
      <c r="C235" s="168" t="s">
        <v>506</v>
      </c>
      <c r="D235" s="229">
        <v>29.5</v>
      </c>
      <c r="E235" s="229">
        <v>33.0</v>
      </c>
      <c r="F235" s="230">
        <v>3.0</v>
      </c>
      <c r="G235" s="232"/>
    </row>
    <row r="236">
      <c r="A236" s="2"/>
      <c r="B236" s="168" t="s">
        <v>337</v>
      </c>
      <c r="C236" s="168" t="s">
        <v>507</v>
      </c>
      <c r="D236" s="229">
        <v>28.5</v>
      </c>
      <c r="E236" s="229">
        <v>32.0</v>
      </c>
      <c r="F236" s="230">
        <v>3.0</v>
      </c>
      <c r="G236" s="232"/>
    </row>
    <row r="237">
      <c r="A237" s="2"/>
      <c r="B237" s="168" t="s">
        <v>217</v>
      </c>
      <c r="C237" s="168" t="s">
        <v>508</v>
      </c>
      <c r="D237" s="229">
        <v>27.5</v>
      </c>
      <c r="E237" s="229">
        <v>31.0</v>
      </c>
      <c r="F237" s="230">
        <v>3.0</v>
      </c>
      <c r="G237" s="232"/>
    </row>
    <row r="238">
      <c r="A238" s="2"/>
      <c r="B238" s="168" t="s">
        <v>217</v>
      </c>
      <c r="C238" s="168" t="s">
        <v>509</v>
      </c>
      <c r="D238" s="229">
        <v>27.5</v>
      </c>
      <c r="E238" s="229">
        <v>31.0</v>
      </c>
      <c r="F238" s="230">
        <v>3.0</v>
      </c>
      <c r="G238" s="232"/>
    </row>
    <row r="239">
      <c r="A239" s="2"/>
      <c r="B239" s="168" t="s">
        <v>215</v>
      </c>
      <c r="C239" s="168" t="s">
        <v>510</v>
      </c>
      <c r="D239" s="229">
        <v>28.5</v>
      </c>
      <c r="E239" s="229">
        <v>32.0</v>
      </c>
      <c r="F239" s="230">
        <v>3.0</v>
      </c>
      <c r="G239" s="232"/>
    </row>
    <row r="240">
      <c r="A240" s="2"/>
      <c r="B240" s="168" t="s">
        <v>348</v>
      </c>
      <c r="C240" s="168" t="s">
        <v>511</v>
      </c>
      <c r="D240" s="229">
        <v>24.5</v>
      </c>
      <c r="E240" s="229">
        <v>28.0</v>
      </c>
      <c r="F240" s="230">
        <v>3.0</v>
      </c>
      <c r="G240" s="232"/>
    </row>
    <row r="241">
      <c r="A241" s="2"/>
      <c r="B241" s="168" t="s">
        <v>215</v>
      </c>
      <c r="C241" s="168" t="s">
        <v>512</v>
      </c>
      <c r="D241" s="229">
        <v>29.5</v>
      </c>
      <c r="E241" s="229">
        <v>33.0</v>
      </c>
      <c r="F241" s="230">
        <v>3.0</v>
      </c>
      <c r="G241" s="232"/>
    </row>
    <row r="242">
      <c r="A242" s="2"/>
      <c r="B242" s="168" t="s">
        <v>348</v>
      </c>
      <c r="C242" s="168" t="s">
        <v>513</v>
      </c>
      <c r="D242" s="229">
        <v>24.5</v>
      </c>
      <c r="E242" s="229">
        <v>28.0</v>
      </c>
      <c r="F242" s="230">
        <v>3.0</v>
      </c>
      <c r="G242" s="232"/>
    </row>
    <row r="243">
      <c r="A243" s="2"/>
      <c r="B243" s="168" t="s">
        <v>219</v>
      </c>
      <c r="C243" s="168" t="s">
        <v>514</v>
      </c>
      <c r="D243" s="229">
        <v>19.5</v>
      </c>
      <c r="E243" s="229">
        <v>23.0</v>
      </c>
      <c r="F243" s="230">
        <v>3.0</v>
      </c>
      <c r="G243" s="232"/>
    </row>
    <row r="244">
      <c r="A244" s="2"/>
      <c r="B244" s="168" t="s">
        <v>288</v>
      </c>
      <c r="C244" s="168" t="s">
        <v>515</v>
      </c>
      <c r="D244" s="229">
        <v>21.5</v>
      </c>
      <c r="E244" s="229">
        <v>25.0</v>
      </c>
      <c r="F244" s="230">
        <v>3.0</v>
      </c>
      <c r="G244" s="232"/>
    </row>
    <row r="245">
      <c r="A245" s="2"/>
      <c r="B245" s="168" t="s">
        <v>328</v>
      </c>
      <c r="C245" s="168" t="s">
        <v>516</v>
      </c>
      <c r="D245" s="229">
        <v>34.5</v>
      </c>
      <c r="E245" s="229">
        <v>38.0</v>
      </c>
      <c r="F245" s="230">
        <v>3.0</v>
      </c>
      <c r="G245" s="232"/>
    </row>
    <row r="246">
      <c r="A246" s="2"/>
      <c r="B246" s="168" t="s">
        <v>230</v>
      </c>
      <c r="C246" s="168" t="s">
        <v>517</v>
      </c>
      <c r="D246" s="229">
        <v>16.5</v>
      </c>
      <c r="E246" s="229">
        <v>20.0</v>
      </c>
      <c r="F246" s="230">
        <v>3.0</v>
      </c>
      <c r="G246" s="232"/>
    </row>
    <row r="247">
      <c r="A247" s="2"/>
      <c r="B247" s="168" t="s">
        <v>464</v>
      </c>
      <c r="C247" s="168" t="s">
        <v>518</v>
      </c>
      <c r="D247" s="229">
        <v>0.5</v>
      </c>
      <c r="E247" s="229">
        <v>0.5</v>
      </c>
      <c r="F247" s="230">
        <v>0.5</v>
      </c>
      <c r="G247" s="232"/>
    </row>
    <row r="248">
      <c r="A248" s="2"/>
      <c r="B248" s="168" t="s">
        <v>288</v>
      </c>
      <c r="C248" s="168" t="s">
        <v>519</v>
      </c>
      <c r="D248" s="229">
        <v>21.5</v>
      </c>
      <c r="E248" s="229">
        <v>25.0</v>
      </c>
      <c r="F248" s="230">
        <v>3.0</v>
      </c>
      <c r="G248" s="232"/>
    </row>
    <row r="249">
      <c r="A249" s="2"/>
      <c r="B249" s="168" t="s">
        <v>219</v>
      </c>
      <c r="C249" s="168" t="s">
        <v>219</v>
      </c>
      <c r="D249" s="229">
        <v>28.5</v>
      </c>
      <c r="E249" s="229">
        <v>32.0</v>
      </c>
      <c r="F249" s="230">
        <v>3.0</v>
      </c>
      <c r="G249" s="232"/>
    </row>
    <row r="250">
      <c r="A250" s="2"/>
      <c r="B250" s="168" t="s">
        <v>294</v>
      </c>
      <c r="C250" s="168" t="s">
        <v>520</v>
      </c>
      <c r="D250" s="229">
        <v>19.5</v>
      </c>
      <c r="E250" s="229">
        <v>19.5</v>
      </c>
      <c r="F250" s="230">
        <v>3.0</v>
      </c>
      <c r="G250" s="232"/>
    </row>
    <row r="251">
      <c r="A251" s="2"/>
      <c r="B251" s="168" t="s">
        <v>260</v>
      </c>
      <c r="C251" s="168" t="s">
        <v>521</v>
      </c>
      <c r="D251" s="229">
        <v>28.5</v>
      </c>
      <c r="E251" s="229">
        <v>32.0</v>
      </c>
      <c r="F251" s="230">
        <v>3.0</v>
      </c>
      <c r="G251" s="232"/>
    </row>
    <row r="252">
      <c r="A252" s="2"/>
      <c r="B252" s="168" t="s">
        <v>269</v>
      </c>
      <c r="C252" s="168" t="s">
        <v>522</v>
      </c>
      <c r="D252" s="229">
        <v>26.5</v>
      </c>
      <c r="E252" s="229">
        <v>30.0</v>
      </c>
      <c r="F252" s="230">
        <v>3.0</v>
      </c>
      <c r="G252" s="232"/>
    </row>
    <row r="253">
      <c r="A253" s="2"/>
      <c r="B253" s="168" t="s">
        <v>232</v>
      </c>
      <c r="C253" s="168" t="s">
        <v>523</v>
      </c>
      <c r="D253" s="229">
        <v>25.5</v>
      </c>
      <c r="E253" s="229">
        <v>29.0</v>
      </c>
      <c r="F253" s="230">
        <v>3.0</v>
      </c>
      <c r="G253" s="232"/>
    </row>
    <row r="254">
      <c r="A254" s="2"/>
      <c r="B254" s="168" t="s">
        <v>249</v>
      </c>
      <c r="C254" s="168" t="s">
        <v>524</v>
      </c>
      <c r="D254" s="229">
        <v>3.0</v>
      </c>
      <c r="E254" s="229">
        <v>3.0</v>
      </c>
      <c r="F254" s="230">
        <v>3.0</v>
      </c>
      <c r="G254" s="232"/>
    </row>
    <row r="255">
      <c r="A255" s="2"/>
      <c r="B255" s="168" t="s">
        <v>302</v>
      </c>
      <c r="C255" s="168" t="s">
        <v>525</v>
      </c>
      <c r="D255" s="229">
        <v>34.5</v>
      </c>
      <c r="E255" s="229">
        <v>38.0</v>
      </c>
      <c r="F255" s="230">
        <v>3.0</v>
      </c>
      <c r="G255" s="232"/>
    </row>
    <row r="256">
      <c r="A256" s="2"/>
      <c r="B256" s="168" t="s">
        <v>249</v>
      </c>
      <c r="C256" s="168" t="s">
        <v>526</v>
      </c>
      <c r="D256" s="229">
        <v>3.0</v>
      </c>
      <c r="E256" s="229">
        <v>3.0</v>
      </c>
      <c r="F256" s="230">
        <v>3.0</v>
      </c>
      <c r="G256" s="232"/>
    </row>
    <row r="257">
      <c r="A257" s="2"/>
      <c r="B257" s="168" t="s">
        <v>332</v>
      </c>
      <c r="C257" s="168" t="s">
        <v>527</v>
      </c>
      <c r="D257" s="229">
        <v>28.5</v>
      </c>
      <c r="E257" s="229">
        <v>32.0</v>
      </c>
      <c r="F257" s="230">
        <v>3.0</v>
      </c>
      <c r="G257" s="232"/>
    </row>
    <row r="258">
      <c r="A258" s="2"/>
      <c r="B258" s="168" t="s">
        <v>241</v>
      </c>
      <c r="C258" s="168" t="s">
        <v>528</v>
      </c>
      <c r="D258" s="229">
        <v>27.5</v>
      </c>
      <c r="E258" s="229">
        <v>31.0</v>
      </c>
      <c r="F258" s="230">
        <v>3.0</v>
      </c>
      <c r="G258" s="232"/>
    </row>
    <row r="259">
      <c r="A259" s="2"/>
      <c r="B259" s="168" t="s">
        <v>275</v>
      </c>
      <c r="C259" s="168" t="s">
        <v>529</v>
      </c>
      <c r="D259" s="229">
        <v>21.5</v>
      </c>
      <c r="E259" s="229">
        <v>25.0</v>
      </c>
      <c r="F259" s="230">
        <v>3.0</v>
      </c>
      <c r="G259" s="232"/>
    </row>
    <row r="260">
      <c r="A260" s="2"/>
      <c r="B260" s="168" t="s">
        <v>215</v>
      </c>
      <c r="C260" s="168" t="s">
        <v>530</v>
      </c>
      <c r="D260" s="229">
        <v>25.5</v>
      </c>
      <c r="E260" s="229">
        <v>29.0</v>
      </c>
      <c r="F260" s="230">
        <v>3.0</v>
      </c>
      <c r="G260" s="232"/>
    </row>
    <row r="261">
      <c r="A261" s="2"/>
      <c r="B261" s="168" t="s">
        <v>223</v>
      </c>
      <c r="C261" s="168" t="s">
        <v>531</v>
      </c>
      <c r="D261" s="229">
        <v>26.5</v>
      </c>
      <c r="E261" s="229">
        <v>30.0</v>
      </c>
      <c r="F261" s="230">
        <v>3.0</v>
      </c>
      <c r="G261" s="232"/>
    </row>
    <row r="262">
      <c r="A262" s="2"/>
      <c r="B262" s="168" t="s">
        <v>275</v>
      </c>
      <c r="C262" s="168" t="s">
        <v>532</v>
      </c>
      <c r="D262" s="229">
        <v>26.5</v>
      </c>
      <c r="E262" s="229">
        <v>30.0</v>
      </c>
      <c r="F262" s="230">
        <v>3.0</v>
      </c>
      <c r="G262" s="232"/>
    </row>
    <row r="263">
      <c r="A263" s="2"/>
      <c r="B263" s="168" t="s">
        <v>280</v>
      </c>
      <c r="C263" s="168" t="s">
        <v>533</v>
      </c>
      <c r="D263" s="229">
        <v>33.0</v>
      </c>
      <c r="E263" s="229">
        <v>36.5</v>
      </c>
      <c r="F263" s="230">
        <v>3.0</v>
      </c>
      <c r="G263" s="232"/>
    </row>
    <row r="264">
      <c r="A264" s="2"/>
      <c r="B264" s="168" t="s">
        <v>288</v>
      </c>
      <c r="C264" s="168" t="s">
        <v>534</v>
      </c>
      <c r="D264" s="229">
        <v>21.5</v>
      </c>
      <c r="E264" s="229">
        <v>25.0</v>
      </c>
      <c r="F264" s="230">
        <v>3.0</v>
      </c>
      <c r="G264" s="232"/>
    </row>
    <row r="265">
      <c r="A265" s="2"/>
      <c r="B265" s="168" t="s">
        <v>535</v>
      </c>
      <c r="C265" s="168" t="s">
        <v>536</v>
      </c>
      <c r="D265" s="229">
        <v>26.5</v>
      </c>
      <c r="E265" s="229">
        <v>30.0</v>
      </c>
      <c r="F265" s="230">
        <v>3.0</v>
      </c>
      <c r="G265" s="232"/>
    </row>
    <row r="266">
      <c r="A266" s="2"/>
      <c r="B266" s="168" t="s">
        <v>381</v>
      </c>
      <c r="C266" s="168" t="s">
        <v>537</v>
      </c>
      <c r="D266" s="229">
        <v>28.5</v>
      </c>
      <c r="E266" s="229">
        <v>32.0</v>
      </c>
      <c r="F266" s="230">
        <v>3.0</v>
      </c>
      <c r="G266" s="232"/>
    </row>
    <row r="267">
      <c r="A267" s="2"/>
      <c r="B267" s="168" t="s">
        <v>377</v>
      </c>
      <c r="C267" s="168" t="s">
        <v>538</v>
      </c>
      <c r="D267" s="229">
        <v>29.5</v>
      </c>
      <c r="E267" s="229">
        <v>33.0</v>
      </c>
      <c r="F267" s="230">
        <v>3.0</v>
      </c>
      <c r="G267" s="232"/>
    </row>
    <row r="268">
      <c r="A268" s="2"/>
      <c r="B268" s="168" t="s">
        <v>230</v>
      </c>
      <c r="C268" s="168" t="s">
        <v>539</v>
      </c>
      <c r="D268" s="229">
        <v>21.5</v>
      </c>
      <c r="E268" s="229">
        <v>25.0</v>
      </c>
      <c r="F268" s="230">
        <v>3.0</v>
      </c>
      <c r="G268" s="232"/>
    </row>
    <row r="269">
      <c r="A269" s="2"/>
      <c r="B269" s="168" t="s">
        <v>230</v>
      </c>
      <c r="C269" s="168" t="s">
        <v>540</v>
      </c>
      <c r="D269" s="229">
        <v>21.5</v>
      </c>
      <c r="E269" s="229">
        <v>25.0</v>
      </c>
      <c r="F269" s="230">
        <v>3.0</v>
      </c>
      <c r="G269" s="232"/>
    </row>
    <row r="270">
      <c r="A270" s="2"/>
      <c r="B270" s="168" t="s">
        <v>341</v>
      </c>
      <c r="C270" s="168" t="s">
        <v>541</v>
      </c>
      <c r="D270" s="229">
        <v>29.5</v>
      </c>
      <c r="E270" s="229">
        <v>29.5</v>
      </c>
      <c r="F270" s="230">
        <v>3.0</v>
      </c>
      <c r="G270" s="232"/>
    </row>
    <row r="271">
      <c r="A271" s="2"/>
      <c r="B271" s="168" t="s">
        <v>337</v>
      </c>
      <c r="C271" s="168" t="s">
        <v>542</v>
      </c>
      <c r="D271" s="229">
        <v>28.5</v>
      </c>
      <c r="E271" s="229">
        <v>32.0</v>
      </c>
      <c r="F271" s="230">
        <v>3.0</v>
      </c>
      <c r="G271" s="232"/>
    </row>
    <row r="272">
      <c r="A272" s="2"/>
      <c r="B272" s="168" t="s">
        <v>232</v>
      </c>
      <c r="C272" s="168" t="s">
        <v>543</v>
      </c>
      <c r="D272" s="229">
        <v>27.5</v>
      </c>
      <c r="E272" s="229">
        <v>31.0</v>
      </c>
      <c r="F272" s="230">
        <v>3.0</v>
      </c>
      <c r="G272" s="232"/>
    </row>
    <row r="273">
      <c r="A273" s="2"/>
      <c r="B273" s="168" t="s">
        <v>245</v>
      </c>
      <c r="C273" s="168" t="s">
        <v>544</v>
      </c>
      <c r="D273" s="229">
        <v>29.5</v>
      </c>
      <c r="E273" s="229">
        <v>33.0</v>
      </c>
      <c r="F273" s="230">
        <v>3.0</v>
      </c>
      <c r="G273" s="232"/>
    </row>
    <row r="274">
      <c r="A274" s="2"/>
      <c r="B274" s="168" t="s">
        <v>337</v>
      </c>
      <c r="C274" s="168" t="s">
        <v>545</v>
      </c>
      <c r="D274" s="229">
        <v>23.5</v>
      </c>
      <c r="E274" s="229">
        <v>27.0</v>
      </c>
      <c r="F274" s="230">
        <v>3.0</v>
      </c>
      <c r="G274" s="232"/>
    </row>
    <row r="275">
      <c r="A275" s="2"/>
      <c r="B275" s="168" t="s">
        <v>223</v>
      </c>
      <c r="C275" s="168" t="s">
        <v>546</v>
      </c>
      <c r="D275" s="229">
        <v>26.5</v>
      </c>
      <c r="E275" s="229">
        <v>30.0</v>
      </c>
      <c r="F275" s="230">
        <v>3.0</v>
      </c>
      <c r="G275" s="232"/>
    </row>
    <row r="276">
      <c r="A276" s="2"/>
      <c r="B276" s="168" t="s">
        <v>464</v>
      </c>
      <c r="C276" s="168" t="s">
        <v>547</v>
      </c>
      <c r="D276" s="229">
        <v>0.5</v>
      </c>
      <c r="E276" s="229">
        <v>0.5</v>
      </c>
      <c r="F276" s="230">
        <v>0.5</v>
      </c>
      <c r="G276" s="232"/>
    </row>
    <row r="277">
      <c r="A277" s="2"/>
      <c r="B277" s="168" t="s">
        <v>221</v>
      </c>
      <c r="C277" s="168" t="s">
        <v>548</v>
      </c>
      <c r="D277" s="229">
        <v>27.5</v>
      </c>
      <c r="E277" s="229">
        <v>31.0</v>
      </c>
      <c r="F277" s="230">
        <v>3.0</v>
      </c>
      <c r="G277" s="232"/>
    </row>
    <row r="278">
      <c r="A278" s="2"/>
      <c r="B278" s="168" t="s">
        <v>230</v>
      </c>
      <c r="C278" s="168" t="s">
        <v>549</v>
      </c>
      <c r="D278" s="229">
        <v>16.5</v>
      </c>
      <c r="E278" s="229">
        <v>20.0</v>
      </c>
      <c r="F278" s="230">
        <v>3.0</v>
      </c>
      <c r="G278" s="232"/>
    </row>
    <row r="279">
      <c r="A279" s="2"/>
      <c r="B279" s="168" t="s">
        <v>245</v>
      </c>
      <c r="C279" s="168" t="s">
        <v>550</v>
      </c>
      <c r="D279" s="229">
        <v>24.5</v>
      </c>
      <c r="E279" s="229">
        <v>28.0</v>
      </c>
      <c r="F279" s="230">
        <v>3.0</v>
      </c>
      <c r="G279" s="232"/>
    </row>
    <row r="280">
      <c r="A280" s="2"/>
      <c r="B280" s="168" t="s">
        <v>275</v>
      </c>
      <c r="C280" s="168" t="s">
        <v>551</v>
      </c>
      <c r="D280" s="229">
        <v>26.5</v>
      </c>
      <c r="E280" s="229">
        <v>30.0</v>
      </c>
      <c r="F280" s="230">
        <v>3.0</v>
      </c>
      <c r="G280" s="232"/>
    </row>
    <row r="281">
      <c r="A281" s="2"/>
      <c r="B281" s="168" t="s">
        <v>217</v>
      </c>
      <c r="C281" s="168" t="s">
        <v>552</v>
      </c>
      <c r="D281" s="229">
        <v>27.5</v>
      </c>
      <c r="E281" s="229">
        <v>31.0</v>
      </c>
      <c r="F281" s="230">
        <v>3.0</v>
      </c>
      <c r="G281" s="232"/>
    </row>
    <row r="282">
      <c r="A282" s="2"/>
      <c r="B282" s="168" t="s">
        <v>230</v>
      </c>
      <c r="C282" s="168" t="s">
        <v>553</v>
      </c>
      <c r="D282" s="229">
        <v>21.5</v>
      </c>
      <c r="E282" s="229">
        <v>25.0</v>
      </c>
      <c r="F282" s="230">
        <v>3.0</v>
      </c>
      <c r="G282" s="232"/>
    </row>
    <row r="283">
      <c r="A283" s="2"/>
      <c r="B283" s="168" t="s">
        <v>300</v>
      </c>
      <c r="C283" s="168" t="s">
        <v>554</v>
      </c>
      <c r="D283" s="229">
        <v>28.0</v>
      </c>
      <c r="E283" s="229">
        <v>31.5</v>
      </c>
      <c r="F283" s="230">
        <v>3.0</v>
      </c>
      <c r="G283" s="232"/>
    </row>
    <row r="284">
      <c r="A284" s="2"/>
      <c r="B284" s="168" t="s">
        <v>269</v>
      </c>
      <c r="C284" s="168" t="s">
        <v>555</v>
      </c>
      <c r="D284" s="229">
        <v>21.5</v>
      </c>
      <c r="E284" s="229">
        <v>25.0</v>
      </c>
      <c r="F284" s="230">
        <v>3.0</v>
      </c>
      <c r="G284" s="232"/>
    </row>
    <row r="285">
      <c r="A285" s="2"/>
      <c r="B285" s="168" t="s">
        <v>236</v>
      </c>
      <c r="C285" s="168" t="s">
        <v>556</v>
      </c>
      <c r="D285" s="229">
        <v>34.5</v>
      </c>
      <c r="E285" s="229">
        <v>38.0</v>
      </c>
      <c r="F285" s="230">
        <v>3.0</v>
      </c>
      <c r="G285" s="232"/>
    </row>
    <row r="286">
      <c r="A286" s="2"/>
      <c r="B286" s="168" t="s">
        <v>341</v>
      </c>
      <c r="C286" s="168" t="s">
        <v>557</v>
      </c>
      <c r="D286" s="229">
        <v>29.5</v>
      </c>
      <c r="E286" s="229">
        <v>29.5</v>
      </c>
      <c r="F286" s="230">
        <v>3.0</v>
      </c>
      <c r="G286" s="232"/>
    </row>
    <row r="287">
      <c r="A287" s="2"/>
      <c r="B287" s="168" t="s">
        <v>260</v>
      </c>
      <c r="C287" s="168" t="s">
        <v>558</v>
      </c>
      <c r="D287" s="229">
        <v>28.5</v>
      </c>
      <c r="E287" s="229">
        <v>32.0</v>
      </c>
      <c r="F287" s="230">
        <v>3.0</v>
      </c>
      <c r="G287" s="232"/>
    </row>
    <row r="288">
      <c r="A288" s="2"/>
      <c r="B288" s="168" t="s">
        <v>217</v>
      </c>
      <c r="C288" s="168" t="s">
        <v>559</v>
      </c>
      <c r="D288" s="229">
        <v>27.5</v>
      </c>
      <c r="E288" s="229">
        <v>31.0</v>
      </c>
      <c r="F288" s="230">
        <v>3.0</v>
      </c>
      <c r="G288" s="232"/>
    </row>
    <row r="289">
      <c r="A289" s="2"/>
      <c r="B289" s="168" t="s">
        <v>255</v>
      </c>
      <c r="C289" s="168" t="s">
        <v>560</v>
      </c>
      <c r="D289" s="229">
        <v>26.5</v>
      </c>
      <c r="E289" s="229">
        <v>30.0</v>
      </c>
      <c r="F289" s="230">
        <v>3.0</v>
      </c>
      <c r="G289" s="232"/>
    </row>
    <row r="290">
      <c r="A290" s="2"/>
      <c r="B290" s="168" t="s">
        <v>230</v>
      </c>
      <c r="C290" s="168" t="s">
        <v>561</v>
      </c>
      <c r="D290" s="229">
        <v>16.5</v>
      </c>
      <c r="E290" s="229">
        <v>20.0</v>
      </c>
      <c r="F290" s="230">
        <v>3.0</v>
      </c>
      <c r="G290" s="232"/>
    </row>
    <row r="291">
      <c r="A291" s="2"/>
      <c r="B291" s="168" t="s">
        <v>381</v>
      </c>
      <c r="C291" s="168" t="s">
        <v>562</v>
      </c>
      <c r="D291" s="229">
        <v>28.0</v>
      </c>
      <c r="E291" s="229">
        <v>31.5</v>
      </c>
      <c r="F291" s="230">
        <v>3.0</v>
      </c>
      <c r="G291" s="232"/>
    </row>
    <row r="292">
      <c r="A292" s="2"/>
      <c r="B292" s="168" t="s">
        <v>288</v>
      </c>
      <c r="C292" s="168" t="s">
        <v>563</v>
      </c>
      <c r="D292" s="229">
        <v>21.5</v>
      </c>
      <c r="E292" s="229">
        <v>25.0</v>
      </c>
      <c r="F292" s="230">
        <v>3.0</v>
      </c>
      <c r="G292" s="232"/>
    </row>
    <row r="293">
      <c r="A293" s="2"/>
      <c r="B293" s="168" t="s">
        <v>368</v>
      </c>
      <c r="C293" s="168" t="s">
        <v>564</v>
      </c>
      <c r="D293" s="229">
        <v>32.5</v>
      </c>
      <c r="E293" s="229">
        <v>36.0</v>
      </c>
      <c r="F293" s="230">
        <v>3.0</v>
      </c>
      <c r="G293" s="232"/>
    </row>
    <row r="294">
      <c r="A294" s="2"/>
      <c r="B294" s="168" t="s">
        <v>565</v>
      </c>
      <c r="C294" s="168" t="s">
        <v>566</v>
      </c>
      <c r="D294" s="229">
        <v>24.5</v>
      </c>
      <c r="E294" s="229">
        <v>28.0</v>
      </c>
      <c r="F294" s="230">
        <v>3.0</v>
      </c>
      <c r="G294" s="232"/>
    </row>
    <row r="295">
      <c r="A295" s="2"/>
      <c r="B295" s="168" t="s">
        <v>217</v>
      </c>
      <c r="C295" s="168" t="s">
        <v>567</v>
      </c>
      <c r="D295" s="229">
        <v>27.5</v>
      </c>
      <c r="E295" s="229">
        <v>31.0</v>
      </c>
      <c r="F295" s="230">
        <v>3.0</v>
      </c>
      <c r="G295" s="232"/>
    </row>
    <row r="296">
      <c r="A296" s="2"/>
      <c r="B296" s="168" t="s">
        <v>241</v>
      </c>
      <c r="C296" s="168" t="s">
        <v>568</v>
      </c>
      <c r="D296" s="229">
        <v>32.5</v>
      </c>
      <c r="E296" s="229">
        <v>36.0</v>
      </c>
      <c r="F296" s="230">
        <v>3.0</v>
      </c>
      <c r="G296" s="232"/>
    </row>
    <row r="297">
      <c r="A297" s="2"/>
      <c r="B297" s="168" t="s">
        <v>230</v>
      </c>
      <c r="C297" s="168" t="s">
        <v>569</v>
      </c>
      <c r="D297" s="229">
        <v>21.5</v>
      </c>
      <c r="E297" s="229">
        <v>25.0</v>
      </c>
      <c r="F297" s="230">
        <v>3.0</v>
      </c>
      <c r="G297" s="232"/>
    </row>
    <row r="298">
      <c r="A298" s="2"/>
      <c r="B298" s="168" t="s">
        <v>368</v>
      </c>
      <c r="C298" s="168" t="s">
        <v>570</v>
      </c>
      <c r="D298" s="229">
        <v>32.5</v>
      </c>
      <c r="E298" s="229">
        <v>36.0</v>
      </c>
      <c r="F298" s="230">
        <v>3.0</v>
      </c>
      <c r="G298" s="232"/>
    </row>
    <row r="299">
      <c r="A299" s="2"/>
      <c r="B299" s="168" t="s">
        <v>255</v>
      </c>
      <c r="C299" s="168" t="s">
        <v>571</v>
      </c>
      <c r="D299" s="229">
        <v>31.5</v>
      </c>
      <c r="E299" s="229">
        <v>35.0</v>
      </c>
      <c r="F299" s="230">
        <v>3.0</v>
      </c>
      <c r="G299" s="232"/>
    </row>
    <row r="300">
      <c r="A300" s="2"/>
      <c r="B300" s="168" t="s">
        <v>221</v>
      </c>
      <c r="C300" s="168" t="s">
        <v>572</v>
      </c>
      <c r="D300" s="229">
        <v>22.5</v>
      </c>
      <c r="E300" s="229">
        <v>26.0</v>
      </c>
      <c r="F300" s="230">
        <v>3.0</v>
      </c>
      <c r="G300" s="232"/>
    </row>
    <row r="301">
      <c r="A301" s="2"/>
      <c r="B301" s="168" t="s">
        <v>288</v>
      </c>
      <c r="C301" s="168" t="s">
        <v>573</v>
      </c>
      <c r="D301" s="229">
        <v>21.5</v>
      </c>
      <c r="E301" s="229">
        <v>25.0</v>
      </c>
      <c r="F301" s="230">
        <v>3.0</v>
      </c>
      <c r="G301" s="232"/>
    </row>
    <row r="302">
      <c r="A302" s="2"/>
      <c r="B302" s="168" t="s">
        <v>574</v>
      </c>
      <c r="C302" s="168" t="s">
        <v>575</v>
      </c>
      <c r="D302" s="229">
        <v>34.5</v>
      </c>
      <c r="E302" s="229">
        <v>38.0</v>
      </c>
      <c r="F302" s="230">
        <v>3.0</v>
      </c>
      <c r="G302" s="232"/>
    </row>
    <row r="303">
      <c r="A303" s="2"/>
      <c r="B303" s="168" t="s">
        <v>576</v>
      </c>
      <c r="C303" s="168" t="s">
        <v>577</v>
      </c>
      <c r="D303" s="229">
        <v>24.5</v>
      </c>
      <c r="E303" s="229">
        <v>28.0</v>
      </c>
      <c r="F303" s="230">
        <v>3.0</v>
      </c>
      <c r="G303" s="232"/>
    </row>
    <row r="304">
      <c r="A304" s="2"/>
      <c r="B304" s="168" t="s">
        <v>288</v>
      </c>
      <c r="C304" s="168" t="s">
        <v>578</v>
      </c>
      <c r="D304" s="229">
        <v>21.5</v>
      </c>
      <c r="E304" s="229">
        <v>25.0</v>
      </c>
      <c r="F304" s="230">
        <v>3.0</v>
      </c>
      <c r="G304" s="232"/>
    </row>
    <row r="305">
      <c r="A305" s="2"/>
      <c r="B305" s="168" t="s">
        <v>464</v>
      </c>
      <c r="C305" s="168" t="s">
        <v>579</v>
      </c>
      <c r="D305" s="229">
        <v>0.5</v>
      </c>
      <c r="E305" s="229">
        <v>0.5</v>
      </c>
      <c r="F305" s="230">
        <v>0.5</v>
      </c>
      <c r="G305" s="232"/>
    </row>
    <row r="306">
      <c r="A306" s="2"/>
      <c r="B306" s="168" t="s">
        <v>388</v>
      </c>
      <c r="C306" s="168" t="s">
        <v>580</v>
      </c>
      <c r="D306" s="229">
        <v>17.5</v>
      </c>
      <c r="E306" s="229">
        <v>21.0</v>
      </c>
      <c r="F306" s="230">
        <v>3.0</v>
      </c>
      <c r="G306" s="232"/>
    </row>
    <row r="307">
      <c r="A307" s="2"/>
      <c r="B307" s="168" t="s">
        <v>581</v>
      </c>
      <c r="C307" s="168" t="s">
        <v>582</v>
      </c>
      <c r="D307" s="229">
        <v>26.5</v>
      </c>
      <c r="E307" s="229">
        <v>30.0</v>
      </c>
      <c r="F307" s="230">
        <v>3.0</v>
      </c>
      <c r="G307" s="232"/>
    </row>
    <row r="308">
      <c r="A308" s="2"/>
      <c r="B308" s="168" t="s">
        <v>271</v>
      </c>
      <c r="C308" s="168" t="s">
        <v>583</v>
      </c>
      <c r="D308" s="229">
        <v>30.5</v>
      </c>
      <c r="E308" s="229">
        <v>34.0</v>
      </c>
      <c r="F308" s="230">
        <v>3.0</v>
      </c>
      <c r="G308" s="232"/>
    </row>
    <row r="309">
      <c r="A309" s="2"/>
      <c r="B309" s="168" t="s">
        <v>236</v>
      </c>
      <c r="C309" s="168" t="s">
        <v>584</v>
      </c>
      <c r="D309" s="229">
        <v>34.5</v>
      </c>
      <c r="E309" s="229">
        <v>38.0</v>
      </c>
      <c r="F309" s="230">
        <v>3.0</v>
      </c>
      <c r="G309" s="232"/>
    </row>
    <row r="310">
      <c r="A310" s="2"/>
      <c r="B310" s="168" t="s">
        <v>290</v>
      </c>
      <c r="C310" s="168" t="s">
        <v>585</v>
      </c>
      <c r="D310" s="229">
        <v>24.5</v>
      </c>
      <c r="E310" s="229">
        <v>28.0</v>
      </c>
      <c r="F310" s="230">
        <v>3.0</v>
      </c>
      <c r="G310" s="232"/>
    </row>
    <row r="311">
      <c r="A311" s="2"/>
      <c r="B311" s="168" t="s">
        <v>273</v>
      </c>
      <c r="C311" s="168" t="s">
        <v>586</v>
      </c>
      <c r="D311" s="229">
        <v>29.5</v>
      </c>
      <c r="E311" s="229">
        <v>33.0</v>
      </c>
      <c r="F311" s="230">
        <v>3.0</v>
      </c>
      <c r="G311" s="232"/>
    </row>
    <row r="312">
      <c r="A312" s="2"/>
      <c r="B312" s="168" t="s">
        <v>337</v>
      </c>
      <c r="C312" s="168" t="s">
        <v>587</v>
      </c>
      <c r="D312" s="229">
        <v>28.5</v>
      </c>
      <c r="E312" s="229">
        <v>32.0</v>
      </c>
      <c r="F312" s="230">
        <v>3.0</v>
      </c>
      <c r="G312" s="232"/>
    </row>
    <row r="313">
      <c r="A313" s="2"/>
      <c r="B313" s="168" t="s">
        <v>217</v>
      </c>
      <c r="C313" s="168" t="s">
        <v>588</v>
      </c>
      <c r="D313" s="229">
        <v>27.0</v>
      </c>
      <c r="E313" s="229">
        <v>30.5</v>
      </c>
      <c r="F313" s="230">
        <v>3.0</v>
      </c>
      <c r="G313" s="232"/>
    </row>
    <row r="314">
      <c r="A314" s="2"/>
      <c r="B314" s="168" t="s">
        <v>232</v>
      </c>
      <c r="C314" s="168" t="s">
        <v>589</v>
      </c>
      <c r="D314" s="229">
        <v>25.5</v>
      </c>
      <c r="E314" s="229">
        <v>29.0</v>
      </c>
      <c r="F314" s="230">
        <v>3.0</v>
      </c>
      <c r="G314" s="232"/>
    </row>
    <row r="315">
      <c r="A315" s="2"/>
      <c r="B315" s="168" t="s">
        <v>232</v>
      </c>
      <c r="C315" s="168" t="s">
        <v>590</v>
      </c>
      <c r="D315" s="229">
        <v>25.5</v>
      </c>
      <c r="E315" s="229">
        <v>29.0</v>
      </c>
      <c r="F315" s="230">
        <v>3.0</v>
      </c>
      <c r="G315" s="232"/>
    </row>
    <row r="316">
      <c r="A316" s="2"/>
      <c r="B316" s="168" t="s">
        <v>221</v>
      </c>
      <c r="C316" s="168" t="s">
        <v>591</v>
      </c>
      <c r="D316" s="229">
        <v>27.5</v>
      </c>
      <c r="E316" s="229">
        <v>31.0</v>
      </c>
      <c r="F316" s="230">
        <v>3.0</v>
      </c>
      <c r="G316" s="232"/>
    </row>
    <row r="317">
      <c r="A317" s="2"/>
      <c r="B317" s="168" t="s">
        <v>592</v>
      </c>
      <c r="C317" s="168" t="s">
        <v>593</v>
      </c>
      <c r="D317" s="229">
        <v>34.5</v>
      </c>
      <c r="E317" s="229">
        <v>38.0</v>
      </c>
      <c r="F317" s="230">
        <v>3.0</v>
      </c>
      <c r="G317" s="232"/>
    </row>
    <row r="318">
      <c r="A318" s="2"/>
      <c r="B318" s="168" t="s">
        <v>296</v>
      </c>
      <c r="C318" s="168" t="s">
        <v>594</v>
      </c>
      <c r="D318" s="229">
        <v>26.5</v>
      </c>
      <c r="E318" s="229">
        <v>30.0</v>
      </c>
      <c r="F318" s="230">
        <v>3.0</v>
      </c>
      <c r="G318" s="232"/>
    </row>
    <row r="319">
      <c r="A319" s="2"/>
      <c r="B319" s="168" t="s">
        <v>217</v>
      </c>
      <c r="C319" s="168" t="s">
        <v>595</v>
      </c>
      <c r="D319" s="229">
        <v>27.5</v>
      </c>
      <c r="E319" s="229">
        <v>31.0</v>
      </c>
      <c r="F319" s="230">
        <v>3.0</v>
      </c>
      <c r="G319" s="232"/>
    </row>
    <row r="320">
      <c r="A320" s="2"/>
      <c r="B320" s="168" t="s">
        <v>217</v>
      </c>
      <c r="C320" s="168" t="s">
        <v>596</v>
      </c>
      <c r="D320" s="229">
        <v>22.5</v>
      </c>
      <c r="E320" s="229">
        <v>26.0</v>
      </c>
      <c r="F320" s="230">
        <v>3.0</v>
      </c>
      <c r="G320" s="232"/>
    </row>
    <row r="321">
      <c r="A321" s="2"/>
      <c r="B321" s="168" t="s">
        <v>255</v>
      </c>
      <c r="C321" s="168" t="s">
        <v>597</v>
      </c>
      <c r="D321" s="229">
        <v>31.5</v>
      </c>
      <c r="E321" s="229">
        <v>35.0</v>
      </c>
      <c r="F321" s="230">
        <v>3.0</v>
      </c>
      <c r="G321" s="232"/>
    </row>
    <row r="322">
      <c r="A322" s="2"/>
      <c r="B322" s="168" t="s">
        <v>217</v>
      </c>
      <c r="C322" s="168" t="s">
        <v>598</v>
      </c>
      <c r="D322" s="229">
        <v>22.5</v>
      </c>
      <c r="E322" s="229">
        <v>26.0</v>
      </c>
      <c r="F322" s="230">
        <v>3.0</v>
      </c>
      <c r="G322" s="232"/>
    </row>
    <row r="323">
      <c r="A323" s="2"/>
      <c r="B323" s="168" t="s">
        <v>332</v>
      </c>
      <c r="C323" s="168" t="s">
        <v>599</v>
      </c>
      <c r="D323" s="229">
        <v>28.5</v>
      </c>
      <c r="E323" s="229">
        <v>32.0</v>
      </c>
      <c r="F323" s="230">
        <v>3.0</v>
      </c>
      <c r="G323" s="232"/>
    </row>
    <row r="324">
      <c r="A324" s="2"/>
      <c r="B324" s="168" t="s">
        <v>251</v>
      </c>
      <c r="C324" s="168" t="s">
        <v>600</v>
      </c>
      <c r="D324" s="229">
        <v>34.5</v>
      </c>
      <c r="E324" s="229">
        <v>38.0</v>
      </c>
      <c r="F324" s="230">
        <v>3.0</v>
      </c>
      <c r="G324" s="232"/>
    </row>
    <row r="325">
      <c r="A325" s="2"/>
      <c r="B325" s="168" t="s">
        <v>592</v>
      </c>
      <c r="C325" s="168" t="s">
        <v>601</v>
      </c>
      <c r="D325" s="229">
        <v>34.5</v>
      </c>
      <c r="E325" s="229">
        <v>38.0</v>
      </c>
      <c r="F325" s="230">
        <v>3.0</v>
      </c>
      <c r="G325" s="232"/>
    </row>
    <row r="326">
      <c r="A326" s="2"/>
      <c r="B326" s="168" t="s">
        <v>247</v>
      </c>
      <c r="C326" s="168" t="s">
        <v>602</v>
      </c>
      <c r="D326" s="229">
        <v>29.5</v>
      </c>
      <c r="E326" s="229">
        <v>33.0</v>
      </c>
      <c r="F326" s="230">
        <v>3.0</v>
      </c>
      <c r="G326" s="232"/>
    </row>
    <row r="327">
      <c r="A327" s="2"/>
      <c r="B327" s="168" t="s">
        <v>230</v>
      </c>
      <c r="C327" s="168" t="s">
        <v>603</v>
      </c>
      <c r="D327" s="229">
        <v>16.5</v>
      </c>
      <c r="E327" s="229">
        <v>20.0</v>
      </c>
      <c r="F327" s="230">
        <v>3.0</v>
      </c>
      <c r="G327" s="232"/>
    </row>
    <row r="328">
      <c r="A328" s="2"/>
      <c r="B328" s="168" t="s">
        <v>337</v>
      </c>
      <c r="C328" s="168" t="s">
        <v>604</v>
      </c>
      <c r="D328" s="229">
        <v>28.5</v>
      </c>
      <c r="E328" s="229">
        <v>32.0</v>
      </c>
      <c r="F328" s="230">
        <v>3.0</v>
      </c>
      <c r="G328" s="232"/>
    </row>
    <row r="329">
      <c r="A329" s="2"/>
      <c r="B329" s="168" t="s">
        <v>288</v>
      </c>
      <c r="C329" s="168" t="s">
        <v>605</v>
      </c>
      <c r="D329" s="229">
        <v>21.5</v>
      </c>
      <c r="E329" s="229">
        <v>25.0</v>
      </c>
      <c r="F329" s="230">
        <v>3.0</v>
      </c>
      <c r="G329" s="232"/>
    </row>
    <row r="330">
      <c r="A330" s="2"/>
      <c r="B330" s="168" t="s">
        <v>337</v>
      </c>
      <c r="C330" s="168" t="s">
        <v>606</v>
      </c>
      <c r="D330" s="229">
        <v>28.5</v>
      </c>
      <c r="E330" s="229">
        <v>32.0</v>
      </c>
      <c r="F330" s="230">
        <v>3.0</v>
      </c>
      <c r="G330" s="232"/>
    </row>
    <row r="331">
      <c r="A331" s="2"/>
      <c r="B331" s="168" t="s">
        <v>345</v>
      </c>
      <c r="C331" s="168" t="s">
        <v>607</v>
      </c>
      <c r="D331" s="229">
        <v>26.5</v>
      </c>
      <c r="E331" s="229">
        <v>30.0</v>
      </c>
      <c r="F331" s="230">
        <v>3.0</v>
      </c>
      <c r="G331" s="232"/>
    </row>
    <row r="332">
      <c r="A332" s="2"/>
      <c r="B332" s="168" t="s">
        <v>245</v>
      </c>
      <c r="C332" s="168" t="s">
        <v>608</v>
      </c>
      <c r="D332" s="229">
        <v>29.5</v>
      </c>
      <c r="E332" s="229">
        <v>33.0</v>
      </c>
      <c r="F332" s="230">
        <v>3.0</v>
      </c>
      <c r="G332" s="232"/>
    </row>
    <row r="333">
      <c r="A333" s="2"/>
      <c r="B333" s="168" t="s">
        <v>294</v>
      </c>
      <c r="C333" s="168" t="s">
        <v>609</v>
      </c>
      <c r="D333" s="229">
        <v>19.5</v>
      </c>
      <c r="E333" s="229">
        <v>19.5</v>
      </c>
      <c r="F333" s="230">
        <v>3.0</v>
      </c>
      <c r="G333" s="232"/>
    </row>
    <row r="334">
      <c r="A334" s="2"/>
      <c r="B334" s="168" t="s">
        <v>290</v>
      </c>
      <c r="C334" s="168" t="s">
        <v>610</v>
      </c>
      <c r="D334" s="229">
        <v>29.5</v>
      </c>
      <c r="E334" s="229">
        <v>33.0</v>
      </c>
      <c r="F334" s="230">
        <v>3.0</v>
      </c>
      <c r="G334" s="232"/>
    </row>
    <row r="335">
      <c r="A335" s="2"/>
      <c r="B335" s="168" t="s">
        <v>337</v>
      </c>
      <c r="C335" s="168" t="s">
        <v>611</v>
      </c>
      <c r="D335" s="229">
        <v>29.0</v>
      </c>
      <c r="E335" s="229">
        <v>32.5</v>
      </c>
      <c r="F335" s="230">
        <v>3.0</v>
      </c>
      <c r="G335" s="232"/>
    </row>
    <row r="336">
      <c r="A336" s="2"/>
      <c r="B336" s="168" t="s">
        <v>239</v>
      </c>
      <c r="C336" s="168" t="s">
        <v>612</v>
      </c>
      <c r="D336" s="229">
        <v>24.5</v>
      </c>
      <c r="E336" s="229">
        <v>28.0</v>
      </c>
      <c r="F336" s="230">
        <v>3.0</v>
      </c>
      <c r="G336" s="232"/>
    </row>
    <row r="337">
      <c r="A337" s="2"/>
      <c r="B337" s="168" t="s">
        <v>234</v>
      </c>
      <c r="C337" s="168" t="s">
        <v>613</v>
      </c>
      <c r="D337" s="229">
        <v>29.5</v>
      </c>
      <c r="E337" s="229">
        <v>33.0</v>
      </c>
      <c r="F337" s="230">
        <v>3.0</v>
      </c>
      <c r="G337" s="232"/>
    </row>
    <row r="338">
      <c r="A338" s="2"/>
      <c r="B338" s="168" t="s">
        <v>345</v>
      </c>
      <c r="C338" s="168" t="s">
        <v>614</v>
      </c>
      <c r="D338" s="229">
        <v>26.5</v>
      </c>
      <c r="E338" s="229">
        <v>30.0</v>
      </c>
      <c r="F338" s="230">
        <v>3.0</v>
      </c>
      <c r="G338" s="232"/>
    </row>
    <row r="339">
      <c r="A339" s="2"/>
      <c r="B339" s="168" t="s">
        <v>615</v>
      </c>
      <c r="C339" s="168" t="s">
        <v>616</v>
      </c>
      <c r="D339" s="229">
        <v>19.5</v>
      </c>
      <c r="E339" s="229">
        <v>23.0</v>
      </c>
      <c r="F339" s="230">
        <v>3.0</v>
      </c>
      <c r="G339" s="232"/>
    </row>
    <row r="340">
      <c r="A340" s="2"/>
      <c r="B340" s="168" t="s">
        <v>269</v>
      </c>
      <c r="C340" s="168" t="s">
        <v>617</v>
      </c>
      <c r="D340" s="229">
        <v>26.5</v>
      </c>
      <c r="E340" s="229">
        <v>30.0</v>
      </c>
      <c r="F340" s="230">
        <v>3.0</v>
      </c>
      <c r="G340" s="232"/>
    </row>
    <row r="341">
      <c r="A341" s="2"/>
      <c r="B341" s="168" t="s">
        <v>464</v>
      </c>
      <c r="C341" s="168" t="s">
        <v>618</v>
      </c>
      <c r="D341" s="229">
        <v>0.5</v>
      </c>
      <c r="E341" s="229">
        <v>0.5</v>
      </c>
      <c r="F341" s="230">
        <v>0.5</v>
      </c>
      <c r="G341" s="232"/>
    </row>
    <row r="342">
      <c r="A342" s="2"/>
      <c r="B342" s="168" t="s">
        <v>341</v>
      </c>
      <c r="C342" s="168" t="s">
        <v>619</v>
      </c>
      <c r="D342" s="229">
        <v>29.5</v>
      </c>
      <c r="E342" s="229">
        <v>29.5</v>
      </c>
      <c r="F342" s="230">
        <v>3.0</v>
      </c>
      <c r="G342" s="232"/>
    </row>
    <row r="343">
      <c r="A343" s="2"/>
      <c r="B343" s="168" t="s">
        <v>296</v>
      </c>
      <c r="C343" s="168" t="s">
        <v>620</v>
      </c>
      <c r="D343" s="229">
        <v>21.5</v>
      </c>
      <c r="E343" s="229">
        <v>25.0</v>
      </c>
      <c r="F343" s="230">
        <v>3.0</v>
      </c>
      <c r="G343" s="232"/>
    </row>
    <row r="344">
      <c r="A344" s="2"/>
      <c r="B344" s="168" t="s">
        <v>313</v>
      </c>
      <c r="C344" s="168" t="s">
        <v>313</v>
      </c>
      <c r="D344" s="229">
        <v>20.0</v>
      </c>
      <c r="E344" s="229">
        <v>20.0</v>
      </c>
      <c r="F344" s="230">
        <v>3.0</v>
      </c>
      <c r="G344" s="232"/>
    </row>
    <row r="345">
      <c r="A345" s="2"/>
      <c r="B345" s="168" t="s">
        <v>217</v>
      </c>
      <c r="C345" s="168" t="s">
        <v>621</v>
      </c>
      <c r="D345" s="229">
        <v>27.5</v>
      </c>
      <c r="E345" s="229">
        <v>31.0</v>
      </c>
      <c r="F345" s="230">
        <v>3.0</v>
      </c>
      <c r="G345" s="232"/>
    </row>
    <row r="346">
      <c r="A346" s="2"/>
      <c r="B346" s="168" t="s">
        <v>337</v>
      </c>
      <c r="C346" s="168" t="s">
        <v>622</v>
      </c>
      <c r="D346" s="229">
        <v>28.5</v>
      </c>
      <c r="E346" s="229">
        <v>32.0</v>
      </c>
      <c r="F346" s="230">
        <v>3.0</v>
      </c>
      <c r="G346" s="232"/>
    </row>
    <row r="347">
      <c r="A347" s="2"/>
      <c r="B347" s="168" t="s">
        <v>290</v>
      </c>
      <c r="C347" s="168" t="s">
        <v>623</v>
      </c>
      <c r="D347" s="229">
        <v>29.5</v>
      </c>
      <c r="E347" s="229">
        <v>33.0</v>
      </c>
      <c r="F347" s="230">
        <v>3.0</v>
      </c>
      <c r="G347" s="232"/>
    </row>
    <row r="348">
      <c r="A348" s="2"/>
      <c r="B348" s="168" t="s">
        <v>232</v>
      </c>
      <c r="C348" s="168" t="s">
        <v>624</v>
      </c>
      <c r="D348" s="229">
        <v>25.0</v>
      </c>
      <c r="E348" s="229">
        <v>28.5</v>
      </c>
      <c r="F348" s="230">
        <v>3.0</v>
      </c>
      <c r="G348" s="232"/>
    </row>
    <row r="349">
      <c r="A349" s="2"/>
      <c r="B349" s="168" t="s">
        <v>275</v>
      </c>
      <c r="C349" s="168" t="s">
        <v>625</v>
      </c>
      <c r="D349" s="229">
        <v>21.5</v>
      </c>
      <c r="E349" s="229">
        <v>25.0</v>
      </c>
      <c r="F349" s="230">
        <v>3.0</v>
      </c>
      <c r="G349" s="232"/>
    </row>
    <row r="350">
      <c r="A350" s="2"/>
      <c r="B350" s="168" t="s">
        <v>381</v>
      </c>
      <c r="C350" s="168" t="s">
        <v>626</v>
      </c>
      <c r="D350" s="229">
        <v>28.5</v>
      </c>
      <c r="E350" s="229">
        <v>32.0</v>
      </c>
      <c r="F350" s="230">
        <v>3.0</v>
      </c>
      <c r="G350" s="232"/>
    </row>
    <row r="351">
      <c r="A351" s="2"/>
      <c r="B351" s="168" t="s">
        <v>257</v>
      </c>
      <c r="C351" s="168" t="s">
        <v>627</v>
      </c>
      <c r="D351" s="229">
        <v>28.5</v>
      </c>
      <c r="E351" s="229">
        <v>32.0</v>
      </c>
      <c r="F351" s="230">
        <v>3.0</v>
      </c>
      <c r="G351" s="232"/>
    </row>
    <row r="352">
      <c r="A352" s="2"/>
      <c r="B352" s="168" t="s">
        <v>230</v>
      </c>
      <c r="C352" s="168" t="s">
        <v>628</v>
      </c>
      <c r="D352" s="229">
        <v>16.5</v>
      </c>
      <c r="E352" s="229">
        <v>20.0</v>
      </c>
      <c r="F352" s="230">
        <v>3.0</v>
      </c>
      <c r="G352" s="232"/>
    </row>
    <row r="353">
      <c r="A353" s="2"/>
      <c r="B353" s="168" t="s">
        <v>232</v>
      </c>
      <c r="C353" s="168" t="s">
        <v>629</v>
      </c>
      <c r="D353" s="229">
        <v>32.5</v>
      </c>
      <c r="E353" s="229">
        <v>36.0</v>
      </c>
      <c r="F353" s="230">
        <v>3.0</v>
      </c>
      <c r="G353" s="232"/>
    </row>
    <row r="354">
      <c r="A354" s="2"/>
      <c r="B354" s="168" t="s">
        <v>464</v>
      </c>
      <c r="C354" s="168" t="s">
        <v>630</v>
      </c>
      <c r="D354" s="229">
        <v>0.5</v>
      </c>
      <c r="E354" s="229">
        <v>0.5</v>
      </c>
      <c r="F354" s="230">
        <v>0.5</v>
      </c>
      <c r="G354" s="232"/>
    </row>
    <row r="355">
      <c r="A355" s="2"/>
      <c r="B355" s="168" t="s">
        <v>269</v>
      </c>
      <c r="C355" s="168" t="s">
        <v>631</v>
      </c>
      <c r="D355" s="229">
        <v>26.5</v>
      </c>
      <c r="E355" s="229">
        <v>30.0</v>
      </c>
      <c r="F355" s="230">
        <v>3.0</v>
      </c>
      <c r="G355" s="232"/>
    </row>
    <row r="356">
      <c r="A356" s="2"/>
      <c r="B356" s="168" t="s">
        <v>230</v>
      </c>
      <c r="C356" s="168" t="s">
        <v>632</v>
      </c>
      <c r="D356" s="229">
        <v>16.5</v>
      </c>
      <c r="E356" s="229">
        <v>20.0</v>
      </c>
      <c r="F356" s="230">
        <v>3.0</v>
      </c>
      <c r="G356" s="232"/>
    </row>
    <row r="357">
      <c r="A357" s="2"/>
      <c r="B357" s="168" t="s">
        <v>215</v>
      </c>
      <c r="C357" s="168" t="s">
        <v>633</v>
      </c>
      <c r="D357" s="229">
        <v>27.5</v>
      </c>
      <c r="E357" s="229">
        <v>31.0</v>
      </c>
      <c r="F357" s="230">
        <v>3.0</v>
      </c>
      <c r="G357" s="232"/>
    </row>
    <row r="358">
      <c r="A358" s="2"/>
      <c r="B358" s="168" t="s">
        <v>230</v>
      </c>
      <c r="C358" s="168" t="s">
        <v>634</v>
      </c>
      <c r="D358" s="229">
        <v>16.5</v>
      </c>
      <c r="E358" s="229">
        <v>20.0</v>
      </c>
      <c r="F358" s="230">
        <v>3.0</v>
      </c>
      <c r="G358" s="232"/>
    </row>
    <row r="359">
      <c r="A359" s="2"/>
      <c r="B359" s="168" t="s">
        <v>318</v>
      </c>
      <c r="C359" s="168" t="s">
        <v>635</v>
      </c>
      <c r="D359" s="229">
        <v>25.5</v>
      </c>
      <c r="E359" s="229">
        <v>29.0</v>
      </c>
      <c r="F359" s="230">
        <v>3.0</v>
      </c>
      <c r="G359" s="232"/>
    </row>
    <row r="360">
      <c r="A360" s="2"/>
      <c r="B360" s="168" t="s">
        <v>241</v>
      </c>
      <c r="C360" s="168" t="s">
        <v>636</v>
      </c>
      <c r="D360" s="229">
        <v>32.5</v>
      </c>
      <c r="E360" s="229">
        <v>36.0</v>
      </c>
      <c r="F360" s="230">
        <v>3.0</v>
      </c>
      <c r="G360" s="232"/>
    </row>
    <row r="361">
      <c r="A361" s="2"/>
      <c r="B361" s="168" t="s">
        <v>345</v>
      </c>
      <c r="C361" s="168" t="s">
        <v>637</v>
      </c>
      <c r="D361" s="229">
        <v>26.5</v>
      </c>
      <c r="E361" s="229">
        <v>30.0</v>
      </c>
      <c r="F361" s="230">
        <v>3.0</v>
      </c>
      <c r="G361" s="232"/>
    </row>
    <row r="362">
      <c r="A362" s="2"/>
      <c r="B362" s="168" t="s">
        <v>341</v>
      </c>
      <c r="C362" s="168" t="s">
        <v>638</v>
      </c>
      <c r="D362" s="229">
        <v>29.5</v>
      </c>
      <c r="E362" s="229">
        <v>29.5</v>
      </c>
      <c r="F362" s="230">
        <v>3.0</v>
      </c>
      <c r="G362" s="232"/>
    </row>
    <row r="363">
      <c r="A363" s="2"/>
      <c r="B363" s="168" t="s">
        <v>232</v>
      </c>
      <c r="C363" s="168" t="s">
        <v>639</v>
      </c>
      <c r="D363" s="229">
        <v>24.5</v>
      </c>
      <c r="E363" s="229">
        <v>28.0</v>
      </c>
      <c r="F363" s="230">
        <v>3.0</v>
      </c>
      <c r="G363" s="232"/>
    </row>
    <row r="364">
      <c r="A364" s="2"/>
      <c r="B364" s="168" t="s">
        <v>269</v>
      </c>
      <c r="C364" s="168" t="s">
        <v>640</v>
      </c>
      <c r="D364" s="229">
        <v>26.5</v>
      </c>
      <c r="E364" s="229">
        <v>30.0</v>
      </c>
      <c r="F364" s="230">
        <v>3.0</v>
      </c>
      <c r="G364" s="232"/>
    </row>
    <row r="365">
      <c r="A365" s="2"/>
      <c r="B365" s="168" t="s">
        <v>275</v>
      </c>
      <c r="C365" s="168" t="s">
        <v>641</v>
      </c>
      <c r="D365" s="229">
        <v>21.5</v>
      </c>
      <c r="E365" s="229">
        <v>25.0</v>
      </c>
      <c r="F365" s="230">
        <v>3.0</v>
      </c>
      <c r="G365" s="232"/>
    </row>
    <row r="366">
      <c r="A366" s="2"/>
      <c r="B366" s="168" t="s">
        <v>381</v>
      </c>
      <c r="C366" s="168" t="s">
        <v>642</v>
      </c>
      <c r="D366" s="229">
        <v>28.5</v>
      </c>
      <c r="E366" s="229">
        <v>32.0</v>
      </c>
      <c r="F366" s="230">
        <v>3.0</v>
      </c>
      <c r="G366" s="232"/>
    </row>
    <row r="367">
      <c r="A367" s="2"/>
      <c r="B367" s="168" t="s">
        <v>280</v>
      </c>
      <c r="C367" s="168" t="s">
        <v>643</v>
      </c>
      <c r="D367" s="229">
        <v>34.5</v>
      </c>
      <c r="E367" s="229">
        <v>38.0</v>
      </c>
      <c r="F367" s="230">
        <v>3.0</v>
      </c>
      <c r="G367" s="232"/>
    </row>
    <row r="368">
      <c r="A368" s="2"/>
      <c r="B368" s="168" t="s">
        <v>318</v>
      </c>
      <c r="C368" s="168" t="s">
        <v>644</v>
      </c>
      <c r="D368" s="229">
        <v>25.5</v>
      </c>
      <c r="E368" s="229">
        <v>29.0</v>
      </c>
      <c r="F368" s="230">
        <v>3.0</v>
      </c>
      <c r="G368" s="232"/>
    </row>
    <row r="369">
      <c r="A369" s="2"/>
      <c r="B369" s="168" t="s">
        <v>296</v>
      </c>
      <c r="C369" s="168" t="s">
        <v>645</v>
      </c>
      <c r="D369" s="229">
        <v>26.5</v>
      </c>
      <c r="E369" s="229">
        <v>30.0</v>
      </c>
      <c r="F369" s="230">
        <v>3.0</v>
      </c>
      <c r="G369" s="232"/>
    </row>
    <row r="370">
      <c r="A370" s="2"/>
      <c r="B370" s="168" t="s">
        <v>232</v>
      </c>
      <c r="C370" s="168" t="s">
        <v>232</v>
      </c>
      <c r="D370" s="229">
        <v>32.5</v>
      </c>
      <c r="E370" s="229">
        <v>36.0</v>
      </c>
      <c r="F370" s="230">
        <v>3.0</v>
      </c>
      <c r="G370" s="232"/>
    </row>
    <row r="371">
      <c r="A371" s="2"/>
      <c r="B371" s="168" t="s">
        <v>230</v>
      </c>
      <c r="C371" s="168" t="s">
        <v>646</v>
      </c>
      <c r="D371" s="229">
        <v>21.5</v>
      </c>
      <c r="E371" s="229">
        <v>25.0</v>
      </c>
      <c r="F371" s="230">
        <v>3.0</v>
      </c>
      <c r="G371" s="232"/>
    </row>
    <row r="372">
      <c r="A372" s="2"/>
      <c r="B372" s="168" t="s">
        <v>241</v>
      </c>
      <c r="C372" s="168" t="s">
        <v>647</v>
      </c>
      <c r="D372" s="229">
        <v>31.5</v>
      </c>
      <c r="E372" s="229">
        <v>35.0</v>
      </c>
      <c r="F372" s="230">
        <v>3.0</v>
      </c>
      <c r="G372" s="232"/>
    </row>
    <row r="373">
      <c r="A373" s="2"/>
      <c r="B373" s="168" t="s">
        <v>230</v>
      </c>
      <c r="C373" s="168" t="s">
        <v>648</v>
      </c>
      <c r="D373" s="229">
        <v>16.5</v>
      </c>
      <c r="E373" s="229">
        <v>20.0</v>
      </c>
      <c r="F373" s="230">
        <v>3.0</v>
      </c>
      <c r="G373" s="232"/>
    </row>
    <row r="374">
      <c r="A374" s="2"/>
      <c r="B374" s="168" t="s">
        <v>230</v>
      </c>
      <c r="C374" s="168" t="s">
        <v>649</v>
      </c>
      <c r="D374" s="229">
        <v>21.5</v>
      </c>
      <c r="E374" s="229">
        <v>25.0</v>
      </c>
      <c r="F374" s="230">
        <v>3.0</v>
      </c>
      <c r="G374" s="232"/>
    </row>
    <row r="375">
      <c r="A375" s="2"/>
      <c r="B375" s="168" t="s">
        <v>234</v>
      </c>
      <c r="C375" s="168" t="s">
        <v>650</v>
      </c>
      <c r="D375" s="229">
        <v>29.5</v>
      </c>
      <c r="E375" s="229">
        <v>33.0</v>
      </c>
      <c r="F375" s="230">
        <v>3.0</v>
      </c>
      <c r="G375" s="232"/>
    </row>
    <row r="376">
      <c r="A376" s="2"/>
      <c r="B376" s="168" t="s">
        <v>245</v>
      </c>
      <c r="C376" s="168" t="s">
        <v>651</v>
      </c>
      <c r="D376" s="229">
        <v>29.5</v>
      </c>
      <c r="E376" s="229">
        <v>33.0</v>
      </c>
      <c r="F376" s="230">
        <v>3.0</v>
      </c>
      <c r="G376" s="232"/>
    </row>
    <row r="377">
      <c r="A377" s="2"/>
      <c r="B377" s="168" t="s">
        <v>232</v>
      </c>
      <c r="C377" s="168" t="s">
        <v>652</v>
      </c>
      <c r="D377" s="229">
        <v>25.5</v>
      </c>
      <c r="E377" s="229">
        <v>29.0</v>
      </c>
      <c r="F377" s="230">
        <v>3.0</v>
      </c>
      <c r="G377" s="232"/>
    </row>
    <row r="378">
      <c r="A378" s="2"/>
      <c r="B378" s="168" t="s">
        <v>328</v>
      </c>
      <c r="C378" s="168" t="s">
        <v>653</v>
      </c>
      <c r="D378" s="229">
        <v>29.5</v>
      </c>
      <c r="E378" s="229">
        <v>33.0</v>
      </c>
      <c r="F378" s="230">
        <v>3.0</v>
      </c>
      <c r="G378" s="232"/>
    </row>
    <row r="379">
      <c r="A379" s="2"/>
      <c r="B379" s="168" t="s">
        <v>290</v>
      </c>
      <c r="C379" s="168" t="s">
        <v>654</v>
      </c>
      <c r="D379" s="229">
        <v>29.5</v>
      </c>
      <c r="E379" s="229">
        <v>33.0</v>
      </c>
      <c r="F379" s="230">
        <v>3.0</v>
      </c>
      <c r="G379" s="232"/>
    </row>
    <row r="380">
      <c r="A380" s="2"/>
      <c r="B380" s="168" t="s">
        <v>341</v>
      </c>
      <c r="C380" s="168" t="s">
        <v>655</v>
      </c>
      <c r="D380" s="229">
        <v>29.5</v>
      </c>
      <c r="E380" s="229">
        <v>29.5</v>
      </c>
      <c r="F380" s="230">
        <v>3.0</v>
      </c>
      <c r="G380" s="232"/>
    </row>
    <row r="381">
      <c r="A381" s="2"/>
      <c r="B381" s="168" t="s">
        <v>271</v>
      </c>
      <c r="C381" s="168" t="s">
        <v>656</v>
      </c>
      <c r="D381" s="229">
        <v>27.5</v>
      </c>
      <c r="E381" s="229">
        <v>31.0</v>
      </c>
      <c r="F381" s="230">
        <v>3.0</v>
      </c>
      <c r="G381" s="232"/>
    </row>
    <row r="382">
      <c r="A382" s="2"/>
      <c r="B382" s="168" t="s">
        <v>239</v>
      </c>
      <c r="C382" s="168" t="s">
        <v>657</v>
      </c>
      <c r="D382" s="229">
        <v>29.5</v>
      </c>
      <c r="E382" s="229">
        <v>33.0</v>
      </c>
      <c r="F382" s="230">
        <v>3.0</v>
      </c>
      <c r="G382" s="232"/>
    </row>
    <row r="383">
      <c r="A383" s="2"/>
      <c r="B383" s="168" t="s">
        <v>290</v>
      </c>
      <c r="C383" s="168" t="s">
        <v>658</v>
      </c>
      <c r="D383" s="229">
        <v>24.5</v>
      </c>
      <c r="E383" s="229">
        <v>28.0</v>
      </c>
      <c r="F383" s="230">
        <v>3.0</v>
      </c>
      <c r="G383" s="232"/>
    </row>
    <row r="384">
      <c r="A384" s="2"/>
      <c r="B384" s="168" t="s">
        <v>388</v>
      </c>
      <c r="C384" s="168" t="s">
        <v>659</v>
      </c>
      <c r="D384" s="229">
        <v>21.5</v>
      </c>
      <c r="E384" s="229">
        <v>25.0</v>
      </c>
      <c r="F384" s="230">
        <v>3.0</v>
      </c>
      <c r="G384" s="232"/>
    </row>
    <row r="385">
      <c r="A385" s="2"/>
      <c r="B385" s="168" t="s">
        <v>337</v>
      </c>
      <c r="C385" s="168" t="s">
        <v>660</v>
      </c>
      <c r="D385" s="229">
        <v>28.5</v>
      </c>
      <c r="E385" s="229">
        <v>32.0</v>
      </c>
      <c r="F385" s="230">
        <v>3.0</v>
      </c>
      <c r="G385" s="232"/>
    </row>
    <row r="386">
      <c r="A386" s="2"/>
      <c r="B386" s="168" t="s">
        <v>217</v>
      </c>
      <c r="C386" s="168" t="s">
        <v>661</v>
      </c>
      <c r="D386" s="229">
        <v>27.5</v>
      </c>
      <c r="E386" s="229">
        <v>31.0</v>
      </c>
      <c r="F386" s="230">
        <v>3.0</v>
      </c>
      <c r="G386" s="232"/>
    </row>
    <row r="387">
      <c r="A387" s="2"/>
      <c r="B387" s="168" t="s">
        <v>269</v>
      </c>
      <c r="C387" s="168" t="s">
        <v>662</v>
      </c>
      <c r="D387" s="229">
        <v>26.5</v>
      </c>
      <c r="E387" s="229">
        <v>30.0</v>
      </c>
      <c r="F387" s="230">
        <v>3.0</v>
      </c>
      <c r="G387" s="232"/>
    </row>
    <row r="388">
      <c r="A388" s="2"/>
      <c r="B388" s="168" t="s">
        <v>217</v>
      </c>
      <c r="C388" s="168" t="s">
        <v>663</v>
      </c>
      <c r="D388" s="229">
        <v>27.5</v>
      </c>
      <c r="E388" s="229">
        <v>31.0</v>
      </c>
      <c r="F388" s="230">
        <v>3.0</v>
      </c>
      <c r="G388" s="232"/>
    </row>
    <row r="389">
      <c r="A389" s="2"/>
      <c r="B389" s="168" t="s">
        <v>381</v>
      </c>
      <c r="C389" s="168" t="s">
        <v>664</v>
      </c>
      <c r="D389" s="229">
        <v>28.5</v>
      </c>
      <c r="E389" s="229">
        <v>32.0</v>
      </c>
      <c r="F389" s="230">
        <v>3.0</v>
      </c>
      <c r="G389" s="232"/>
    </row>
    <row r="390">
      <c r="A390" s="2"/>
      <c r="B390" s="168" t="s">
        <v>255</v>
      </c>
      <c r="C390" s="168" t="s">
        <v>665</v>
      </c>
      <c r="D390" s="229">
        <v>31.5</v>
      </c>
      <c r="E390" s="229">
        <v>35.0</v>
      </c>
      <c r="F390" s="230">
        <v>3.0</v>
      </c>
      <c r="G390" s="232"/>
    </row>
    <row r="391">
      <c r="A391" s="2"/>
      <c r="B391" s="168" t="s">
        <v>273</v>
      </c>
      <c r="C391" s="168" t="s">
        <v>666</v>
      </c>
      <c r="D391" s="229">
        <v>29.5</v>
      </c>
      <c r="E391" s="229">
        <v>33.0</v>
      </c>
      <c r="F391" s="230">
        <v>3.0</v>
      </c>
      <c r="G391" s="232"/>
    </row>
    <row r="392">
      <c r="A392" s="2"/>
      <c r="B392" s="168" t="s">
        <v>464</v>
      </c>
      <c r="C392" s="168" t="s">
        <v>667</v>
      </c>
      <c r="D392" s="229">
        <v>0.5</v>
      </c>
      <c r="E392" s="229">
        <v>0.5</v>
      </c>
      <c r="F392" s="230">
        <v>0.5</v>
      </c>
      <c r="G392" s="232"/>
    </row>
    <row r="393">
      <c r="A393" s="2"/>
      <c r="B393" s="168" t="s">
        <v>217</v>
      </c>
      <c r="C393" s="168" t="s">
        <v>668</v>
      </c>
      <c r="D393" s="229">
        <v>27.5</v>
      </c>
      <c r="E393" s="229">
        <v>31.0</v>
      </c>
      <c r="F393" s="230">
        <v>3.0</v>
      </c>
      <c r="G393" s="232"/>
    </row>
    <row r="394">
      <c r="A394" s="2"/>
      <c r="B394" s="168" t="s">
        <v>368</v>
      </c>
      <c r="C394" s="168" t="s">
        <v>669</v>
      </c>
      <c r="D394" s="229">
        <v>32.5</v>
      </c>
      <c r="E394" s="229">
        <v>36.0</v>
      </c>
      <c r="F394" s="230">
        <v>3.0</v>
      </c>
      <c r="G394" s="232"/>
    </row>
    <row r="395">
      <c r="A395" s="2"/>
      <c r="B395" s="168" t="s">
        <v>377</v>
      </c>
      <c r="C395" s="168" t="s">
        <v>670</v>
      </c>
      <c r="D395" s="229">
        <v>21.5</v>
      </c>
      <c r="E395" s="229">
        <v>25.0</v>
      </c>
      <c r="F395" s="230">
        <v>3.0</v>
      </c>
      <c r="G395" s="232"/>
    </row>
    <row r="396">
      <c r="A396" s="2"/>
      <c r="B396" s="168" t="s">
        <v>328</v>
      </c>
      <c r="C396" s="168" t="s">
        <v>671</v>
      </c>
      <c r="D396" s="229">
        <v>34.5</v>
      </c>
      <c r="E396" s="229">
        <v>38.0</v>
      </c>
      <c r="F396" s="230">
        <v>3.0</v>
      </c>
      <c r="G396" s="232"/>
    </row>
    <row r="397">
      <c r="A397" s="2"/>
      <c r="B397" s="168" t="s">
        <v>337</v>
      </c>
      <c r="C397" s="168" t="s">
        <v>672</v>
      </c>
      <c r="D397" s="229">
        <v>20.5</v>
      </c>
      <c r="E397" s="229">
        <v>24.0</v>
      </c>
      <c r="F397" s="230">
        <v>3.0</v>
      </c>
      <c r="G397" s="232"/>
    </row>
    <row r="398">
      <c r="A398" s="2"/>
      <c r="B398" s="168" t="s">
        <v>381</v>
      </c>
      <c r="C398" s="168" t="s">
        <v>673</v>
      </c>
      <c r="D398" s="229">
        <v>28.5</v>
      </c>
      <c r="E398" s="229">
        <v>32.0</v>
      </c>
      <c r="F398" s="230">
        <v>3.0</v>
      </c>
      <c r="G398" s="232"/>
    </row>
    <row r="399">
      <c r="A399" s="2"/>
      <c r="B399" s="168" t="s">
        <v>221</v>
      </c>
      <c r="C399" s="168" t="s">
        <v>674</v>
      </c>
      <c r="D399" s="229">
        <v>22.5</v>
      </c>
      <c r="E399" s="229">
        <v>26.0</v>
      </c>
      <c r="F399" s="230">
        <v>3.0</v>
      </c>
      <c r="G399" s="232"/>
    </row>
    <row r="400">
      <c r="A400" s="2"/>
      <c r="B400" s="168" t="s">
        <v>217</v>
      </c>
      <c r="C400" s="168" t="s">
        <v>675</v>
      </c>
      <c r="D400" s="229">
        <v>27.5</v>
      </c>
      <c r="E400" s="229">
        <v>31.0</v>
      </c>
      <c r="F400" s="230">
        <v>3.0</v>
      </c>
      <c r="G400" s="232"/>
    </row>
    <row r="401">
      <c r="A401" s="2"/>
      <c r="B401" s="168" t="s">
        <v>223</v>
      </c>
      <c r="C401" s="168" t="s">
        <v>676</v>
      </c>
      <c r="D401" s="229">
        <v>26.5</v>
      </c>
      <c r="E401" s="229">
        <v>30.0</v>
      </c>
      <c r="F401" s="230">
        <v>3.0</v>
      </c>
      <c r="G401" s="232"/>
    </row>
    <row r="402">
      <c r="A402" s="2"/>
      <c r="B402" s="168" t="s">
        <v>290</v>
      </c>
      <c r="C402" s="168" t="s">
        <v>677</v>
      </c>
      <c r="D402" s="229">
        <v>29.5</v>
      </c>
      <c r="E402" s="229">
        <v>33.0</v>
      </c>
      <c r="F402" s="230">
        <v>3.0</v>
      </c>
      <c r="G402" s="232"/>
    </row>
    <row r="403">
      <c r="A403" s="2"/>
      <c r="B403" s="168" t="s">
        <v>275</v>
      </c>
      <c r="C403" s="168" t="s">
        <v>678</v>
      </c>
      <c r="D403" s="229">
        <v>21.5</v>
      </c>
      <c r="E403" s="229">
        <v>25.0</v>
      </c>
      <c r="F403" s="230">
        <v>3.0</v>
      </c>
      <c r="G403" s="232"/>
    </row>
    <row r="404">
      <c r="A404" s="2"/>
      <c r="B404" s="168" t="s">
        <v>269</v>
      </c>
      <c r="C404" s="168" t="s">
        <v>679</v>
      </c>
      <c r="D404" s="229">
        <v>26.5</v>
      </c>
      <c r="E404" s="229">
        <v>30.0</v>
      </c>
      <c r="F404" s="230">
        <v>3.0</v>
      </c>
      <c r="G404" s="232"/>
    </row>
    <row r="405">
      <c r="A405" s="2"/>
      <c r="B405" s="168" t="s">
        <v>255</v>
      </c>
      <c r="C405" s="168" t="s">
        <v>680</v>
      </c>
      <c r="D405" s="229">
        <v>31.5</v>
      </c>
      <c r="E405" s="229">
        <v>35.0</v>
      </c>
      <c r="F405" s="230">
        <v>3.0</v>
      </c>
      <c r="G405" s="232"/>
    </row>
    <row r="406">
      <c r="A406" s="2"/>
      <c r="B406" s="168" t="s">
        <v>234</v>
      </c>
      <c r="C406" s="168" t="s">
        <v>681</v>
      </c>
      <c r="D406" s="229">
        <v>29.5</v>
      </c>
      <c r="E406" s="229">
        <v>33.0</v>
      </c>
      <c r="F406" s="230">
        <v>3.0</v>
      </c>
      <c r="G406" s="232"/>
    </row>
    <row r="407">
      <c r="A407" s="2"/>
      <c r="B407" s="168" t="s">
        <v>296</v>
      </c>
      <c r="C407" s="168" t="s">
        <v>682</v>
      </c>
      <c r="D407" s="229">
        <v>26.5</v>
      </c>
      <c r="E407" s="229">
        <v>30.0</v>
      </c>
      <c r="F407" s="230">
        <v>3.0</v>
      </c>
      <c r="G407" s="232"/>
    </row>
    <row r="408">
      <c r="A408" s="2"/>
      <c r="B408" s="168" t="s">
        <v>288</v>
      </c>
      <c r="C408" s="168" t="s">
        <v>683</v>
      </c>
      <c r="D408" s="229">
        <v>21.5</v>
      </c>
      <c r="E408" s="229">
        <v>25.0</v>
      </c>
      <c r="F408" s="230">
        <v>3.0</v>
      </c>
      <c r="G408" s="232"/>
    </row>
    <row r="409">
      <c r="A409" s="2"/>
      <c r="B409" s="168" t="s">
        <v>684</v>
      </c>
      <c r="C409" s="168" t="s">
        <v>685</v>
      </c>
      <c r="D409" s="229">
        <v>25.5</v>
      </c>
      <c r="E409" s="229">
        <v>29.0</v>
      </c>
      <c r="F409" s="230">
        <v>3.0</v>
      </c>
      <c r="G409" s="232"/>
    </row>
    <row r="410">
      <c r="A410" s="2"/>
      <c r="B410" s="168" t="s">
        <v>273</v>
      </c>
      <c r="C410" s="168" t="s">
        <v>686</v>
      </c>
      <c r="D410" s="229">
        <v>29.5</v>
      </c>
      <c r="E410" s="229">
        <v>33.0</v>
      </c>
      <c r="F410" s="230">
        <v>3.0</v>
      </c>
      <c r="G410" s="232"/>
    </row>
    <row r="411">
      <c r="A411" s="2"/>
      <c r="B411" s="168" t="s">
        <v>230</v>
      </c>
      <c r="C411" s="168" t="s">
        <v>687</v>
      </c>
      <c r="D411" s="229">
        <v>21.5</v>
      </c>
      <c r="E411" s="229">
        <v>25.0</v>
      </c>
      <c r="F411" s="230">
        <v>3.0</v>
      </c>
      <c r="G411" s="232"/>
    </row>
    <row r="412">
      <c r="A412" s="2"/>
      <c r="B412" s="168" t="s">
        <v>290</v>
      </c>
      <c r="C412" s="168" t="s">
        <v>688</v>
      </c>
      <c r="D412" s="229">
        <v>24.5</v>
      </c>
      <c r="E412" s="229">
        <v>28.0</v>
      </c>
      <c r="F412" s="230">
        <v>3.0</v>
      </c>
      <c r="G412" s="232"/>
    </row>
    <row r="413">
      <c r="A413" s="2"/>
      <c r="B413" s="168" t="s">
        <v>217</v>
      </c>
      <c r="C413" s="168" t="s">
        <v>689</v>
      </c>
      <c r="D413" s="229">
        <v>27.5</v>
      </c>
      <c r="E413" s="229">
        <v>31.0</v>
      </c>
      <c r="F413" s="230">
        <v>3.0</v>
      </c>
      <c r="G413" s="232"/>
    </row>
    <row r="414">
      <c r="A414" s="2"/>
      <c r="B414" s="168" t="s">
        <v>241</v>
      </c>
      <c r="C414" s="168" t="s">
        <v>690</v>
      </c>
      <c r="D414" s="229">
        <v>32.5</v>
      </c>
      <c r="E414" s="229">
        <v>36.0</v>
      </c>
      <c r="F414" s="230">
        <v>3.0</v>
      </c>
      <c r="G414" s="232"/>
    </row>
    <row r="415">
      <c r="A415" s="2"/>
      <c r="B415" s="168" t="s">
        <v>260</v>
      </c>
      <c r="C415" s="168" t="s">
        <v>691</v>
      </c>
      <c r="D415" s="229">
        <v>28.5</v>
      </c>
      <c r="E415" s="229">
        <v>32.0</v>
      </c>
      <c r="F415" s="230">
        <v>3.0</v>
      </c>
      <c r="G415" s="232"/>
    </row>
    <row r="416">
      <c r="A416" s="2"/>
      <c r="B416" s="168" t="s">
        <v>232</v>
      </c>
      <c r="C416" s="168" t="s">
        <v>692</v>
      </c>
      <c r="D416" s="229">
        <v>25.5</v>
      </c>
      <c r="E416" s="229">
        <v>29.0</v>
      </c>
      <c r="F416" s="230">
        <v>3.0</v>
      </c>
      <c r="G416" s="232"/>
    </row>
    <row r="417">
      <c r="A417" s="2"/>
      <c r="B417" s="168" t="s">
        <v>269</v>
      </c>
      <c r="C417" s="168" t="s">
        <v>693</v>
      </c>
      <c r="D417" s="229">
        <v>26.5</v>
      </c>
      <c r="E417" s="229">
        <v>30.0</v>
      </c>
      <c r="F417" s="230">
        <v>3.0</v>
      </c>
      <c r="G417" s="232"/>
    </row>
    <row r="418">
      <c r="A418" s="2"/>
      <c r="B418" s="168" t="s">
        <v>230</v>
      </c>
      <c r="C418" s="168" t="s">
        <v>694</v>
      </c>
      <c r="D418" s="229">
        <v>16.5</v>
      </c>
      <c r="E418" s="229">
        <v>20.0</v>
      </c>
      <c r="F418" s="230">
        <v>3.0</v>
      </c>
      <c r="G418" s="232"/>
    </row>
    <row r="419">
      <c r="A419" s="2"/>
      <c r="B419" s="168" t="s">
        <v>332</v>
      </c>
      <c r="C419" s="168" t="s">
        <v>695</v>
      </c>
      <c r="D419" s="229">
        <v>28.5</v>
      </c>
      <c r="E419" s="229">
        <v>32.0</v>
      </c>
      <c r="F419" s="230">
        <v>3.0</v>
      </c>
      <c r="G419" s="232"/>
    </row>
    <row r="420">
      <c r="A420" s="2"/>
      <c r="B420" s="168" t="s">
        <v>269</v>
      </c>
      <c r="C420" s="168" t="s">
        <v>696</v>
      </c>
      <c r="D420" s="229">
        <v>26.5</v>
      </c>
      <c r="E420" s="229">
        <v>30.0</v>
      </c>
      <c r="F420" s="230">
        <v>3.0</v>
      </c>
      <c r="G420" s="232"/>
    </row>
    <row r="421">
      <c r="A421" s="2"/>
      <c r="B421" s="168" t="s">
        <v>217</v>
      </c>
      <c r="C421" s="168" t="s">
        <v>697</v>
      </c>
      <c r="D421" s="229">
        <v>27.5</v>
      </c>
      <c r="E421" s="229">
        <v>31.0</v>
      </c>
      <c r="F421" s="230">
        <v>3.0</v>
      </c>
      <c r="G421" s="232"/>
    </row>
    <row r="422">
      <c r="A422" s="2"/>
      <c r="B422" s="168" t="s">
        <v>241</v>
      </c>
      <c r="C422" s="168" t="s">
        <v>698</v>
      </c>
      <c r="D422" s="229">
        <v>32.5</v>
      </c>
      <c r="E422" s="229">
        <v>36.0</v>
      </c>
      <c r="F422" s="230">
        <v>3.0</v>
      </c>
      <c r="G422" s="232"/>
    </row>
    <row r="423">
      <c r="A423" s="2"/>
      <c r="B423" s="168" t="s">
        <v>251</v>
      </c>
      <c r="C423" s="168" t="s">
        <v>699</v>
      </c>
      <c r="D423" s="229">
        <v>34.5</v>
      </c>
      <c r="E423" s="229">
        <v>38.0</v>
      </c>
      <c r="F423" s="230">
        <v>3.0</v>
      </c>
      <c r="G423" s="232"/>
    </row>
    <row r="424">
      <c r="A424" s="2"/>
      <c r="B424" s="168" t="s">
        <v>406</v>
      </c>
      <c r="C424" s="168" t="s">
        <v>700</v>
      </c>
      <c r="D424" s="229">
        <v>28.5</v>
      </c>
      <c r="E424" s="229">
        <v>32.0</v>
      </c>
      <c r="F424" s="230">
        <v>3.0</v>
      </c>
      <c r="G424" s="232"/>
    </row>
    <row r="425">
      <c r="A425" s="2"/>
      <c r="B425" s="168" t="s">
        <v>217</v>
      </c>
      <c r="C425" s="168" t="s">
        <v>701</v>
      </c>
      <c r="D425" s="229">
        <v>27.5</v>
      </c>
      <c r="E425" s="229">
        <v>31.0</v>
      </c>
      <c r="F425" s="230">
        <v>3.0</v>
      </c>
      <c r="G425" s="232"/>
    </row>
    <row r="426">
      <c r="A426" s="2"/>
      <c r="B426" s="168" t="s">
        <v>269</v>
      </c>
      <c r="C426" s="168" t="s">
        <v>702</v>
      </c>
      <c r="D426" s="229">
        <v>26.5</v>
      </c>
      <c r="E426" s="229">
        <v>30.0</v>
      </c>
      <c r="F426" s="230">
        <v>3.0</v>
      </c>
      <c r="G426" s="232"/>
    </row>
    <row r="427">
      <c r="A427" s="2"/>
      <c r="B427" s="168" t="s">
        <v>381</v>
      </c>
      <c r="C427" s="168" t="s">
        <v>703</v>
      </c>
      <c r="D427" s="229">
        <v>23.5</v>
      </c>
      <c r="E427" s="229">
        <v>27.0</v>
      </c>
      <c r="F427" s="230">
        <v>3.0</v>
      </c>
      <c r="G427" s="232"/>
    </row>
    <row r="428">
      <c r="A428" s="2"/>
      <c r="B428" s="168" t="s">
        <v>464</v>
      </c>
      <c r="C428" s="168" t="s">
        <v>704</v>
      </c>
      <c r="D428" s="229">
        <v>0.5</v>
      </c>
      <c r="E428" s="229">
        <v>0.5</v>
      </c>
      <c r="F428" s="230">
        <v>0.5</v>
      </c>
      <c r="G428" s="232"/>
    </row>
    <row r="429">
      <c r="A429" s="2"/>
      <c r="B429" s="168" t="s">
        <v>243</v>
      </c>
      <c r="C429" s="168" t="s">
        <v>705</v>
      </c>
      <c r="D429" s="229">
        <v>29.5</v>
      </c>
      <c r="E429" s="229">
        <v>33.0</v>
      </c>
      <c r="F429" s="230">
        <v>3.0</v>
      </c>
      <c r="G429" s="232"/>
    </row>
    <row r="430">
      <c r="A430" s="2"/>
      <c r="B430" s="168" t="s">
        <v>241</v>
      </c>
      <c r="C430" s="168" t="s">
        <v>706</v>
      </c>
      <c r="D430" s="229">
        <v>32.0</v>
      </c>
      <c r="E430" s="229">
        <v>35.5</v>
      </c>
      <c r="F430" s="230">
        <v>3.0</v>
      </c>
      <c r="G430" s="232"/>
    </row>
    <row r="431">
      <c r="A431" s="2"/>
      <c r="B431" s="168" t="s">
        <v>296</v>
      </c>
      <c r="C431" s="168" t="s">
        <v>707</v>
      </c>
      <c r="D431" s="229">
        <v>26.5</v>
      </c>
      <c r="E431" s="229">
        <v>30.0</v>
      </c>
      <c r="F431" s="230">
        <v>3.0</v>
      </c>
      <c r="G431" s="232"/>
    </row>
    <row r="432">
      <c r="A432" s="2"/>
      <c r="B432" s="168" t="s">
        <v>438</v>
      </c>
      <c r="C432" s="168" t="s">
        <v>708</v>
      </c>
      <c r="D432" s="229">
        <v>29.5</v>
      </c>
      <c r="E432" s="229">
        <v>33.0</v>
      </c>
      <c r="F432" s="230">
        <v>3.0</v>
      </c>
      <c r="G432" s="232"/>
    </row>
    <row r="433">
      <c r="A433" s="2"/>
      <c r="B433" s="168" t="s">
        <v>257</v>
      </c>
      <c r="C433" s="168" t="s">
        <v>709</v>
      </c>
      <c r="D433" s="229">
        <v>23.5</v>
      </c>
      <c r="E433" s="229">
        <v>27.0</v>
      </c>
      <c r="F433" s="230">
        <v>3.0</v>
      </c>
      <c r="G433" s="232"/>
    </row>
    <row r="434">
      <c r="A434" s="2"/>
      <c r="B434" s="168" t="s">
        <v>215</v>
      </c>
      <c r="C434" s="168" t="s">
        <v>710</v>
      </c>
      <c r="D434" s="229">
        <v>24.5</v>
      </c>
      <c r="E434" s="229">
        <v>28.0</v>
      </c>
      <c r="F434" s="230">
        <v>3.0</v>
      </c>
      <c r="G434" s="232"/>
    </row>
    <row r="435">
      <c r="A435" s="2"/>
      <c r="B435" s="168" t="s">
        <v>251</v>
      </c>
      <c r="C435" s="168" t="s">
        <v>711</v>
      </c>
      <c r="D435" s="229">
        <v>34.5</v>
      </c>
      <c r="E435" s="229">
        <v>38.0</v>
      </c>
      <c r="F435" s="230">
        <v>3.0</v>
      </c>
      <c r="G435" s="232"/>
    </row>
    <row r="436">
      <c r="A436" s="2"/>
      <c r="B436" s="168" t="s">
        <v>318</v>
      </c>
      <c r="C436" s="168" t="s">
        <v>712</v>
      </c>
      <c r="D436" s="229">
        <v>25.5</v>
      </c>
      <c r="E436" s="229">
        <v>29.0</v>
      </c>
      <c r="F436" s="230">
        <v>3.0</v>
      </c>
      <c r="G436" s="232"/>
    </row>
    <row r="437">
      <c r="A437" s="2"/>
      <c r="B437" s="168" t="s">
        <v>230</v>
      </c>
      <c r="C437" s="168" t="s">
        <v>713</v>
      </c>
      <c r="D437" s="229">
        <v>21.5</v>
      </c>
      <c r="E437" s="229">
        <v>25.0</v>
      </c>
      <c r="F437" s="230">
        <v>3.0</v>
      </c>
      <c r="G437" s="232"/>
    </row>
    <row r="438">
      <c r="A438" s="2"/>
      <c r="B438" s="168" t="s">
        <v>413</v>
      </c>
      <c r="C438" s="168" t="s">
        <v>714</v>
      </c>
      <c r="D438" s="229">
        <v>28.5</v>
      </c>
      <c r="E438" s="229">
        <v>32.0</v>
      </c>
      <c r="F438" s="230">
        <v>3.0</v>
      </c>
      <c r="G438" s="232"/>
    </row>
    <row r="439">
      <c r="A439" s="2"/>
      <c r="B439" s="168" t="s">
        <v>217</v>
      </c>
      <c r="C439" s="168" t="s">
        <v>715</v>
      </c>
      <c r="D439" s="229">
        <v>27.5</v>
      </c>
      <c r="E439" s="229">
        <v>31.0</v>
      </c>
      <c r="F439" s="230">
        <v>3.0</v>
      </c>
      <c r="G439" s="232"/>
    </row>
    <row r="440">
      <c r="A440" s="2"/>
      <c r="B440" s="168" t="s">
        <v>288</v>
      </c>
      <c r="C440" s="168" t="s">
        <v>716</v>
      </c>
      <c r="D440" s="229">
        <v>16.5</v>
      </c>
      <c r="E440" s="229">
        <v>20.0</v>
      </c>
      <c r="F440" s="230">
        <v>3.0</v>
      </c>
      <c r="G440" s="232"/>
    </row>
    <row r="441">
      <c r="A441" s="2"/>
      <c r="B441" s="168" t="s">
        <v>241</v>
      </c>
      <c r="C441" s="168" t="s">
        <v>717</v>
      </c>
      <c r="D441" s="229">
        <v>32.5</v>
      </c>
      <c r="E441" s="229">
        <v>36.0</v>
      </c>
      <c r="F441" s="230">
        <v>3.0</v>
      </c>
      <c r="G441" s="232"/>
    </row>
    <row r="442">
      <c r="A442" s="2"/>
      <c r="B442" s="168" t="s">
        <v>223</v>
      </c>
      <c r="C442" s="168" t="s">
        <v>718</v>
      </c>
      <c r="D442" s="229">
        <v>21.5</v>
      </c>
      <c r="E442" s="229">
        <v>25.0</v>
      </c>
      <c r="F442" s="230">
        <v>3.0</v>
      </c>
      <c r="G442" s="232"/>
    </row>
    <row r="443">
      <c r="A443" s="2"/>
      <c r="B443" s="168" t="s">
        <v>269</v>
      </c>
      <c r="C443" s="168" t="s">
        <v>719</v>
      </c>
      <c r="D443" s="229">
        <v>21.5</v>
      </c>
      <c r="E443" s="229">
        <v>25.0</v>
      </c>
      <c r="F443" s="230">
        <v>3.0</v>
      </c>
      <c r="G443" s="232"/>
    </row>
    <row r="444">
      <c r="A444" s="2"/>
      <c r="B444" s="168" t="s">
        <v>720</v>
      </c>
      <c r="C444" s="168" t="s">
        <v>721</v>
      </c>
      <c r="D444" s="229">
        <v>13.5</v>
      </c>
      <c r="E444" s="229">
        <v>17.0</v>
      </c>
      <c r="F444" s="230">
        <v>3.0</v>
      </c>
      <c r="G444" s="232"/>
    </row>
    <row r="445">
      <c r="A445" s="2"/>
      <c r="B445" s="168" t="s">
        <v>241</v>
      </c>
      <c r="C445" s="168" t="s">
        <v>722</v>
      </c>
      <c r="D445" s="229">
        <v>32.5</v>
      </c>
      <c r="E445" s="229">
        <v>36.0</v>
      </c>
      <c r="F445" s="230">
        <v>3.0</v>
      </c>
      <c r="G445" s="232"/>
    </row>
    <row r="446">
      <c r="A446" s="2"/>
      <c r="B446" s="168" t="s">
        <v>230</v>
      </c>
      <c r="C446" s="168" t="s">
        <v>723</v>
      </c>
      <c r="D446" s="229">
        <v>21.5</v>
      </c>
      <c r="E446" s="229">
        <v>25.0</v>
      </c>
      <c r="F446" s="230">
        <v>3.0</v>
      </c>
      <c r="G446" s="232"/>
    </row>
    <row r="447">
      <c r="A447" s="2"/>
      <c r="B447" s="168" t="s">
        <v>239</v>
      </c>
      <c r="C447" s="168" t="s">
        <v>724</v>
      </c>
      <c r="D447" s="229">
        <v>29.5</v>
      </c>
      <c r="E447" s="229">
        <v>33.0</v>
      </c>
      <c r="F447" s="230">
        <v>3.0</v>
      </c>
      <c r="G447" s="232"/>
    </row>
    <row r="448">
      <c r="A448" s="2"/>
      <c r="B448" s="168" t="s">
        <v>217</v>
      </c>
      <c r="C448" s="168" t="s">
        <v>725</v>
      </c>
      <c r="D448" s="229">
        <v>22.5</v>
      </c>
      <c r="E448" s="229">
        <v>26.0</v>
      </c>
      <c r="F448" s="230">
        <v>3.0</v>
      </c>
      <c r="G448" s="232"/>
    </row>
    <row r="449">
      <c r="A449" s="2"/>
      <c r="B449" s="168" t="s">
        <v>243</v>
      </c>
      <c r="C449" s="168" t="s">
        <v>726</v>
      </c>
      <c r="D449" s="229">
        <v>24.5</v>
      </c>
      <c r="E449" s="229">
        <v>28.0</v>
      </c>
      <c r="F449" s="230">
        <v>3.0</v>
      </c>
      <c r="G449" s="232"/>
    </row>
    <row r="450">
      <c r="A450" s="2"/>
      <c r="B450" s="168" t="s">
        <v>337</v>
      </c>
      <c r="C450" s="168" t="s">
        <v>727</v>
      </c>
      <c r="D450" s="229">
        <v>28.5</v>
      </c>
      <c r="E450" s="229">
        <v>32.0</v>
      </c>
      <c r="F450" s="230">
        <v>3.0</v>
      </c>
      <c r="G450" s="232"/>
    </row>
    <row r="451">
      <c r="A451" s="2"/>
      <c r="B451" s="168" t="s">
        <v>217</v>
      </c>
      <c r="C451" s="168" t="s">
        <v>728</v>
      </c>
      <c r="D451" s="229">
        <v>27.5</v>
      </c>
      <c r="E451" s="229">
        <v>31.0</v>
      </c>
      <c r="F451" s="230">
        <v>3.0</v>
      </c>
      <c r="G451" s="232"/>
    </row>
    <row r="452">
      <c r="A452" s="2"/>
      <c r="B452" s="168" t="s">
        <v>406</v>
      </c>
      <c r="C452" s="168" t="s">
        <v>729</v>
      </c>
      <c r="D452" s="229">
        <v>28.5</v>
      </c>
      <c r="E452" s="229">
        <v>32.0</v>
      </c>
      <c r="F452" s="230">
        <v>3.0</v>
      </c>
      <c r="G452" s="232"/>
    </row>
    <row r="453">
      <c r="A453" s="2"/>
      <c r="B453" s="168" t="s">
        <v>337</v>
      </c>
      <c r="C453" s="168" t="s">
        <v>730</v>
      </c>
      <c r="D453" s="229">
        <v>28.5</v>
      </c>
      <c r="E453" s="229">
        <v>32.0</v>
      </c>
      <c r="F453" s="230">
        <v>3.0</v>
      </c>
      <c r="G453" s="232"/>
    </row>
    <row r="454">
      <c r="A454" s="2"/>
      <c r="B454" s="168" t="s">
        <v>247</v>
      </c>
      <c r="C454" s="168" t="s">
        <v>731</v>
      </c>
      <c r="D454" s="229">
        <v>29.5</v>
      </c>
      <c r="E454" s="229">
        <v>33.0</v>
      </c>
      <c r="F454" s="230">
        <v>3.0</v>
      </c>
      <c r="G454" s="232"/>
    </row>
    <row r="455">
      <c r="A455" s="2"/>
      <c r="B455" s="168" t="s">
        <v>413</v>
      </c>
      <c r="C455" s="168" t="s">
        <v>413</v>
      </c>
      <c r="D455" s="229">
        <v>29.5</v>
      </c>
      <c r="E455" s="229">
        <v>33.0</v>
      </c>
      <c r="F455" s="230">
        <v>3.0</v>
      </c>
      <c r="G455" s="232"/>
    </row>
    <row r="456">
      <c r="A456" s="2"/>
      <c r="B456" s="168" t="s">
        <v>345</v>
      </c>
      <c r="C456" s="168" t="s">
        <v>732</v>
      </c>
      <c r="D456" s="229">
        <v>26.5</v>
      </c>
      <c r="E456" s="229">
        <v>30.0</v>
      </c>
      <c r="F456" s="230">
        <v>3.0</v>
      </c>
      <c r="G456" s="232"/>
    </row>
    <row r="457">
      <c r="A457" s="2"/>
      <c r="B457" s="168" t="s">
        <v>217</v>
      </c>
      <c r="C457" s="168" t="s">
        <v>733</v>
      </c>
      <c r="D457" s="229">
        <v>22.5</v>
      </c>
      <c r="E457" s="229">
        <v>26.0</v>
      </c>
      <c r="F457" s="230">
        <v>3.0</v>
      </c>
      <c r="G457" s="232"/>
    </row>
    <row r="458">
      <c r="A458" s="2"/>
      <c r="B458" s="168" t="s">
        <v>285</v>
      </c>
      <c r="C458" s="168" t="s">
        <v>734</v>
      </c>
      <c r="D458" s="229">
        <v>24.5</v>
      </c>
      <c r="E458" s="229">
        <v>28.0</v>
      </c>
      <c r="F458" s="230">
        <v>3.0</v>
      </c>
      <c r="G458" s="232"/>
    </row>
    <row r="459">
      <c r="A459" s="2"/>
      <c r="B459" s="168" t="s">
        <v>290</v>
      </c>
      <c r="C459" s="168" t="s">
        <v>735</v>
      </c>
      <c r="D459" s="229">
        <v>29.5</v>
      </c>
      <c r="E459" s="229">
        <v>33.0</v>
      </c>
      <c r="F459" s="230">
        <v>3.0</v>
      </c>
      <c r="G459" s="232"/>
    </row>
    <row r="460">
      <c r="A460" s="2"/>
      <c r="B460" s="168" t="s">
        <v>215</v>
      </c>
      <c r="C460" s="168" t="s">
        <v>736</v>
      </c>
      <c r="D460" s="229">
        <v>29.5</v>
      </c>
      <c r="E460" s="229">
        <v>33.0</v>
      </c>
      <c r="F460" s="230">
        <v>3.0</v>
      </c>
      <c r="G460" s="232"/>
    </row>
    <row r="461">
      <c r="A461" s="2"/>
      <c r="B461" s="168" t="s">
        <v>288</v>
      </c>
      <c r="C461" s="168" t="s">
        <v>737</v>
      </c>
      <c r="D461" s="229">
        <v>21.5</v>
      </c>
      <c r="E461" s="229">
        <v>25.0</v>
      </c>
      <c r="F461" s="230">
        <v>3.0</v>
      </c>
      <c r="G461" s="232"/>
    </row>
    <row r="462">
      <c r="A462" s="2"/>
      <c r="B462" s="168" t="s">
        <v>300</v>
      </c>
      <c r="C462" s="168" t="s">
        <v>300</v>
      </c>
      <c r="D462" s="229">
        <v>28.5</v>
      </c>
      <c r="E462" s="229">
        <v>32.0</v>
      </c>
      <c r="F462" s="230">
        <v>3.0</v>
      </c>
      <c r="G462" s="232"/>
    </row>
    <row r="463">
      <c r="A463" s="2"/>
      <c r="B463" s="168" t="s">
        <v>215</v>
      </c>
      <c r="C463" s="168" t="s">
        <v>738</v>
      </c>
      <c r="D463" s="229">
        <v>27.5</v>
      </c>
      <c r="E463" s="229">
        <v>31.0</v>
      </c>
      <c r="F463" s="230">
        <v>3.0</v>
      </c>
      <c r="G463" s="232"/>
    </row>
    <row r="464">
      <c r="A464" s="2"/>
      <c r="B464" s="168" t="s">
        <v>335</v>
      </c>
      <c r="C464" s="168" t="s">
        <v>739</v>
      </c>
      <c r="D464" s="229">
        <v>34.5</v>
      </c>
      <c r="E464" s="229">
        <v>38.0</v>
      </c>
      <c r="F464" s="230">
        <v>3.0</v>
      </c>
      <c r="G464" s="232"/>
    </row>
    <row r="465">
      <c r="A465" s="2"/>
      <c r="B465" s="168" t="s">
        <v>302</v>
      </c>
      <c r="C465" s="168" t="s">
        <v>740</v>
      </c>
      <c r="D465" s="229">
        <v>34.5</v>
      </c>
      <c r="E465" s="229">
        <v>38.0</v>
      </c>
      <c r="F465" s="230">
        <v>3.0</v>
      </c>
      <c r="G465" s="232"/>
    </row>
    <row r="466">
      <c r="A466" s="2"/>
      <c r="B466" s="168" t="s">
        <v>368</v>
      </c>
      <c r="C466" s="168" t="s">
        <v>741</v>
      </c>
      <c r="D466" s="229">
        <v>32.5</v>
      </c>
      <c r="E466" s="229">
        <v>36.0</v>
      </c>
      <c r="F466" s="230">
        <v>3.0</v>
      </c>
      <c r="G466" s="232"/>
    </row>
    <row r="467">
      <c r="A467" s="2"/>
      <c r="B467" s="168" t="s">
        <v>269</v>
      </c>
      <c r="C467" s="168" t="s">
        <v>742</v>
      </c>
      <c r="D467" s="229">
        <v>26.5</v>
      </c>
      <c r="E467" s="229">
        <v>30.0</v>
      </c>
      <c r="F467" s="230">
        <v>3.0</v>
      </c>
      <c r="G467" s="232"/>
    </row>
    <row r="468">
      <c r="A468" s="2"/>
      <c r="B468" s="168" t="s">
        <v>221</v>
      </c>
      <c r="C468" s="168" t="s">
        <v>743</v>
      </c>
      <c r="D468" s="229">
        <v>27.5</v>
      </c>
      <c r="E468" s="229">
        <v>31.0</v>
      </c>
      <c r="F468" s="230">
        <v>3.0</v>
      </c>
      <c r="G468" s="232"/>
    </row>
    <row r="469">
      <c r="A469" s="2"/>
      <c r="B469" s="168" t="s">
        <v>230</v>
      </c>
      <c r="C469" s="168" t="s">
        <v>744</v>
      </c>
      <c r="D469" s="229">
        <v>21.5</v>
      </c>
      <c r="E469" s="229">
        <v>25.0</v>
      </c>
      <c r="F469" s="230">
        <v>3.0</v>
      </c>
      <c r="G469" s="232"/>
    </row>
    <row r="470">
      <c r="A470" s="2"/>
      <c r="B470" s="168" t="s">
        <v>269</v>
      </c>
      <c r="C470" s="168" t="s">
        <v>745</v>
      </c>
      <c r="D470" s="229">
        <v>26.0</v>
      </c>
      <c r="E470" s="229">
        <v>29.5</v>
      </c>
      <c r="F470" s="230">
        <v>3.0</v>
      </c>
      <c r="G470" s="232"/>
    </row>
    <row r="471">
      <c r="A471" s="2"/>
      <c r="B471" s="168" t="s">
        <v>337</v>
      </c>
      <c r="C471" s="168" t="s">
        <v>746</v>
      </c>
      <c r="D471" s="229">
        <v>28.5</v>
      </c>
      <c r="E471" s="229">
        <v>32.0</v>
      </c>
      <c r="F471" s="230">
        <v>3.0</v>
      </c>
      <c r="G471" s="232"/>
    </row>
    <row r="472">
      <c r="A472" s="2"/>
      <c r="B472" s="168" t="s">
        <v>332</v>
      </c>
      <c r="C472" s="168" t="s">
        <v>747</v>
      </c>
      <c r="D472" s="229">
        <v>28.5</v>
      </c>
      <c r="E472" s="229">
        <v>32.0</v>
      </c>
      <c r="F472" s="230">
        <v>3.0</v>
      </c>
      <c r="G472" s="232"/>
    </row>
    <row r="473">
      <c r="A473" s="2"/>
      <c r="B473" s="168" t="s">
        <v>318</v>
      </c>
      <c r="C473" s="168" t="s">
        <v>748</v>
      </c>
      <c r="D473" s="229">
        <v>25.5</v>
      </c>
      <c r="E473" s="229">
        <v>29.0</v>
      </c>
      <c r="F473" s="230">
        <v>3.0</v>
      </c>
      <c r="G473" s="232"/>
    </row>
    <row r="474">
      <c r="A474" s="2"/>
      <c r="B474" s="168" t="s">
        <v>241</v>
      </c>
      <c r="C474" s="168" t="s">
        <v>749</v>
      </c>
      <c r="D474" s="229">
        <v>32.5</v>
      </c>
      <c r="E474" s="229">
        <v>36.0</v>
      </c>
      <c r="F474" s="230">
        <v>3.0</v>
      </c>
      <c r="G474" s="232"/>
    </row>
    <row r="475">
      <c r="A475" s="2"/>
      <c r="B475" s="168" t="s">
        <v>565</v>
      </c>
      <c r="C475" s="168" t="s">
        <v>750</v>
      </c>
      <c r="D475" s="229">
        <v>24.5</v>
      </c>
      <c r="E475" s="229">
        <v>28.0</v>
      </c>
      <c r="F475" s="230">
        <v>3.0</v>
      </c>
      <c r="G475" s="232"/>
    </row>
    <row r="476">
      <c r="A476" s="2"/>
      <c r="B476" s="168" t="s">
        <v>269</v>
      </c>
      <c r="C476" s="168" t="s">
        <v>751</v>
      </c>
      <c r="D476" s="229">
        <v>26.5</v>
      </c>
      <c r="E476" s="229">
        <v>30.0</v>
      </c>
      <c r="F476" s="230">
        <v>3.0</v>
      </c>
      <c r="G476" s="232"/>
    </row>
    <row r="477">
      <c r="A477" s="2"/>
      <c r="B477" s="168" t="s">
        <v>243</v>
      </c>
      <c r="C477" s="168" t="s">
        <v>752</v>
      </c>
      <c r="D477" s="229">
        <v>29.5</v>
      </c>
      <c r="E477" s="229">
        <v>33.0</v>
      </c>
      <c r="F477" s="230">
        <v>3.0</v>
      </c>
      <c r="G477" s="232"/>
    </row>
    <row r="478">
      <c r="A478" s="2"/>
      <c r="B478" s="168" t="s">
        <v>239</v>
      </c>
      <c r="C478" s="168" t="s">
        <v>753</v>
      </c>
      <c r="D478" s="229">
        <v>24.5</v>
      </c>
      <c r="E478" s="229">
        <v>28.0</v>
      </c>
      <c r="F478" s="230">
        <v>3.0</v>
      </c>
      <c r="G478" s="232"/>
    </row>
    <row r="479">
      <c r="A479" s="2"/>
      <c r="B479" s="168" t="s">
        <v>247</v>
      </c>
      <c r="C479" s="168" t="s">
        <v>754</v>
      </c>
      <c r="D479" s="229">
        <v>29.5</v>
      </c>
      <c r="E479" s="229">
        <v>33.0</v>
      </c>
      <c r="F479" s="230">
        <v>3.0</v>
      </c>
      <c r="G479" s="232"/>
    </row>
    <row r="480">
      <c r="A480" s="2"/>
      <c r="B480" s="168" t="s">
        <v>230</v>
      </c>
      <c r="C480" s="168" t="s">
        <v>755</v>
      </c>
      <c r="D480" s="229">
        <v>21.5</v>
      </c>
      <c r="E480" s="229">
        <v>25.0</v>
      </c>
      <c r="F480" s="230">
        <v>3.0</v>
      </c>
      <c r="G480" s="232"/>
    </row>
    <row r="481">
      <c r="A481" s="2"/>
      <c r="B481" s="168" t="s">
        <v>449</v>
      </c>
      <c r="C481" s="168" t="s">
        <v>756</v>
      </c>
      <c r="D481" s="229">
        <v>28.5</v>
      </c>
      <c r="E481" s="229">
        <v>32.0</v>
      </c>
      <c r="F481" s="230">
        <v>3.0</v>
      </c>
      <c r="G481" s="232"/>
    </row>
    <row r="482">
      <c r="A482" s="2"/>
      <c r="B482" s="168" t="s">
        <v>232</v>
      </c>
      <c r="C482" s="168" t="s">
        <v>757</v>
      </c>
      <c r="D482" s="229">
        <v>30.5</v>
      </c>
      <c r="E482" s="229">
        <v>34.0</v>
      </c>
      <c r="F482" s="230">
        <v>3.0</v>
      </c>
      <c r="G482" s="232"/>
    </row>
    <row r="483">
      <c r="A483" s="2"/>
      <c r="B483" s="168" t="s">
        <v>217</v>
      </c>
      <c r="C483" s="168" t="s">
        <v>758</v>
      </c>
      <c r="D483" s="229">
        <v>27.5</v>
      </c>
      <c r="E483" s="229">
        <v>31.0</v>
      </c>
      <c r="F483" s="230">
        <v>3.0</v>
      </c>
      <c r="G483" s="232"/>
    </row>
    <row r="484">
      <c r="A484" s="2"/>
      <c r="B484" s="168" t="s">
        <v>290</v>
      </c>
      <c r="C484" s="168" t="s">
        <v>759</v>
      </c>
      <c r="D484" s="229">
        <v>29.5</v>
      </c>
      <c r="E484" s="229">
        <v>33.0</v>
      </c>
      <c r="F484" s="230">
        <v>3.0</v>
      </c>
      <c r="G484" s="232"/>
    </row>
    <row r="485">
      <c r="A485" s="2"/>
      <c r="B485" s="168" t="s">
        <v>245</v>
      </c>
      <c r="C485" s="168" t="s">
        <v>760</v>
      </c>
      <c r="D485" s="229">
        <v>29.5</v>
      </c>
      <c r="E485" s="229">
        <v>33.0</v>
      </c>
      <c r="F485" s="230">
        <v>3.0</v>
      </c>
      <c r="G485" s="232"/>
    </row>
    <row r="486">
      <c r="A486" s="2"/>
      <c r="B486" s="168" t="s">
        <v>230</v>
      </c>
      <c r="C486" s="168" t="s">
        <v>761</v>
      </c>
      <c r="D486" s="229">
        <v>16.5</v>
      </c>
      <c r="E486" s="229">
        <v>20.0</v>
      </c>
      <c r="F486" s="230">
        <v>3.0</v>
      </c>
      <c r="G486" s="232"/>
    </row>
    <row r="487">
      <c r="A487" s="2"/>
      <c r="B487" s="168" t="s">
        <v>406</v>
      </c>
      <c r="C487" s="168" t="s">
        <v>762</v>
      </c>
      <c r="D487" s="229">
        <v>21.5</v>
      </c>
      <c r="E487" s="229">
        <v>25.0</v>
      </c>
      <c r="F487" s="230">
        <v>3.0</v>
      </c>
      <c r="G487" s="232"/>
    </row>
    <row r="488">
      <c r="A488" s="2"/>
      <c r="B488" s="168" t="s">
        <v>413</v>
      </c>
      <c r="C488" s="168" t="s">
        <v>763</v>
      </c>
      <c r="D488" s="229">
        <v>25.5</v>
      </c>
      <c r="E488" s="229">
        <v>29.0</v>
      </c>
      <c r="F488" s="230">
        <v>3.0</v>
      </c>
      <c r="G488" s="232"/>
    </row>
    <row r="489">
      <c r="A489" s="2"/>
      <c r="B489" s="168" t="s">
        <v>217</v>
      </c>
      <c r="C489" s="168" t="s">
        <v>764</v>
      </c>
      <c r="D489" s="229">
        <v>22.5</v>
      </c>
      <c r="E489" s="229">
        <v>26.0</v>
      </c>
      <c r="F489" s="230">
        <v>3.0</v>
      </c>
      <c r="G489" s="232"/>
    </row>
    <row r="490">
      <c r="A490" s="2"/>
      <c r="B490" s="168" t="s">
        <v>296</v>
      </c>
      <c r="C490" s="168" t="s">
        <v>765</v>
      </c>
      <c r="D490" s="229">
        <v>26.5</v>
      </c>
      <c r="E490" s="229">
        <v>30.0</v>
      </c>
      <c r="F490" s="230">
        <v>3.0</v>
      </c>
      <c r="G490" s="232"/>
    </row>
    <row r="491">
      <c r="A491" s="2"/>
      <c r="B491" s="168" t="s">
        <v>337</v>
      </c>
      <c r="C491" s="168" t="s">
        <v>766</v>
      </c>
      <c r="D491" s="229">
        <v>28.5</v>
      </c>
      <c r="E491" s="229">
        <v>32.0</v>
      </c>
      <c r="F491" s="230">
        <v>3.0</v>
      </c>
      <c r="G491" s="232"/>
    </row>
    <row r="492">
      <c r="A492" s="2"/>
      <c r="B492" s="168" t="s">
        <v>251</v>
      </c>
      <c r="C492" s="168" t="s">
        <v>767</v>
      </c>
      <c r="D492" s="229">
        <v>29.5</v>
      </c>
      <c r="E492" s="229">
        <v>33.0</v>
      </c>
      <c r="F492" s="230">
        <v>3.0</v>
      </c>
      <c r="G492" s="232"/>
    </row>
    <row r="493">
      <c r="A493" s="2"/>
      <c r="B493" s="168" t="s">
        <v>230</v>
      </c>
      <c r="C493" s="168" t="s">
        <v>768</v>
      </c>
      <c r="D493" s="229">
        <v>16.5</v>
      </c>
      <c r="E493" s="229">
        <v>20.0</v>
      </c>
      <c r="F493" s="230">
        <v>3.0</v>
      </c>
      <c r="G493" s="232"/>
    </row>
    <row r="494">
      <c r="A494" s="2"/>
      <c r="B494" s="168" t="s">
        <v>241</v>
      </c>
      <c r="C494" s="168" t="s">
        <v>769</v>
      </c>
      <c r="D494" s="229">
        <v>27.5</v>
      </c>
      <c r="E494" s="229">
        <v>31.0</v>
      </c>
      <c r="F494" s="230">
        <v>3.0</v>
      </c>
      <c r="G494" s="232"/>
    </row>
    <row r="495">
      <c r="A495" s="2"/>
      <c r="B495" s="168" t="s">
        <v>217</v>
      </c>
      <c r="C495" s="168" t="s">
        <v>770</v>
      </c>
      <c r="D495" s="229">
        <v>27.5</v>
      </c>
      <c r="E495" s="229">
        <v>31.0</v>
      </c>
      <c r="F495" s="230">
        <v>3.0</v>
      </c>
      <c r="G495" s="232"/>
    </row>
    <row r="496">
      <c r="A496" s="2"/>
      <c r="B496" s="168" t="s">
        <v>337</v>
      </c>
      <c r="C496" s="168" t="s">
        <v>771</v>
      </c>
      <c r="D496" s="229">
        <v>29.5</v>
      </c>
      <c r="E496" s="229">
        <v>33.0</v>
      </c>
      <c r="F496" s="230">
        <v>3.0</v>
      </c>
      <c r="G496" s="232"/>
    </row>
    <row r="497">
      <c r="A497" s="2"/>
      <c r="B497" s="168" t="s">
        <v>247</v>
      </c>
      <c r="C497" s="168" t="s">
        <v>772</v>
      </c>
      <c r="D497" s="229">
        <v>29.5</v>
      </c>
      <c r="E497" s="229">
        <v>33.0</v>
      </c>
      <c r="F497" s="230">
        <v>3.0</v>
      </c>
      <c r="G497" s="232"/>
    </row>
    <row r="498">
      <c r="A498" s="2"/>
      <c r="B498" s="168" t="s">
        <v>215</v>
      </c>
      <c r="C498" s="168" t="s">
        <v>773</v>
      </c>
      <c r="D498" s="229">
        <v>27.5</v>
      </c>
      <c r="E498" s="229">
        <v>31.0</v>
      </c>
      <c r="F498" s="230">
        <v>3.0</v>
      </c>
      <c r="G498" s="232"/>
    </row>
    <row r="499">
      <c r="A499" s="2"/>
      <c r="B499" s="168" t="s">
        <v>241</v>
      </c>
      <c r="C499" s="168" t="s">
        <v>774</v>
      </c>
      <c r="D499" s="229">
        <v>32.5</v>
      </c>
      <c r="E499" s="229">
        <v>36.0</v>
      </c>
      <c r="F499" s="230">
        <v>3.0</v>
      </c>
      <c r="G499" s="232"/>
    </row>
    <row r="500">
      <c r="A500" s="2"/>
      <c r="B500" s="168" t="s">
        <v>241</v>
      </c>
      <c r="C500" s="168" t="s">
        <v>775</v>
      </c>
      <c r="D500" s="229">
        <v>32.5</v>
      </c>
      <c r="E500" s="229">
        <v>36.0</v>
      </c>
      <c r="F500" s="230">
        <v>3.0</v>
      </c>
      <c r="G500" s="232"/>
    </row>
    <row r="501">
      <c r="A501" s="2"/>
      <c r="B501" s="168" t="s">
        <v>232</v>
      </c>
      <c r="C501" s="168" t="s">
        <v>776</v>
      </c>
      <c r="D501" s="229">
        <v>30.5</v>
      </c>
      <c r="E501" s="229">
        <v>34.0</v>
      </c>
      <c r="F501" s="230">
        <v>3.0</v>
      </c>
      <c r="G501" s="232"/>
    </row>
    <row r="502">
      <c r="A502" s="2"/>
      <c r="B502" s="168" t="s">
        <v>280</v>
      </c>
      <c r="C502" s="168" t="s">
        <v>777</v>
      </c>
      <c r="D502" s="229">
        <v>28.5</v>
      </c>
      <c r="E502" s="229">
        <v>32.0</v>
      </c>
      <c r="F502" s="230">
        <v>3.0</v>
      </c>
      <c r="G502" s="232"/>
    </row>
    <row r="503">
      <c r="A503" s="2"/>
      <c r="B503" s="168" t="s">
        <v>269</v>
      </c>
      <c r="C503" s="168" t="s">
        <v>778</v>
      </c>
      <c r="D503" s="229">
        <v>26.5</v>
      </c>
      <c r="E503" s="229">
        <v>30.0</v>
      </c>
      <c r="F503" s="230">
        <v>3.0</v>
      </c>
      <c r="G503" s="232"/>
    </row>
    <row r="504">
      <c r="A504" s="2"/>
      <c r="B504" s="168" t="s">
        <v>332</v>
      </c>
      <c r="C504" s="168" t="s">
        <v>779</v>
      </c>
      <c r="D504" s="229">
        <v>28.5</v>
      </c>
      <c r="E504" s="229">
        <v>32.0</v>
      </c>
      <c r="F504" s="230">
        <v>3.0</v>
      </c>
      <c r="G504" s="232"/>
    </row>
    <row r="505">
      <c r="A505" s="2"/>
      <c r="B505" s="168" t="s">
        <v>288</v>
      </c>
      <c r="C505" s="168" t="s">
        <v>780</v>
      </c>
      <c r="D505" s="229">
        <v>21.5</v>
      </c>
      <c r="E505" s="229">
        <v>25.0</v>
      </c>
      <c r="F505" s="230">
        <v>3.0</v>
      </c>
      <c r="G505" s="232"/>
    </row>
    <row r="506">
      <c r="A506" s="2"/>
      <c r="B506" s="168" t="s">
        <v>377</v>
      </c>
      <c r="C506" s="168" t="s">
        <v>781</v>
      </c>
      <c r="D506" s="229">
        <v>29.5</v>
      </c>
      <c r="E506" s="229">
        <v>33.0</v>
      </c>
      <c r="F506" s="230">
        <v>3.0</v>
      </c>
      <c r="G506" s="232"/>
    </row>
    <row r="507">
      <c r="A507" s="2"/>
      <c r="B507" s="168" t="s">
        <v>302</v>
      </c>
      <c r="C507" s="168" t="s">
        <v>782</v>
      </c>
      <c r="D507" s="229">
        <v>34.5</v>
      </c>
      <c r="E507" s="229">
        <v>38.0</v>
      </c>
      <c r="F507" s="230">
        <v>3.0</v>
      </c>
      <c r="G507" s="232"/>
    </row>
    <row r="508">
      <c r="A508" s="2"/>
      <c r="B508" s="168" t="s">
        <v>332</v>
      </c>
      <c r="C508" s="168" t="s">
        <v>783</v>
      </c>
      <c r="D508" s="229">
        <v>7.5</v>
      </c>
      <c r="E508" s="229">
        <v>7.5</v>
      </c>
      <c r="F508" s="230">
        <v>3.0</v>
      </c>
      <c r="G508" s="232"/>
    </row>
    <row r="509">
      <c r="A509" s="2"/>
      <c r="B509" s="168" t="s">
        <v>257</v>
      </c>
      <c r="C509" s="168" t="s">
        <v>784</v>
      </c>
      <c r="D509" s="229">
        <v>23.5</v>
      </c>
      <c r="E509" s="229">
        <v>27.0</v>
      </c>
      <c r="F509" s="230">
        <v>3.0</v>
      </c>
      <c r="G509" s="232"/>
    </row>
    <row r="510">
      <c r="A510" s="2"/>
      <c r="B510" s="168" t="s">
        <v>615</v>
      </c>
      <c r="C510" s="168" t="s">
        <v>785</v>
      </c>
      <c r="D510" s="229">
        <v>24.5</v>
      </c>
      <c r="E510" s="229">
        <v>28.0</v>
      </c>
      <c r="F510" s="230">
        <v>3.0</v>
      </c>
      <c r="G510" s="232"/>
    </row>
    <row r="511">
      <c r="A511" s="2"/>
      <c r="B511" s="168" t="s">
        <v>271</v>
      </c>
      <c r="C511" s="168" t="s">
        <v>786</v>
      </c>
      <c r="D511" s="229">
        <v>30.5</v>
      </c>
      <c r="E511" s="229">
        <v>34.0</v>
      </c>
      <c r="F511" s="230">
        <v>3.0</v>
      </c>
      <c r="G511" s="232"/>
    </row>
    <row r="512">
      <c r="A512" s="2"/>
      <c r="B512" s="168" t="s">
        <v>269</v>
      </c>
      <c r="C512" s="168" t="s">
        <v>787</v>
      </c>
      <c r="D512" s="229">
        <v>26.5</v>
      </c>
      <c r="E512" s="229">
        <v>30.0</v>
      </c>
      <c r="F512" s="230">
        <v>3.0</v>
      </c>
      <c r="G512" s="232"/>
    </row>
    <row r="513">
      <c r="A513" s="2"/>
      <c r="B513" s="168" t="s">
        <v>328</v>
      </c>
      <c r="C513" s="168" t="s">
        <v>788</v>
      </c>
      <c r="D513" s="229">
        <v>34.5</v>
      </c>
      <c r="E513" s="229">
        <v>38.0</v>
      </c>
      <c r="F513" s="230">
        <v>3.0</v>
      </c>
      <c r="G513" s="232"/>
    </row>
    <row r="514">
      <c r="A514" s="2"/>
      <c r="B514" s="168" t="s">
        <v>290</v>
      </c>
      <c r="C514" s="168" t="s">
        <v>789</v>
      </c>
      <c r="D514" s="229">
        <v>29.5</v>
      </c>
      <c r="E514" s="229">
        <v>33.0</v>
      </c>
      <c r="F514" s="230">
        <v>3.0</v>
      </c>
      <c r="G514" s="232"/>
    </row>
    <row r="515">
      <c r="A515" s="2"/>
      <c r="B515" s="168" t="s">
        <v>273</v>
      </c>
      <c r="C515" s="168" t="s">
        <v>790</v>
      </c>
      <c r="D515" s="229">
        <v>29.5</v>
      </c>
      <c r="E515" s="229">
        <v>33.0</v>
      </c>
      <c r="F515" s="230">
        <v>3.0</v>
      </c>
      <c r="G515" s="232"/>
    </row>
    <row r="516">
      <c r="A516" s="2"/>
      <c r="B516" s="168" t="s">
        <v>243</v>
      </c>
      <c r="C516" s="168" t="s">
        <v>791</v>
      </c>
      <c r="D516" s="229">
        <v>29.5</v>
      </c>
      <c r="E516" s="229">
        <v>33.0</v>
      </c>
      <c r="F516" s="230">
        <v>3.0</v>
      </c>
      <c r="G516" s="232"/>
    </row>
    <row r="517">
      <c r="A517" s="2"/>
      <c r="B517" s="168" t="s">
        <v>288</v>
      </c>
      <c r="C517" s="168" t="s">
        <v>792</v>
      </c>
      <c r="D517" s="229">
        <v>16.5</v>
      </c>
      <c r="E517" s="229">
        <v>20.0</v>
      </c>
      <c r="F517" s="230">
        <v>3.0</v>
      </c>
      <c r="G517" s="232"/>
    </row>
    <row r="518">
      <c r="A518" s="2"/>
      <c r="B518" s="168" t="s">
        <v>288</v>
      </c>
      <c r="C518" s="168" t="s">
        <v>793</v>
      </c>
      <c r="D518" s="229">
        <v>21.5</v>
      </c>
      <c r="E518" s="229">
        <v>25.0</v>
      </c>
      <c r="F518" s="230">
        <v>3.0</v>
      </c>
      <c r="G518" s="232"/>
    </row>
    <row r="519">
      <c r="A519" s="2"/>
      <c r="B519" s="168" t="s">
        <v>684</v>
      </c>
      <c r="C519" s="168" t="s">
        <v>794</v>
      </c>
      <c r="D519" s="229">
        <v>25.5</v>
      </c>
      <c r="E519" s="229">
        <v>29.0</v>
      </c>
      <c r="F519" s="230">
        <v>3.0</v>
      </c>
      <c r="G519" s="232"/>
    </row>
    <row r="520">
      <c r="A520" s="2"/>
      <c r="B520" s="168" t="s">
        <v>215</v>
      </c>
      <c r="C520" s="168" t="s">
        <v>795</v>
      </c>
      <c r="D520" s="229">
        <v>24.5</v>
      </c>
      <c r="E520" s="229">
        <v>28.0</v>
      </c>
      <c r="F520" s="230">
        <v>3.0</v>
      </c>
      <c r="G520" s="232"/>
    </row>
    <row r="521">
      <c r="A521" s="2"/>
      <c r="B521" s="168" t="s">
        <v>337</v>
      </c>
      <c r="C521" s="168" t="s">
        <v>796</v>
      </c>
      <c r="D521" s="229">
        <v>28.5</v>
      </c>
      <c r="E521" s="229">
        <v>32.0</v>
      </c>
      <c r="F521" s="230">
        <v>3.0</v>
      </c>
      <c r="G521" s="232"/>
    </row>
    <row r="522">
      <c r="A522" s="2"/>
      <c r="B522" s="168" t="s">
        <v>337</v>
      </c>
      <c r="C522" s="168" t="s">
        <v>797</v>
      </c>
      <c r="D522" s="229">
        <v>23.5</v>
      </c>
      <c r="E522" s="229">
        <v>27.0</v>
      </c>
      <c r="F522" s="230">
        <v>3.0</v>
      </c>
      <c r="G522" s="232"/>
    </row>
    <row r="523">
      <c r="A523" s="2"/>
      <c r="B523" s="168" t="s">
        <v>341</v>
      </c>
      <c r="C523" s="168" t="s">
        <v>798</v>
      </c>
      <c r="D523" s="229">
        <v>29.5</v>
      </c>
      <c r="E523" s="229">
        <v>29.5</v>
      </c>
      <c r="F523" s="230">
        <v>3.0</v>
      </c>
      <c r="G523" s="232"/>
    </row>
    <row r="524">
      <c r="A524" s="2"/>
      <c r="B524" s="168" t="s">
        <v>223</v>
      </c>
      <c r="C524" s="168" t="s">
        <v>799</v>
      </c>
      <c r="D524" s="229">
        <v>26.5</v>
      </c>
      <c r="E524" s="229">
        <v>30.0</v>
      </c>
      <c r="F524" s="230">
        <v>3.0</v>
      </c>
      <c r="G524" s="232"/>
    </row>
    <row r="525">
      <c r="A525" s="2"/>
      <c r="B525" s="168" t="s">
        <v>381</v>
      </c>
      <c r="C525" s="168" t="s">
        <v>800</v>
      </c>
      <c r="D525" s="229">
        <v>28.5</v>
      </c>
      <c r="E525" s="229">
        <v>32.0</v>
      </c>
      <c r="F525" s="230">
        <v>3.0</v>
      </c>
      <c r="G525" s="232"/>
    </row>
    <row r="526">
      <c r="A526" s="2"/>
      <c r="B526" s="168" t="s">
        <v>241</v>
      </c>
      <c r="C526" s="168" t="s">
        <v>801</v>
      </c>
      <c r="D526" s="229">
        <v>32.5</v>
      </c>
      <c r="E526" s="229">
        <v>36.0</v>
      </c>
      <c r="F526" s="230">
        <v>3.0</v>
      </c>
      <c r="G526" s="232"/>
    </row>
    <row r="527">
      <c r="A527" s="2"/>
      <c r="B527" s="168" t="s">
        <v>243</v>
      </c>
      <c r="C527" s="168" t="s">
        <v>802</v>
      </c>
      <c r="D527" s="229">
        <v>29.5</v>
      </c>
      <c r="E527" s="229">
        <v>33.0</v>
      </c>
      <c r="F527" s="230">
        <v>3.0</v>
      </c>
      <c r="G527" s="232"/>
    </row>
    <row r="528">
      <c r="A528" s="2"/>
      <c r="B528" s="168" t="s">
        <v>290</v>
      </c>
      <c r="C528" s="168" t="s">
        <v>803</v>
      </c>
      <c r="D528" s="229">
        <v>29.5</v>
      </c>
      <c r="E528" s="229">
        <v>33.0</v>
      </c>
      <c r="F528" s="230">
        <v>3.0</v>
      </c>
      <c r="G528" s="232"/>
    </row>
    <row r="529">
      <c r="A529" s="2"/>
      <c r="B529" s="168" t="s">
        <v>449</v>
      </c>
      <c r="C529" s="168" t="s">
        <v>804</v>
      </c>
      <c r="D529" s="229">
        <v>28.5</v>
      </c>
      <c r="E529" s="229">
        <v>32.0</v>
      </c>
      <c r="F529" s="230">
        <v>3.0</v>
      </c>
      <c r="G529" s="232"/>
    </row>
    <row r="530">
      <c r="A530" s="2"/>
      <c r="B530" s="168" t="s">
        <v>221</v>
      </c>
      <c r="C530" s="168" t="s">
        <v>805</v>
      </c>
      <c r="D530" s="229">
        <v>27.5</v>
      </c>
      <c r="E530" s="229">
        <v>31.0</v>
      </c>
      <c r="F530" s="230">
        <v>3.0</v>
      </c>
      <c r="G530" s="232"/>
    </row>
    <row r="531">
      <c r="A531" s="2"/>
      <c r="B531" s="168" t="s">
        <v>234</v>
      </c>
      <c r="C531" s="168" t="s">
        <v>806</v>
      </c>
      <c r="D531" s="229">
        <v>29.5</v>
      </c>
      <c r="E531" s="229">
        <v>33.0</v>
      </c>
      <c r="F531" s="230">
        <v>3.0</v>
      </c>
      <c r="G531" s="232"/>
    </row>
    <row r="532">
      <c r="A532" s="2"/>
      <c r="B532" s="168" t="s">
        <v>341</v>
      </c>
      <c r="C532" s="168" t="s">
        <v>807</v>
      </c>
      <c r="D532" s="229">
        <v>29.5</v>
      </c>
      <c r="E532" s="229">
        <v>29.5</v>
      </c>
      <c r="F532" s="230">
        <v>3.0</v>
      </c>
      <c r="G532" s="232"/>
    </row>
    <row r="533">
      <c r="A533" s="2"/>
      <c r="B533" s="168" t="s">
        <v>337</v>
      </c>
      <c r="C533" s="168" t="s">
        <v>808</v>
      </c>
      <c r="D533" s="229">
        <v>28.5</v>
      </c>
      <c r="E533" s="229">
        <v>32.0</v>
      </c>
      <c r="F533" s="230">
        <v>3.0</v>
      </c>
      <c r="G533" s="232"/>
    </row>
    <row r="534">
      <c r="A534" s="2"/>
      <c r="B534" s="168" t="s">
        <v>275</v>
      </c>
      <c r="C534" s="168" t="s">
        <v>809</v>
      </c>
      <c r="D534" s="229">
        <v>26.0</v>
      </c>
      <c r="E534" s="229">
        <v>29.5</v>
      </c>
      <c r="F534" s="230">
        <v>3.0</v>
      </c>
      <c r="G534" s="232"/>
    </row>
    <row r="535">
      <c r="A535" s="2"/>
      <c r="B535" s="168" t="s">
        <v>232</v>
      </c>
      <c r="C535" s="168" t="s">
        <v>810</v>
      </c>
      <c r="D535" s="229">
        <v>32.5</v>
      </c>
      <c r="E535" s="229">
        <v>36.0</v>
      </c>
      <c r="F535" s="230">
        <v>3.0</v>
      </c>
      <c r="G535" s="232"/>
    </row>
    <row r="536">
      <c r="A536" s="2"/>
      <c r="B536" s="168" t="s">
        <v>811</v>
      </c>
      <c r="C536" s="168" t="s">
        <v>812</v>
      </c>
      <c r="D536" s="229">
        <v>29.5</v>
      </c>
      <c r="E536" s="229">
        <v>33.0</v>
      </c>
      <c r="F536" s="230">
        <v>3.0</v>
      </c>
      <c r="G536" s="232"/>
    </row>
    <row r="537">
      <c r="A537" s="2"/>
      <c r="B537" s="168" t="s">
        <v>234</v>
      </c>
      <c r="C537" s="168" t="s">
        <v>813</v>
      </c>
      <c r="D537" s="229">
        <v>29.5</v>
      </c>
      <c r="E537" s="229">
        <v>33.0</v>
      </c>
      <c r="F537" s="230">
        <v>3.0</v>
      </c>
      <c r="G537" s="232"/>
    </row>
    <row r="538">
      <c r="A538" s="2"/>
      <c r="B538" s="168" t="s">
        <v>381</v>
      </c>
      <c r="C538" s="168" t="s">
        <v>814</v>
      </c>
      <c r="D538" s="229">
        <v>28.5</v>
      </c>
      <c r="E538" s="229">
        <v>32.0</v>
      </c>
      <c r="F538" s="230">
        <v>3.0</v>
      </c>
      <c r="G538" s="232"/>
    </row>
    <row r="539">
      <c r="A539" s="2"/>
      <c r="B539" s="168" t="s">
        <v>230</v>
      </c>
      <c r="C539" s="168" t="s">
        <v>815</v>
      </c>
      <c r="D539" s="229">
        <v>16.5</v>
      </c>
      <c r="E539" s="229">
        <v>20.0</v>
      </c>
      <c r="F539" s="230">
        <v>3.0</v>
      </c>
      <c r="G539" s="232"/>
    </row>
    <row r="540">
      <c r="A540" s="2"/>
      <c r="B540" s="168" t="s">
        <v>223</v>
      </c>
      <c r="C540" s="168" t="s">
        <v>816</v>
      </c>
      <c r="D540" s="229">
        <v>26.5</v>
      </c>
      <c r="E540" s="229">
        <v>30.0</v>
      </c>
      <c r="F540" s="230">
        <v>3.0</v>
      </c>
      <c r="G540" s="232"/>
    </row>
    <row r="541">
      <c r="A541" s="2"/>
      <c r="B541" s="168" t="s">
        <v>269</v>
      </c>
      <c r="C541" s="168" t="s">
        <v>817</v>
      </c>
      <c r="D541" s="229">
        <v>26.5</v>
      </c>
      <c r="E541" s="229">
        <v>30.0</v>
      </c>
      <c r="F541" s="230">
        <v>3.0</v>
      </c>
      <c r="G541" s="232"/>
    </row>
    <row r="542">
      <c r="A542" s="2"/>
      <c r="B542" s="168" t="s">
        <v>464</v>
      </c>
      <c r="C542" s="168" t="s">
        <v>818</v>
      </c>
      <c r="D542" s="229">
        <v>0.5</v>
      </c>
      <c r="E542" s="229">
        <v>0.5</v>
      </c>
      <c r="F542" s="230">
        <v>0.5</v>
      </c>
      <c r="G542" s="232"/>
    </row>
    <row r="543">
      <c r="A543" s="2"/>
      <c r="B543" s="168" t="s">
        <v>269</v>
      </c>
      <c r="C543" s="168" t="s">
        <v>819</v>
      </c>
      <c r="D543" s="229">
        <v>26.5</v>
      </c>
      <c r="E543" s="229">
        <v>30.0</v>
      </c>
      <c r="F543" s="230">
        <v>3.0</v>
      </c>
      <c r="G543" s="232"/>
    </row>
    <row r="544">
      <c r="A544" s="2"/>
      <c r="B544" s="168" t="s">
        <v>221</v>
      </c>
      <c r="C544" s="168" t="s">
        <v>820</v>
      </c>
      <c r="D544" s="229">
        <v>27.5</v>
      </c>
      <c r="E544" s="229">
        <v>31.0</v>
      </c>
      <c r="F544" s="230">
        <v>3.0</v>
      </c>
      <c r="G544" s="232"/>
    </row>
    <row r="545">
      <c r="A545" s="2"/>
      <c r="B545" s="168" t="s">
        <v>273</v>
      </c>
      <c r="C545" s="168" t="s">
        <v>821</v>
      </c>
      <c r="D545" s="229">
        <v>29.5</v>
      </c>
      <c r="E545" s="229">
        <v>33.0</v>
      </c>
      <c r="F545" s="230">
        <v>3.0</v>
      </c>
      <c r="G545" s="232"/>
    </row>
    <row r="546">
      <c r="A546" s="2"/>
      <c r="B546" s="168" t="s">
        <v>239</v>
      </c>
      <c r="C546" s="168" t="s">
        <v>239</v>
      </c>
      <c r="D546" s="229">
        <v>29.5</v>
      </c>
      <c r="E546" s="229">
        <v>33.0</v>
      </c>
      <c r="F546" s="230">
        <v>3.0</v>
      </c>
      <c r="G546" s="232"/>
    </row>
    <row r="547">
      <c r="A547" s="2"/>
      <c r="B547" s="168" t="s">
        <v>230</v>
      </c>
      <c r="C547" s="168" t="s">
        <v>822</v>
      </c>
      <c r="D547" s="229">
        <v>21.5</v>
      </c>
      <c r="E547" s="229">
        <v>25.0</v>
      </c>
      <c r="F547" s="230">
        <v>3.0</v>
      </c>
      <c r="G547" s="232"/>
    </row>
    <row r="548">
      <c r="A548" s="2"/>
      <c r="B548" s="168" t="s">
        <v>413</v>
      </c>
      <c r="C548" s="168" t="s">
        <v>823</v>
      </c>
      <c r="D548" s="229">
        <v>29.5</v>
      </c>
      <c r="E548" s="229">
        <v>33.0</v>
      </c>
      <c r="F548" s="230">
        <v>3.0</v>
      </c>
      <c r="G548" s="232"/>
    </row>
    <row r="549">
      <c r="A549" s="2"/>
      <c r="B549" s="168" t="s">
        <v>230</v>
      </c>
      <c r="C549" s="168" t="s">
        <v>824</v>
      </c>
      <c r="D549" s="229">
        <v>21.5</v>
      </c>
      <c r="E549" s="229">
        <v>25.0</v>
      </c>
      <c r="F549" s="230">
        <v>3.0</v>
      </c>
      <c r="G549" s="232"/>
    </row>
    <row r="550">
      <c r="A550" s="2"/>
      <c r="B550" s="168" t="s">
        <v>269</v>
      </c>
      <c r="C550" s="168" t="s">
        <v>825</v>
      </c>
      <c r="D550" s="229">
        <v>26.5</v>
      </c>
      <c r="E550" s="229">
        <v>30.0</v>
      </c>
      <c r="F550" s="230">
        <v>3.0</v>
      </c>
      <c r="G550" s="232"/>
    </row>
    <row r="551">
      <c r="A551" s="2"/>
      <c r="B551" s="168" t="s">
        <v>217</v>
      </c>
      <c r="C551" s="168" t="s">
        <v>826</v>
      </c>
      <c r="D551" s="229">
        <v>27.5</v>
      </c>
      <c r="E551" s="229">
        <v>31.0</v>
      </c>
      <c r="F551" s="230">
        <v>3.0</v>
      </c>
      <c r="G551" s="232"/>
    </row>
    <row r="552">
      <c r="A552" s="2"/>
      <c r="B552" s="168" t="s">
        <v>296</v>
      </c>
      <c r="C552" s="168" t="s">
        <v>827</v>
      </c>
      <c r="D552" s="229">
        <v>26.5</v>
      </c>
      <c r="E552" s="229">
        <v>30.0</v>
      </c>
      <c r="F552" s="230">
        <v>3.0</v>
      </c>
      <c r="G552" s="232"/>
    </row>
    <row r="553">
      <c r="A553" s="2"/>
      <c r="B553" s="168" t="s">
        <v>345</v>
      </c>
      <c r="C553" s="168" t="s">
        <v>828</v>
      </c>
      <c r="D553" s="229">
        <v>21.5</v>
      </c>
      <c r="E553" s="229">
        <v>25.0</v>
      </c>
      <c r="F553" s="230">
        <v>3.0</v>
      </c>
      <c r="G553" s="232"/>
    </row>
    <row r="554">
      <c r="A554" s="2"/>
      <c r="B554" s="168" t="s">
        <v>232</v>
      </c>
      <c r="C554" s="168" t="s">
        <v>829</v>
      </c>
      <c r="D554" s="229">
        <v>31.5</v>
      </c>
      <c r="E554" s="229">
        <v>35.0</v>
      </c>
      <c r="F554" s="230">
        <v>3.0</v>
      </c>
      <c r="G554" s="232"/>
    </row>
    <row r="555">
      <c r="A555" s="2"/>
      <c r="B555" s="168" t="s">
        <v>830</v>
      </c>
      <c r="C555" s="168" t="s">
        <v>831</v>
      </c>
      <c r="D555" s="229">
        <v>24.5</v>
      </c>
      <c r="E555" s="229">
        <v>28.0</v>
      </c>
      <c r="F555" s="230">
        <v>3.0</v>
      </c>
      <c r="G555" s="232"/>
    </row>
    <row r="556">
      <c r="A556" s="2"/>
      <c r="B556" s="168" t="s">
        <v>318</v>
      </c>
      <c r="C556" s="168" t="s">
        <v>832</v>
      </c>
      <c r="D556" s="229">
        <v>25.5</v>
      </c>
      <c r="E556" s="229">
        <v>29.0</v>
      </c>
      <c r="F556" s="230">
        <v>3.0</v>
      </c>
      <c r="G556" s="232"/>
    </row>
    <row r="557">
      <c r="A557" s="2"/>
      <c r="B557" s="168" t="s">
        <v>337</v>
      </c>
      <c r="C557" s="168" t="s">
        <v>833</v>
      </c>
      <c r="D557" s="229">
        <v>23.5</v>
      </c>
      <c r="E557" s="229">
        <v>27.0</v>
      </c>
      <c r="F557" s="230">
        <v>3.0</v>
      </c>
      <c r="G557" s="232"/>
    </row>
    <row r="558">
      <c r="A558" s="2"/>
      <c r="B558" s="168" t="s">
        <v>217</v>
      </c>
      <c r="C558" s="168" t="s">
        <v>834</v>
      </c>
      <c r="D558" s="229">
        <v>27.5</v>
      </c>
      <c r="E558" s="229">
        <v>31.0</v>
      </c>
      <c r="F558" s="230">
        <v>3.0</v>
      </c>
      <c r="G558" s="232"/>
    </row>
    <row r="559">
      <c r="A559" s="2"/>
      <c r="B559" s="168" t="s">
        <v>255</v>
      </c>
      <c r="C559" s="168" t="s">
        <v>835</v>
      </c>
      <c r="D559" s="229">
        <v>31.5</v>
      </c>
      <c r="E559" s="229">
        <v>35.0</v>
      </c>
      <c r="F559" s="230">
        <v>3.0</v>
      </c>
      <c r="G559" s="232"/>
    </row>
    <row r="560">
      <c r="A560" s="2"/>
      <c r="B560" s="168" t="s">
        <v>230</v>
      </c>
      <c r="C560" s="168" t="s">
        <v>836</v>
      </c>
      <c r="D560" s="229">
        <v>16.5</v>
      </c>
      <c r="E560" s="229">
        <v>20.0</v>
      </c>
      <c r="F560" s="230">
        <v>3.0</v>
      </c>
      <c r="G560" s="232"/>
    </row>
    <row r="561">
      <c r="A561" s="2"/>
      <c r="B561" s="168" t="s">
        <v>217</v>
      </c>
      <c r="C561" s="168" t="s">
        <v>837</v>
      </c>
      <c r="D561" s="229">
        <v>22.5</v>
      </c>
      <c r="E561" s="229">
        <v>26.0</v>
      </c>
      <c r="F561" s="230">
        <v>3.0</v>
      </c>
      <c r="G561" s="232"/>
    </row>
    <row r="562">
      <c r="A562" s="2"/>
      <c r="B562" s="168" t="s">
        <v>241</v>
      </c>
      <c r="C562" s="168" t="s">
        <v>838</v>
      </c>
      <c r="D562" s="229">
        <v>32.5</v>
      </c>
      <c r="E562" s="229">
        <v>36.0</v>
      </c>
      <c r="F562" s="230">
        <v>3.0</v>
      </c>
      <c r="G562" s="232"/>
    </row>
    <row r="563">
      <c r="A563" s="2"/>
      <c r="B563" s="168" t="s">
        <v>332</v>
      </c>
      <c r="C563" s="168" t="s">
        <v>839</v>
      </c>
      <c r="D563" s="229">
        <v>28.5</v>
      </c>
      <c r="E563" s="229">
        <v>32.0</v>
      </c>
      <c r="F563" s="230">
        <v>3.0</v>
      </c>
      <c r="G563" s="232"/>
    </row>
    <row r="564">
      <c r="A564" s="2"/>
      <c r="B564" s="168" t="s">
        <v>285</v>
      </c>
      <c r="C564" s="168" t="s">
        <v>840</v>
      </c>
      <c r="D564" s="229">
        <v>24.5</v>
      </c>
      <c r="E564" s="229">
        <v>28.0</v>
      </c>
      <c r="F564" s="230">
        <v>3.0</v>
      </c>
      <c r="G564" s="232"/>
    </row>
    <row r="565">
      <c r="A565" s="2"/>
      <c r="B565" s="168" t="s">
        <v>332</v>
      </c>
      <c r="C565" s="168" t="s">
        <v>841</v>
      </c>
      <c r="D565" s="229">
        <v>28.5</v>
      </c>
      <c r="E565" s="229">
        <v>32.0</v>
      </c>
      <c r="F565" s="230">
        <v>3.0</v>
      </c>
      <c r="G565" s="232"/>
    </row>
    <row r="566">
      <c r="A566" s="2"/>
      <c r="B566" s="168" t="s">
        <v>275</v>
      </c>
      <c r="C566" s="168" t="s">
        <v>842</v>
      </c>
      <c r="D566" s="229">
        <v>26.5</v>
      </c>
      <c r="E566" s="229">
        <v>30.0</v>
      </c>
      <c r="F566" s="230">
        <v>3.0</v>
      </c>
      <c r="G566" s="232"/>
    </row>
    <row r="567">
      <c r="A567" s="2"/>
      <c r="B567" s="168" t="s">
        <v>280</v>
      </c>
      <c r="C567" s="168" t="s">
        <v>843</v>
      </c>
      <c r="D567" s="229">
        <v>34.5</v>
      </c>
      <c r="E567" s="229">
        <v>38.0</v>
      </c>
      <c r="F567" s="230">
        <v>3.0</v>
      </c>
      <c r="G567" s="232"/>
    </row>
    <row r="568">
      <c r="A568" s="2"/>
      <c r="B568" s="168" t="s">
        <v>811</v>
      </c>
      <c r="C568" s="168" t="s">
        <v>844</v>
      </c>
      <c r="D568" s="229">
        <v>29.5</v>
      </c>
      <c r="E568" s="229">
        <v>33.0</v>
      </c>
      <c r="F568" s="230">
        <v>3.0</v>
      </c>
      <c r="G568" s="232"/>
    </row>
    <row r="569">
      <c r="A569" s="2"/>
      <c r="B569" s="168" t="s">
        <v>215</v>
      </c>
      <c r="C569" s="168" t="s">
        <v>845</v>
      </c>
      <c r="D569" s="229">
        <v>27.5</v>
      </c>
      <c r="E569" s="229">
        <v>31.0</v>
      </c>
      <c r="F569" s="230">
        <v>3.0</v>
      </c>
      <c r="G569" s="232"/>
    </row>
    <row r="570">
      <c r="A570" s="2"/>
      <c r="B570" s="168" t="s">
        <v>381</v>
      </c>
      <c r="C570" s="168" t="s">
        <v>846</v>
      </c>
      <c r="D570" s="229">
        <v>23.5</v>
      </c>
      <c r="E570" s="229">
        <v>27.0</v>
      </c>
      <c r="F570" s="230">
        <v>3.0</v>
      </c>
      <c r="G570" s="232"/>
    </row>
    <row r="571">
      <c r="A571" s="2"/>
      <c r="B571" s="168" t="s">
        <v>847</v>
      </c>
      <c r="C571" s="168" t="s">
        <v>847</v>
      </c>
      <c r="D571" s="229">
        <v>0.5</v>
      </c>
      <c r="E571" s="229">
        <v>0.5</v>
      </c>
      <c r="F571" s="230">
        <v>0.5</v>
      </c>
      <c r="G571" s="232"/>
    </row>
    <row r="572">
      <c r="A572" s="2"/>
      <c r="B572" s="168" t="s">
        <v>684</v>
      </c>
      <c r="C572" s="168" t="s">
        <v>848</v>
      </c>
      <c r="D572" s="229">
        <v>25.5</v>
      </c>
      <c r="E572" s="229">
        <v>29.0</v>
      </c>
      <c r="F572" s="230">
        <v>3.0</v>
      </c>
      <c r="G572" s="232"/>
    </row>
    <row r="573">
      <c r="A573" s="2"/>
      <c r="B573" s="168" t="s">
        <v>230</v>
      </c>
      <c r="C573" s="168" t="s">
        <v>849</v>
      </c>
      <c r="D573" s="229">
        <v>16.5</v>
      </c>
      <c r="E573" s="229">
        <v>20.0</v>
      </c>
      <c r="F573" s="230">
        <v>3.0</v>
      </c>
      <c r="G573" s="232"/>
    </row>
    <row r="574">
      <c r="A574" s="2"/>
      <c r="B574" s="168" t="s">
        <v>230</v>
      </c>
      <c r="C574" s="168" t="s">
        <v>850</v>
      </c>
      <c r="D574" s="229">
        <v>21.5</v>
      </c>
      <c r="E574" s="229">
        <v>25.0</v>
      </c>
      <c r="F574" s="230">
        <v>3.0</v>
      </c>
      <c r="G574" s="232"/>
    </row>
    <row r="575">
      <c r="A575" s="2"/>
      <c r="B575" s="168" t="s">
        <v>245</v>
      </c>
      <c r="C575" s="168" t="s">
        <v>851</v>
      </c>
      <c r="D575" s="229">
        <v>29.5</v>
      </c>
      <c r="E575" s="229">
        <v>33.0</v>
      </c>
      <c r="F575" s="230">
        <v>3.0</v>
      </c>
      <c r="G575" s="232"/>
    </row>
    <row r="576">
      <c r="A576" s="2"/>
      <c r="B576" s="168" t="s">
        <v>273</v>
      </c>
      <c r="C576" s="168" t="s">
        <v>852</v>
      </c>
      <c r="D576" s="229">
        <v>29.5</v>
      </c>
      <c r="E576" s="229">
        <v>33.0</v>
      </c>
      <c r="F576" s="230">
        <v>3.0</v>
      </c>
      <c r="G576" s="232"/>
    </row>
    <row r="577">
      <c r="A577" s="2"/>
      <c r="B577" s="168" t="s">
        <v>300</v>
      </c>
      <c r="C577" s="168" t="s">
        <v>853</v>
      </c>
      <c r="D577" s="229">
        <v>27.0</v>
      </c>
      <c r="E577" s="229">
        <v>30.5</v>
      </c>
      <c r="F577" s="230">
        <v>3.0</v>
      </c>
      <c r="G577" s="232"/>
    </row>
    <row r="578">
      <c r="A578" s="2"/>
      <c r="B578" s="168" t="s">
        <v>430</v>
      </c>
      <c r="C578" s="168" t="s">
        <v>854</v>
      </c>
      <c r="D578" s="229">
        <v>34.5</v>
      </c>
      <c r="E578" s="229">
        <v>38.0</v>
      </c>
      <c r="F578" s="230">
        <v>3.0</v>
      </c>
      <c r="G578" s="232"/>
    </row>
    <row r="579">
      <c r="A579" s="2"/>
      <c r="B579" s="168" t="s">
        <v>266</v>
      </c>
      <c r="C579" s="168" t="s">
        <v>855</v>
      </c>
      <c r="D579" s="229">
        <v>33.0</v>
      </c>
      <c r="E579" s="229">
        <v>33.0</v>
      </c>
      <c r="F579" s="230">
        <v>3.0</v>
      </c>
      <c r="G579" s="232"/>
    </row>
    <row r="580">
      <c r="A580" s="2"/>
      <c r="B580" s="168" t="s">
        <v>269</v>
      </c>
      <c r="C580" s="168" t="s">
        <v>856</v>
      </c>
      <c r="D580" s="229">
        <v>26.5</v>
      </c>
      <c r="E580" s="229">
        <v>30.0</v>
      </c>
      <c r="F580" s="230">
        <v>3.0</v>
      </c>
      <c r="G580" s="232"/>
    </row>
    <row r="581">
      <c r="A581" s="2"/>
      <c r="B581" s="168" t="s">
        <v>230</v>
      </c>
      <c r="C581" s="168" t="s">
        <v>857</v>
      </c>
      <c r="D581" s="229">
        <v>21.5</v>
      </c>
      <c r="E581" s="229">
        <v>25.0</v>
      </c>
      <c r="F581" s="230">
        <v>3.0</v>
      </c>
      <c r="G581" s="232"/>
    </row>
    <row r="582">
      <c r="A582" s="2"/>
      <c r="B582" s="168" t="s">
        <v>241</v>
      </c>
      <c r="C582" s="168" t="s">
        <v>858</v>
      </c>
      <c r="D582" s="229">
        <v>32.5</v>
      </c>
      <c r="E582" s="229">
        <v>36.0</v>
      </c>
      <c r="F582" s="230">
        <v>3.0</v>
      </c>
      <c r="G582" s="232"/>
    </row>
    <row r="583">
      <c r="A583" s="2"/>
      <c r="B583" s="168" t="s">
        <v>288</v>
      </c>
      <c r="C583" s="168" t="s">
        <v>859</v>
      </c>
      <c r="D583" s="229">
        <v>21.5</v>
      </c>
      <c r="E583" s="229">
        <v>25.0</v>
      </c>
      <c r="F583" s="230">
        <v>3.0</v>
      </c>
      <c r="G583" s="232"/>
    </row>
    <row r="584">
      <c r="A584" s="2"/>
      <c r="B584" s="168" t="s">
        <v>217</v>
      </c>
      <c r="C584" s="168" t="s">
        <v>860</v>
      </c>
      <c r="D584" s="229">
        <v>27.5</v>
      </c>
      <c r="E584" s="229">
        <v>31.0</v>
      </c>
      <c r="F584" s="230">
        <v>3.0</v>
      </c>
      <c r="G584" s="232"/>
    </row>
    <row r="585">
      <c r="A585" s="2"/>
      <c r="B585" s="168" t="s">
        <v>337</v>
      </c>
      <c r="C585" s="168" t="s">
        <v>861</v>
      </c>
      <c r="D585" s="229">
        <v>28.5</v>
      </c>
      <c r="E585" s="229">
        <v>32.0</v>
      </c>
      <c r="F585" s="230">
        <v>3.0</v>
      </c>
      <c r="G585" s="232"/>
    </row>
    <row r="586">
      <c r="A586" s="2"/>
      <c r="B586" s="168" t="s">
        <v>288</v>
      </c>
      <c r="C586" s="168" t="s">
        <v>862</v>
      </c>
      <c r="D586" s="229">
        <v>21.5</v>
      </c>
      <c r="E586" s="229">
        <v>25.0</v>
      </c>
      <c r="F586" s="230">
        <v>3.0</v>
      </c>
      <c r="G586" s="232"/>
    </row>
    <row r="587">
      <c r="A587" s="2"/>
      <c r="B587" s="168" t="s">
        <v>255</v>
      </c>
      <c r="C587" s="168" t="s">
        <v>863</v>
      </c>
      <c r="D587" s="229">
        <v>31.5</v>
      </c>
      <c r="E587" s="229">
        <v>35.0</v>
      </c>
      <c r="F587" s="230">
        <v>3.0</v>
      </c>
      <c r="G587" s="232"/>
    </row>
    <row r="588">
      <c r="A588" s="2"/>
      <c r="B588" s="168" t="s">
        <v>288</v>
      </c>
      <c r="C588" s="168" t="s">
        <v>864</v>
      </c>
      <c r="D588" s="229">
        <v>21.5</v>
      </c>
      <c r="E588" s="229">
        <v>25.0</v>
      </c>
      <c r="F588" s="230">
        <v>3.0</v>
      </c>
      <c r="G588" s="232"/>
    </row>
    <row r="589">
      <c r="A589" s="2"/>
      <c r="B589" s="168" t="s">
        <v>337</v>
      </c>
      <c r="C589" s="168" t="s">
        <v>865</v>
      </c>
      <c r="D589" s="229">
        <v>23.5</v>
      </c>
      <c r="E589" s="229">
        <v>27.0</v>
      </c>
      <c r="F589" s="230">
        <v>3.0</v>
      </c>
      <c r="G589" s="232"/>
    </row>
    <row r="590">
      <c r="A590" s="2"/>
      <c r="B590" s="168" t="s">
        <v>288</v>
      </c>
      <c r="C590" s="168" t="s">
        <v>866</v>
      </c>
      <c r="D590" s="229">
        <v>21.5</v>
      </c>
      <c r="E590" s="229">
        <v>25.0</v>
      </c>
      <c r="F590" s="230">
        <v>3.0</v>
      </c>
      <c r="G590" s="232"/>
    </row>
    <row r="591">
      <c r="A591" s="2"/>
      <c r="B591" s="168" t="s">
        <v>269</v>
      </c>
      <c r="C591" s="168" t="s">
        <v>867</v>
      </c>
      <c r="D591" s="229">
        <v>26.5</v>
      </c>
      <c r="E591" s="229">
        <v>30.0</v>
      </c>
      <c r="F591" s="230">
        <v>3.0</v>
      </c>
      <c r="G591" s="232"/>
    </row>
    <row r="592">
      <c r="A592" s="2"/>
      <c r="B592" s="168" t="s">
        <v>427</v>
      </c>
      <c r="C592" s="168" t="s">
        <v>868</v>
      </c>
      <c r="D592" s="229">
        <v>26.5</v>
      </c>
      <c r="E592" s="229">
        <v>30.0</v>
      </c>
      <c r="F592" s="230">
        <v>3.0</v>
      </c>
      <c r="G592" s="232"/>
    </row>
    <row r="593">
      <c r="A593" s="2"/>
      <c r="B593" s="168" t="s">
        <v>273</v>
      </c>
      <c r="C593" s="168" t="s">
        <v>869</v>
      </c>
      <c r="D593" s="229">
        <v>29.5</v>
      </c>
      <c r="E593" s="229">
        <v>33.0</v>
      </c>
      <c r="F593" s="230">
        <v>3.0</v>
      </c>
      <c r="G593" s="232"/>
    </row>
    <row r="594">
      <c r="A594" s="2"/>
      <c r="B594" s="168" t="s">
        <v>368</v>
      </c>
      <c r="C594" s="168" t="s">
        <v>870</v>
      </c>
      <c r="D594" s="229">
        <v>32.5</v>
      </c>
      <c r="E594" s="229">
        <v>36.0</v>
      </c>
      <c r="F594" s="230">
        <v>3.0</v>
      </c>
      <c r="G594" s="232"/>
    </row>
    <row r="595">
      <c r="A595" s="2"/>
      <c r="B595" s="168" t="s">
        <v>290</v>
      </c>
      <c r="C595" s="168" t="s">
        <v>871</v>
      </c>
      <c r="D595" s="229">
        <v>29.5</v>
      </c>
      <c r="E595" s="229">
        <v>33.0</v>
      </c>
      <c r="F595" s="230">
        <v>3.0</v>
      </c>
      <c r="G595" s="232"/>
    </row>
    <row r="596">
      <c r="A596" s="2"/>
      <c r="B596" s="168" t="s">
        <v>241</v>
      </c>
      <c r="C596" s="168" t="s">
        <v>872</v>
      </c>
      <c r="D596" s="229">
        <v>27.5</v>
      </c>
      <c r="E596" s="229">
        <v>31.0</v>
      </c>
      <c r="F596" s="230">
        <v>3.0</v>
      </c>
      <c r="G596" s="232"/>
    </row>
    <row r="597">
      <c r="A597" s="2"/>
      <c r="B597" s="168" t="s">
        <v>217</v>
      </c>
      <c r="C597" s="168" t="s">
        <v>873</v>
      </c>
      <c r="D597" s="229">
        <v>27.5</v>
      </c>
      <c r="E597" s="229">
        <v>31.0</v>
      </c>
      <c r="F597" s="230">
        <v>3.0</v>
      </c>
      <c r="G597" s="232"/>
    </row>
    <row r="598">
      <c r="A598" s="2"/>
      <c r="B598" s="168" t="s">
        <v>280</v>
      </c>
      <c r="C598" s="168" t="s">
        <v>874</v>
      </c>
      <c r="D598" s="229">
        <v>28.5</v>
      </c>
      <c r="E598" s="229">
        <v>32.0</v>
      </c>
      <c r="F598" s="230">
        <v>3.0</v>
      </c>
      <c r="G598" s="232"/>
    </row>
    <row r="599">
      <c r="A599" s="2"/>
      <c r="B599" s="168" t="s">
        <v>875</v>
      </c>
      <c r="C599" s="168" t="s">
        <v>875</v>
      </c>
      <c r="D599" s="229">
        <v>23.5</v>
      </c>
      <c r="E599" s="229">
        <v>23.5</v>
      </c>
      <c r="F599" s="230">
        <v>5.0</v>
      </c>
      <c r="G599" s="232"/>
    </row>
    <row r="600">
      <c r="A600" s="2"/>
      <c r="B600" s="168" t="s">
        <v>217</v>
      </c>
      <c r="C600" s="168" t="s">
        <v>876</v>
      </c>
      <c r="D600" s="229">
        <v>27.5</v>
      </c>
      <c r="E600" s="229">
        <v>31.0</v>
      </c>
      <c r="F600" s="230">
        <v>3.0</v>
      </c>
      <c r="G600" s="232"/>
    </row>
    <row r="601">
      <c r="A601" s="2"/>
      <c r="B601" s="168" t="s">
        <v>232</v>
      </c>
      <c r="C601" s="168" t="s">
        <v>877</v>
      </c>
      <c r="D601" s="229">
        <v>32.5</v>
      </c>
      <c r="E601" s="229">
        <v>36.0</v>
      </c>
      <c r="F601" s="230">
        <v>3.0</v>
      </c>
      <c r="G601" s="232"/>
    </row>
    <row r="602">
      <c r="A602" s="2"/>
      <c r="B602" s="168" t="s">
        <v>406</v>
      </c>
      <c r="C602" s="168" t="s">
        <v>878</v>
      </c>
      <c r="D602" s="229">
        <v>21.5</v>
      </c>
      <c r="E602" s="229">
        <v>25.0</v>
      </c>
      <c r="F602" s="230">
        <v>3.0</v>
      </c>
      <c r="G602" s="232"/>
    </row>
    <row r="603">
      <c r="A603" s="2"/>
      <c r="B603" s="168" t="s">
        <v>215</v>
      </c>
      <c r="C603" s="168" t="s">
        <v>879</v>
      </c>
      <c r="D603" s="229">
        <v>27.5</v>
      </c>
      <c r="E603" s="229">
        <v>31.0</v>
      </c>
      <c r="F603" s="230">
        <v>3.0</v>
      </c>
      <c r="G603" s="232"/>
    </row>
    <row r="604">
      <c r="A604" s="2"/>
      <c r="B604" s="168" t="s">
        <v>215</v>
      </c>
      <c r="C604" s="168" t="s">
        <v>880</v>
      </c>
      <c r="D604" s="229">
        <v>27.5</v>
      </c>
      <c r="E604" s="229">
        <v>31.0</v>
      </c>
      <c r="F604" s="230">
        <v>3.0</v>
      </c>
      <c r="G604" s="232"/>
    </row>
    <row r="605">
      <c r="A605" s="2"/>
      <c r="B605" s="168" t="s">
        <v>341</v>
      </c>
      <c r="C605" s="168" t="s">
        <v>881</v>
      </c>
      <c r="D605" s="229">
        <v>29.5</v>
      </c>
      <c r="E605" s="229">
        <v>29.5</v>
      </c>
      <c r="F605" s="230">
        <v>3.0</v>
      </c>
      <c r="G605" s="232"/>
    </row>
    <row r="606">
      <c r="A606" s="2"/>
      <c r="B606" s="168" t="s">
        <v>318</v>
      </c>
      <c r="C606" s="168" t="s">
        <v>882</v>
      </c>
      <c r="D606" s="229">
        <v>25.5</v>
      </c>
      <c r="E606" s="229">
        <v>29.0</v>
      </c>
      <c r="F606" s="230">
        <v>3.0</v>
      </c>
      <c r="G606" s="232"/>
    </row>
    <row r="607">
      <c r="A607" s="2"/>
      <c r="B607" s="168" t="s">
        <v>255</v>
      </c>
      <c r="C607" s="168" t="s">
        <v>883</v>
      </c>
      <c r="D607" s="229">
        <v>31.5</v>
      </c>
      <c r="E607" s="229">
        <v>35.0</v>
      </c>
      <c r="F607" s="230">
        <v>3.0</v>
      </c>
      <c r="G607" s="232"/>
    </row>
    <row r="608">
      <c r="A608" s="2"/>
      <c r="B608" s="168" t="s">
        <v>221</v>
      </c>
      <c r="C608" s="168" t="s">
        <v>884</v>
      </c>
      <c r="D608" s="229">
        <v>22.5</v>
      </c>
      <c r="E608" s="229">
        <v>26.0</v>
      </c>
      <c r="F608" s="230">
        <v>3.0</v>
      </c>
      <c r="G608" s="232"/>
    </row>
    <row r="609">
      <c r="A609" s="2"/>
      <c r="B609" s="168" t="s">
        <v>302</v>
      </c>
      <c r="C609" s="168" t="s">
        <v>885</v>
      </c>
      <c r="D609" s="229">
        <v>34.5</v>
      </c>
      <c r="E609" s="229">
        <v>38.0</v>
      </c>
      <c r="F609" s="230">
        <v>3.0</v>
      </c>
      <c r="G609" s="232"/>
    </row>
    <row r="610">
      <c r="A610" s="2"/>
      <c r="B610" s="168" t="s">
        <v>406</v>
      </c>
      <c r="C610" s="168" t="s">
        <v>886</v>
      </c>
      <c r="D610" s="229">
        <v>21.5</v>
      </c>
      <c r="E610" s="229">
        <v>25.0</v>
      </c>
      <c r="F610" s="230">
        <v>3.0</v>
      </c>
      <c r="G610" s="232"/>
    </row>
    <row r="611">
      <c r="A611" s="2"/>
      <c r="B611" s="168" t="s">
        <v>239</v>
      </c>
      <c r="C611" s="168" t="s">
        <v>887</v>
      </c>
      <c r="D611" s="229">
        <v>29.5</v>
      </c>
      <c r="E611" s="229">
        <v>33.0</v>
      </c>
      <c r="F611" s="230">
        <v>3.0</v>
      </c>
      <c r="G611" s="232"/>
    </row>
    <row r="612">
      <c r="A612" s="2"/>
      <c r="B612" s="168" t="s">
        <v>243</v>
      </c>
      <c r="C612" s="168" t="s">
        <v>888</v>
      </c>
      <c r="D612" s="229">
        <v>29.5</v>
      </c>
      <c r="E612" s="229">
        <v>33.0</v>
      </c>
      <c r="F612" s="230">
        <v>3.0</v>
      </c>
      <c r="G612" s="232"/>
    </row>
    <row r="613">
      <c r="A613" s="2"/>
      <c r="B613" s="168" t="s">
        <v>234</v>
      </c>
      <c r="C613" s="168" t="s">
        <v>889</v>
      </c>
      <c r="D613" s="229">
        <v>29.5</v>
      </c>
      <c r="E613" s="229">
        <v>33.0</v>
      </c>
      <c r="F613" s="230">
        <v>3.0</v>
      </c>
      <c r="G613" s="232"/>
    </row>
    <row r="614">
      <c r="A614" s="2"/>
      <c r="B614" s="168" t="s">
        <v>236</v>
      </c>
      <c r="C614" s="168" t="s">
        <v>890</v>
      </c>
      <c r="D614" s="229">
        <v>34.5</v>
      </c>
      <c r="E614" s="229">
        <v>38.0</v>
      </c>
      <c r="F614" s="230">
        <v>3.0</v>
      </c>
      <c r="G614" s="232"/>
    </row>
    <row r="615">
      <c r="A615" s="2"/>
      <c r="B615" s="168" t="s">
        <v>217</v>
      </c>
      <c r="C615" s="168" t="s">
        <v>891</v>
      </c>
      <c r="D615" s="229">
        <v>27.5</v>
      </c>
      <c r="E615" s="229">
        <v>31.0</v>
      </c>
      <c r="F615" s="230">
        <v>3.0</v>
      </c>
      <c r="G615" s="232"/>
    </row>
    <row r="616">
      <c r="A616" s="2"/>
      <c r="B616" s="168" t="s">
        <v>592</v>
      </c>
      <c r="C616" s="168" t="s">
        <v>892</v>
      </c>
      <c r="D616" s="229">
        <v>34.5</v>
      </c>
      <c r="E616" s="229">
        <v>38.0</v>
      </c>
      <c r="F616" s="230">
        <v>3.0</v>
      </c>
      <c r="G616" s="232"/>
    </row>
    <row r="617">
      <c r="A617" s="2"/>
      <c r="B617" s="168" t="s">
        <v>217</v>
      </c>
      <c r="C617" s="168" t="s">
        <v>893</v>
      </c>
      <c r="D617" s="229">
        <v>27.5</v>
      </c>
      <c r="E617" s="229">
        <v>31.0</v>
      </c>
      <c r="F617" s="230">
        <v>3.0</v>
      </c>
      <c r="G617" s="232"/>
    </row>
    <row r="618">
      <c r="A618" s="2"/>
      <c r="B618" s="168" t="s">
        <v>223</v>
      </c>
      <c r="C618" s="168" t="s">
        <v>894</v>
      </c>
      <c r="D618" s="229">
        <v>26.5</v>
      </c>
      <c r="E618" s="229">
        <v>30.0</v>
      </c>
      <c r="F618" s="230">
        <v>3.0</v>
      </c>
      <c r="G618" s="232"/>
    </row>
    <row r="619">
      <c r="A619" s="2"/>
      <c r="B619" s="168" t="s">
        <v>217</v>
      </c>
      <c r="C619" s="168" t="s">
        <v>895</v>
      </c>
      <c r="D619" s="229">
        <v>27.5</v>
      </c>
      <c r="E619" s="229">
        <v>31.0</v>
      </c>
      <c r="F619" s="230">
        <v>3.0</v>
      </c>
      <c r="G619" s="232"/>
    </row>
    <row r="620">
      <c r="A620" s="2"/>
      <c r="B620" s="168" t="s">
        <v>241</v>
      </c>
      <c r="C620" s="168" t="s">
        <v>896</v>
      </c>
      <c r="D620" s="229">
        <v>32.5</v>
      </c>
      <c r="E620" s="229">
        <v>36.0</v>
      </c>
      <c r="F620" s="230">
        <v>3.0</v>
      </c>
      <c r="G620" s="232"/>
    </row>
    <row r="621">
      <c r="A621" s="2"/>
      <c r="B621" s="168" t="s">
        <v>243</v>
      </c>
      <c r="C621" s="168" t="s">
        <v>897</v>
      </c>
      <c r="D621" s="229">
        <v>29.5</v>
      </c>
      <c r="E621" s="229">
        <v>33.0</v>
      </c>
      <c r="F621" s="230">
        <v>3.0</v>
      </c>
      <c r="G621" s="232"/>
    </row>
    <row r="622">
      <c r="A622" s="2"/>
      <c r="B622" s="168" t="s">
        <v>257</v>
      </c>
      <c r="C622" s="168" t="s">
        <v>898</v>
      </c>
      <c r="D622" s="229">
        <v>23.5</v>
      </c>
      <c r="E622" s="229">
        <v>27.0</v>
      </c>
      <c r="F622" s="230">
        <v>3.0</v>
      </c>
      <c r="G622" s="232"/>
    </row>
    <row r="623">
      <c r="A623" s="2"/>
      <c r="B623" s="168" t="s">
        <v>223</v>
      </c>
      <c r="C623" s="168" t="s">
        <v>899</v>
      </c>
      <c r="D623" s="229">
        <v>26.5</v>
      </c>
      <c r="E623" s="229">
        <v>30.0</v>
      </c>
      <c r="F623" s="230">
        <v>3.0</v>
      </c>
      <c r="G623" s="232"/>
    </row>
    <row r="624">
      <c r="A624" s="2"/>
      <c r="B624" s="168" t="s">
        <v>234</v>
      </c>
      <c r="C624" s="168" t="s">
        <v>900</v>
      </c>
      <c r="D624" s="229">
        <v>24.5</v>
      </c>
      <c r="E624" s="229">
        <v>28.0</v>
      </c>
      <c r="F624" s="230">
        <v>3.0</v>
      </c>
      <c r="G624" s="232"/>
    </row>
    <row r="625">
      <c r="A625" s="2"/>
      <c r="B625" s="168" t="s">
        <v>223</v>
      </c>
      <c r="C625" s="168" t="s">
        <v>901</v>
      </c>
      <c r="D625" s="229">
        <v>26.5</v>
      </c>
      <c r="E625" s="229">
        <v>30.0</v>
      </c>
      <c r="F625" s="230">
        <v>3.0</v>
      </c>
      <c r="G625" s="232"/>
    </row>
    <row r="626">
      <c r="A626" s="2"/>
      <c r="B626" s="168" t="s">
        <v>255</v>
      </c>
      <c r="C626" s="168" t="s">
        <v>902</v>
      </c>
      <c r="D626" s="229">
        <v>31.5</v>
      </c>
      <c r="E626" s="229">
        <v>35.0</v>
      </c>
      <c r="F626" s="230">
        <v>3.0</v>
      </c>
      <c r="G626" s="232"/>
    </row>
    <row r="627">
      <c r="A627" s="2"/>
      <c r="B627" s="168" t="s">
        <v>241</v>
      </c>
      <c r="C627" s="168" t="s">
        <v>903</v>
      </c>
      <c r="D627" s="229">
        <v>32.5</v>
      </c>
      <c r="E627" s="229">
        <v>36.0</v>
      </c>
      <c r="F627" s="230">
        <v>3.0</v>
      </c>
      <c r="G627" s="232"/>
    </row>
    <row r="628">
      <c r="A628" s="2"/>
      <c r="B628" s="168" t="s">
        <v>337</v>
      </c>
      <c r="C628" s="168" t="s">
        <v>904</v>
      </c>
      <c r="D628" s="229">
        <v>28.5</v>
      </c>
      <c r="E628" s="229">
        <v>32.0</v>
      </c>
      <c r="F628" s="230">
        <v>3.0</v>
      </c>
      <c r="G628" s="232"/>
    </row>
    <row r="629">
      <c r="A629" s="2"/>
      <c r="B629" s="168" t="s">
        <v>217</v>
      </c>
      <c r="C629" s="168" t="s">
        <v>905</v>
      </c>
      <c r="D629" s="229">
        <v>27.5</v>
      </c>
      <c r="E629" s="229">
        <v>31.0</v>
      </c>
      <c r="F629" s="230">
        <v>3.0</v>
      </c>
      <c r="G629" s="232"/>
    </row>
    <row r="630">
      <c r="A630" s="2"/>
      <c r="B630" s="168" t="s">
        <v>217</v>
      </c>
      <c r="C630" s="168" t="s">
        <v>906</v>
      </c>
      <c r="D630" s="229">
        <v>27.5</v>
      </c>
      <c r="E630" s="229">
        <v>31.0</v>
      </c>
      <c r="F630" s="230">
        <v>3.0</v>
      </c>
      <c r="G630" s="232"/>
    </row>
    <row r="631">
      <c r="A631" s="2"/>
      <c r="B631" s="168" t="s">
        <v>332</v>
      </c>
      <c r="C631" s="168" t="s">
        <v>907</v>
      </c>
      <c r="D631" s="229">
        <v>28.5</v>
      </c>
      <c r="E631" s="229">
        <v>32.0</v>
      </c>
      <c r="F631" s="230">
        <v>3.0</v>
      </c>
      <c r="G631" s="232"/>
    </row>
    <row r="632">
      <c r="A632" s="2"/>
      <c r="B632" s="168" t="s">
        <v>332</v>
      </c>
      <c r="C632" s="168" t="s">
        <v>908</v>
      </c>
      <c r="D632" s="229">
        <v>28.5</v>
      </c>
      <c r="E632" s="229">
        <v>32.0</v>
      </c>
      <c r="F632" s="230">
        <v>3.0</v>
      </c>
      <c r="G632" s="232"/>
    </row>
    <row r="633">
      <c r="A633" s="2"/>
      <c r="B633" s="168" t="s">
        <v>273</v>
      </c>
      <c r="C633" s="168" t="s">
        <v>909</v>
      </c>
      <c r="D633" s="229">
        <v>24.5</v>
      </c>
      <c r="E633" s="229">
        <v>28.0</v>
      </c>
      <c r="F633" s="230">
        <v>3.0</v>
      </c>
      <c r="G633" s="232"/>
    </row>
    <row r="634">
      <c r="A634" s="2"/>
      <c r="B634" s="168" t="s">
        <v>241</v>
      </c>
      <c r="C634" s="168" t="s">
        <v>910</v>
      </c>
      <c r="D634" s="229">
        <v>32.5</v>
      </c>
      <c r="E634" s="229">
        <v>36.0</v>
      </c>
      <c r="F634" s="230">
        <v>3.0</v>
      </c>
      <c r="G634" s="232"/>
    </row>
    <row r="635">
      <c r="A635" s="2"/>
      <c r="B635" s="168" t="s">
        <v>413</v>
      </c>
      <c r="C635" s="168" t="s">
        <v>911</v>
      </c>
      <c r="D635" s="229">
        <v>29.5</v>
      </c>
      <c r="E635" s="229">
        <v>33.0</v>
      </c>
      <c r="F635" s="230">
        <v>3.0</v>
      </c>
      <c r="G635" s="232"/>
    </row>
    <row r="636">
      <c r="A636" s="2"/>
      <c r="B636" s="168" t="s">
        <v>223</v>
      </c>
      <c r="C636" s="168" t="s">
        <v>912</v>
      </c>
      <c r="D636" s="229">
        <v>26.5</v>
      </c>
      <c r="E636" s="229">
        <v>30.0</v>
      </c>
      <c r="F636" s="230">
        <v>3.0</v>
      </c>
      <c r="G636" s="232"/>
    </row>
    <row r="637">
      <c r="A637" s="2"/>
      <c r="B637" s="168" t="s">
        <v>269</v>
      </c>
      <c r="C637" s="168" t="s">
        <v>913</v>
      </c>
      <c r="D637" s="229">
        <v>26.5</v>
      </c>
      <c r="E637" s="229">
        <v>30.0</v>
      </c>
      <c r="F637" s="230">
        <v>3.0</v>
      </c>
      <c r="G637" s="232"/>
    </row>
    <row r="638">
      <c r="A638" s="2"/>
      <c r="B638" s="168" t="s">
        <v>464</v>
      </c>
      <c r="C638" s="168" t="s">
        <v>914</v>
      </c>
      <c r="D638" s="229">
        <v>0.5</v>
      </c>
      <c r="E638" s="229">
        <v>0.5</v>
      </c>
      <c r="F638" s="230">
        <v>0.5</v>
      </c>
      <c r="G638" s="232"/>
    </row>
    <row r="639">
      <c r="A639" s="2"/>
      <c r="B639" s="168" t="s">
        <v>449</v>
      </c>
      <c r="C639" s="168" t="s">
        <v>915</v>
      </c>
      <c r="D639" s="229">
        <v>28.0</v>
      </c>
      <c r="E639" s="229">
        <v>31.5</v>
      </c>
      <c r="F639" s="230">
        <v>3.0</v>
      </c>
      <c r="G639" s="232"/>
    </row>
    <row r="640">
      <c r="A640" s="2"/>
      <c r="B640" s="168" t="s">
        <v>269</v>
      </c>
      <c r="C640" s="168" t="s">
        <v>916</v>
      </c>
      <c r="D640" s="229">
        <v>26.5</v>
      </c>
      <c r="E640" s="229">
        <v>30.0</v>
      </c>
      <c r="F640" s="230">
        <v>3.0</v>
      </c>
      <c r="G640" s="232"/>
    </row>
    <row r="641">
      <c r="A641" s="2"/>
      <c r="B641" s="168" t="s">
        <v>275</v>
      </c>
      <c r="C641" s="168" t="s">
        <v>917</v>
      </c>
      <c r="D641" s="229">
        <v>26.5</v>
      </c>
      <c r="E641" s="229">
        <v>30.0</v>
      </c>
      <c r="F641" s="230">
        <v>3.0</v>
      </c>
      <c r="G641" s="232"/>
    </row>
    <row r="642">
      <c r="A642" s="2"/>
      <c r="B642" s="168" t="s">
        <v>215</v>
      </c>
      <c r="C642" s="168" t="s">
        <v>918</v>
      </c>
      <c r="D642" s="229">
        <v>27.5</v>
      </c>
      <c r="E642" s="229">
        <v>31.0</v>
      </c>
      <c r="F642" s="230">
        <v>3.0</v>
      </c>
      <c r="G642" s="232"/>
    </row>
    <row r="643">
      <c r="A643" s="2"/>
      <c r="B643" s="168" t="s">
        <v>377</v>
      </c>
      <c r="C643" s="168" t="s">
        <v>919</v>
      </c>
      <c r="D643" s="229">
        <v>29.5</v>
      </c>
      <c r="E643" s="229">
        <v>33.0</v>
      </c>
      <c r="F643" s="230">
        <v>3.0</v>
      </c>
      <c r="G643" s="232"/>
    </row>
    <row r="644">
      <c r="A644" s="2"/>
      <c r="B644" s="168" t="s">
        <v>337</v>
      </c>
      <c r="C644" s="168" t="s">
        <v>920</v>
      </c>
      <c r="D644" s="229">
        <v>28.5</v>
      </c>
      <c r="E644" s="229">
        <v>32.0</v>
      </c>
      <c r="F644" s="230">
        <v>3.0</v>
      </c>
      <c r="G644" s="232"/>
    </row>
    <row r="645">
      <c r="A645" s="2"/>
      <c r="B645" s="168" t="s">
        <v>228</v>
      </c>
      <c r="C645" s="168" t="s">
        <v>228</v>
      </c>
      <c r="D645" s="229">
        <v>26.5</v>
      </c>
      <c r="E645" s="229">
        <v>26.5</v>
      </c>
      <c r="F645" s="230">
        <v>3.0</v>
      </c>
      <c r="G645" s="232"/>
    </row>
    <row r="646">
      <c r="A646" s="2"/>
      <c r="B646" s="168" t="s">
        <v>345</v>
      </c>
      <c r="C646" s="168" t="s">
        <v>921</v>
      </c>
      <c r="D646" s="229">
        <v>21.5</v>
      </c>
      <c r="E646" s="229">
        <v>25.0</v>
      </c>
      <c r="F646" s="230">
        <v>3.0</v>
      </c>
      <c r="G646" s="232"/>
    </row>
    <row r="647">
      <c r="A647" s="2"/>
      <c r="B647" s="168" t="s">
        <v>288</v>
      </c>
      <c r="C647" s="168" t="s">
        <v>922</v>
      </c>
      <c r="D647" s="229">
        <v>21.5</v>
      </c>
      <c r="E647" s="229">
        <v>25.0</v>
      </c>
      <c r="F647" s="230">
        <v>3.0</v>
      </c>
      <c r="G647" s="232"/>
    </row>
    <row r="648">
      <c r="A648" s="2"/>
      <c r="B648" s="168" t="s">
        <v>241</v>
      </c>
      <c r="C648" s="168" t="s">
        <v>923</v>
      </c>
      <c r="D648" s="229">
        <v>27.5</v>
      </c>
      <c r="E648" s="229">
        <v>31.0</v>
      </c>
      <c r="F648" s="230">
        <v>3.0</v>
      </c>
      <c r="G648" s="232"/>
    </row>
    <row r="649">
      <c r="A649" s="2"/>
      <c r="B649" s="168" t="s">
        <v>318</v>
      </c>
      <c r="C649" s="168" t="s">
        <v>924</v>
      </c>
      <c r="D649" s="229">
        <v>25.5</v>
      </c>
      <c r="E649" s="229">
        <v>29.0</v>
      </c>
      <c r="F649" s="230">
        <v>3.0</v>
      </c>
      <c r="G649" s="232"/>
    </row>
    <row r="650">
      <c r="A650" s="2"/>
      <c r="B650" s="168" t="s">
        <v>318</v>
      </c>
      <c r="C650" s="168" t="s">
        <v>925</v>
      </c>
      <c r="D650" s="229">
        <v>25.5</v>
      </c>
      <c r="E650" s="229">
        <v>29.0</v>
      </c>
      <c r="F650" s="230">
        <v>3.0</v>
      </c>
      <c r="G650" s="232"/>
    </row>
    <row r="651">
      <c r="A651" s="2"/>
      <c r="B651" s="168" t="s">
        <v>247</v>
      </c>
      <c r="C651" s="168" t="s">
        <v>926</v>
      </c>
      <c r="D651" s="229">
        <v>19.5</v>
      </c>
      <c r="E651" s="229">
        <v>23.0</v>
      </c>
      <c r="F651" s="230">
        <v>3.0</v>
      </c>
      <c r="G651" s="232"/>
    </row>
    <row r="652">
      <c r="A652" s="2"/>
      <c r="B652" s="168" t="s">
        <v>241</v>
      </c>
      <c r="C652" s="168" t="s">
        <v>927</v>
      </c>
      <c r="D652" s="229">
        <v>32.5</v>
      </c>
      <c r="E652" s="229">
        <v>36.0</v>
      </c>
      <c r="F652" s="230">
        <v>3.0</v>
      </c>
      <c r="G652" s="232"/>
    </row>
    <row r="653">
      <c r="A653" s="2"/>
      <c r="B653" s="168" t="s">
        <v>377</v>
      </c>
      <c r="C653" s="168" t="s">
        <v>928</v>
      </c>
      <c r="D653" s="229">
        <v>24.5</v>
      </c>
      <c r="E653" s="229">
        <v>28.0</v>
      </c>
      <c r="F653" s="230">
        <v>3.0</v>
      </c>
      <c r="G653" s="232"/>
    </row>
    <row r="654">
      <c r="A654" s="2"/>
      <c r="B654" s="168" t="s">
        <v>341</v>
      </c>
      <c r="C654" s="168" t="s">
        <v>929</v>
      </c>
      <c r="D654" s="229">
        <v>29.5</v>
      </c>
      <c r="E654" s="229">
        <v>29.5</v>
      </c>
      <c r="F654" s="230">
        <v>3.0</v>
      </c>
      <c r="G654" s="232"/>
    </row>
    <row r="655">
      <c r="A655" s="2"/>
      <c r="B655" s="168" t="s">
        <v>388</v>
      </c>
      <c r="C655" s="168" t="s">
        <v>930</v>
      </c>
      <c r="D655" s="229">
        <v>16.5</v>
      </c>
      <c r="E655" s="229">
        <v>20.0</v>
      </c>
      <c r="F655" s="230">
        <v>3.0</v>
      </c>
      <c r="G655" s="232"/>
    </row>
    <row r="656">
      <c r="A656" s="2"/>
      <c r="B656" s="168" t="s">
        <v>377</v>
      </c>
      <c r="C656" s="168" t="s">
        <v>931</v>
      </c>
      <c r="D656" s="229">
        <v>24.5</v>
      </c>
      <c r="E656" s="229">
        <v>28.0</v>
      </c>
      <c r="F656" s="230">
        <v>3.0</v>
      </c>
      <c r="G656" s="232"/>
    </row>
    <row r="657">
      <c r="A657" s="2"/>
      <c r="B657" s="168" t="s">
        <v>230</v>
      </c>
      <c r="C657" s="168" t="s">
        <v>932</v>
      </c>
      <c r="D657" s="229">
        <v>21.5</v>
      </c>
      <c r="E657" s="229">
        <v>25.0</v>
      </c>
      <c r="F657" s="230">
        <v>3.0</v>
      </c>
      <c r="G657" s="232"/>
    </row>
    <row r="658">
      <c r="A658" s="2"/>
      <c r="B658" s="168" t="s">
        <v>290</v>
      </c>
      <c r="C658" s="168" t="s">
        <v>933</v>
      </c>
      <c r="D658" s="229">
        <v>29.5</v>
      </c>
      <c r="E658" s="229">
        <v>33.0</v>
      </c>
      <c r="F658" s="230">
        <v>3.0</v>
      </c>
      <c r="G658" s="232"/>
    </row>
    <row r="659">
      <c r="A659" s="2"/>
      <c r="B659" s="168" t="s">
        <v>288</v>
      </c>
      <c r="C659" s="168" t="s">
        <v>934</v>
      </c>
      <c r="D659" s="229">
        <v>21.5</v>
      </c>
      <c r="E659" s="229">
        <v>25.0</v>
      </c>
      <c r="F659" s="230">
        <v>3.0</v>
      </c>
      <c r="G659" s="232"/>
    </row>
    <row r="660">
      <c r="A660" s="2"/>
      <c r="B660" s="168" t="s">
        <v>228</v>
      </c>
      <c r="C660" s="168" t="s">
        <v>935</v>
      </c>
      <c r="D660" s="229">
        <v>18.0</v>
      </c>
      <c r="E660" s="229">
        <v>18.0</v>
      </c>
      <c r="F660" s="230">
        <v>3.0</v>
      </c>
      <c r="G660" s="232"/>
    </row>
    <row r="661">
      <c r="A661" s="2"/>
      <c r="B661" s="168" t="s">
        <v>273</v>
      </c>
      <c r="C661" s="168" t="s">
        <v>936</v>
      </c>
      <c r="D661" s="229">
        <v>29.5</v>
      </c>
      <c r="E661" s="229">
        <v>33.0</v>
      </c>
      <c r="F661" s="230">
        <v>3.0</v>
      </c>
      <c r="G661" s="232"/>
    </row>
    <row r="662">
      <c r="A662" s="2"/>
      <c r="B662" s="168" t="s">
        <v>937</v>
      </c>
      <c r="C662" s="168" t="s">
        <v>937</v>
      </c>
      <c r="D662" s="229">
        <v>21.5</v>
      </c>
      <c r="E662" s="229">
        <v>25.0</v>
      </c>
      <c r="F662" s="230">
        <v>3.0</v>
      </c>
      <c r="G662" s="232"/>
    </row>
    <row r="663">
      <c r="A663" s="2"/>
      <c r="B663" s="168" t="s">
        <v>241</v>
      </c>
      <c r="C663" s="168" t="s">
        <v>938</v>
      </c>
      <c r="D663" s="229">
        <v>32.5</v>
      </c>
      <c r="E663" s="229">
        <v>36.0</v>
      </c>
      <c r="F663" s="230">
        <v>3.0</v>
      </c>
      <c r="G663" s="232"/>
    </row>
    <row r="664">
      <c r="A664" s="2"/>
      <c r="B664" s="168" t="s">
        <v>217</v>
      </c>
      <c r="C664" s="168" t="s">
        <v>939</v>
      </c>
      <c r="D664" s="229">
        <v>27.5</v>
      </c>
      <c r="E664" s="229">
        <v>31.0</v>
      </c>
      <c r="F664" s="230">
        <v>3.0</v>
      </c>
      <c r="G664" s="232"/>
    </row>
    <row r="665">
      <c r="A665" s="2"/>
      <c r="B665" s="168" t="s">
        <v>223</v>
      </c>
      <c r="C665" s="168" t="s">
        <v>940</v>
      </c>
      <c r="D665" s="229">
        <v>26.5</v>
      </c>
      <c r="E665" s="229">
        <v>30.0</v>
      </c>
      <c r="F665" s="230">
        <v>3.0</v>
      </c>
      <c r="G665" s="232"/>
    </row>
    <row r="666">
      <c r="A666" s="2"/>
      <c r="B666" s="168" t="s">
        <v>234</v>
      </c>
      <c r="C666" s="168" t="s">
        <v>941</v>
      </c>
      <c r="D666" s="229">
        <v>29.5</v>
      </c>
      <c r="E666" s="229">
        <v>33.0</v>
      </c>
      <c r="F666" s="230">
        <v>3.0</v>
      </c>
      <c r="G666" s="232"/>
    </row>
    <row r="667">
      <c r="A667" s="2"/>
      <c r="B667" s="168" t="s">
        <v>413</v>
      </c>
      <c r="C667" s="168" t="s">
        <v>942</v>
      </c>
      <c r="D667" s="229">
        <v>29.5</v>
      </c>
      <c r="E667" s="229">
        <v>33.0</v>
      </c>
      <c r="F667" s="230">
        <v>3.0</v>
      </c>
      <c r="G667" s="232"/>
    </row>
    <row r="668">
      <c r="A668" s="2"/>
      <c r="B668" s="168" t="s">
        <v>269</v>
      </c>
      <c r="C668" s="168" t="s">
        <v>943</v>
      </c>
      <c r="D668" s="229">
        <v>26.5</v>
      </c>
      <c r="E668" s="229">
        <v>30.0</v>
      </c>
      <c r="F668" s="230">
        <v>3.0</v>
      </c>
      <c r="G668" s="232"/>
    </row>
    <row r="669">
      <c r="A669" s="2"/>
      <c r="B669" s="168" t="s">
        <v>318</v>
      </c>
      <c r="C669" s="168" t="s">
        <v>944</v>
      </c>
      <c r="D669" s="229">
        <v>25.5</v>
      </c>
      <c r="E669" s="229">
        <v>29.0</v>
      </c>
      <c r="F669" s="230">
        <v>3.0</v>
      </c>
      <c r="G669" s="232"/>
    </row>
    <row r="670">
      <c r="A670" s="2"/>
      <c r="B670" s="168" t="s">
        <v>260</v>
      </c>
      <c r="C670" s="168" t="s">
        <v>945</v>
      </c>
      <c r="D670" s="229">
        <v>26.5</v>
      </c>
      <c r="E670" s="229">
        <v>30.0</v>
      </c>
      <c r="F670" s="230">
        <v>3.0</v>
      </c>
      <c r="G670" s="232"/>
    </row>
    <row r="671">
      <c r="A671" s="2"/>
      <c r="B671" s="168" t="s">
        <v>296</v>
      </c>
      <c r="C671" s="168" t="s">
        <v>946</v>
      </c>
      <c r="D671" s="229">
        <v>26.5</v>
      </c>
      <c r="E671" s="229">
        <v>30.0</v>
      </c>
      <c r="F671" s="230">
        <v>3.0</v>
      </c>
      <c r="G671" s="232"/>
    </row>
    <row r="672">
      <c r="A672" s="2"/>
      <c r="B672" s="168" t="s">
        <v>232</v>
      </c>
      <c r="C672" s="168" t="s">
        <v>947</v>
      </c>
      <c r="D672" s="229">
        <v>27.5</v>
      </c>
      <c r="E672" s="229">
        <v>31.0</v>
      </c>
      <c r="F672" s="230">
        <v>3.0</v>
      </c>
      <c r="G672" s="232"/>
    </row>
    <row r="673">
      <c r="A673" s="2"/>
      <c r="B673" s="168" t="s">
        <v>230</v>
      </c>
      <c r="C673" s="168" t="s">
        <v>948</v>
      </c>
      <c r="D673" s="229">
        <v>21.5</v>
      </c>
      <c r="E673" s="229">
        <v>25.0</v>
      </c>
      <c r="F673" s="230">
        <v>3.0</v>
      </c>
      <c r="G673" s="232"/>
    </row>
    <row r="674">
      <c r="A674" s="2"/>
      <c r="B674" s="168" t="s">
        <v>318</v>
      </c>
      <c r="C674" s="168" t="s">
        <v>949</v>
      </c>
      <c r="D674" s="229">
        <v>25.5</v>
      </c>
      <c r="E674" s="229">
        <v>29.0</v>
      </c>
      <c r="F674" s="230">
        <v>3.0</v>
      </c>
      <c r="G674" s="232"/>
    </row>
    <row r="675">
      <c r="A675" s="2"/>
      <c r="B675" s="168" t="s">
        <v>285</v>
      </c>
      <c r="C675" s="168" t="s">
        <v>950</v>
      </c>
      <c r="D675" s="229">
        <v>24.5</v>
      </c>
      <c r="E675" s="229">
        <v>28.0</v>
      </c>
      <c r="F675" s="230">
        <v>3.0</v>
      </c>
      <c r="G675" s="232"/>
    </row>
    <row r="676">
      <c r="A676" s="2"/>
      <c r="B676" s="168" t="s">
        <v>875</v>
      </c>
      <c r="C676" s="168" t="s">
        <v>951</v>
      </c>
      <c r="D676" s="229">
        <v>23.5</v>
      </c>
      <c r="E676" s="229">
        <v>23.5</v>
      </c>
      <c r="F676" s="230">
        <v>3.0</v>
      </c>
      <c r="G676" s="232"/>
    </row>
    <row r="677">
      <c r="A677" s="2"/>
      <c r="B677" s="168" t="s">
        <v>337</v>
      </c>
      <c r="C677" s="168" t="s">
        <v>952</v>
      </c>
      <c r="D677" s="229">
        <v>28.5</v>
      </c>
      <c r="E677" s="229">
        <v>32.0</v>
      </c>
      <c r="F677" s="230">
        <v>3.0</v>
      </c>
      <c r="G677" s="232"/>
    </row>
    <row r="678">
      <c r="A678" s="2"/>
      <c r="B678" s="168" t="s">
        <v>247</v>
      </c>
      <c r="C678" s="168" t="s">
        <v>953</v>
      </c>
      <c r="D678" s="229">
        <v>29.5</v>
      </c>
      <c r="E678" s="229">
        <v>33.0</v>
      </c>
      <c r="F678" s="230">
        <v>3.0</v>
      </c>
      <c r="G678" s="232"/>
    </row>
    <row r="679">
      <c r="A679" s="2"/>
      <c r="B679" s="168" t="s">
        <v>341</v>
      </c>
      <c r="C679" s="168" t="s">
        <v>954</v>
      </c>
      <c r="D679" s="229">
        <v>29.5</v>
      </c>
      <c r="E679" s="229">
        <v>29.5</v>
      </c>
      <c r="F679" s="230">
        <v>3.0</v>
      </c>
      <c r="G679" s="232"/>
    </row>
    <row r="680">
      <c r="A680" s="2"/>
      <c r="B680" s="168" t="s">
        <v>241</v>
      </c>
      <c r="C680" s="168" t="s">
        <v>955</v>
      </c>
      <c r="D680" s="229">
        <v>32.5</v>
      </c>
      <c r="E680" s="229">
        <v>36.0</v>
      </c>
      <c r="F680" s="230">
        <v>3.0</v>
      </c>
      <c r="G680" s="232"/>
    </row>
    <row r="681">
      <c r="A681" s="2"/>
      <c r="B681" s="168" t="s">
        <v>241</v>
      </c>
      <c r="C681" s="168" t="s">
        <v>956</v>
      </c>
      <c r="D681" s="229">
        <v>32.5</v>
      </c>
      <c r="E681" s="229">
        <v>36.0</v>
      </c>
      <c r="F681" s="230">
        <v>3.0</v>
      </c>
      <c r="G681" s="232"/>
    </row>
    <row r="682">
      <c r="A682" s="2"/>
      <c r="B682" s="168" t="s">
        <v>269</v>
      </c>
      <c r="C682" s="168" t="s">
        <v>957</v>
      </c>
      <c r="D682" s="229">
        <v>26.5</v>
      </c>
      <c r="E682" s="229">
        <v>30.0</v>
      </c>
      <c r="F682" s="230">
        <v>3.0</v>
      </c>
      <c r="G682" s="232"/>
    </row>
    <row r="683">
      <c r="A683" s="2"/>
      <c r="B683" s="168" t="s">
        <v>345</v>
      </c>
      <c r="C683" s="168" t="s">
        <v>958</v>
      </c>
      <c r="D683" s="229">
        <v>26.5</v>
      </c>
      <c r="E683" s="229">
        <v>30.0</v>
      </c>
      <c r="F683" s="230">
        <v>3.0</v>
      </c>
      <c r="G683" s="232"/>
    </row>
    <row r="684">
      <c r="A684" s="2"/>
      <c r="B684" s="168" t="s">
        <v>368</v>
      </c>
      <c r="C684" s="168" t="s">
        <v>959</v>
      </c>
      <c r="D684" s="229">
        <v>32.5</v>
      </c>
      <c r="E684" s="229">
        <v>36.0</v>
      </c>
      <c r="F684" s="230">
        <v>3.0</v>
      </c>
      <c r="G684" s="232"/>
    </row>
    <row r="685">
      <c r="A685" s="2"/>
      <c r="B685" s="168" t="s">
        <v>282</v>
      </c>
      <c r="C685" s="168" t="s">
        <v>960</v>
      </c>
      <c r="D685" s="229">
        <v>34.5</v>
      </c>
      <c r="E685" s="229">
        <v>38.0</v>
      </c>
      <c r="F685" s="230">
        <v>3.0</v>
      </c>
      <c r="G685" s="232"/>
    </row>
    <row r="686">
      <c r="A686" s="2"/>
      <c r="B686" s="168" t="s">
        <v>223</v>
      </c>
      <c r="C686" s="168" t="s">
        <v>961</v>
      </c>
      <c r="D686" s="229">
        <v>26.5</v>
      </c>
      <c r="E686" s="229">
        <v>30.0</v>
      </c>
      <c r="F686" s="230">
        <v>3.0</v>
      </c>
      <c r="G686" s="232"/>
    </row>
    <row r="687">
      <c r="A687" s="2"/>
      <c r="B687" s="168" t="s">
        <v>302</v>
      </c>
      <c r="C687" s="168" t="s">
        <v>962</v>
      </c>
      <c r="D687" s="229">
        <v>34.5</v>
      </c>
      <c r="E687" s="229">
        <v>38.0</v>
      </c>
      <c r="F687" s="230">
        <v>3.0</v>
      </c>
      <c r="G687" s="232"/>
    </row>
    <row r="688">
      <c r="A688" s="2"/>
      <c r="B688" s="168" t="s">
        <v>230</v>
      </c>
      <c r="C688" s="168" t="s">
        <v>963</v>
      </c>
      <c r="D688" s="229">
        <v>21.5</v>
      </c>
      <c r="E688" s="229">
        <v>25.0</v>
      </c>
      <c r="F688" s="230">
        <v>3.0</v>
      </c>
      <c r="G688" s="232"/>
    </row>
    <row r="689">
      <c r="A689" s="2"/>
      <c r="B689" s="168" t="s">
        <v>285</v>
      </c>
      <c r="C689" s="168" t="s">
        <v>964</v>
      </c>
      <c r="D689" s="229">
        <v>24.5</v>
      </c>
      <c r="E689" s="229">
        <v>28.0</v>
      </c>
      <c r="F689" s="230">
        <v>3.0</v>
      </c>
      <c r="G689" s="232"/>
    </row>
    <row r="690">
      <c r="A690" s="2"/>
      <c r="B690" s="168" t="s">
        <v>282</v>
      </c>
      <c r="C690" s="168" t="s">
        <v>965</v>
      </c>
      <c r="D690" s="229">
        <v>34.5</v>
      </c>
      <c r="E690" s="229">
        <v>38.0</v>
      </c>
      <c r="F690" s="230">
        <v>3.0</v>
      </c>
      <c r="G690" s="232"/>
    </row>
    <row r="691">
      <c r="A691" s="2"/>
      <c r="B691" s="168" t="s">
        <v>348</v>
      </c>
      <c r="C691" s="168" t="s">
        <v>966</v>
      </c>
      <c r="D691" s="229">
        <v>24.5</v>
      </c>
      <c r="E691" s="229">
        <v>28.0</v>
      </c>
      <c r="F691" s="230">
        <v>3.0</v>
      </c>
      <c r="G691" s="232"/>
    </row>
    <row r="692">
      <c r="A692" s="2"/>
      <c r="B692" s="168" t="s">
        <v>275</v>
      </c>
      <c r="C692" s="168" t="s">
        <v>967</v>
      </c>
      <c r="D692" s="229">
        <v>26.5</v>
      </c>
      <c r="E692" s="229">
        <v>30.0</v>
      </c>
      <c r="F692" s="230">
        <v>3.0</v>
      </c>
      <c r="G692" s="232"/>
    </row>
    <row r="693">
      <c r="A693" s="2"/>
      <c r="B693" s="168" t="s">
        <v>288</v>
      </c>
      <c r="C693" s="168" t="s">
        <v>968</v>
      </c>
      <c r="D693" s="229">
        <v>21.5</v>
      </c>
      <c r="E693" s="229">
        <v>25.0</v>
      </c>
      <c r="F693" s="230">
        <v>3.0</v>
      </c>
      <c r="G693" s="232"/>
    </row>
    <row r="694">
      <c r="A694" s="2"/>
      <c r="B694" s="168" t="s">
        <v>232</v>
      </c>
      <c r="C694" s="168" t="s">
        <v>969</v>
      </c>
      <c r="D694" s="229">
        <v>25.0</v>
      </c>
      <c r="E694" s="229">
        <v>28.5</v>
      </c>
      <c r="F694" s="230">
        <v>3.0</v>
      </c>
      <c r="G694" s="232"/>
    </row>
    <row r="695">
      <c r="A695" s="2"/>
      <c r="B695" s="168" t="s">
        <v>290</v>
      </c>
      <c r="C695" s="168" t="s">
        <v>970</v>
      </c>
      <c r="D695" s="229">
        <v>29.5</v>
      </c>
      <c r="E695" s="229">
        <v>33.0</v>
      </c>
      <c r="F695" s="230">
        <v>3.0</v>
      </c>
      <c r="G695" s="232"/>
    </row>
    <row r="696">
      <c r="A696" s="2"/>
      <c r="B696" s="168" t="s">
        <v>285</v>
      </c>
      <c r="C696" s="168" t="s">
        <v>971</v>
      </c>
      <c r="D696" s="229">
        <v>24.5</v>
      </c>
      <c r="E696" s="229">
        <v>28.0</v>
      </c>
      <c r="F696" s="230">
        <v>3.0</v>
      </c>
      <c r="G696" s="232"/>
    </row>
    <row r="697">
      <c r="A697" s="2"/>
      <c r="B697" s="168" t="s">
        <v>230</v>
      </c>
      <c r="C697" s="168" t="s">
        <v>972</v>
      </c>
      <c r="D697" s="229">
        <v>16.5</v>
      </c>
      <c r="E697" s="229">
        <v>20.0</v>
      </c>
      <c r="F697" s="230">
        <v>3.0</v>
      </c>
      <c r="G697" s="232"/>
    </row>
    <row r="698">
      <c r="A698" s="2"/>
      <c r="B698" s="168" t="s">
        <v>288</v>
      </c>
      <c r="C698" s="168" t="s">
        <v>973</v>
      </c>
      <c r="D698" s="229">
        <v>21.5</v>
      </c>
      <c r="E698" s="229">
        <v>25.0</v>
      </c>
      <c r="F698" s="230">
        <v>3.0</v>
      </c>
      <c r="G698" s="232"/>
    </row>
    <row r="699">
      <c r="A699" s="2"/>
      <c r="B699" s="168" t="s">
        <v>296</v>
      </c>
      <c r="C699" s="168" t="s">
        <v>974</v>
      </c>
      <c r="D699" s="229">
        <v>26.5</v>
      </c>
      <c r="E699" s="229">
        <v>30.0</v>
      </c>
      <c r="F699" s="230">
        <v>3.0</v>
      </c>
      <c r="G699" s="232"/>
    </row>
    <row r="700">
      <c r="A700" s="2"/>
      <c r="B700" s="168" t="s">
        <v>269</v>
      </c>
      <c r="C700" s="168" t="s">
        <v>975</v>
      </c>
      <c r="D700" s="229">
        <v>26.5</v>
      </c>
      <c r="E700" s="229">
        <v>30.0</v>
      </c>
      <c r="F700" s="230">
        <v>3.0</v>
      </c>
      <c r="G700" s="232"/>
    </row>
    <row r="701">
      <c r="A701" s="2"/>
      <c r="B701" s="168" t="s">
        <v>255</v>
      </c>
      <c r="C701" s="168" t="s">
        <v>976</v>
      </c>
      <c r="D701" s="229">
        <v>31.5</v>
      </c>
      <c r="E701" s="229">
        <v>35.0</v>
      </c>
      <c r="F701" s="230">
        <v>3.0</v>
      </c>
      <c r="G701" s="232"/>
    </row>
    <row r="702">
      <c r="A702" s="2"/>
      <c r="B702" s="168" t="s">
        <v>288</v>
      </c>
      <c r="C702" s="168" t="s">
        <v>977</v>
      </c>
      <c r="D702" s="229">
        <v>21.5</v>
      </c>
      <c r="E702" s="229">
        <v>25.0</v>
      </c>
      <c r="F702" s="230">
        <v>3.0</v>
      </c>
      <c r="G702" s="232"/>
    </row>
    <row r="703">
      <c r="A703" s="2"/>
      <c r="B703" s="168" t="s">
        <v>257</v>
      </c>
      <c r="C703" s="168" t="s">
        <v>978</v>
      </c>
      <c r="D703" s="229">
        <v>28.5</v>
      </c>
      <c r="E703" s="229">
        <v>32.0</v>
      </c>
      <c r="F703" s="230">
        <v>3.0</v>
      </c>
      <c r="G703" s="232"/>
    </row>
    <row r="704">
      <c r="A704" s="2"/>
      <c r="B704" s="168" t="s">
        <v>341</v>
      </c>
      <c r="C704" s="168" t="s">
        <v>979</v>
      </c>
      <c r="D704" s="229">
        <v>29.5</v>
      </c>
      <c r="E704" s="229">
        <v>29.5</v>
      </c>
      <c r="F704" s="230">
        <v>3.0</v>
      </c>
      <c r="G704" s="232"/>
    </row>
    <row r="705">
      <c r="A705" s="2"/>
      <c r="B705" s="168" t="s">
        <v>328</v>
      </c>
      <c r="C705" s="168" t="s">
        <v>980</v>
      </c>
      <c r="D705" s="229">
        <v>34.5</v>
      </c>
      <c r="E705" s="229">
        <v>38.0</v>
      </c>
      <c r="F705" s="230">
        <v>3.0</v>
      </c>
      <c r="G705" s="232"/>
    </row>
    <row r="706">
      <c r="A706" s="2"/>
      <c r="B706" s="168" t="s">
        <v>241</v>
      </c>
      <c r="C706" s="168" t="s">
        <v>981</v>
      </c>
      <c r="D706" s="229">
        <v>27.5</v>
      </c>
      <c r="E706" s="229">
        <v>31.0</v>
      </c>
      <c r="F706" s="230">
        <v>3.0</v>
      </c>
      <c r="G706" s="232"/>
    </row>
    <row r="707">
      <c r="A707" s="2"/>
      <c r="B707" s="168" t="s">
        <v>290</v>
      </c>
      <c r="C707" s="168" t="s">
        <v>982</v>
      </c>
      <c r="D707" s="229">
        <v>29.5</v>
      </c>
      <c r="E707" s="229">
        <v>33.0</v>
      </c>
      <c r="F707" s="230">
        <v>3.0</v>
      </c>
      <c r="G707" s="232"/>
    </row>
    <row r="708">
      <c r="A708" s="2"/>
      <c r="B708" s="168" t="s">
        <v>328</v>
      </c>
      <c r="C708" s="168" t="s">
        <v>983</v>
      </c>
      <c r="D708" s="229">
        <v>34.5</v>
      </c>
      <c r="E708" s="229">
        <v>38.0</v>
      </c>
      <c r="F708" s="230">
        <v>3.0</v>
      </c>
      <c r="G708" s="232"/>
    </row>
    <row r="709">
      <c r="A709" s="2"/>
      <c r="B709" s="168" t="s">
        <v>257</v>
      </c>
      <c r="C709" s="168" t="s">
        <v>984</v>
      </c>
      <c r="D709" s="229">
        <v>28.5</v>
      </c>
      <c r="E709" s="229">
        <v>32.0</v>
      </c>
      <c r="F709" s="230">
        <v>3.0</v>
      </c>
      <c r="G709" s="232"/>
    </row>
    <row r="710">
      <c r="A710" s="2"/>
      <c r="B710" s="168" t="s">
        <v>255</v>
      </c>
      <c r="C710" s="168" t="s">
        <v>985</v>
      </c>
      <c r="D710" s="229">
        <v>31.5</v>
      </c>
      <c r="E710" s="229">
        <v>35.0</v>
      </c>
      <c r="F710" s="230">
        <v>3.0</v>
      </c>
      <c r="G710" s="232"/>
    </row>
    <row r="711">
      <c r="A711" s="2"/>
      <c r="B711" s="168" t="s">
        <v>269</v>
      </c>
      <c r="C711" s="168" t="s">
        <v>986</v>
      </c>
      <c r="D711" s="229">
        <v>26.5</v>
      </c>
      <c r="E711" s="229">
        <v>30.0</v>
      </c>
      <c r="F711" s="230">
        <v>3.0</v>
      </c>
      <c r="G711" s="232"/>
    </row>
    <row r="712">
      <c r="A712" s="2"/>
      <c r="B712" s="168" t="s">
        <v>217</v>
      </c>
      <c r="C712" s="168" t="s">
        <v>987</v>
      </c>
      <c r="D712" s="229">
        <v>27.5</v>
      </c>
      <c r="E712" s="229">
        <v>31.0</v>
      </c>
      <c r="F712" s="230">
        <v>3.0</v>
      </c>
      <c r="G712" s="232"/>
    </row>
    <row r="713">
      <c r="A713" s="2"/>
      <c r="B713" s="168" t="s">
        <v>245</v>
      </c>
      <c r="C713" s="168" t="s">
        <v>988</v>
      </c>
      <c r="D713" s="229">
        <v>29.5</v>
      </c>
      <c r="E713" s="229">
        <v>33.0</v>
      </c>
      <c r="F713" s="230">
        <v>3.0</v>
      </c>
      <c r="G713" s="232"/>
    </row>
    <row r="714">
      <c r="A714" s="2"/>
      <c r="B714" s="168" t="s">
        <v>332</v>
      </c>
      <c r="C714" s="168" t="s">
        <v>989</v>
      </c>
      <c r="D714" s="229">
        <v>28.5</v>
      </c>
      <c r="E714" s="229">
        <v>32.0</v>
      </c>
      <c r="F714" s="230">
        <v>3.0</v>
      </c>
      <c r="G714" s="232"/>
    </row>
    <row r="715">
      <c r="A715" s="2"/>
      <c r="B715" s="168" t="s">
        <v>386</v>
      </c>
      <c r="C715" s="168" t="s">
        <v>990</v>
      </c>
      <c r="D715" s="229">
        <v>34.5</v>
      </c>
      <c r="E715" s="229">
        <v>38.0</v>
      </c>
      <c r="F715" s="230">
        <v>3.0</v>
      </c>
      <c r="G715" s="232"/>
    </row>
    <row r="716">
      <c r="A716" s="2"/>
      <c r="B716" s="168" t="s">
        <v>288</v>
      </c>
      <c r="C716" s="168" t="s">
        <v>991</v>
      </c>
      <c r="D716" s="229">
        <v>21.5</v>
      </c>
      <c r="E716" s="229">
        <v>25.0</v>
      </c>
      <c r="F716" s="230">
        <v>3.0</v>
      </c>
      <c r="G716" s="232"/>
    </row>
    <row r="717">
      <c r="A717" s="2"/>
      <c r="B717" s="168" t="s">
        <v>438</v>
      </c>
      <c r="C717" s="168" t="s">
        <v>992</v>
      </c>
      <c r="D717" s="229">
        <v>29.5</v>
      </c>
      <c r="E717" s="229">
        <v>33.0</v>
      </c>
      <c r="F717" s="230">
        <v>3.0</v>
      </c>
      <c r="G717" s="232"/>
    </row>
    <row r="718">
      <c r="A718" s="2"/>
      <c r="B718" s="168" t="s">
        <v>215</v>
      </c>
      <c r="C718" s="168" t="s">
        <v>993</v>
      </c>
      <c r="D718" s="229">
        <v>27.5</v>
      </c>
      <c r="E718" s="229">
        <v>31.0</v>
      </c>
      <c r="F718" s="230">
        <v>3.0</v>
      </c>
      <c r="G718" s="232"/>
    </row>
    <row r="719">
      <c r="A719" s="2"/>
      <c r="B719" s="168" t="s">
        <v>217</v>
      </c>
      <c r="C719" s="168" t="s">
        <v>994</v>
      </c>
      <c r="D719" s="229">
        <v>22.5</v>
      </c>
      <c r="E719" s="229">
        <v>26.0</v>
      </c>
      <c r="F719" s="230">
        <v>3.0</v>
      </c>
      <c r="G719" s="232"/>
    </row>
    <row r="720">
      <c r="A720" s="2"/>
      <c r="B720" s="168" t="s">
        <v>245</v>
      </c>
      <c r="C720" s="168" t="s">
        <v>995</v>
      </c>
      <c r="D720" s="229">
        <v>29.5</v>
      </c>
      <c r="E720" s="229">
        <v>33.0</v>
      </c>
      <c r="F720" s="230">
        <v>3.0</v>
      </c>
      <c r="G720" s="232"/>
    </row>
    <row r="721">
      <c r="A721" s="2"/>
      <c r="B721" s="168" t="s">
        <v>337</v>
      </c>
      <c r="C721" s="168" t="s">
        <v>996</v>
      </c>
      <c r="D721" s="229">
        <v>28.5</v>
      </c>
      <c r="E721" s="229">
        <v>32.0</v>
      </c>
      <c r="F721" s="230">
        <v>3.0</v>
      </c>
      <c r="G721" s="232"/>
    </row>
    <row r="722">
      <c r="A722" s="2"/>
      <c r="B722" s="168" t="s">
        <v>217</v>
      </c>
      <c r="C722" s="168" t="s">
        <v>997</v>
      </c>
      <c r="D722" s="229">
        <v>27.5</v>
      </c>
      <c r="E722" s="229">
        <v>31.0</v>
      </c>
      <c r="F722" s="230">
        <v>3.0</v>
      </c>
      <c r="G722" s="232"/>
    </row>
    <row r="723">
      <c r="A723" s="2"/>
      <c r="B723" s="168" t="s">
        <v>337</v>
      </c>
      <c r="C723" s="168" t="s">
        <v>998</v>
      </c>
      <c r="D723" s="229">
        <v>28.5</v>
      </c>
      <c r="E723" s="229">
        <v>32.0</v>
      </c>
      <c r="F723" s="230">
        <v>3.0</v>
      </c>
      <c r="G723" s="232"/>
    </row>
    <row r="724">
      <c r="A724" s="2"/>
      <c r="B724" s="168" t="s">
        <v>285</v>
      </c>
      <c r="C724" s="168" t="s">
        <v>999</v>
      </c>
      <c r="D724" s="229">
        <v>24.5</v>
      </c>
      <c r="E724" s="229">
        <v>28.0</v>
      </c>
      <c r="F724" s="230">
        <v>3.0</v>
      </c>
      <c r="G724" s="232"/>
    </row>
    <row r="725">
      <c r="A725" s="2"/>
      <c r="B725" s="168" t="s">
        <v>273</v>
      </c>
      <c r="C725" s="168" t="s">
        <v>1000</v>
      </c>
      <c r="D725" s="229">
        <v>24.5</v>
      </c>
      <c r="E725" s="229">
        <v>28.0</v>
      </c>
      <c r="F725" s="230">
        <v>3.0</v>
      </c>
      <c r="G725" s="232"/>
    </row>
    <row r="726">
      <c r="A726" s="2"/>
      <c r="B726" s="168" t="s">
        <v>257</v>
      </c>
      <c r="C726" s="168" t="s">
        <v>1001</v>
      </c>
      <c r="D726" s="229">
        <v>25.0</v>
      </c>
      <c r="E726" s="229">
        <v>28.5</v>
      </c>
      <c r="F726" s="230">
        <v>3.0</v>
      </c>
      <c r="G726" s="232"/>
    </row>
    <row r="727">
      <c r="A727" s="2"/>
      <c r="B727" s="168" t="s">
        <v>290</v>
      </c>
      <c r="C727" s="168" t="s">
        <v>1002</v>
      </c>
      <c r="D727" s="229">
        <v>29.0</v>
      </c>
      <c r="E727" s="229">
        <v>32.5</v>
      </c>
      <c r="F727" s="230">
        <v>3.0</v>
      </c>
      <c r="G727" s="232"/>
    </row>
    <row r="728">
      <c r="A728" s="2"/>
      <c r="B728" s="168" t="s">
        <v>215</v>
      </c>
      <c r="C728" s="168" t="s">
        <v>1003</v>
      </c>
      <c r="D728" s="229">
        <v>29.5</v>
      </c>
      <c r="E728" s="229">
        <v>33.0</v>
      </c>
      <c r="F728" s="230">
        <v>3.0</v>
      </c>
      <c r="G728" s="232"/>
    </row>
    <row r="729">
      <c r="A729" s="2"/>
      <c r="B729" s="168" t="s">
        <v>720</v>
      </c>
      <c r="C729" s="168" t="s">
        <v>1004</v>
      </c>
      <c r="D729" s="229">
        <v>22.5</v>
      </c>
      <c r="E729" s="229">
        <v>26.0</v>
      </c>
      <c r="F729" s="230">
        <v>3.0</v>
      </c>
      <c r="G729" s="232"/>
    </row>
    <row r="730">
      <c r="A730" s="2"/>
      <c r="B730" s="168" t="s">
        <v>300</v>
      </c>
      <c r="C730" s="168" t="s">
        <v>1005</v>
      </c>
      <c r="D730" s="229">
        <v>28.5</v>
      </c>
      <c r="E730" s="229">
        <v>32.0</v>
      </c>
      <c r="F730" s="230">
        <v>3.0</v>
      </c>
      <c r="G730" s="232"/>
    </row>
    <row r="731">
      <c r="A731" s="2"/>
      <c r="B731" s="168" t="s">
        <v>269</v>
      </c>
      <c r="C731" s="168" t="s">
        <v>1006</v>
      </c>
      <c r="D731" s="229">
        <v>26.5</v>
      </c>
      <c r="E731" s="229">
        <v>30.0</v>
      </c>
      <c r="F731" s="230">
        <v>3.0</v>
      </c>
      <c r="G731" s="232"/>
    </row>
    <row r="732">
      <c r="A732" s="2"/>
      <c r="B732" s="168" t="s">
        <v>232</v>
      </c>
      <c r="C732" s="168" t="s">
        <v>1007</v>
      </c>
      <c r="D732" s="229">
        <v>27.5</v>
      </c>
      <c r="E732" s="229">
        <v>31.0</v>
      </c>
      <c r="F732" s="230">
        <v>3.0</v>
      </c>
      <c r="G732" s="232"/>
    </row>
    <row r="733">
      <c r="A733" s="2"/>
      <c r="B733" s="168" t="s">
        <v>269</v>
      </c>
      <c r="C733" s="168" t="s">
        <v>1008</v>
      </c>
      <c r="D733" s="229">
        <v>26.5</v>
      </c>
      <c r="E733" s="229">
        <v>30.0</v>
      </c>
      <c r="F733" s="230">
        <v>3.0</v>
      </c>
      <c r="G733" s="232"/>
    </row>
    <row r="734">
      <c r="A734" s="2"/>
      <c r="B734" s="168" t="s">
        <v>219</v>
      </c>
      <c r="C734" s="168" t="s">
        <v>1009</v>
      </c>
      <c r="D734" s="229">
        <v>28.5</v>
      </c>
      <c r="E734" s="229">
        <v>32.0</v>
      </c>
      <c r="F734" s="230">
        <v>3.0</v>
      </c>
      <c r="G734" s="232"/>
    </row>
    <row r="735">
      <c r="A735" s="2"/>
      <c r="B735" s="168" t="s">
        <v>438</v>
      </c>
      <c r="C735" s="168" t="s">
        <v>1010</v>
      </c>
      <c r="D735" s="229">
        <v>29.5</v>
      </c>
      <c r="E735" s="229">
        <v>33.0</v>
      </c>
      <c r="F735" s="230">
        <v>3.0</v>
      </c>
      <c r="G735" s="232"/>
    </row>
    <row r="736">
      <c r="A736" s="2"/>
      <c r="B736" s="168" t="s">
        <v>273</v>
      </c>
      <c r="C736" s="168" t="s">
        <v>1011</v>
      </c>
      <c r="D736" s="229">
        <v>29.5</v>
      </c>
      <c r="E736" s="229">
        <v>33.0</v>
      </c>
      <c r="F736" s="230">
        <v>3.0</v>
      </c>
      <c r="G736" s="232"/>
    </row>
    <row r="737">
      <c r="A737" s="2"/>
      <c r="B737" s="168" t="s">
        <v>345</v>
      </c>
      <c r="C737" s="168" t="s">
        <v>1012</v>
      </c>
      <c r="D737" s="229">
        <v>26.5</v>
      </c>
      <c r="E737" s="229">
        <v>30.0</v>
      </c>
      <c r="F737" s="230">
        <v>3.0</v>
      </c>
      <c r="G737" s="232"/>
    </row>
    <row r="738">
      <c r="A738" s="2"/>
      <c r="B738" s="168" t="s">
        <v>377</v>
      </c>
      <c r="C738" s="168" t="s">
        <v>1013</v>
      </c>
      <c r="D738" s="229">
        <v>29.5</v>
      </c>
      <c r="E738" s="229">
        <v>33.0</v>
      </c>
      <c r="F738" s="230">
        <v>3.0</v>
      </c>
      <c r="G738" s="232"/>
    </row>
    <row r="739">
      <c r="A739" s="2"/>
      <c r="B739" s="168" t="s">
        <v>223</v>
      </c>
      <c r="C739" s="168" t="s">
        <v>1014</v>
      </c>
      <c r="D739" s="229">
        <v>21.5</v>
      </c>
      <c r="E739" s="229">
        <v>25.0</v>
      </c>
      <c r="F739" s="230">
        <v>3.0</v>
      </c>
      <c r="G739" s="232"/>
    </row>
    <row r="740">
      <c r="A740" s="2"/>
      <c r="B740" s="168" t="s">
        <v>223</v>
      </c>
      <c r="C740" s="168" t="s">
        <v>1015</v>
      </c>
      <c r="D740" s="229">
        <v>26.5</v>
      </c>
      <c r="E740" s="229">
        <v>30.0</v>
      </c>
      <c r="F740" s="230">
        <v>3.0</v>
      </c>
      <c r="G740" s="232"/>
    </row>
    <row r="741">
      <c r="A741" s="2"/>
      <c r="B741" s="168" t="s">
        <v>223</v>
      </c>
      <c r="C741" s="168" t="s">
        <v>1016</v>
      </c>
      <c r="D741" s="229">
        <v>26.5</v>
      </c>
      <c r="E741" s="229">
        <v>30.0</v>
      </c>
      <c r="F741" s="230">
        <v>3.0</v>
      </c>
      <c r="G741" s="232"/>
    </row>
    <row r="742">
      <c r="A742" s="2"/>
      <c r="B742" s="168" t="s">
        <v>275</v>
      </c>
      <c r="C742" s="168" t="s">
        <v>1017</v>
      </c>
      <c r="D742" s="229">
        <v>26.5</v>
      </c>
      <c r="E742" s="229">
        <v>30.0</v>
      </c>
      <c r="F742" s="230">
        <v>3.0</v>
      </c>
      <c r="G742" s="232"/>
    </row>
    <row r="743">
      <c r="A743" s="2"/>
      <c r="B743" s="168" t="s">
        <v>215</v>
      </c>
      <c r="C743" s="168" t="s">
        <v>1018</v>
      </c>
      <c r="D743" s="229">
        <v>29.5</v>
      </c>
      <c r="E743" s="229">
        <v>33.0</v>
      </c>
      <c r="F743" s="230">
        <v>3.0</v>
      </c>
      <c r="G743" s="232"/>
    </row>
    <row r="744">
      <c r="A744" s="2"/>
      <c r="B744" s="168" t="s">
        <v>255</v>
      </c>
      <c r="C744" s="168" t="s">
        <v>1019</v>
      </c>
      <c r="D744" s="229">
        <v>31.5</v>
      </c>
      <c r="E744" s="229">
        <v>35.0</v>
      </c>
      <c r="F744" s="230">
        <v>3.0</v>
      </c>
      <c r="G744" s="232"/>
    </row>
    <row r="745">
      <c r="A745" s="2"/>
      <c r="B745" s="168" t="s">
        <v>255</v>
      </c>
      <c r="C745" s="168" t="s">
        <v>1020</v>
      </c>
      <c r="D745" s="229">
        <v>31.0</v>
      </c>
      <c r="E745" s="229">
        <v>34.5</v>
      </c>
      <c r="F745" s="230">
        <v>3.0</v>
      </c>
      <c r="G745" s="232"/>
    </row>
    <row r="746">
      <c r="A746" s="2"/>
      <c r="B746" s="168" t="s">
        <v>257</v>
      </c>
      <c r="C746" s="168" t="s">
        <v>1021</v>
      </c>
      <c r="D746" s="229">
        <v>28.5</v>
      </c>
      <c r="E746" s="229">
        <v>32.0</v>
      </c>
      <c r="F746" s="230">
        <v>3.0</v>
      </c>
      <c r="G746" s="232"/>
    </row>
    <row r="747">
      <c r="A747" s="2"/>
      <c r="B747" s="168" t="s">
        <v>337</v>
      </c>
      <c r="C747" s="168" t="s">
        <v>1022</v>
      </c>
      <c r="D747" s="229">
        <v>28.5</v>
      </c>
      <c r="E747" s="229">
        <v>32.0</v>
      </c>
      <c r="F747" s="230">
        <v>3.0</v>
      </c>
      <c r="G747" s="232"/>
    </row>
    <row r="748">
      <c r="A748" s="2"/>
      <c r="B748" s="168" t="s">
        <v>223</v>
      </c>
      <c r="C748" s="168" t="s">
        <v>1023</v>
      </c>
      <c r="D748" s="229">
        <v>26.5</v>
      </c>
      <c r="E748" s="229">
        <v>30.0</v>
      </c>
      <c r="F748" s="230">
        <v>3.0</v>
      </c>
      <c r="G748" s="232"/>
    </row>
    <row r="749">
      <c r="A749" s="2"/>
      <c r="B749" s="168" t="s">
        <v>217</v>
      </c>
      <c r="C749" s="168" t="s">
        <v>1024</v>
      </c>
      <c r="D749" s="229">
        <v>27.5</v>
      </c>
      <c r="E749" s="229">
        <v>31.0</v>
      </c>
      <c r="F749" s="230">
        <v>3.0</v>
      </c>
      <c r="G749" s="232"/>
    </row>
    <row r="750">
      <c r="A750" s="2"/>
      <c r="B750" s="168" t="s">
        <v>215</v>
      </c>
      <c r="C750" s="168" t="s">
        <v>1025</v>
      </c>
      <c r="D750" s="229">
        <v>29.5</v>
      </c>
      <c r="E750" s="229">
        <v>33.0</v>
      </c>
      <c r="F750" s="230">
        <v>3.0</v>
      </c>
      <c r="G750" s="232"/>
    </row>
    <row r="751">
      <c r="A751" s="2"/>
      <c r="B751" s="168" t="s">
        <v>615</v>
      </c>
      <c r="C751" s="168" t="s">
        <v>1026</v>
      </c>
      <c r="D751" s="229">
        <v>24.5</v>
      </c>
      <c r="E751" s="229">
        <v>28.0</v>
      </c>
      <c r="F751" s="230">
        <v>3.0</v>
      </c>
      <c r="G751" s="232"/>
    </row>
    <row r="752">
      <c r="A752" s="2"/>
      <c r="B752" s="168" t="s">
        <v>337</v>
      </c>
      <c r="C752" s="168" t="s">
        <v>1027</v>
      </c>
      <c r="D752" s="229">
        <v>28.5</v>
      </c>
      <c r="E752" s="229">
        <v>32.0</v>
      </c>
      <c r="F752" s="230">
        <v>3.0</v>
      </c>
      <c r="G752" s="232"/>
    </row>
    <row r="753">
      <c r="A753" s="2"/>
      <c r="B753" s="168" t="s">
        <v>290</v>
      </c>
      <c r="C753" s="168" t="s">
        <v>1028</v>
      </c>
      <c r="D753" s="229">
        <v>29.5</v>
      </c>
      <c r="E753" s="229">
        <v>33.0</v>
      </c>
      <c r="F753" s="230">
        <v>3.0</v>
      </c>
      <c r="G753" s="232"/>
    </row>
    <row r="754">
      <c r="A754" s="2"/>
      <c r="B754" s="168" t="s">
        <v>221</v>
      </c>
      <c r="C754" s="168" t="s">
        <v>1029</v>
      </c>
      <c r="D754" s="229">
        <v>27.5</v>
      </c>
      <c r="E754" s="229">
        <v>31.0</v>
      </c>
      <c r="F754" s="230">
        <v>3.0</v>
      </c>
      <c r="G754" s="232"/>
    </row>
    <row r="755">
      <c r="A755" s="2"/>
      <c r="B755" s="168" t="s">
        <v>260</v>
      </c>
      <c r="C755" s="168" t="s">
        <v>1030</v>
      </c>
      <c r="D755" s="229">
        <v>28.5</v>
      </c>
      <c r="E755" s="229">
        <v>32.0</v>
      </c>
      <c r="F755" s="230">
        <v>3.0</v>
      </c>
      <c r="G755" s="232"/>
    </row>
    <row r="756">
      <c r="A756" s="2"/>
      <c r="B756" s="168" t="s">
        <v>219</v>
      </c>
      <c r="C756" s="168" t="s">
        <v>1031</v>
      </c>
      <c r="D756" s="229">
        <v>19.5</v>
      </c>
      <c r="E756" s="229">
        <v>23.0</v>
      </c>
      <c r="F756" s="230">
        <v>3.0</v>
      </c>
      <c r="G756" s="232"/>
    </row>
    <row r="757">
      <c r="A757" s="2"/>
      <c r="B757" s="168" t="s">
        <v>217</v>
      </c>
      <c r="C757" s="168" t="s">
        <v>1032</v>
      </c>
      <c r="D757" s="229">
        <v>27.5</v>
      </c>
      <c r="E757" s="229">
        <v>31.0</v>
      </c>
      <c r="F757" s="230">
        <v>3.0</v>
      </c>
      <c r="G757" s="232"/>
    </row>
    <row r="758">
      <c r="A758" s="2"/>
      <c r="B758" s="168" t="s">
        <v>318</v>
      </c>
      <c r="C758" s="168" t="s">
        <v>1033</v>
      </c>
      <c r="D758" s="229">
        <v>25.5</v>
      </c>
      <c r="E758" s="229">
        <v>29.0</v>
      </c>
      <c r="F758" s="230">
        <v>3.0</v>
      </c>
      <c r="G758" s="232"/>
    </row>
    <row r="759">
      <c r="A759" s="2"/>
      <c r="B759" s="168" t="s">
        <v>438</v>
      </c>
      <c r="C759" s="168" t="s">
        <v>1034</v>
      </c>
      <c r="D759" s="229">
        <v>29.5</v>
      </c>
      <c r="E759" s="229">
        <v>33.0</v>
      </c>
      <c r="F759" s="230">
        <v>3.0</v>
      </c>
      <c r="G759" s="232"/>
    </row>
    <row r="760">
      <c r="A760" s="2"/>
      <c r="B760" s="168" t="s">
        <v>217</v>
      </c>
      <c r="C760" s="168" t="s">
        <v>1035</v>
      </c>
      <c r="D760" s="229">
        <v>27.5</v>
      </c>
      <c r="E760" s="229">
        <v>31.0</v>
      </c>
      <c r="F760" s="230">
        <v>3.0</v>
      </c>
      <c r="G760" s="232"/>
    </row>
    <row r="761">
      <c r="A761" s="2"/>
      <c r="B761" s="168" t="s">
        <v>296</v>
      </c>
      <c r="C761" s="168" t="s">
        <v>1036</v>
      </c>
      <c r="D761" s="229">
        <v>26.5</v>
      </c>
      <c r="E761" s="229">
        <v>30.0</v>
      </c>
      <c r="F761" s="230">
        <v>3.0</v>
      </c>
      <c r="G761" s="232"/>
    </row>
    <row r="762">
      <c r="A762" s="2"/>
      <c r="B762" s="168" t="s">
        <v>232</v>
      </c>
      <c r="C762" s="168" t="s">
        <v>1037</v>
      </c>
      <c r="D762" s="229">
        <v>25.5</v>
      </c>
      <c r="E762" s="229">
        <v>29.0</v>
      </c>
      <c r="F762" s="230">
        <v>3.0</v>
      </c>
      <c r="G762" s="232"/>
    </row>
    <row r="763">
      <c r="A763" s="2"/>
      <c r="B763" s="168" t="s">
        <v>247</v>
      </c>
      <c r="C763" s="168" t="s">
        <v>1038</v>
      </c>
      <c r="D763" s="229">
        <v>29.5</v>
      </c>
      <c r="E763" s="229">
        <v>33.0</v>
      </c>
      <c r="F763" s="230">
        <v>3.0</v>
      </c>
      <c r="G763" s="232"/>
    </row>
    <row r="764">
      <c r="A764" s="2"/>
      <c r="B764" s="168" t="s">
        <v>337</v>
      </c>
      <c r="C764" s="168" t="s">
        <v>1039</v>
      </c>
      <c r="D764" s="229">
        <v>28.5</v>
      </c>
      <c r="E764" s="229">
        <v>32.0</v>
      </c>
      <c r="F764" s="230">
        <v>3.0</v>
      </c>
      <c r="G764" s="232"/>
    </row>
    <row r="765">
      <c r="A765" s="2"/>
      <c r="B765" s="168" t="s">
        <v>328</v>
      </c>
      <c r="C765" s="168" t="s">
        <v>1040</v>
      </c>
      <c r="D765" s="229">
        <v>34.5</v>
      </c>
      <c r="E765" s="229">
        <v>38.0</v>
      </c>
      <c r="F765" s="230">
        <v>3.0</v>
      </c>
      <c r="G765" s="232"/>
    </row>
    <row r="766">
      <c r="A766" s="2"/>
      <c r="B766" s="168" t="s">
        <v>215</v>
      </c>
      <c r="C766" s="168" t="s">
        <v>1041</v>
      </c>
      <c r="D766" s="229">
        <v>29.5</v>
      </c>
      <c r="E766" s="229">
        <v>33.0</v>
      </c>
      <c r="F766" s="230">
        <v>3.0</v>
      </c>
      <c r="G766" s="232"/>
    </row>
    <row r="767">
      <c r="A767" s="2"/>
      <c r="B767" s="168" t="s">
        <v>337</v>
      </c>
      <c r="C767" s="168" t="s">
        <v>1042</v>
      </c>
      <c r="D767" s="229">
        <v>20.5</v>
      </c>
      <c r="E767" s="229">
        <v>24.0</v>
      </c>
      <c r="F767" s="230">
        <v>3.0</v>
      </c>
      <c r="G767" s="232"/>
    </row>
    <row r="768">
      <c r="A768" s="2"/>
      <c r="B768" s="168" t="s">
        <v>217</v>
      </c>
      <c r="C768" s="168" t="s">
        <v>1043</v>
      </c>
      <c r="D768" s="229">
        <v>27.5</v>
      </c>
      <c r="E768" s="229">
        <v>31.0</v>
      </c>
      <c r="F768" s="230">
        <v>3.0</v>
      </c>
      <c r="G768" s="232"/>
    </row>
    <row r="769">
      <c r="A769" s="2"/>
      <c r="B769" s="168" t="s">
        <v>592</v>
      </c>
      <c r="C769" s="168" t="s">
        <v>1044</v>
      </c>
      <c r="D769" s="229">
        <v>34.5</v>
      </c>
      <c r="E769" s="229">
        <v>38.0</v>
      </c>
      <c r="F769" s="230">
        <v>3.0</v>
      </c>
      <c r="G769" s="232"/>
    </row>
    <row r="770">
      <c r="A770" s="2"/>
      <c r="B770" s="168" t="s">
        <v>247</v>
      </c>
      <c r="C770" s="168" t="s">
        <v>1045</v>
      </c>
      <c r="D770" s="229">
        <v>29.5</v>
      </c>
      <c r="E770" s="229">
        <v>33.0</v>
      </c>
      <c r="F770" s="230">
        <v>3.0</v>
      </c>
      <c r="G770" s="232"/>
    </row>
    <row r="771">
      <c r="A771" s="2"/>
      <c r="B771" s="168" t="s">
        <v>217</v>
      </c>
      <c r="C771" s="168" t="s">
        <v>1046</v>
      </c>
      <c r="D771" s="229">
        <v>22.5</v>
      </c>
      <c r="E771" s="229">
        <v>26.0</v>
      </c>
      <c r="F771" s="230">
        <v>3.0</v>
      </c>
      <c r="G771" s="232"/>
    </row>
    <row r="772">
      <c r="A772" s="2"/>
      <c r="B772" s="168" t="s">
        <v>217</v>
      </c>
      <c r="C772" s="168" t="s">
        <v>1047</v>
      </c>
      <c r="D772" s="229">
        <v>22.5</v>
      </c>
      <c r="E772" s="229">
        <v>26.0</v>
      </c>
      <c r="F772" s="230">
        <v>3.0</v>
      </c>
      <c r="G772" s="232"/>
    </row>
    <row r="773">
      <c r="A773" s="2"/>
      <c r="B773" s="168" t="s">
        <v>300</v>
      </c>
      <c r="C773" s="168" t="s">
        <v>1048</v>
      </c>
      <c r="D773" s="229">
        <v>24.5</v>
      </c>
      <c r="E773" s="229">
        <v>28.0</v>
      </c>
      <c r="F773" s="230">
        <v>3.0</v>
      </c>
      <c r="G773" s="232"/>
    </row>
    <row r="774">
      <c r="A774" s="2"/>
      <c r="B774" s="168" t="s">
        <v>241</v>
      </c>
      <c r="C774" s="168" t="s">
        <v>1049</v>
      </c>
      <c r="D774" s="229">
        <v>32.5</v>
      </c>
      <c r="E774" s="229">
        <v>36.0</v>
      </c>
      <c r="F774" s="230">
        <v>3.0</v>
      </c>
      <c r="G774" s="232"/>
    </row>
    <row r="775">
      <c r="A775" s="2"/>
      <c r="B775" s="168" t="s">
        <v>230</v>
      </c>
      <c r="C775" s="168" t="s">
        <v>1050</v>
      </c>
      <c r="D775" s="229">
        <v>21.5</v>
      </c>
      <c r="E775" s="229">
        <v>25.0</v>
      </c>
      <c r="F775" s="230">
        <v>3.0</v>
      </c>
      <c r="G775" s="232"/>
    </row>
    <row r="776">
      <c r="A776" s="2"/>
      <c r="B776" s="168" t="s">
        <v>275</v>
      </c>
      <c r="C776" s="168" t="s">
        <v>1051</v>
      </c>
      <c r="D776" s="229">
        <v>26.5</v>
      </c>
      <c r="E776" s="229">
        <v>30.0</v>
      </c>
      <c r="F776" s="230">
        <v>3.0</v>
      </c>
      <c r="G776" s="232"/>
    </row>
    <row r="777">
      <c r="A777" s="2"/>
      <c r="B777" s="168" t="s">
        <v>241</v>
      </c>
      <c r="C777" s="168" t="s">
        <v>1052</v>
      </c>
      <c r="D777" s="229">
        <v>32.5</v>
      </c>
      <c r="E777" s="229">
        <v>36.0</v>
      </c>
      <c r="F777" s="230">
        <v>3.0</v>
      </c>
      <c r="G777" s="232"/>
    </row>
    <row r="778">
      <c r="A778" s="2"/>
      <c r="B778" s="168" t="s">
        <v>332</v>
      </c>
      <c r="C778" s="168" t="s">
        <v>1053</v>
      </c>
      <c r="D778" s="229">
        <v>28.5</v>
      </c>
      <c r="E778" s="229">
        <v>32.0</v>
      </c>
      <c r="F778" s="230">
        <v>3.0</v>
      </c>
      <c r="G778" s="232"/>
    </row>
    <row r="779">
      <c r="A779" s="2"/>
      <c r="B779" s="168" t="s">
        <v>328</v>
      </c>
      <c r="C779" s="168" t="s">
        <v>1054</v>
      </c>
      <c r="D779" s="229">
        <v>34.5</v>
      </c>
      <c r="E779" s="229">
        <v>38.0</v>
      </c>
      <c r="F779" s="230">
        <v>3.0</v>
      </c>
      <c r="G779" s="232"/>
    </row>
    <row r="780">
      <c r="A780" s="2"/>
      <c r="B780" s="168" t="s">
        <v>230</v>
      </c>
      <c r="C780" s="168" t="s">
        <v>1055</v>
      </c>
      <c r="D780" s="229">
        <v>16.5</v>
      </c>
      <c r="E780" s="229">
        <v>20.0</v>
      </c>
      <c r="F780" s="230">
        <v>3.0</v>
      </c>
      <c r="G780" s="232"/>
    </row>
    <row r="781">
      <c r="A781" s="2"/>
      <c r="B781" s="168" t="s">
        <v>217</v>
      </c>
      <c r="C781" s="168" t="s">
        <v>1056</v>
      </c>
      <c r="D781" s="229">
        <v>27.5</v>
      </c>
      <c r="E781" s="229">
        <v>31.0</v>
      </c>
      <c r="F781" s="230">
        <v>3.0</v>
      </c>
      <c r="G781" s="232"/>
    </row>
    <row r="782">
      <c r="A782" s="2"/>
      <c r="B782" s="168" t="s">
        <v>438</v>
      </c>
      <c r="C782" s="168" t="s">
        <v>1057</v>
      </c>
      <c r="D782" s="229">
        <v>29.5</v>
      </c>
      <c r="E782" s="229">
        <v>33.0</v>
      </c>
      <c r="F782" s="230">
        <v>3.0</v>
      </c>
      <c r="G782" s="232"/>
    </row>
    <row r="783">
      <c r="A783" s="2"/>
      <c r="B783" s="168" t="s">
        <v>236</v>
      </c>
      <c r="C783" s="168" t="s">
        <v>1058</v>
      </c>
      <c r="D783" s="229">
        <v>34.5</v>
      </c>
      <c r="E783" s="229">
        <v>38.0</v>
      </c>
      <c r="F783" s="230">
        <v>3.0</v>
      </c>
      <c r="G783" s="232"/>
    </row>
    <row r="784">
      <c r="A784" s="2"/>
      <c r="B784" s="168" t="s">
        <v>217</v>
      </c>
      <c r="C784" s="168" t="s">
        <v>1059</v>
      </c>
      <c r="D784" s="229">
        <v>27.5</v>
      </c>
      <c r="E784" s="229">
        <v>31.0</v>
      </c>
      <c r="F784" s="230">
        <v>3.0</v>
      </c>
      <c r="G784" s="232"/>
    </row>
    <row r="785">
      <c r="A785" s="2"/>
      <c r="B785" s="168" t="s">
        <v>232</v>
      </c>
      <c r="C785" s="168" t="s">
        <v>1060</v>
      </c>
      <c r="D785" s="229">
        <v>24.5</v>
      </c>
      <c r="E785" s="229">
        <v>28.0</v>
      </c>
      <c r="F785" s="230">
        <v>3.0</v>
      </c>
      <c r="G785" s="232"/>
    </row>
    <row r="786">
      <c r="A786" s="2"/>
      <c r="B786" s="168" t="s">
        <v>269</v>
      </c>
      <c r="C786" s="168" t="s">
        <v>1061</v>
      </c>
      <c r="D786" s="229">
        <v>26.5</v>
      </c>
      <c r="E786" s="229">
        <v>30.0</v>
      </c>
      <c r="F786" s="230">
        <v>3.0</v>
      </c>
      <c r="G786" s="232"/>
    </row>
    <row r="787">
      <c r="A787" s="2"/>
      <c r="B787" s="168" t="s">
        <v>328</v>
      </c>
      <c r="C787" s="168" t="s">
        <v>1062</v>
      </c>
      <c r="D787" s="229">
        <v>34.5</v>
      </c>
      <c r="E787" s="229">
        <v>38.0</v>
      </c>
      <c r="F787" s="230">
        <v>3.0</v>
      </c>
      <c r="G787" s="232"/>
    </row>
    <row r="788">
      <c r="A788" s="2"/>
      <c r="B788" s="168" t="s">
        <v>288</v>
      </c>
      <c r="C788" s="168" t="s">
        <v>1063</v>
      </c>
      <c r="D788" s="229">
        <v>21.5</v>
      </c>
      <c r="E788" s="229">
        <v>25.0</v>
      </c>
      <c r="F788" s="230">
        <v>3.0</v>
      </c>
      <c r="G788" s="232"/>
    </row>
    <row r="789">
      <c r="A789" s="2"/>
      <c r="B789" s="168" t="s">
        <v>221</v>
      </c>
      <c r="C789" s="168" t="s">
        <v>1064</v>
      </c>
      <c r="D789" s="229">
        <v>27.5</v>
      </c>
      <c r="E789" s="229">
        <v>31.0</v>
      </c>
      <c r="F789" s="230">
        <v>3.0</v>
      </c>
      <c r="G789" s="232"/>
    </row>
    <row r="790">
      <c r="A790" s="2"/>
      <c r="B790" s="168" t="s">
        <v>368</v>
      </c>
      <c r="C790" s="168" t="s">
        <v>1065</v>
      </c>
      <c r="D790" s="229">
        <v>28.5</v>
      </c>
      <c r="E790" s="229">
        <v>32.0</v>
      </c>
      <c r="F790" s="230">
        <v>3.0</v>
      </c>
      <c r="G790" s="232"/>
    </row>
    <row r="791">
      <c r="A791" s="2"/>
      <c r="B791" s="168" t="s">
        <v>337</v>
      </c>
      <c r="C791" s="168" t="s">
        <v>1066</v>
      </c>
      <c r="D791" s="229">
        <v>20.5</v>
      </c>
      <c r="E791" s="229">
        <v>24.0</v>
      </c>
      <c r="F791" s="230">
        <v>3.0</v>
      </c>
      <c r="G791" s="232"/>
    </row>
    <row r="792">
      <c r="A792" s="2"/>
      <c r="B792" s="168" t="s">
        <v>269</v>
      </c>
      <c r="C792" s="168" t="s">
        <v>1067</v>
      </c>
      <c r="D792" s="229">
        <v>26.5</v>
      </c>
      <c r="E792" s="229">
        <v>30.0</v>
      </c>
      <c r="F792" s="230">
        <v>3.0</v>
      </c>
      <c r="G792" s="232"/>
    </row>
    <row r="793">
      <c r="A793" s="2"/>
      <c r="B793" s="168" t="s">
        <v>269</v>
      </c>
      <c r="C793" s="168" t="s">
        <v>1068</v>
      </c>
      <c r="D793" s="229">
        <v>26.5</v>
      </c>
      <c r="E793" s="229">
        <v>30.0</v>
      </c>
      <c r="F793" s="230">
        <v>3.0</v>
      </c>
      <c r="G793" s="232"/>
    </row>
    <row r="794">
      <c r="A794" s="2"/>
      <c r="B794" s="168" t="s">
        <v>288</v>
      </c>
      <c r="C794" s="168" t="s">
        <v>1069</v>
      </c>
      <c r="D794" s="229">
        <v>21.5</v>
      </c>
      <c r="E794" s="229">
        <v>25.0</v>
      </c>
      <c r="F794" s="230">
        <v>3.0</v>
      </c>
      <c r="G794" s="232"/>
    </row>
    <row r="795">
      <c r="A795" s="2"/>
      <c r="B795" s="168" t="s">
        <v>592</v>
      </c>
      <c r="C795" s="168" t="s">
        <v>1070</v>
      </c>
      <c r="D795" s="229">
        <v>34.5</v>
      </c>
      <c r="E795" s="229">
        <v>38.0</v>
      </c>
      <c r="F795" s="230">
        <v>3.0</v>
      </c>
      <c r="G795" s="232"/>
    </row>
    <row r="796">
      <c r="A796" s="2"/>
      <c r="B796" s="168" t="s">
        <v>296</v>
      </c>
      <c r="C796" s="168" t="s">
        <v>1071</v>
      </c>
      <c r="D796" s="229">
        <v>26.5</v>
      </c>
      <c r="E796" s="229">
        <v>30.0</v>
      </c>
      <c r="F796" s="230">
        <v>3.0</v>
      </c>
      <c r="G796" s="232"/>
    </row>
    <row r="797">
      <c r="A797" s="2"/>
      <c r="B797" s="168" t="s">
        <v>318</v>
      </c>
      <c r="C797" s="168" t="s">
        <v>1072</v>
      </c>
      <c r="D797" s="229">
        <v>25.5</v>
      </c>
      <c r="E797" s="229">
        <v>29.0</v>
      </c>
      <c r="F797" s="230">
        <v>3.0</v>
      </c>
      <c r="G797" s="232"/>
    </row>
    <row r="798">
      <c r="A798" s="2"/>
      <c r="B798" s="168" t="s">
        <v>239</v>
      </c>
      <c r="C798" s="168" t="s">
        <v>1073</v>
      </c>
      <c r="D798" s="229">
        <v>29.5</v>
      </c>
      <c r="E798" s="229">
        <v>33.0</v>
      </c>
      <c r="F798" s="230">
        <v>3.0</v>
      </c>
      <c r="G798" s="232"/>
    </row>
    <row r="799">
      <c r="A799" s="2"/>
      <c r="B799" s="168" t="s">
        <v>337</v>
      </c>
      <c r="C799" s="168" t="s">
        <v>1074</v>
      </c>
      <c r="D799" s="229">
        <v>28.5</v>
      </c>
      <c r="E799" s="229">
        <v>32.0</v>
      </c>
      <c r="F799" s="230">
        <v>3.0</v>
      </c>
      <c r="G799" s="232"/>
    </row>
    <row r="800">
      <c r="A800" s="2"/>
      <c r="B800" s="168" t="s">
        <v>328</v>
      </c>
      <c r="C800" s="168" t="s">
        <v>1075</v>
      </c>
      <c r="D800" s="229">
        <v>34.5</v>
      </c>
      <c r="E800" s="229">
        <v>38.0</v>
      </c>
      <c r="F800" s="230">
        <v>3.0</v>
      </c>
      <c r="G800" s="232"/>
    </row>
    <row r="801">
      <c r="A801" s="2"/>
      <c r="B801" s="168" t="s">
        <v>247</v>
      </c>
      <c r="C801" s="168" t="s">
        <v>1076</v>
      </c>
      <c r="D801" s="229">
        <v>29.5</v>
      </c>
      <c r="E801" s="229">
        <v>33.0</v>
      </c>
      <c r="F801" s="230">
        <v>3.0</v>
      </c>
      <c r="G801" s="232"/>
    </row>
    <row r="802">
      <c r="A802" s="2"/>
      <c r="B802" s="168" t="s">
        <v>257</v>
      </c>
      <c r="C802" s="168" t="s">
        <v>1077</v>
      </c>
      <c r="D802" s="229">
        <v>28.5</v>
      </c>
      <c r="E802" s="229">
        <v>32.0</v>
      </c>
      <c r="F802" s="230">
        <v>3.0</v>
      </c>
      <c r="G802" s="232"/>
    </row>
    <row r="803">
      <c r="A803" s="2"/>
      <c r="B803" s="168" t="s">
        <v>255</v>
      </c>
      <c r="C803" s="168" t="s">
        <v>1078</v>
      </c>
      <c r="D803" s="229">
        <v>31.5</v>
      </c>
      <c r="E803" s="229">
        <v>35.0</v>
      </c>
      <c r="F803" s="230">
        <v>3.0</v>
      </c>
      <c r="G803" s="232"/>
    </row>
    <row r="804">
      <c r="A804" s="2"/>
      <c r="B804" s="168" t="s">
        <v>255</v>
      </c>
      <c r="C804" s="168" t="s">
        <v>1079</v>
      </c>
      <c r="D804" s="229">
        <v>31.0</v>
      </c>
      <c r="E804" s="229">
        <v>34.5</v>
      </c>
      <c r="F804" s="230">
        <v>3.0</v>
      </c>
      <c r="G804" s="232"/>
    </row>
    <row r="805">
      <c r="A805" s="2"/>
      <c r="B805" s="168" t="s">
        <v>337</v>
      </c>
      <c r="C805" s="168" t="s">
        <v>1080</v>
      </c>
      <c r="D805" s="229">
        <v>28.5</v>
      </c>
      <c r="E805" s="229">
        <v>32.0</v>
      </c>
      <c r="F805" s="230">
        <v>3.0</v>
      </c>
      <c r="G805" s="232"/>
    </row>
    <row r="806">
      <c r="A806" s="2"/>
      <c r="B806" s="168" t="s">
        <v>290</v>
      </c>
      <c r="C806" s="168" t="s">
        <v>1081</v>
      </c>
      <c r="D806" s="229">
        <v>29.5</v>
      </c>
      <c r="E806" s="229">
        <v>33.0</v>
      </c>
      <c r="F806" s="230">
        <v>3.0</v>
      </c>
      <c r="G806" s="232"/>
    </row>
    <row r="807">
      <c r="A807" s="2"/>
      <c r="B807" s="168" t="s">
        <v>574</v>
      </c>
      <c r="C807" s="168" t="s">
        <v>1082</v>
      </c>
      <c r="D807" s="229">
        <v>34.5</v>
      </c>
      <c r="E807" s="229">
        <v>38.0</v>
      </c>
      <c r="F807" s="230">
        <v>3.0</v>
      </c>
      <c r="G807" s="232"/>
    </row>
    <row r="808">
      <c r="A808" s="2"/>
      <c r="B808" s="168" t="s">
        <v>275</v>
      </c>
      <c r="C808" s="168" t="s">
        <v>1083</v>
      </c>
      <c r="D808" s="229">
        <v>21.5</v>
      </c>
      <c r="E808" s="229">
        <v>25.0</v>
      </c>
      <c r="F808" s="230">
        <v>3.0</v>
      </c>
      <c r="G808" s="232"/>
    </row>
    <row r="809">
      <c r="A809" s="2"/>
      <c r="B809" s="168" t="s">
        <v>215</v>
      </c>
      <c r="C809" s="168" t="s">
        <v>1084</v>
      </c>
      <c r="D809" s="229">
        <v>24.5</v>
      </c>
      <c r="E809" s="229">
        <v>28.0</v>
      </c>
      <c r="F809" s="230">
        <v>3.0</v>
      </c>
      <c r="G809" s="232"/>
    </row>
    <row r="810">
      <c r="A810" s="2"/>
      <c r="B810" s="168" t="s">
        <v>217</v>
      </c>
      <c r="C810" s="168" t="s">
        <v>1085</v>
      </c>
      <c r="D810" s="229">
        <v>27.5</v>
      </c>
      <c r="E810" s="229">
        <v>31.0</v>
      </c>
      <c r="F810" s="230">
        <v>3.0</v>
      </c>
      <c r="G810" s="232"/>
    </row>
    <row r="811">
      <c r="A811" s="2"/>
      <c r="B811" s="168" t="s">
        <v>720</v>
      </c>
      <c r="C811" s="168" t="s">
        <v>1086</v>
      </c>
      <c r="D811" s="229">
        <v>25.5</v>
      </c>
      <c r="E811" s="229">
        <v>29.0</v>
      </c>
      <c r="F811" s="230">
        <v>3.0</v>
      </c>
      <c r="G811" s="232"/>
    </row>
    <row r="812">
      <c r="A812" s="2"/>
      <c r="B812" s="168" t="s">
        <v>290</v>
      </c>
      <c r="C812" s="168" t="s">
        <v>1087</v>
      </c>
      <c r="D812" s="229">
        <v>29.5</v>
      </c>
      <c r="E812" s="229">
        <v>33.0</v>
      </c>
      <c r="F812" s="230">
        <v>3.0</v>
      </c>
      <c r="G812" s="232"/>
    </row>
    <row r="813">
      <c r="A813" s="2"/>
      <c r="B813" s="168" t="s">
        <v>257</v>
      </c>
      <c r="C813" s="168" t="s">
        <v>1088</v>
      </c>
      <c r="D813" s="229">
        <v>28.5</v>
      </c>
      <c r="E813" s="229">
        <v>32.0</v>
      </c>
      <c r="F813" s="230">
        <v>3.0</v>
      </c>
      <c r="G813" s="232"/>
    </row>
    <row r="814">
      <c r="A814" s="2"/>
      <c r="B814" s="168" t="s">
        <v>406</v>
      </c>
      <c r="C814" s="168" t="s">
        <v>1089</v>
      </c>
      <c r="D814" s="229">
        <v>28.0</v>
      </c>
      <c r="E814" s="229">
        <v>31.5</v>
      </c>
      <c r="F814" s="230">
        <v>3.0</v>
      </c>
      <c r="G814" s="232"/>
    </row>
    <row r="815">
      <c r="A815" s="2"/>
      <c r="B815" s="168" t="s">
        <v>337</v>
      </c>
      <c r="C815" s="168" t="s">
        <v>1090</v>
      </c>
      <c r="D815" s="229">
        <v>28.5</v>
      </c>
      <c r="E815" s="229">
        <v>32.0</v>
      </c>
      <c r="F815" s="230">
        <v>3.0</v>
      </c>
      <c r="G815" s="232"/>
    </row>
    <row r="816">
      <c r="A816" s="2"/>
      <c r="B816" s="168" t="s">
        <v>341</v>
      </c>
      <c r="C816" s="168" t="s">
        <v>1091</v>
      </c>
      <c r="D816" s="229">
        <v>29.5</v>
      </c>
      <c r="E816" s="229">
        <v>29.5</v>
      </c>
      <c r="F816" s="230">
        <v>3.0</v>
      </c>
      <c r="G816" s="232"/>
    </row>
    <row r="817">
      <c r="A817" s="2"/>
      <c r="B817" s="168" t="s">
        <v>300</v>
      </c>
      <c r="C817" s="168" t="s">
        <v>1092</v>
      </c>
      <c r="D817" s="229">
        <v>28.5</v>
      </c>
      <c r="E817" s="229">
        <v>32.0</v>
      </c>
      <c r="F817" s="230">
        <v>3.0</v>
      </c>
      <c r="G817" s="232"/>
    </row>
    <row r="818">
      <c r="A818" s="2"/>
      <c r="B818" s="168" t="s">
        <v>381</v>
      </c>
      <c r="C818" s="168" t="s">
        <v>1093</v>
      </c>
      <c r="D818" s="229">
        <v>28.5</v>
      </c>
      <c r="E818" s="229">
        <v>32.0</v>
      </c>
      <c r="F818" s="230">
        <v>3.0</v>
      </c>
      <c r="G818" s="232"/>
    </row>
    <row r="819">
      <c r="A819" s="2"/>
      <c r="B819" s="168" t="s">
        <v>215</v>
      </c>
      <c r="C819" s="168" t="s">
        <v>1094</v>
      </c>
      <c r="D819" s="229">
        <v>27.5</v>
      </c>
      <c r="E819" s="229">
        <v>31.0</v>
      </c>
      <c r="F819" s="230">
        <v>3.0</v>
      </c>
      <c r="G819" s="232"/>
    </row>
    <row r="820">
      <c r="A820" s="2"/>
      <c r="B820" s="168" t="s">
        <v>230</v>
      </c>
      <c r="C820" s="168" t="s">
        <v>1095</v>
      </c>
      <c r="D820" s="229">
        <v>21.5</v>
      </c>
      <c r="E820" s="229">
        <v>25.0</v>
      </c>
      <c r="F820" s="230">
        <v>3.0</v>
      </c>
      <c r="G820" s="232"/>
    </row>
    <row r="821">
      <c r="A821" s="2"/>
      <c r="B821" s="168" t="s">
        <v>217</v>
      </c>
      <c r="C821" s="168" t="s">
        <v>1096</v>
      </c>
      <c r="D821" s="229">
        <v>27.5</v>
      </c>
      <c r="E821" s="229">
        <v>31.0</v>
      </c>
      <c r="F821" s="230">
        <v>3.0</v>
      </c>
      <c r="G821" s="232"/>
    </row>
    <row r="822">
      <c r="A822" s="2"/>
      <c r="B822" s="168" t="s">
        <v>273</v>
      </c>
      <c r="C822" s="168" t="s">
        <v>1097</v>
      </c>
      <c r="D822" s="229">
        <v>24.5</v>
      </c>
      <c r="E822" s="229">
        <v>28.0</v>
      </c>
      <c r="F822" s="230">
        <v>3.0</v>
      </c>
      <c r="G822" s="232"/>
    </row>
    <row r="823">
      <c r="A823" s="2"/>
      <c r="B823" s="168" t="s">
        <v>247</v>
      </c>
      <c r="C823" s="168" t="s">
        <v>1098</v>
      </c>
      <c r="D823" s="229">
        <v>29.5</v>
      </c>
      <c r="E823" s="229">
        <v>33.0</v>
      </c>
      <c r="F823" s="230">
        <v>3.0</v>
      </c>
      <c r="G823" s="232"/>
    </row>
    <row r="824">
      <c r="A824" s="2"/>
      <c r="B824" s="168" t="s">
        <v>337</v>
      </c>
      <c r="C824" s="168" t="s">
        <v>1099</v>
      </c>
      <c r="D824" s="229">
        <v>28.5</v>
      </c>
      <c r="E824" s="229">
        <v>32.0</v>
      </c>
      <c r="F824" s="230">
        <v>3.0</v>
      </c>
      <c r="G824" s="232"/>
    </row>
    <row r="825">
      <c r="A825" s="2"/>
      <c r="B825" s="168" t="s">
        <v>581</v>
      </c>
      <c r="C825" s="168" t="s">
        <v>1100</v>
      </c>
      <c r="D825" s="229">
        <v>26.5</v>
      </c>
      <c r="E825" s="229">
        <v>30.0</v>
      </c>
      <c r="F825" s="230">
        <v>3.0</v>
      </c>
      <c r="G825" s="232"/>
    </row>
    <row r="826">
      <c r="A826" s="2"/>
      <c r="B826" s="168" t="s">
        <v>217</v>
      </c>
      <c r="C826" s="168" t="s">
        <v>1101</v>
      </c>
      <c r="D826" s="229">
        <v>27.5</v>
      </c>
      <c r="E826" s="229">
        <v>31.0</v>
      </c>
      <c r="F826" s="230">
        <v>3.0</v>
      </c>
      <c r="G826" s="232"/>
    </row>
    <row r="827">
      <c r="A827" s="2"/>
      <c r="B827" s="168" t="s">
        <v>232</v>
      </c>
      <c r="C827" s="168" t="s">
        <v>1102</v>
      </c>
      <c r="D827" s="229">
        <v>27.5</v>
      </c>
      <c r="E827" s="229">
        <v>31.0</v>
      </c>
      <c r="F827" s="230">
        <v>3.0</v>
      </c>
      <c r="G827" s="232"/>
    </row>
    <row r="828">
      <c r="A828" s="2"/>
      <c r="B828" s="168" t="s">
        <v>230</v>
      </c>
      <c r="C828" s="168" t="s">
        <v>1103</v>
      </c>
      <c r="D828" s="229">
        <v>21.5</v>
      </c>
      <c r="E828" s="229">
        <v>25.0</v>
      </c>
      <c r="F828" s="230">
        <v>3.0</v>
      </c>
      <c r="G828" s="232"/>
    </row>
    <row r="829">
      <c r="A829" s="2"/>
      <c r="B829" s="168" t="s">
        <v>427</v>
      </c>
      <c r="C829" s="168" t="s">
        <v>1104</v>
      </c>
      <c r="D829" s="229">
        <v>26.5</v>
      </c>
      <c r="E829" s="229">
        <v>30.0</v>
      </c>
      <c r="F829" s="230">
        <v>3.0</v>
      </c>
      <c r="G829" s="232"/>
    </row>
    <row r="830">
      <c r="A830" s="2"/>
      <c r="B830" s="168" t="s">
        <v>328</v>
      </c>
      <c r="C830" s="168" t="s">
        <v>1105</v>
      </c>
      <c r="D830" s="229">
        <v>34.5</v>
      </c>
      <c r="E830" s="229">
        <v>38.0</v>
      </c>
      <c r="F830" s="230">
        <v>3.0</v>
      </c>
      <c r="G830" s="232"/>
    </row>
    <row r="831">
      <c r="A831" s="2"/>
      <c r="B831" s="168" t="s">
        <v>388</v>
      </c>
      <c r="C831" s="168" t="s">
        <v>1106</v>
      </c>
      <c r="D831" s="229">
        <v>21.5</v>
      </c>
      <c r="E831" s="229">
        <v>25.0</v>
      </c>
      <c r="F831" s="230">
        <v>3.0</v>
      </c>
      <c r="G831" s="232"/>
    </row>
    <row r="832">
      <c r="A832" s="2"/>
      <c r="B832" s="168" t="s">
        <v>937</v>
      </c>
      <c r="C832" s="168" t="s">
        <v>1107</v>
      </c>
      <c r="D832" s="229">
        <v>21.5</v>
      </c>
      <c r="E832" s="229">
        <v>25.0</v>
      </c>
      <c r="F832" s="230">
        <v>3.0</v>
      </c>
      <c r="G832" s="232"/>
    </row>
    <row r="833">
      <c r="A833" s="2"/>
      <c r="B833" s="168" t="s">
        <v>257</v>
      </c>
      <c r="C833" s="168" t="s">
        <v>1108</v>
      </c>
      <c r="D833" s="229">
        <v>28.5</v>
      </c>
      <c r="E833" s="229">
        <v>32.0</v>
      </c>
      <c r="F833" s="230">
        <v>3.0</v>
      </c>
      <c r="G833" s="232"/>
    </row>
    <row r="834">
      <c r="A834" s="2"/>
      <c r="B834" s="168" t="s">
        <v>269</v>
      </c>
      <c r="C834" s="168" t="s">
        <v>1109</v>
      </c>
      <c r="D834" s="229">
        <v>26.5</v>
      </c>
      <c r="E834" s="229">
        <v>30.0</v>
      </c>
      <c r="F834" s="230">
        <v>3.0</v>
      </c>
      <c r="G834" s="232"/>
    </row>
    <row r="835">
      <c r="A835" s="2"/>
      <c r="B835" s="168" t="s">
        <v>230</v>
      </c>
      <c r="C835" s="168" t="s">
        <v>1110</v>
      </c>
      <c r="D835" s="229">
        <v>16.5</v>
      </c>
      <c r="E835" s="229">
        <v>20.0</v>
      </c>
      <c r="F835" s="230">
        <v>3.0</v>
      </c>
      <c r="G835" s="232"/>
    </row>
    <row r="836">
      <c r="A836" s="2"/>
      <c r="B836" s="168" t="s">
        <v>335</v>
      </c>
      <c r="C836" s="168" t="s">
        <v>1111</v>
      </c>
      <c r="D836" s="229">
        <v>34.5</v>
      </c>
      <c r="E836" s="229">
        <v>38.0</v>
      </c>
      <c r="F836" s="230">
        <v>3.0</v>
      </c>
      <c r="G836" s="232"/>
    </row>
    <row r="837">
      <c r="A837" s="2"/>
      <c r="B837" s="168" t="s">
        <v>288</v>
      </c>
      <c r="C837" s="168" t="s">
        <v>1112</v>
      </c>
      <c r="D837" s="229">
        <v>21.5</v>
      </c>
      <c r="E837" s="229">
        <v>25.0</v>
      </c>
      <c r="F837" s="230">
        <v>3.0</v>
      </c>
      <c r="G837" s="232"/>
    </row>
    <row r="838">
      <c r="A838" s="2"/>
      <c r="B838" s="168" t="s">
        <v>285</v>
      </c>
      <c r="C838" s="168" t="s">
        <v>1113</v>
      </c>
      <c r="D838" s="229">
        <v>24.5</v>
      </c>
      <c r="E838" s="229">
        <v>28.0</v>
      </c>
      <c r="F838" s="230">
        <v>3.0</v>
      </c>
      <c r="G838" s="232"/>
    </row>
    <row r="839">
      <c r="A839" s="2"/>
      <c r="B839" s="168" t="s">
        <v>243</v>
      </c>
      <c r="C839" s="168" t="s">
        <v>1114</v>
      </c>
      <c r="D839" s="229">
        <v>29.5</v>
      </c>
      <c r="E839" s="229">
        <v>33.0</v>
      </c>
      <c r="F839" s="230">
        <v>3.0</v>
      </c>
      <c r="G839" s="232"/>
    </row>
    <row r="840">
      <c r="A840" s="2"/>
      <c r="B840" s="168" t="s">
        <v>236</v>
      </c>
      <c r="C840" s="168" t="s">
        <v>1115</v>
      </c>
      <c r="D840" s="229">
        <v>34.5</v>
      </c>
      <c r="E840" s="229">
        <v>38.0</v>
      </c>
      <c r="F840" s="230">
        <v>3.0</v>
      </c>
      <c r="G840" s="232"/>
    </row>
    <row r="841">
      <c r="A841" s="2"/>
      <c r="B841" s="168" t="s">
        <v>456</v>
      </c>
      <c r="C841" s="168" t="s">
        <v>1116</v>
      </c>
      <c r="D841" s="229">
        <v>21.5</v>
      </c>
      <c r="E841" s="229">
        <v>25.0</v>
      </c>
      <c r="F841" s="230">
        <v>3.0</v>
      </c>
      <c r="G841" s="232"/>
    </row>
    <row r="842">
      <c r="A842" s="2"/>
      <c r="B842" s="168" t="s">
        <v>328</v>
      </c>
      <c r="C842" s="168" t="s">
        <v>1117</v>
      </c>
      <c r="D842" s="229">
        <v>34.5</v>
      </c>
      <c r="E842" s="229">
        <v>38.0</v>
      </c>
      <c r="F842" s="230">
        <v>3.0</v>
      </c>
      <c r="G842" s="232"/>
    </row>
    <row r="843">
      <c r="A843" s="2"/>
      <c r="B843" s="168" t="s">
        <v>254</v>
      </c>
      <c r="C843" s="168" t="s">
        <v>1118</v>
      </c>
      <c r="D843" s="229">
        <v>26.5</v>
      </c>
      <c r="E843" s="229">
        <v>30.0</v>
      </c>
      <c r="F843" s="230">
        <v>3.0</v>
      </c>
      <c r="G843" s="232"/>
    </row>
    <row r="844">
      <c r="A844" s="2"/>
      <c r="B844" s="168" t="s">
        <v>247</v>
      </c>
      <c r="C844" s="168" t="s">
        <v>1119</v>
      </c>
      <c r="D844" s="229">
        <v>29.5</v>
      </c>
      <c r="E844" s="229">
        <v>33.0</v>
      </c>
      <c r="F844" s="230">
        <v>3.0</v>
      </c>
      <c r="G844" s="232"/>
    </row>
    <row r="845">
      <c r="A845" s="2"/>
      <c r="B845" s="168" t="s">
        <v>232</v>
      </c>
      <c r="C845" s="168" t="s">
        <v>1120</v>
      </c>
      <c r="D845" s="229">
        <v>25.5</v>
      </c>
      <c r="E845" s="229">
        <v>29.0</v>
      </c>
      <c r="F845" s="230">
        <v>3.0</v>
      </c>
      <c r="G845" s="232"/>
    </row>
    <row r="846">
      <c r="A846" s="2"/>
      <c r="B846" s="168" t="s">
        <v>255</v>
      </c>
      <c r="C846" s="168" t="s">
        <v>1121</v>
      </c>
      <c r="D846" s="229">
        <v>28.5</v>
      </c>
      <c r="E846" s="229">
        <v>32.0</v>
      </c>
      <c r="F846" s="230">
        <v>3.0</v>
      </c>
      <c r="G846" s="232"/>
    </row>
    <row r="847">
      <c r="A847" s="2"/>
      <c r="B847" s="168" t="s">
        <v>219</v>
      </c>
      <c r="C847" s="168" t="s">
        <v>1122</v>
      </c>
      <c r="D847" s="229">
        <v>28.5</v>
      </c>
      <c r="E847" s="229">
        <v>32.0</v>
      </c>
      <c r="F847" s="230">
        <v>3.0</v>
      </c>
      <c r="G847" s="232"/>
    </row>
    <row r="848">
      <c r="A848" s="2"/>
      <c r="B848" s="168" t="s">
        <v>581</v>
      </c>
      <c r="C848" s="168" t="s">
        <v>1123</v>
      </c>
      <c r="D848" s="229">
        <v>26.5</v>
      </c>
      <c r="E848" s="229">
        <v>30.0</v>
      </c>
      <c r="F848" s="230">
        <v>3.0</v>
      </c>
      <c r="G848" s="232"/>
    </row>
    <row r="849">
      <c r="A849" s="2"/>
      <c r="B849" s="168" t="s">
        <v>230</v>
      </c>
      <c r="C849" s="168" t="s">
        <v>1124</v>
      </c>
      <c r="D849" s="229">
        <v>16.5</v>
      </c>
      <c r="E849" s="229">
        <v>20.0</v>
      </c>
      <c r="F849" s="230">
        <v>3.0</v>
      </c>
      <c r="G849" s="232"/>
    </row>
    <row r="850">
      <c r="A850" s="2"/>
      <c r="B850" s="168" t="s">
        <v>290</v>
      </c>
      <c r="C850" s="168" t="s">
        <v>1125</v>
      </c>
      <c r="D850" s="229">
        <v>29.5</v>
      </c>
      <c r="E850" s="229">
        <v>33.0</v>
      </c>
      <c r="F850" s="230">
        <v>3.0</v>
      </c>
      <c r="G850" s="232"/>
    </row>
    <row r="851">
      <c r="A851" s="2"/>
      <c r="B851" s="168" t="s">
        <v>377</v>
      </c>
      <c r="C851" s="168" t="s">
        <v>1126</v>
      </c>
      <c r="D851" s="229">
        <v>24.5</v>
      </c>
      <c r="E851" s="229">
        <v>28.0</v>
      </c>
      <c r="F851" s="230">
        <v>3.0</v>
      </c>
      <c r="G851" s="232"/>
    </row>
    <row r="852">
      <c r="A852" s="2"/>
      <c r="B852" s="168" t="s">
        <v>328</v>
      </c>
      <c r="C852" s="168" t="s">
        <v>1127</v>
      </c>
      <c r="D852" s="229">
        <v>34.5</v>
      </c>
      <c r="E852" s="229">
        <v>38.0</v>
      </c>
      <c r="F852" s="230">
        <v>3.0</v>
      </c>
      <c r="G852" s="232"/>
    </row>
    <row r="853">
      <c r="A853" s="2"/>
      <c r="B853" s="168" t="s">
        <v>296</v>
      </c>
      <c r="C853" s="168" t="s">
        <v>1128</v>
      </c>
      <c r="D853" s="229">
        <v>26.5</v>
      </c>
      <c r="E853" s="229">
        <v>30.0</v>
      </c>
      <c r="F853" s="230">
        <v>3.0</v>
      </c>
      <c r="G853" s="232"/>
    </row>
    <row r="854">
      <c r="A854" s="2"/>
      <c r="B854" s="168" t="s">
        <v>255</v>
      </c>
      <c r="C854" s="168" t="s">
        <v>1129</v>
      </c>
      <c r="D854" s="229">
        <v>31.5</v>
      </c>
      <c r="E854" s="229">
        <v>35.0</v>
      </c>
      <c r="F854" s="230">
        <v>3.0</v>
      </c>
      <c r="G854" s="232"/>
    </row>
    <row r="855">
      <c r="A855" s="2"/>
      <c r="B855" s="168" t="s">
        <v>269</v>
      </c>
      <c r="C855" s="168" t="s">
        <v>1130</v>
      </c>
      <c r="D855" s="229">
        <v>26.5</v>
      </c>
      <c r="E855" s="229">
        <v>30.0</v>
      </c>
      <c r="F855" s="230">
        <v>3.0</v>
      </c>
      <c r="G855" s="232"/>
    </row>
    <row r="856">
      <c r="A856" s="2"/>
      <c r="B856" s="168" t="s">
        <v>241</v>
      </c>
      <c r="C856" s="168" t="s">
        <v>1131</v>
      </c>
      <c r="D856" s="229">
        <v>32.5</v>
      </c>
      <c r="E856" s="229">
        <v>36.0</v>
      </c>
      <c r="F856" s="230">
        <v>3.0</v>
      </c>
      <c r="G856" s="232"/>
    </row>
    <row r="857">
      <c r="A857" s="2"/>
      <c r="B857" s="168" t="s">
        <v>245</v>
      </c>
      <c r="C857" s="168" t="s">
        <v>1132</v>
      </c>
      <c r="D857" s="229">
        <v>29.5</v>
      </c>
      <c r="E857" s="229">
        <v>33.0</v>
      </c>
      <c r="F857" s="230">
        <v>3.0</v>
      </c>
      <c r="G857" s="232"/>
    </row>
    <row r="858">
      <c r="A858" s="2"/>
      <c r="B858" s="168" t="s">
        <v>257</v>
      </c>
      <c r="C858" s="168" t="s">
        <v>1133</v>
      </c>
      <c r="D858" s="229">
        <v>28.5</v>
      </c>
      <c r="E858" s="229">
        <v>32.0</v>
      </c>
      <c r="F858" s="230">
        <v>3.0</v>
      </c>
      <c r="G858" s="232"/>
    </row>
    <row r="859">
      <c r="A859" s="2"/>
      <c r="B859" s="168" t="s">
        <v>290</v>
      </c>
      <c r="C859" s="168" t="s">
        <v>1134</v>
      </c>
      <c r="D859" s="229">
        <v>29.5</v>
      </c>
      <c r="E859" s="229">
        <v>33.0</v>
      </c>
      <c r="F859" s="230">
        <v>3.0</v>
      </c>
      <c r="G859" s="232"/>
    </row>
    <row r="860">
      <c r="A860" s="2"/>
      <c r="B860" s="168" t="s">
        <v>296</v>
      </c>
      <c r="C860" s="168" t="s">
        <v>1135</v>
      </c>
      <c r="D860" s="229">
        <v>26.5</v>
      </c>
      <c r="E860" s="229">
        <v>30.0</v>
      </c>
      <c r="F860" s="230">
        <v>3.0</v>
      </c>
      <c r="G860" s="232"/>
    </row>
    <row r="861">
      <c r="A861" s="2"/>
      <c r="B861" s="168" t="s">
        <v>241</v>
      </c>
      <c r="C861" s="168" t="s">
        <v>1136</v>
      </c>
      <c r="D861" s="229">
        <v>32.5</v>
      </c>
      <c r="E861" s="229">
        <v>36.0</v>
      </c>
      <c r="F861" s="230">
        <v>3.0</v>
      </c>
      <c r="G861" s="232"/>
    </row>
    <row r="862">
      <c r="A862" s="2"/>
      <c r="B862" s="168" t="s">
        <v>269</v>
      </c>
      <c r="C862" s="168" t="s">
        <v>1137</v>
      </c>
      <c r="D862" s="229">
        <v>26.5</v>
      </c>
      <c r="E862" s="229">
        <v>30.0</v>
      </c>
      <c r="F862" s="230">
        <v>3.0</v>
      </c>
      <c r="G862" s="232"/>
    </row>
    <row r="863">
      <c r="A863" s="2"/>
      <c r="B863" s="168" t="s">
        <v>230</v>
      </c>
      <c r="C863" s="168" t="s">
        <v>1138</v>
      </c>
      <c r="D863" s="229">
        <v>21.5</v>
      </c>
      <c r="E863" s="229">
        <v>25.0</v>
      </c>
      <c r="F863" s="230">
        <v>3.0</v>
      </c>
      <c r="G863" s="232"/>
    </row>
    <row r="864">
      <c r="A864" s="2"/>
      <c r="B864" s="168" t="s">
        <v>318</v>
      </c>
      <c r="C864" s="168" t="s">
        <v>1139</v>
      </c>
      <c r="D864" s="229">
        <v>25.5</v>
      </c>
      <c r="E864" s="229">
        <v>29.0</v>
      </c>
      <c r="F864" s="230">
        <v>3.0</v>
      </c>
      <c r="G864" s="232"/>
    </row>
    <row r="865">
      <c r="A865" s="2"/>
      <c r="B865" s="168" t="s">
        <v>217</v>
      </c>
      <c r="C865" s="168" t="s">
        <v>1140</v>
      </c>
      <c r="D865" s="229">
        <v>27.5</v>
      </c>
      <c r="E865" s="229">
        <v>31.0</v>
      </c>
      <c r="F865" s="230">
        <v>3.0</v>
      </c>
      <c r="G865" s="232"/>
    </row>
    <row r="866">
      <c r="A866" s="2"/>
      <c r="B866" s="168" t="s">
        <v>310</v>
      </c>
      <c r="C866" s="168" t="s">
        <v>1141</v>
      </c>
      <c r="D866" s="229">
        <v>34.5</v>
      </c>
      <c r="E866" s="229">
        <v>38.0</v>
      </c>
      <c r="F866" s="230">
        <v>3.0</v>
      </c>
      <c r="G866" s="232"/>
    </row>
    <row r="867">
      <c r="A867" s="2"/>
      <c r="B867" s="168" t="s">
        <v>337</v>
      </c>
      <c r="C867" s="168" t="s">
        <v>1142</v>
      </c>
      <c r="D867" s="229">
        <v>23.5</v>
      </c>
      <c r="E867" s="229">
        <v>27.0</v>
      </c>
      <c r="F867" s="230">
        <v>3.0</v>
      </c>
      <c r="G867" s="232"/>
    </row>
    <row r="868">
      <c r="A868" s="2"/>
      <c r="B868" s="168" t="s">
        <v>592</v>
      </c>
      <c r="C868" s="168" t="s">
        <v>1143</v>
      </c>
      <c r="D868" s="229">
        <v>34.5</v>
      </c>
      <c r="E868" s="229">
        <v>38.0</v>
      </c>
      <c r="F868" s="230">
        <v>3.0</v>
      </c>
      <c r="G868" s="232"/>
    </row>
    <row r="869">
      <c r="A869" s="2"/>
      <c r="B869" s="168" t="s">
        <v>288</v>
      </c>
      <c r="C869" s="168" t="s">
        <v>1144</v>
      </c>
      <c r="D869" s="229">
        <v>21.5</v>
      </c>
      <c r="E869" s="229">
        <v>25.0</v>
      </c>
      <c r="F869" s="230">
        <v>3.0</v>
      </c>
      <c r="G869" s="232"/>
    </row>
    <row r="870">
      <c r="A870" s="2"/>
      <c r="B870" s="168" t="s">
        <v>247</v>
      </c>
      <c r="C870" s="168" t="s">
        <v>1145</v>
      </c>
      <c r="D870" s="229">
        <v>29.5</v>
      </c>
      <c r="E870" s="229">
        <v>33.0</v>
      </c>
      <c r="F870" s="230">
        <v>3.0</v>
      </c>
      <c r="G870" s="232"/>
    </row>
    <row r="871">
      <c r="A871" s="2"/>
      <c r="B871" s="168" t="s">
        <v>217</v>
      </c>
      <c r="C871" s="168" t="s">
        <v>1146</v>
      </c>
      <c r="D871" s="229">
        <v>27.5</v>
      </c>
      <c r="E871" s="229">
        <v>31.0</v>
      </c>
      <c r="F871" s="230">
        <v>3.0</v>
      </c>
      <c r="G871" s="232"/>
    </row>
    <row r="872">
      <c r="A872" s="2"/>
      <c r="B872" s="168" t="s">
        <v>217</v>
      </c>
      <c r="C872" s="168" t="s">
        <v>1147</v>
      </c>
      <c r="D872" s="229">
        <v>22.5</v>
      </c>
      <c r="E872" s="229">
        <v>26.0</v>
      </c>
      <c r="F872" s="230">
        <v>3.0</v>
      </c>
      <c r="G872" s="232"/>
    </row>
    <row r="873">
      <c r="A873" s="2"/>
      <c r="B873" s="168" t="s">
        <v>241</v>
      </c>
      <c r="C873" s="168" t="s">
        <v>1148</v>
      </c>
      <c r="D873" s="229">
        <v>27.5</v>
      </c>
      <c r="E873" s="229">
        <v>31.0</v>
      </c>
      <c r="F873" s="230">
        <v>3.0</v>
      </c>
      <c r="G873" s="232"/>
    </row>
    <row r="874">
      <c r="A874" s="2"/>
      <c r="B874" s="168" t="s">
        <v>341</v>
      </c>
      <c r="C874" s="168" t="s">
        <v>1149</v>
      </c>
      <c r="D874" s="229">
        <v>29.5</v>
      </c>
      <c r="E874" s="229">
        <v>29.5</v>
      </c>
      <c r="F874" s="230">
        <v>3.0</v>
      </c>
      <c r="G874" s="232"/>
    </row>
    <row r="875">
      <c r="A875" s="2"/>
      <c r="B875" s="168" t="s">
        <v>223</v>
      </c>
      <c r="C875" s="168" t="s">
        <v>1150</v>
      </c>
      <c r="D875" s="229">
        <v>26.5</v>
      </c>
      <c r="E875" s="229">
        <v>30.0</v>
      </c>
      <c r="F875" s="230">
        <v>3.0</v>
      </c>
      <c r="G875" s="232"/>
    </row>
    <row r="876">
      <c r="A876" s="2"/>
      <c r="B876" s="168" t="s">
        <v>406</v>
      </c>
      <c r="C876" s="168" t="s">
        <v>1151</v>
      </c>
      <c r="D876" s="229">
        <v>21.5</v>
      </c>
      <c r="E876" s="229">
        <v>25.0</v>
      </c>
      <c r="F876" s="230">
        <v>3.0</v>
      </c>
      <c r="G876" s="232"/>
    </row>
    <row r="877">
      <c r="A877" s="2"/>
      <c r="B877" s="168" t="s">
        <v>328</v>
      </c>
      <c r="C877" s="168" t="s">
        <v>1152</v>
      </c>
      <c r="D877" s="229">
        <v>34.5</v>
      </c>
      <c r="E877" s="229">
        <v>38.0</v>
      </c>
      <c r="F877" s="230">
        <v>3.0</v>
      </c>
      <c r="G877" s="232"/>
    </row>
    <row r="878">
      <c r="A878" s="2"/>
      <c r="B878" s="168" t="s">
        <v>217</v>
      </c>
      <c r="C878" s="168" t="s">
        <v>1153</v>
      </c>
      <c r="D878" s="229">
        <v>27.5</v>
      </c>
      <c r="E878" s="229">
        <v>31.0</v>
      </c>
      <c r="F878" s="230">
        <v>3.0</v>
      </c>
      <c r="G878" s="232"/>
    </row>
    <row r="879">
      <c r="A879" s="2"/>
      <c r="B879" s="168" t="s">
        <v>296</v>
      </c>
      <c r="C879" s="168" t="s">
        <v>1154</v>
      </c>
      <c r="D879" s="229">
        <v>26.5</v>
      </c>
      <c r="E879" s="229">
        <v>30.0</v>
      </c>
      <c r="F879" s="230">
        <v>3.0</v>
      </c>
      <c r="G879" s="232"/>
    </row>
    <row r="880">
      <c r="A880" s="2"/>
      <c r="B880" s="168" t="s">
        <v>245</v>
      </c>
      <c r="C880" s="168" t="s">
        <v>1155</v>
      </c>
      <c r="D880" s="229">
        <v>29.5</v>
      </c>
      <c r="E880" s="229">
        <v>33.0</v>
      </c>
      <c r="F880" s="230">
        <v>3.0</v>
      </c>
      <c r="G880" s="232"/>
    </row>
    <row r="881">
      <c r="A881" s="2"/>
      <c r="B881" s="168" t="s">
        <v>221</v>
      </c>
      <c r="C881" s="168" t="s">
        <v>1156</v>
      </c>
      <c r="D881" s="229">
        <v>27.5</v>
      </c>
      <c r="E881" s="229">
        <v>31.0</v>
      </c>
      <c r="F881" s="230">
        <v>3.0</v>
      </c>
      <c r="G881" s="232"/>
    </row>
    <row r="882">
      <c r="A882" s="2"/>
      <c r="B882" s="168" t="s">
        <v>241</v>
      </c>
      <c r="C882" s="168" t="s">
        <v>1157</v>
      </c>
      <c r="D882" s="229">
        <v>32.5</v>
      </c>
      <c r="E882" s="229">
        <v>36.0</v>
      </c>
      <c r="F882" s="230">
        <v>3.0</v>
      </c>
      <c r="G882" s="232"/>
    </row>
    <row r="883">
      <c r="A883" s="2"/>
      <c r="B883" s="168" t="s">
        <v>230</v>
      </c>
      <c r="C883" s="168" t="s">
        <v>1158</v>
      </c>
      <c r="D883" s="229">
        <v>16.5</v>
      </c>
      <c r="E883" s="229">
        <v>20.0</v>
      </c>
      <c r="F883" s="230">
        <v>3.0</v>
      </c>
      <c r="G883" s="232"/>
    </row>
    <row r="884">
      <c r="A884" s="2"/>
      <c r="B884" s="168" t="s">
        <v>234</v>
      </c>
      <c r="C884" s="168" t="s">
        <v>1159</v>
      </c>
      <c r="D884" s="229">
        <v>29.5</v>
      </c>
      <c r="E884" s="229">
        <v>33.0</v>
      </c>
      <c r="F884" s="230">
        <v>3.0</v>
      </c>
      <c r="G884" s="232"/>
    </row>
    <row r="885">
      <c r="A885" s="2"/>
      <c r="B885" s="168" t="s">
        <v>381</v>
      </c>
      <c r="C885" s="168" t="s">
        <v>1160</v>
      </c>
      <c r="D885" s="229">
        <v>28.5</v>
      </c>
      <c r="E885" s="229">
        <v>32.0</v>
      </c>
      <c r="F885" s="230">
        <v>3.0</v>
      </c>
      <c r="G885" s="232"/>
    </row>
    <row r="886">
      <c r="A886" s="2"/>
      <c r="B886" s="168" t="s">
        <v>232</v>
      </c>
      <c r="C886" s="168" t="s">
        <v>1161</v>
      </c>
      <c r="D886" s="229">
        <v>32.0</v>
      </c>
      <c r="E886" s="229">
        <v>35.5</v>
      </c>
      <c r="F886" s="230">
        <v>3.0</v>
      </c>
      <c r="G886" s="232"/>
    </row>
    <row r="887">
      <c r="A887" s="2"/>
      <c r="B887" s="168" t="s">
        <v>241</v>
      </c>
      <c r="C887" s="168" t="s">
        <v>1162</v>
      </c>
      <c r="D887" s="229">
        <v>32.5</v>
      </c>
      <c r="E887" s="229">
        <v>36.0</v>
      </c>
      <c r="F887" s="230">
        <v>3.0</v>
      </c>
      <c r="G887" s="232"/>
    </row>
    <row r="888">
      <c r="A888" s="2"/>
      <c r="B888" s="168" t="s">
        <v>341</v>
      </c>
      <c r="C888" s="168" t="s">
        <v>1163</v>
      </c>
      <c r="D888" s="229">
        <v>29.5</v>
      </c>
      <c r="E888" s="229">
        <v>29.5</v>
      </c>
      <c r="F888" s="230">
        <v>3.0</v>
      </c>
      <c r="G888" s="232"/>
    </row>
    <row r="889">
      <c r="A889" s="2"/>
      <c r="B889" s="168" t="s">
        <v>223</v>
      </c>
      <c r="C889" s="168" t="s">
        <v>1164</v>
      </c>
      <c r="D889" s="229">
        <v>26.5</v>
      </c>
      <c r="E889" s="229">
        <v>30.0</v>
      </c>
      <c r="F889" s="230">
        <v>3.0</v>
      </c>
      <c r="G889" s="232"/>
    </row>
    <row r="890">
      <c r="A890" s="2"/>
      <c r="B890" s="168" t="s">
        <v>215</v>
      </c>
      <c r="C890" s="168" t="s">
        <v>1165</v>
      </c>
      <c r="D890" s="229">
        <v>27.5</v>
      </c>
      <c r="E890" s="229">
        <v>31.0</v>
      </c>
      <c r="F890" s="230">
        <v>3.0</v>
      </c>
      <c r="G890" s="232"/>
    </row>
    <row r="891">
      <c r="A891" s="2"/>
      <c r="B891" s="168" t="s">
        <v>377</v>
      </c>
      <c r="C891" s="168" t="s">
        <v>1166</v>
      </c>
      <c r="D891" s="229">
        <v>29.5</v>
      </c>
      <c r="E891" s="229">
        <v>33.0</v>
      </c>
      <c r="F891" s="230">
        <v>3.0</v>
      </c>
      <c r="G891" s="232"/>
    </row>
    <row r="892">
      <c r="A892" s="2"/>
      <c r="B892" s="168" t="s">
        <v>230</v>
      </c>
      <c r="C892" s="168" t="s">
        <v>1167</v>
      </c>
      <c r="D892" s="229">
        <v>16.5</v>
      </c>
      <c r="E892" s="229">
        <v>20.0</v>
      </c>
      <c r="F892" s="230">
        <v>3.0</v>
      </c>
      <c r="G892" s="232"/>
    </row>
    <row r="893">
      <c r="A893" s="2"/>
      <c r="B893" s="168" t="s">
        <v>811</v>
      </c>
      <c r="C893" s="168" t="s">
        <v>1168</v>
      </c>
      <c r="D893" s="229">
        <v>29.5</v>
      </c>
      <c r="E893" s="229">
        <v>33.0</v>
      </c>
      <c r="F893" s="230">
        <v>3.0</v>
      </c>
      <c r="G893" s="232"/>
    </row>
    <row r="894">
      <c r="A894" s="2"/>
      <c r="B894" s="168" t="s">
        <v>255</v>
      </c>
      <c r="C894" s="168" t="s">
        <v>1169</v>
      </c>
      <c r="D894" s="229">
        <v>31.5</v>
      </c>
      <c r="E894" s="229">
        <v>35.0</v>
      </c>
      <c r="F894" s="230">
        <v>3.0</v>
      </c>
      <c r="G894" s="232"/>
    </row>
    <row r="895">
      <c r="A895" s="2"/>
      <c r="B895" s="168" t="s">
        <v>318</v>
      </c>
      <c r="C895" s="168" t="s">
        <v>1170</v>
      </c>
      <c r="D895" s="229">
        <v>25.5</v>
      </c>
      <c r="E895" s="229">
        <v>29.0</v>
      </c>
      <c r="F895" s="230">
        <v>3.0</v>
      </c>
      <c r="G895" s="232"/>
    </row>
    <row r="896">
      <c r="A896" s="2"/>
      <c r="B896" s="168" t="s">
        <v>296</v>
      </c>
      <c r="C896" s="168" t="s">
        <v>1171</v>
      </c>
      <c r="D896" s="229">
        <v>26.5</v>
      </c>
      <c r="E896" s="229">
        <v>30.0</v>
      </c>
      <c r="F896" s="230">
        <v>3.0</v>
      </c>
      <c r="G896" s="232"/>
    </row>
    <row r="897">
      <c r="A897" s="2"/>
      <c r="B897" s="168" t="s">
        <v>328</v>
      </c>
      <c r="C897" s="168" t="s">
        <v>1172</v>
      </c>
      <c r="D897" s="229">
        <v>34.5</v>
      </c>
      <c r="E897" s="229">
        <v>38.0</v>
      </c>
      <c r="F897" s="230">
        <v>3.0</v>
      </c>
      <c r="G897" s="232"/>
    </row>
    <row r="898">
      <c r="A898" s="2"/>
      <c r="B898" s="168" t="s">
        <v>406</v>
      </c>
      <c r="C898" s="168" t="s">
        <v>1173</v>
      </c>
      <c r="D898" s="229">
        <v>28.0</v>
      </c>
      <c r="E898" s="229">
        <v>31.5</v>
      </c>
      <c r="F898" s="230">
        <v>3.0</v>
      </c>
      <c r="G898" s="232"/>
    </row>
    <row r="899">
      <c r="A899" s="2"/>
      <c r="B899" s="168" t="s">
        <v>377</v>
      </c>
      <c r="C899" s="168" t="s">
        <v>1174</v>
      </c>
      <c r="D899" s="229">
        <v>29.5</v>
      </c>
      <c r="E899" s="229">
        <v>33.0</v>
      </c>
      <c r="F899" s="230">
        <v>3.0</v>
      </c>
      <c r="G899" s="232"/>
    </row>
    <row r="900">
      <c r="A900" s="2"/>
      <c r="B900" s="168" t="s">
        <v>232</v>
      </c>
      <c r="C900" s="168" t="s">
        <v>1175</v>
      </c>
      <c r="D900" s="229">
        <v>27.5</v>
      </c>
      <c r="E900" s="229">
        <v>31.0</v>
      </c>
      <c r="F900" s="230">
        <v>3.0</v>
      </c>
      <c r="G900" s="232"/>
    </row>
    <row r="901">
      <c r="A901" s="2"/>
      <c r="B901" s="168" t="s">
        <v>413</v>
      </c>
      <c r="C901" s="168" t="s">
        <v>1176</v>
      </c>
      <c r="D901" s="229">
        <v>29.5</v>
      </c>
      <c r="E901" s="229">
        <v>33.0</v>
      </c>
      <c r="F901" s="230">
        <v>3.0</v>
      </c>
      <c r="G901" s="232"/>
    </row>
    <row r="902">
      <c r="A902" s="2"/>
      <c r="B902" s="168" t="s">
        <v>296</v>
      </c>
      <c r="C902" s="168" t="s">
        <v>1177</v>
      </c>
      <c r="D902" s="229">
        <v>26.5</v>
      </c>
      <c r="E902" s="229">
        <v>30.0</v>
      </c>
      <c r="F902" s="230">
        <v>3.0</v>
      </c>
      <c r="G902" s="232"/>
    </row>
    <row r="903">
      <c r="A903" s="2"/>
      <c r="B903" s="168" t="s">
        <v>296</v>
      </c>
      <c r="C903" s="168" t="s">
        <v>1178</v>
      </c>
      <c r="D903" s="229">
        <v>26.5</v>
      </c>
      <c r="E903" s="229">
        <v>30.0</v>
      </c>
      <c r="F903" s="230">
        <v>3.0</v>
      </c>
      <c r="G903" s="232"/>
    </row>
    <row r="904">
      <c r="A904" s="2"/>
      <c r="B904" s="168" t="s">
        <v>217</v>
      </c>
      <c r="C904" s="168" t="s">
        <v>1179</v>
      </c>
      <c r="D904" s="229">
        <v>27.5</v>
      </c>
      <c r="E904" s="229">
        <v>31.0</v>
      </c>
      <c r="F904" s="230">
        <v>3.0</v>
      </c>
      <c r="G904" s="232"/>
    </row>
    <row r="905">
      <c r="A905" s="2"/>
      <c r="B905" s="168" t="s">
        <v>328</v>
      </c>
      <c r="C905" s="168" t="s">
        <v>1180</v>
      </c>
      <c r="D905" s="229">
        <v>34.5</v>
      </c>
      <c r="E905" s="229">
        <v>38.0</v>
      </c>
      <c r="F905" s="230">
        <v>3.0</v>
      </c>
      <c r="G905" s="232"/>
    </row>
    <row r="906">
      <c r="A906" s="2"/>
      <c r="B906" s="168" t="s">
        <v>223</v>
      </c>
      <c r="C906" s="168" t="s">
        <v>1181</v>
      </c>
      <c r="D906" s="229">
        <v>26.5</v>
      </c>
      <c r="E906" s="229">
        <v>30.0</v>
      </c>
      <c r="F906" s="230">
        <v>3.0</v>
      </c>
      <c r="G906" s="232"/>
    </row>
    <row r="907">
      <c r="A907" s="2"/>
      <c r="B907" s="168" t="s">
        <v>592</v>
      </c>
      <c r="C907" s="168" t="s">
        <v>1182</v>
      </c>
      <c r="D907" s="229">
        <v>34.5</v>
      </c>
      <c r="E907" s="229">
        <v>38.0</v>
      </c>
      <c r="F907" s="230">
        <v>3.0</v>
      </c>
      <c r="G907" s="232"/>
    </row>
    <row r="908">
      <c r="A908" s="2"/>
      <c r="B908" s="168" t="s">
        <v>257</v>
      </c>
      <c r="C908" s="168" t="s">
        <v>1183</v>
      </c>
      <c r="D908" s="229">
        <v>28.5</v>
      </c>
      <c r="E908" s="229">
        <v>32.0</v>
      </c>
      <c r="F908" s="230">
        <v>3.0</v>
      </c>
      <c r="G908" s="232"/>
    </row>
    <row r="909">
      <c r="A909" s="2"/>
      <c r="B909" s="168" t="s">
        <v>217</v>
      </c>
      <c r="C909" s="168" t="s">
        <v>1184</v>
      </c>
      <c r="D909" s="229">
        <v>27.5</v>
      </c>
      <c r="E909" s="229">
        <v>31.0</v>
      </c>
      <c r="F909" s="230">
        <v>3.0</v>
      </c>
      <c r="G909" s="232"/>
    </row>
    <row r="910">
      <c r="A910" s="2"/>
      <c r="B910" s="168" t="s">
        <v>247</v>
      </c>
      <c r="C910" s="168" t="s">
        <v>1185</v>
      </c>
      <c r="D910" s="229">
        <v>29.5</v>
      </c>
      <c r="E910" s="229">
        <v>33.0</v>
      </c>
      <c r="F910" s="230">
        <v>3.0</v>
      </c>
      <c r="G910" s="232"/>
    </row>
    <row r="911">
      <c r="A911" s="2"/>
      <c r="B911" s="168" t="s">
        <v>245</v>
      </c>
      <c r="C911" s="168" t="s">
        <v>1186</v>
      </c>
      <c r="D911" s="229">
        <v>29.5</v>
      </c>
      <c r="E911" s="229">
        <v>33.0</v>
      </c>
      <c r="F911" s="230">
        <v>3.0</v>
      </c>
      <c r="G911" s="232"/>
    </row>
    <row r="912">
      <c r="A912" s="2"/>
      <c r="B912" s="168" t="s">
        <v>273</v>
      </c>
      <c r="C912" s="168" t="s">
        <v>1187</v>
      </c>
      <c r="D912" s="229">
        <v>29.5</v>
      </c>
      <c r="E912" s="229">
        <v>33.0</v>
      </c>
      <c r="F912" s="230">
        <v>3.0</v>
      </c>
      <c r="G912" s="232"/>
    </row>
    <row r="913">
      <c r="A913" s="2"/>
      <c r="B913" s="168" t="s">
        <v>288</v>
      </c>
      <c r="C913" s="168" t="s">
        <v>1188</v>
      </c>
      <c r="D913" s="229">
        <v>21.5</v>
      </c>
      <c r="E913" s="229">
        <v>25.0</v>
      </c>
      <c r="F913" s="230">
        <v>3.0</v>
      </c>
      <c r="G913" s="232"/>
    </row>
    <row r="914">
      <c r="A914" s="2"/>
      <c r="B914" s="168" t="s">
        <v>217</v>
      </c>
      <c r="C914" s="168" t="s">
        <v>1189</v>
      </c>
      <c r="D914" s="229">
        <v>27.5</v>
      </c>
      <c r="E914" s="229">
        <v>31.0</v>
      </c>
      <c r="F914" s="230">
        <v>3.0</v>
      </c>
      <c r="G914" s="232"/>
    </row>
    <row r="915">
      <c r="A915" s="2"/>
      <c r="B915" s="168" t="s">
        <v>337</v>
      </c>
      <c r="C915" s="168" t="s">
        <v>1190</v>
      </c>
      <c r="D915" s="229">
        <v>28.5</v>
      </c>
      <c r="E915" s="229">
        <v>32.0</v>
      </c>
      <c r="F915" s="230">
        <v>3.0</v>
      </c>
      <c r="G915" s="232"/>
    </row>
    <row r="916">
      <c r="A916" s="2"/>
      <c r="B916" s="168" t="s">
        <v>337</v>
      </c>
      <c r="C916" s="168" t="s">
        <v>1191</v>
      </c>
      <c r="D916" s="229">
        <v>28.5</v>
      </c>
      <c r="E916" s="229">
        <v>32.0</v>
      </c>
      <c r="F916" s="230">
        <v>3.0</v>
      </c>
      <c r="G916" s="232"/>
    </row>
    <row r="917">
      <c r="A917" s="2"/>
      <c r="B917" s="168" t="s">
        <v>230</v>
      </c>
      <c r="C917" s="168" t="s">
        <v>1192</v>
      </c>
      <c r="D917" s="229">
        <v>16.5</v>
      </c>
      <c r="E917" s="229">
        <v>20.0</v>
      </c>
      <c r="F917" s="230">
        <v>3.0</v>
      </c>
      <c r="G917" s="232"/>
    </row>
    <row r="918">
      <c r="A918" s="2"/>
      <c r="B918" s="168" t="s">
        <v>302</v>
      </c>
      <c r="C918" s="168" t="s">
        <v>1193</v>
      </c>
      <c r="D918" s="229">
        <v>34.5</v>
      </c>
      <c r="E918" s="229">
        <v>38.0</v>
      </c>
      <c r="F918" s="230">
        <v>3.0</v>
      </c>
      <c r="G918" s="232"/>
    </row>
    <row r="919">
      <c r="A919" s="2"/>
      <c r="B919" s="168" t="s">
        <v>255</v>
      </c>
      <c r="C919" s="168" t="s">
        <v>1194</v>
      </c>
      <c r="D919" s="229">
        <v>31.5</v>
      </c>
      <c r="E919" s="229">
        <v>35.0</v>
      </c>
      <c r="F919" s="230">
        <v>3.0</v>
      </c>
      <c r="G919" s="232"/>
    </row>
    <row r="920">
      <c r="A920" s="2"/>
      <c r="B920" s="168" t="s">
        <v>232</v>
      </c>
      <c r="C920" s="168" t="s">
        <v>1195</v>
      </c>
      <c r="D920" s="229">
        <v>25.5</v>
      </c>
      <c r="E920" s="229">
        <v>29.0</v>
      </c>
      <c r="F920" s="230">
        <v>3.0</v>
      </c>
      <c r="G920" s="232"/>
    </row>
    <row r="921">
      <c r="A921" s="2"/>
      <c r="B921" s="168" t="s">
        <v>230</v>
      </c>
      <c r="C921" s="168" t="s">
        <v>1196</v>
      </c>
      <c r="D921" s="229">
        <v>21.5</v>
      </c>
      <c r="E921" s="229">
        <v>25.0</v>
      </c>
      <c r="F921" s="230">
        <v>3.0</v>
      </c>
      <c r="G921" s="232"/>
    </row>
    <row r="922">
      <c r="A922" s="2"/>
      <c r="B922" s="168" t="s">
        <v>406</v>
      </c>
      <c r="C922" s="168" t="s">
        <v>1197</v>
      </c>
      <c r="D922" s="229">
        <v>16.5</v>
      </c>
      <c r="E922" s="229">
        <v>20.0</v>
      </c>
      <c r="F922" s="230">
        <v>3.0</v>
      </c>
      <c r="G922" s="232"/>
    </row>
    <row r="923">
      <c r="A923" s="2"/>
      <c r="B923" s="168" t="s">
        <v>215</v>
      </c>
      <c r="C923" s="168" t="s">
        <v>1198</v>
      </c>
      <c r="D923" s="229">
        <v>27.5</v>
      </c>
      <c r="E923" s="229">
        <v>31.0</v>
      </c>
      <c r="F923" s="230">
        <v>3.0</v>
      </c>
      <c r="G923" s="232"/>
    </row>
    <row r="924">
      <c r="A924" s="2"/>
      <c r="B924" s="168" t="s">
        <v>345</v>
      </c>
      <c r="C924" s="168" t="s">
        <v>1199</v>
      </c>
      <c r="D924" s="229">
        <v>26.5</v>
      </c>
      <c r="E924" s="229">
        <v>30.0</v>
      </c>
      <c r="F924" s="230">
        <v>3.0</v>
      </c>
      <c r="G924" s="232"/>
    </row>
    <row r="925">
      <c r="A925" s="2"/>
      <c r="B925" s="168" t="s">
        <v>413</v>
      </c>
      <c r="C925" s="168" t="s">
        <v>1200</v>
      </c>
      <c r="D925" s="229">
        <v>29.5</v>
      </c>
      <c r="E925" s="229">
        <v>33.0</v>
      </c>
      <c r="F925" s="230">
        <v>3.0</v>
      </c>
      <c r="G925" s="232"/>
    </row>
    <row r="926">
      <c r="A926" s="2"/>
      <c r="B926" s="168" t="s">
        <v>406</v>
      </c>
      <c r="C926" s="168" t="s">
        <v>1201</v>
      </c>
      <c r="D926" s="229">
        <v>27.5</v>
      </c>
      <c r="E926" s="229">
        <v>31.0</v>
      </c>
      <c r="F926" s="230">
        <v>3.0</v>
      </c>
      <c r="G926" s="232"/>
    </row>
    <row r="927">
      <c r="A927" s="2"/>
      <c r="B927" s="168" t="s">
        <v>348</v>
      </c>
      <c r="C927" s="168" t="s">
        <v>1202</v>
      </c>
      <c r="D927" s="229">
        <v>24.5</v>
      </c>
      <c r="E927" s="229">
        <v>28.0</v>
      </c>
      <c r="F927" s="230">
        <v>3.0</v>
      </c>
      <c r="G927" s="232"/>
    </row>
    <row r="928">
      <c r="A928" s="2"/>
      <c r="B928" s="168" t="s">
        <v>223</v>
      </c>
      <c r="C928" s="168" t="s">
        <v>1203</v>
      </c>
      <c r="D928" s="229">
        <v>26.5</v>
      </c>
      <c r="E928" s="229">
        <v>30.0</v>
      </c>
      <c r="F928" s="230">
        <v>3.0</v>
      </c>
      <c r="G928" s="232"/>
    </row>
    <row r="929">
      <c r="A929" s="2"/>
      <c r="B929" s="168" t="s">
        <v>318</v>
      </c>
      <c r="C929" s="168" t="s">
        <v>1204</v>
      </c>
      <c r="D929" s="229">
        <v>25.5</v>
      </c>
      <c r="E929" s="229">
        <v>29.0</v>
      </c>
      <c r="F929" s="230">
        <v>3.0</v>
      </c>
      <c r="G929" s="232"/>
    </row>
    <row r="930">
      <c r="A930" s="2"/>
      <c r="B930" s="168" t="s">
        <v>243</v>
      </c>
      <c r="C930" s="168" t="s">
        <v>1205</v>
      </c>
      <c r="D930" s="229">
        <v>29.5</v>
      </c>
      <c r="E930" s="229">
        <v>33.0</v>
      </c>
      <c r="F930" s="230">
        <v>3.0</v>
      </c>
      <c r="G930" s="232"/>
    </row>
    <row r="931">
      <c r="A931" s="2"/>
      <c r="B931" s="168" t="s">
        <v>232</v>
      </c>
      <c r="C931" s="168" t="s">
        <v>1206</v>
      </c>
      <c r="D931" s="229">
        <v>32.5</v>
      </c>
      <c r="E931" s="229">
        <v>36.0</v>
      </c>
      <c r="F931" s="230">
        <v>3.0</v>
      </c>
      <c r="G931" s="232"/>
    </row>
    <row r="932">
      <c r="A932" s="2"/>
      <c r="B932" s="168" t="s">
        <v>377</v>
      </c>
      <c r="C932" s="168" t="s">
        <v>1207</v>
      </c>
      <c r="D932" s="229">
        <v>29.5</v>
      </c>
      <c r="E932" s="229">
        <v>33.0</v>
      </c>
      <c r="F932" s="230">
        <v>3.0</v>
      </c>
      <c r="G932" s="232"/>
    </row>
    <row r="933">
      <c r="A933" s="2"/>
      <c r="B933" s="168" t="s">
        <v>296</v>
      </c>
      <c r="C933" s="168" t="s">
        <v>1208</v>
      </c>
      <c r="D933" s="229">
        <v>26.5</v>
      </c>
      <c r="E933" s="229">
        <v>30.0</v>
      </c>
      <c r="F933" s="230">
        <v>3.0</v>
      </c>
      <c r="G933" s="232"/>
    </row>
    <row r="934">
      <c r="A934" s="2"/>
      <c r="B934" s="168" t="s">
        <v>215</v>
      </c>
      <c r="C934" s="168" t="s">
        <v>1209</v>
      </c>
      <c r="D934" s="229">
        <v>27.5</v>
      </c>
      <c r="E934" s="229">
        <v>31.0</v>
      </c>
      <c r="F934" s="230">
        <v>3.0</v>
      </c>
      <c r="G934" s="232"/>
    </row>
    <row r="935">
      <c r="A935" s="2"/>
      <c r="B935" s="168" t="s">
        <v>269</v>
      </c>
      <c r="C935" s="168" t="s">
        <v>1210</v>
      </c>
      <c r="D935" s="229">
        <v>26.5</v>
      </c>
      <c r="E935" s="229">
        <v>30.0</v>
      </c>
      <c r="F935" s="230">
        <v>3.0</v>
      </c>
      <c r="G935" s="232"/>
    </row>
    <row r="936">
      <c r="A936" s="2"/>
      <c r="B936" s="168" t="s">
        <v>302</v>
      </c>
      <c r="C936" s="168" t="s">
        <v>1211</v>
      </c>
      <c r="D936" s="229">
        <v>34.5</v>
      </c>
      <c r="E936" s="229">
        <v>38.0</v>
      </c>
      <c r="F936" s="230">
        <v>3.0</v>
      </c>
      <c r="G936" s="232"/>
    </row>
    <row r="937">
      <c r="A937" s="2"/>
      <c r="B937" s="168" t="s">
        <v>230</v>
      </c>
      <c r="C937" s="168" t="s">
        <v>1212</v>
      </c>
      <c r="D937" s="229">
        <v>16.5</v>
      </c>
      <c r="E937" s="229">
        <v>20.0</v>
      </c>
      <c r="F937" s="230">
        <v>3.0</v>
      </c>
      <c r="G937" s="232"/>
    </row>
    <row r="938">
      <c r="A938" s="2"/>
      <c r="B938" s="168" t="s">
        <v>269</v>
      </c>
      <c r="C938" s="168" t="s">
        <v>1213</v>
      </c>
      <c r="D938" s="229">
        <v>26.5</v>
      </c>
      <c r="E938" s="229">
        <v>30.0</v>
      </c>
      <c r="F938" s="230">
        <v>3.0</v>
      </c>
      <c r="G938" s="232"/>
    </row>
    <row r="939">
      <c r="A939" s="2"/>
      <c r="B939" s="168" t="s">
        <v>217</v>
      </c>
      <c r="C939" s="168" t="s">
        <v>1214</v>
      </c>
      <c r="D939" s="229">
        <v>27.5</v>
      </c>
      <c r="E939" s="229">
        <v>31.0</v>
      </c>
      <c r="F939" s="230">
        <v>3.0</v>
      </c>
      <c r="G939" s="232"/>
    </row>
    <row r="940">
      <c r="A940" s="2"/>
      <c r="B940" s="168" t="s">
        <v>221</v>
      </c>
      <c r="C940" s="168" t="s">
        <v>1215</v>
      </c>
      <c r="D940" s="229">
        <v>27.5</v>
      </c>
      <c r="E940" s="229">
        <v>31.0</v>
      </c>
      <c r="F940" s="230">
        <v>3.0</v>
      </c>
      <c r="G940" s="232"/>
    </row>
    <row r="941">
      <c r="A941" s="2"/>
      <c r="B941" s="168" t="s">
        <v>255</v>
      </c>
      <c r="C941" s="168" t="s">
        <v>1216</v>
      </c>
      <c r="D941" s="229">
        <v>31.5</v>
      </c>
      <c r="E941" s="229">
        <v>35.0</v>
      </c>
      <c r="F941" s="230">
        <v>3.0</v>
      </c>
      <c r="G941" s="232"/>
    </row>
    <row r="942">
      <c r="A942" s="2"/>
      <c r="B942" s="168" t="s">
        <v>318</v>
      </c>
      <c r="C942" s="168" t="s">
        <v>1217</v>
      </c>
      <c r="D942" s="229">
        <v>25.5</v>
      </c>
      <c r="E942" s="229">
        <v>29.0</v>
      </c>
      <c r="F942" s="230">
        <v>3.0</v>
      </c>
      <c r="G942" s="232"/>
    </row>
    <row r="943">
      <c r="A943" s="2"/>
      <c r="B943" s="168" t="s">
        <v>217</v>
      </c>
      <c r="C943" s="168" t="s">
        <v>1218</v>
      </c>
      <c r="D943" s="229">
        <v>27.5</v>
      </c>
      <c r="E943" s="229">
        <v>31.0</v>
      </c>
      <c r="F943" s="230">
        <v>3.0</v>
      </c>
      <c r="G943" s="232"/>
    </row>
    <row r="944">
      <c r="A944" s="2"/>
      <c r="B944" s="168" t="s">
        <v>230</v>
      </c>
      <c r="C944" s="168" t="s">
        <v>1219</v>
      </c>
      <c r="D944" s="229">
        <v>21.5</v>
      </c>
      <c r="E944" s="229">
        <v>25.0</v>
      </c>
      <c r="F944" s="230">
        <v>3.0</v>
      </c>
      <c r="G944" s="232"/>
    </row>
    <row r="945">
      <c r="A945" s="2"/>
      <c r="B945" s="168" t="s">
        <v>269</v>
      </c>
      <c r="C945" s="168" t="s">
        <v>1220</v>
      </c>
      <c r="D945" s="229">
        <v>26.5</v>
      </c>
      <c r="E945" s="229">
        <v>30.0</v>
      </c>
      <c r="F945" s="230">
        <v>3.0</v>
      </c>
      <c r="G945" s="232"/>
    </row>
    <row r="946">
      <c r="A946" s="2"/>
      <c r="B946" s="168" t="s">
        <v>290</v>
      </c>
      <c r="C946" s="168" t="s">
        <v>1221</v>
      </c>
      <c r="D946" s="229">
        <v>29.5</v>
      </c>
      <c r="E946" s="229">
        <v>33.0</v>
      </c>
      <c r="F946" s="230">
        <v>3.0</v>
      </c>
      <c r="G946" s="232"/>
    </row>
    <row r="947">
      <c r="A947" s="2"/>
      <c r="B947" s="168" t="s">
        <v>273</v>
      </c>
      <c r="C947" s="168" t="s">
        <v>1222</v>
      </c>
      <c r="D947" s="229">
        <v>29.5</v>
      </c>
      <c r="E947" s="229">
        <v>33.0</v>
      </c>
      <c r="F947" s="230">
        <v>3.0</v>
      </c>
      <c r="G947" s="232"/>
    </row>
    <row r="948">
      <c r="A948" s="2"/>
      <c r="B948" s="168" t="s">
        <v>257</v>
      </c>
      <c r="C948" s="168" t="s">
        <v>1223</v>
      </c>
      <c r="D948" s="229">
        <v>28.5</v>
      </c>
      <c r="E948" s="229">
        <v>32.0</v>
      </c>
      <c r="F948" s="230">
        <v>3.0</v>
      </c>
      <c r="G948" s="232"/>
    </row>
    <row r="949">
      <c r="A949" s="2"/>
      <c r="B949" s="168" t="s">
        <v>413</v>
      </c>
      <c r="C949" s="168" t="s">
        <v>1224</v>
      </c>
      <c r="D949" s="229">
        <v>29.5</v>
      </c>
      <c r="E949" s="229">
        <v>33.0</v>
      </c>
      <c r="F949" s="230">
        <v>3.0</v>
      </c>
      <c r="G949" s="232"/>
    </row>
    <row r="950">
      <c r="A950" s="2"/>
      <c r="B950" s="168" t="s">
        <v>243</v>
      </c>
      <c r="C950" s="168" t="s">
        <v>1225</v>
      </c>
      <c r="D950" s="229">
        <v>29.5</v>
      </c>
      <c r="E950" s="229">
        <v>33.0</v>
      </c>
      <c r="F950" s="230">
        <v>3.0</v>
      </c>
      <c r="G950" s="232"/>
    </row>
    <row r="951">
      <c r="A951" s="2"/>
      <c r="B951" s="168" t="s">
        <v>232</v>
      </c>
      <c r="C951" s="168" t="s">
        <v>1226</v>
      </c>
      <c r="D951" s="229">
        <v>25.5</v>
      </c>
      <c r="E951" s="229">
        <v>29.0</v>
      </c>
      <c r="F951" s="230">
        <v>3.0</v>
      </c>
      <c r="G951" s="232"/>
    </row>
    <row r="952">
      <c r="A952" s="2"/>
      <c r="B952" s="168" t="s">
        <v>337</v>
      </c>
      <c r="C952" s="168" t="s">
        <v>1227</v>
      </c>
      <c r="D952" s="229">
        <v>28.5</v>
      </c>
      <c r="E952" s="229">
        <v>32.0</v>
      </c>
      <c r="F952" s="230">
        <v>3.0</v>
      </c>
      <c r="G952" s="232"/>
    </row>
    <row r="953">
      <c r="A953" s="2"/>
      <c r="B953" s="168" t="s">
        <v>273</v>
      </c>
      <c r="C953" s="168" t="s">
        <v>1228</v>
      </c>
      <c r="D953" s="229">
        <v>29.5</v>
      </c>
      <c r="E953" s="229">
        <v>33.0</v>
      </c>
      <c r="F953" s="230">
        <v>3.0</v>
      </c>
      <c r="G953" s="232"/>
    </row>
    <row r="954">
      <c r="A954" s="2"/>
      <c r="B954" s="168" t="s">
        <v>269</v>
      </c>
      <c r="C954" s="168" t="s">
        <v>1229</v>
      </c>
      <c r="D954" s="229">
        <v>26.5</v>
      </c>
      <c r="E954" s="229">
        <v>30.0</v>
      </c>
      <c r="F954" s="230">
        <v>3.0</v>
      </c>
      <c r="G954" s="232"/>
    </row>
    <row r="955">
      <c r="A955" s="2"/>
      <c r="B955" s="168" t="s">
        <v>302</v>
      </c>
      <c r="C955" s="168" t="s">
        <v>1230</v>
      </c>
      <c r="D955" s="229">
        <v>34.5</v>
      </c>
      <c r="E955" s="229">
        <v>38.0</v>
      </c>
      <c r="F955" s="230">
        <v>3.0</v>
      </c>
      <c r="G955" s="232"/>
    </row>
    <row r="956">
      <c r="A956" s="2"/>
      <c r="B956" s="168" t="s">
        <v>438</v>
      </c>
      <c r="C956" s="168" t="s">
        <v>1231</v>
      </c>
      <c r="D956" s="229">
        <v>29.5</v>
      </c>
      <c r="E956" s="229">
        <v>33.0</v>
      </c>
      <c r="F956" s="230">
        <v>3.0</v>
      </c>
      <c r="G956" s="232"/>
    </row>
    <row r="957">
      <c r="A957" s="2"/>
      <c r="B957" s="168" t="s">
        <v>318</v>
      </c>
      <c r="C957" s="168" t="s">
        <v>1232</v>
      </c>
      <c r="D957" s="229">
        <v>25.5</v>
      </c>
      <c r="E957" s="229">
        <v>29.0</v>
      </c>
      <c r="F957" s="230">
        <v>3.0</v>
      </c>
      <c r="G957" s="232"/>
    </row>
    <row r="958">
      <c r="A958" s="2"/>
      <c r="B958" s="168" t="s">
        <v>215</v>
      </c>
      <c r="C958" s="168" t="s">
        <v>1233</v>
      </c>
      <c r="D958" s="229">
        <v>27.5</v>
      </c>
      <c r="E958" s="229">
        <v>31.0</v>
      </c>
      <c r="F958" s="230">
        <v>3.0</v>
      </c>
      <c r="G958" s="232"/>
    </row>
    <row r="959">
      <c r="A959" s="2"/>
      <c r="B959" s="168" t="s">
        <v>247</v>
      </c>
      <c r="C959" s="168" t="s">
        <v>1234</v>
      </c>
      <c r="D959" s="229">
        <v>29.5</v>
      </c>
      <c r="E959" s="229">
        <v>33.0</v>
      </c>
      <c r="F959" s="230">
        <v>3.0</v>
      </c>
      <c r="G959" s="232"/>
    </row>
    <row r="960">
      <c r="A960" s="2"/>
      <c r="B960" s="168" t="s">
        <v>230</v>
      </c>
      <c r="C960" s="168" t="s">
        <v>1235</v>
      </c>
      <c r="D960" s="229">
        <v>21.5</v>
      </c>
      <c r="E960" s="229">
        <v>25.0</v>
      </c>
      <c r="F960" s="230">
        <v>3.0</v>
      </c>
      <c r="G960" s="232"/>
    </row>
    <row r="961">
      <c r="A961" s="2"/>
      <c r="B961" s="168" t="s">
        <v>257</v>
      </c>
      <c r="C961" s="168" t="s">
        <v>1236</v>
      </c>
      <c r="D961" s="229">
        <v>28.5</v>
      </c>
      <c r="E961" s="229">
        <v>32.0</v>
      </c>
      <c r="F961" s="230">
        <v>3.0</v>
      </c>
      <c r="G961" s="232"/>
    </row>
    <row r="962">
      <c r="A962" s="2"/>
      <c r="B962" s="168" t="s">
        <v>269</v>
      </c>
      <c r="C962" s="168" t="s">
        <v>1237</v>
      </c>
      <c r="D962" s="229">
        <v>26.5</v>
      </c>
      <c r="E962" s="229">
        <v>30.0</v>
      </c>
      <c r="F962" s="230">
        <v>3.0</v>
      </c>
      <c r="G962" s="232"/>
    </row>
    <row r="963">
      <c r="A963" s="2"/>
      <c r="B963" s="168" t="s">
        <v>230</v>
      </c>
      <c r="C963" s="168" t="s">
        <v>1238</v>
      </c>
      <c r="D963" s="229">
        <v>21.5</v>
      </c>
      <c r="E963" s="229">
        <v>25.0</v>
      </c>
      <c r="F963" s="230">
        <v>3.0</v>
      </c>
      <c r="G963" s="232"/>
    </row>
    <row r="964">
      <c r="A964" s="2"/>
      <c r="B964" s="168" t="s">
        <v>337</v>
      </c>
      <c r="C964" s="168" t="s">
        <v>1239</v>
      </c>
      <c r="D964" s="229">
        <v>28.5</v>
      </c>
      <c r="E964" s="229">
        <v>32.0</v>
      </c>
      <c r="F964" s="230">
        <v>3.0</v>
      </c>
      <c r="G964" s="232"/>
    </row>
    <row r="965">
      <c r="A965" s="2"/>
      <c r="B965" s="168" t="s">
        <v>271</v>
      </c>
      <c r="C965" s="168" t="s">
        <v>1240</v>
      </c>
      <c r="D965" s="229">
        <v>30.5</v>
      </c>
      <c r="E965" s="229">
        <v>34.0</v>
      </c>
      <c r="F965" s="230">
        <v>3.0</v>
      </c>
      <c r="G965" s="232"/>
    </row>
    <row r="966">
      <c r="A966" s="2"/>
      <c r="B966" s="168" t="s">
        <v>245</v>
      </c>
      <c r="C966" s="168" t="s">
        <v>1241</v>
      </c>
      <c r="D966" s="229">
        <v>24.5</v>
      </c>
      <c r="E966" s="229">
        <v>28.0</v>
      </c>
      <c r="F966" s="230">
        <v>3.0</v>
      </c>
      <c r="G966" s="232"/>
    </row>
    <row r="967">
      <c r="A967" s="2"/>
      <c r="B967" s="168" t="s">
        <v>318</v>
      </c>
      <c r="C967" s="168" t="s">
        <v>1242</v>
      </c>
      <c r="D967" s="229">
        <v>25.5</v>
      </c>
      <c r="E967" s="229">
        <v>29.0</v>
      </c>
      <c r="F967" s="230">
        <v>3.0</v>
      </c>
      <c r="G967" s="232"/>
    </row>
    <row r="968">
      <c r="A968" s="2"/>
      <c r="B968" s="168" t="s">
        <v>230</v>
      </c>
      <c r="C968" s="168" t="s">
        <v>1243</v>
      </c>
      <c r="D968" s="229">
        <v>21.5</v>
      </c>
      <c r="E968" s="229">
        <v>25.0</v>
      </c>
      <c r="F968" s="230">
        <v>3.0</v>
      </c>
      <c r="G968" s="232"/>
    </row>
    <row r="969">
      <c r="A969" s="2"/>
      <c r="B969" s="168" t="s">
        <v>247</v>
      </c>
      <c r="C969" s="168" t="s">
        <v>1244</v>
      </c>
      <c r="D969" s="229">
        <v>29.5</v>
      </c>
      <c r="E969" s="229">
        <v>33.0</v>
      </c>
      <c r="F969" s="230">
        <v>3.0</v>
      </c>
      <c r="G969" s="232"/>
    </row>
    <row r="970">
      <c r="A970" s="2"/>
      <c r="B970" s="168" t="s">
        <v>438</v>
      </c>
      <c r="C970" s="168" t="s">
        <v>1245</v>
      </c>
      <c r="D970" s="229">
        <v>29.5</v>
      </c>
      <c r="E970" s="229">
        <v>33.0</v>
      </c>
      <c r="F970" s="230">
        <v>3.0</v>
      </c>
      <c r="G970" s="232"/>
    </row>
    <row r="971">
      <c r="A971" s="2"/>
      <c r="B971" s="168" t="s">
        <v>269</v>
      </c>
      <c r="C971" s="168" t="s">
        <v>1246</v>
      </c>
      <c r="D971" s="229">
        <v>26.5</v>
      </c>
      <c r="E971" s="229">
        <v>30.0</v>
      </c>
      <c r="F971" s="230">
        <v>3.0</v>
      </c>
      <c r="G971" s="232"/>
    </row>
    <row r="972">
      <c r="A972" s="2"/>
      <c r="B972" s="168" t="s">
        <v>217</v>
      </c>
      <c r="C972" s="168" t="s">
        <v>1247</v>
      </c>
      <c r="D972" s="229">
        <v>27.5</v>
      </c>
      <c r="E972" s="229">
        <v>31.0</v>
      </c>
      <c r="F972" s="230">
        <v>3.0</v>
      </c>
      <c r="G972" s="232"/>
    </row>
    <row r="973">
      <c r="A973" s="2"/>
      <c r="B973" s="168" t="s">
        <v>290</v>
      </c>
      <c r="C973" s="168" t="s">
        <v>1248</v>
      </c>
      <c r="D973" s="229">
        <v>29.5</v>
      </c>
      <c r="E973" s="229">
        <v>33.0</v>
      </c>
      <c r="F973" s="230">
        <v>3.0</v>
      </c>
      <c r="G973" s="232"/>
    </row>
    <row r="974">
      <c r="A974" s="2"/>
      <c r="B974" s="168" t="s">
        <v>430</v>
      </c>
      <c r="C974" s="168" t="s">
        <v>1249</v>
      </c>
      <c r="D974" s="229">
        <v>34.5</v>
      </c>
      <c r="E974" s="229">
        <v>38.0</v>
      </c>
      <c r="F974" s="230">
        <v>3.0</v>
      </c>
      <c r="G974" s="232"/>
    </row>
    <row r="975">
      <c r="A975" s="2"/>
      <c r="B975" s="168" t="s">
        <v>296</v>
      </c>
      <c r="C975" s="168" t="s">
        <v>1250</v>
      </c>
      <c r="D975" s="229">
        <v>26.5</v>
      </c>
      <c r="E975" s="229">
        <v>30.0</v>
      </c>
      <c r="F975" s="230">
        <v>3.0</v>
      </c>
      <c r="G975" s="232"/>
    </row>
    <row r="976">
      <c r="A976" s="2"/>
      <c r="B976" s="168" t="s">
        <v>223</v>
      </c>
      <c r="C976" s="168" t="s">
        <v>1251</v>
      </c>
      <c r="D976" s="229">
        <v>26.5</v>
      </c>
      <c r="E976" s="229">
        <v>30.0</v>
      </c>
      <c r="F976" s="230">
        <v>3.0</v>
      </c>
      <c r="G976" s="232"/>
    </row>
    <row r="977">
      <c r="A977" s="2"/>
      <c r="B977" s="168" t="s">
        <v>217</v>
      </c>
      <c r="C977" s="168" t="s">
        <v>1252</v>
      </c>
      <c r="D977" s="229">
        <v>27.5</v>
      </c>
      <c r="E977" s="229">
        <v>31.0</v>
      </c>
      <c r="F977" s="230">
        <v>3.0</v>
      </c>
      <c r="G977" s="232"/>
    </row>
    <row r="978">
      <c r="A978" s="2"/>
      <c r="B978" s="168" t="s">
        <v>223</v>
      </c>
      <c r="C978" s="168" t="s">
        <v>1253</v>
      </c>
      <c r="D978" s="229">
        <v>26.5</v>
      </c>
      <c r="E978" s="229">
        <v>30.0</v>
      </c>
      <c r="F978" s="230">
        <v>3.0</v>
      </c>
      <c r="G978" s="232"/>
    </row>
    <row r="979">
      <c r="A979" s="2"/>
      <c r="B979" s="168" t="s">
        <v>345</v>
      </c>
      <c r="C979" s="168" t="s">
        <v>1254</v>
      </c>
      <c r="D979" s="229">
        <v>26.5</v>
      </c>
      <c r="E979" s="229">
        <v>30.0</v>
      </c>
      <c r="F979" s="230">
        <v>3.0</v>
      </c>
      <c r="G979" s="232"/>
    </row>
    <row r="980">
      <c r="A980" s="2"/>
      <c r="B980" s="168" t="s">
        <v>230</v>
      </c>
      <c r="C980" s="168" t="s">
        <v>1255</v>
      </c>
      <c r="D980" s="229">
        <v>21.5</v>
      </c>
      <c r="E980" s="229">
        <v>25.0</v>
      </c>
      <c r="F980" s="230">
        <v>3.0</v>
      </c>
      <c r="G980" s="232"/>
    </row>
    <row r="981">
      <c r="A981" s="2"/>
      <c r="B981" s="168" t="s">
        <v>335</v>
      </c>
      <c r="C981" s="168" t="s">
        <v>1256</v>
      </c>
      <c r="D981" s="229">
        <v>34.5</v>
      </c>
      <c r="E981" s="229">
        <v>38.0</v>
      </c>
      <c r="F981" s="230">
        <v>3.0</v>
      </c>
      <c r="G981" s="232"/>
    </row>
    <row r="982">
      <c r="A982" s="2"/>
      <c r="B982" s="168" t="s">
        <v>269</v>
      </c>
      <c r="C982" s="168" t="s">
        <v>1257</v>
      </c>
      <c r="D982" s="229">
        <v>26.5</v>
      </c>
      <c r="E982" s="229">
        <v>30.0</v>
      </c>
      <c r="F982" s="230">
        <v>3.0</v>
      </c>
      <c r="G982" s="232"/>
    </row>
    <row r="983">
      <c r="A983" s="2"/>
      <c r="B983" s="168" t="s">
        <v>241</v>
      </c>
      <c r="C983" s="168" t="s">
        <v>1258</v>
      </c>
      <c r="D983" s="229">
        <v>27.5</v>
      </c>
      <c r="E983" s="229">
        <v>31.0</v>
      </c>
      <c r="F983" s="230">
        <v>3.0</v>
      </c>
      <c r="G983" s="232"/>
    </row>
    <row r="984">
      <c r="A984" s="2"/>
      <c r="B984" s="168" t="s">
        <v>241</v>
      </c>
      <c r="C984" s="168" t="s">
        <v>1259</v>
      </c>
      <c r="D984" s="229">
        <v>29.5</v>
      </c>
      <c r="E984" s="229">
        <v>33.0</v>
      </c>
      <c r="F984" s="230">
        <v>3.0</v>
      </c>
      <c r="G984" s="232"/>
    </row>
    <row r="985">
      <c r="A985" s="2"/>
      <c r="B985" s="168" t="s">
        <v>243</v>
      </c>
      <c r="C985" s="168" t="s">
        <v>1260</v>
      </c>
      <c r="D985" s="229">
        <v>29.5</v>
      </c>
      <c r="E985" s="229">
        <v>33.0</v>
      </c>
      <c r="F985" s="230">
        <v>3.0</v>
      </c>
      <c r="G985" s="232"/>
    </row>
    <row r="986">
      <c r="A986" s="2"/>
      <c r="B986" s="168" t="s">
        <v>230</v>
      </c>
      <c r="C986" s="168" t="s">
        <v>1261</v>
      </c>
      <c r="D986" s="229">
        <v>16.5</v>
      </c>
      <c r="E986" s="229">
        <v>20.0</v>
      </c>
      <c r="F986" s="230">
        <v>3.0</v>
      </c>
      <c r="G986" s="232"/>
    </row>
    <row r="987">
      <c r="A987" s="2"/>
      <c r="B987" s="168" t="s">
        <v>230</v>
      </c>
      <c r="C987" s="168" t="s">
        <v>1262</v>
      </c>
      <c r="D987" s="229">
        <v>16.5</v>
      </c>
      <c r="E987" s="229">
        <v>20.0</v>
      </c>
      <c r="F987" s="230">
        <v>3.0</v>
      </c>
      <c r="G987" s="232"/>
    </row>
    <row r="988">
      <c r="A988" s="2"/>
      <c r="B988" s="168" t="s">
        <v>427</v>
      </c>
      <c r="C988" s="168" t="s">
        <v>1263</v>
      </c>
      <c r="D988" s="229">
        <v>26.5</v>
      </c>
      <c r="E988" s="229">
        <v>30.0</v>
      </c>
      <c r="F988" s="230">
        <v>3.0</v>
      </c>
      <c r="G988" s="232"/>
    </row>
    <row r="989">
      <c r="A989" s="2"/>
      <c r="B989" s="168" t="s">
        <v>413</v>
      </c>
      <c r="C989" s="168" t="s">
        <v>1264</v>
      </c>
      <c r="D989" s="229">
        <v>29.5</v>
      </c>
      <c r="E989" s="229">
        <v>33.0</v>
      </c>
      <c r="F989" s="230">
        <v>3.0</v>
      </c>
      <c r="G989" s="232"/>
    </row>
    <row r="990">
      <c r="A990" s="2"/>
      <c r="B990" s="168" t="s">
        <v>337</v>
      </c>
      <c r="C990" s="168" t="s">
        <v>1265</v>
      </c>
      <c r="D990" s="229">
        <v>28.5</v>
      </c>
      <c r="E990" s="229">
        <v>32.0</v>
      </c>
      <c r="F990" s="230">
        <v>3.0</v>
      </c>
      <c r="G990" s="232"/>
    </row>
    <row r="991">
      <c r="A991" s="2"/>
      <c r="B991" s="168" t="s">
        <v>269</v>
      </c>
      <c r="C991" s="168" t="s">
        <v>1266</v>
      </c>
      <c r="D991" s="229">
        <v>26.5</v>
      </c>
      <c r="E991" s="229">
        <v>30.0</v>
      </c>
      <c r="F991" s="230">
        <v>3.0</v>
      </c>
      <c r="G991" s="232"/>
    </row>
    <row r="992">
      <c r="A992" s="2"/>
      <c r="B992" s="168" t="s">
        <v>232</v>
      </c>
      <c r="C992" s="168" t="s">
        <v>1267</v>
      </c>
      <c r="D992" s="229">
        <v>25.0</v>
      </c>
      <c r="E992" s="229">
        <v>28.5</v>
      </c>
      <c r="F992" s="230">
        <v>3.0</v>
      </c>
      <c r="G992" s="232"/>
    </row>
    <row r="993">
      <c r="A993" s="2"/>
      <c r="B993" s="168" t="s">
        <v>381</v>
      </c>
      <c r="C993" s="168" t="s">
        <v>1268</v>
      </c>
      <c r="D993" s="229">
        <v>28.5</v>
      </c>
      <c r="E993" s="229">
        <v>32.0</v>
      </c>
      <c r="F993" s="230">
        <v>3.0</v>
      </c>
      <c r="G993" s="232"/>
    </row>
    <row r="994">
      <c r="A994" s="2"/>
      <c r="B994" s="168" t="s">
        <v>257</v>
      </c>
      <c r="C994" s="168" t="s">
        <v>1269</v>
      </c>
      <c r="D994" s="229">
        <v>28.5</v>
      </c>
      <c r="E994" s="229">
        <v>32.0</v>
      </c>
      <c r="F994" s="230">
        <v>3.0</v>
      </c>
      <c r="G994" s="232"/>
    </row>
    <row r="995">
      <c r="A995" s="2"/>
      <c r="B995" s="168" t="s">
        <v>288</v>
      </c>
      <c r="C995" s="168" t="s">
        <v>1270</v>
      </c>
      <c r="D995" s="229">
        <v>21.5</v>
      </c>
      <c r="E995" s="229">
        <v>25.0</v>
      </c>
      <c r="F995" s="230">
        <v>3.0</v>
      </c>
      <c r="G995" s="232"/>
    </row>
    <row r="996">
      <c r="A996" s="2"/>
      <c r="B996" s="168" t="s">
        <v>288</v>
      </c>
      <c r="C996" s="168" t="s">
        <v>1271</v>
      </c>
      <c r="D996" s="229">
        <v>21.5</v>
      </c>
      <c r="E996" s="229">
        <v>25.0</v>
      </c>
      <c r="F996" s="230">
        <v>3.0</v>
      </c>
      <c r="G996" s="232"/>
    </row>
    <row r="997">
      <c r="A997" s="2"/>
      <c r="B997" s="168" t="s">
        <v>288</v>
      </c>
      <c r="C997" s="168" t="s">
        <v>1272</v>
      </c>
      <c r="D997" s="229">
        <v>21.5</v>
      </c>
      <c r="E997" s="229">
        <v>25.0</v>
      </c>
      <c r="F997" s="230">
        <v>3.0</v>
      </c>
      <c r="G997" s="232"/>
    </row>
    <row r="998">
      <c r="A998" s="2"/>
      <c r="B998" s="168" t="s">
        <v>290</v>
      </c>
      <c r="C998" s="168" t="s">
        <v>1273</v>
      </c>
      <c r="D998" s="229">
        <v>24.5</v>
      </c>
      <c r="E998" s="229">
        <v>28.0</v>
      </c>
      <c r="F998" s="230">
        <v>3.0</v>
      </c>
      <c r="G998" s="232"/>
    </row>
    <row r="999">
      <c r="A999" s="2"/>
      <c r="B999" s="168" t="s">
        <v>241</v>
      </c>
      <c r="C999" s="168" t="s">
        <v>201</v>
      </c>
      <c r="D999" s="229">
        <v>32.5</v>
      </c>
      <c r="E999" s="229">
        <v>36.0</v>
      </c>
      <c r="F999" s="230">
        <v>3.0</v>
      </c>
      <c r="G999" s="232"/>
    </row>
    <row r="1000">
      <c r="A1000" s="2"/>
      <c r="B1000" s="168" t="s">
        <v>269</v>
      </c>
      <c r="C1000" s="168" t="s">
        <v>1274</v>
      </c>
      <c r="D1000" s="229">
        <v>26.5</v>
      </c>
      <c r="E1000" s="229">
        <v>30.0</v>
      </c>
      <c r="F1000" s="230">
        <v>3.0</v>
      </c>
      <c r="G1000" s="232"/>
    </row>
    <row r="1001">
      <c r="A1001" s="2"/>
      <c r="B1001" s="168" t="s">
        <v>245</v>
      </c>
      <c r="C1001" s="168" t="s">
        <v>1275</v>
      </c>
      <c r="D1001" s="229">
        <v>29.5</v>
      </c>
      <c r="E1001" s="229">
        <v>33.0</v>
      </c>
      <c r="F1001" s="230">
        <v>3.0</v>
      </c>
      <c r="G1001" s="232"/>
    </row>
    <row r="1002">
      <c r="A1002" s="2"/>
      <c r="B1002" s="168" t="s">
        <v>217</v>
      </c>
      <c r="C1002" s="168" t="s">
        <v>1276</v>
      </c>
      <c r="D1002" s="229">
        <v>27.5</v>
      </c>
      <c r="E1002" s="229">
        <v>31.0</v>
      </c>
      <c r="F1002" s="230">
        <v>3.0</v>
      </c>
      <c r="G1002" s="232"/>
    </row>
    <row r="1003">
      <c r="A1003" s="2"/>
      <c r="B1003" s="168" t="s">
        <v>592</v>
      </c>
      <c r="C1003" s="168" t="s">
        <v>1277</v>
      </c>
      <c r="D1003" s="229">
        <v>34.5</v>
      </c>
      <c r="E1003" s="229">
        <v>38.0</v>
      </c>
      <c r="F1003" s="230">
        <v>3.0</v>
      </c>
      <c r="G1003" s="232"/>
    </row>
    <row r="1004">
      <c r="A1004" s="2"/>
      <c r="B1004" s="168" t="s">
        <v>230</v>
      </c>
      <c r="C1004" s="168" t="s">
        <v>1278</v>
      </c>
      <c r="D1004" s="229">
        <v>16.5</v>
      </c>
      <c r="E1004" s="229">
        <v>20.0</v>
      </c>
      <c r="F1004" s="230">
        <v>3.0</v>
      </c>
      <c r="G1004" s="232"/>
    </row>
    <row r="1005">
      <c r="A1005" s="2"/>
      <c r="B1005" s="168" t="s">
        <v>269</v>
      </c>
      <c r="C1005" s="168" t="s">
        <v>1279</v>
      </c>
      <c r="D1005" s="229">
        <v>26.5</v>
      </c>
      <c r="E1005" s="229">
        <v>30.0</v>
      </c>
      <c r="F1005" s="230">
        <v>3.0</v>
      </c>
      <c r="G1005" s="232"/>
    </row>
    <row r="1006">
      <c r="A1006" s="2"/>
      <c r="B1006" s="168" t="s">
        <v>288</v>
      </c>
      <c r="C1006" s="168" t="s">
        <v>1280</v>
      </c>
      <c r="D1006" s="229">
        <v>16.5</v>
      </c>
      <c r="E1006" s="229">
        <v>20.0</v>
      </c>
      <c r="F1006" s="230">
        <v>3.0</v>
      </c>
      <c r="G1006" s="232"/>
    </row>
    <row r="1007">
      <c r="A1007" s="2"/>
      <c r="B1007" s="168" t="s">
        <v>217</v>
      </c>
      <c r="C1007" s="168" t="s">
        <v>1281</v>
      </c>
      <c r="D1007" s="229">
        <v>27.5</v>
      </c>
      <c r="E1007" s="229">
        <v>31.0</v>
      </c>
      <c r="F1007" s="230">
        <v>3.0</v>
      </c>
      <c r="G1007" s="232"/>
    </row>
    <row r="1008">
      <c r="A1008" s="2"/>
      <c r="B1008" s="168" t="s">
        <v>318</v>
      </c>
      <c r="C1008" s="168" t="s">
        <v>1282</v>
      </c>
      <c r="D1008" s="229">
        <v>25.5</v>
      </c>
      <c r="E1008" s="229">
        <v>29.0</v>
      </c>
      <c r="F1008" s="230">
        <v>3.0</v>
      </c>
      <c r="G1008" s="232"/>
    </row>
    <row r="1009">
      <c r="A1009" s="2"/>
      <c r="B1009" s="168" t="s">
        <v>565</v>
      </c>
      <c r="C1009" s="168" t="s">
        <v>1283</v>
      </c>
      <c r="D1009" s="229">
        <v>24.5</v>
      </c>
      <c r="E1009" s="229">
        <v>28.0</v>
      </c>
      <c r="F1009" s="230">
        <v>3.0</v>
      </c>
      <c r="G1009" s="232"/>
    </row>
    <row r="1010">
      <c r="A1010" s="2"/>
      <c r="B1010" s="168" t="s">
        <v>230</v>
      </c>
      <c r="C1010" s="168" t="s">
        <v>1284</v>
      </c>
      <c r="D1010" s="229">
        <v>21.5</v>
      </c>
      <c r="E1010" s="229">
        <v>25.0</v>
      </c>
      <c r="F1010" s="230">
        <v>3.0</v>
      </c>
      <c r="G1010" s="232"/>
    </row>
    <row r="1011">
      <c r="A1011" s="2"/>
      <c r="B1011" s="168" t="s">
        <v>241</v>
      </c>
      <c r="C1011" s="168" t="s">
        <v>1285</v>
      </c>
      <c r="D1011" s="229">
        <v>27.5</v>
      </c>
      <c r="E1011" s="229">
        <v>31.0</v>
      </c>
      <c r="F1011" s="230">
        <v>3.0</v>
      </c>
      <c r="G1011" s="232"/>
    </row>
    <row r="1012">
      <c r="A1012" s="2"/>
      <c r="B1012" s="168" t="s">
        <v>254</v>
      </c>
      <c r="C1012" s="168" t="s">
        <v>1286</v>
      </c>
      <c r="D1012" s="229">
        <v>26.5</v>
      </c>
      <c r="E1012" s="229">
        <v>30.0</v>
      </c>
      <c r="F1012" s="230">
        <v>3.0</v>
      </c>
      <c r="G1012" s="232"/>
    </row>
    <row r="1013">
      <c r="A1013" s="2"/>
      <c r="B1013" s="168" t="s">
        <v>337</v>
      </c>
      <c r="C1013" s="168" t="s">
        <v>1287</v>
      </c>
      <c r="D1013" s="229">
        <v>23.5</v>
      </c>
      <c r="E1013" s="229">
        <v>27.0</v>
      </c>
      <c r="F1013" s="230">
        <v>3.0</v>
      </c>
      <c r="G1013" s="232"/>
    </row>
    <row r="1014">
      <c r="A1014" s="2"/>
      <c r="B1014" s="168" t="s">
        <v>269</v>
      </c>
      <c r="C1014" s="168" t="s">
        <v>1288</v>
      </c>
      <c r="D1014" s="229">
        <v>21.5</v>
      </c>
      <c r="E1014" s="229">
        <v>25.0</v>
      </c>
      <c r="F1014" s="230">
        <v>3.0</v>
      </c>
      <c r="G1014" s="232"/>
    </row>
    <row r="1015">
      <c r="A1015" s="2"/>
      <c r="B1015" s="168" t="s">
        <v>269</v>
      </c>
      <c r="C1015" s="168" t="s">
        <v>1289</v>
      </c>
      <c r="D1015" s="229">
        <v>26.5</v>
      </c>
      <c r="E1015" s="229">
        <v>30.0</v>
      </c>
      <c r="F1015" s="230">
        <v>3.0</v>
      </c>
      <c r="G1015" s="232"/>
    </row>
    <row r="1016">
      <c r="A1016" s="2"/>
      <c r="B1016" s="168" t="s">
        <v>247</v>
      </c>
      <c r="C1016" s="168" t="s">
        <v>1290</v>
      </c>
      <c r="D1016" s="229">
        <v>28.5</v>
      </c>
      <c r="E1016" s="229">
        <v>32.0</v>
      </c>
      <c r="F1016" s="230">
        <v>3.0</v>
      </c>
      <c r="G1016" s="232"/>
    </row>
    <row r="1017">
      <c r="A1017" s="2"/>
      <c r="B1017" s="168" t="s">
        <v>288</v>
      </c>
      <c r="C1017" s="168" t="s">
        <v>1291</v>
      </c>
      <c r="D1017" s="229">
        <v>16.5</v>
      </c>
      <c r="E1017" s="229">
        <v>20.0</v>
      </c>
      <c r="F1017" s="230">
        <v>3.0</v>
      </c>
      <c r="G1017" s="232"/>
    </row>
    <row r="1018">
      <c r="A1018" s="2"/>
      <c r="B1018" s="168" t="s">
        <v>332</v>
      </c>
      <c r="C1018" s="168" t="s">
        <v>1292</v>
      </c>
      <c r="D1018" s="229">
        <v>28.5</v>
      </c>
      <c r="E1018" s="229">
        <v>32.0</v>
      </c>
      <c r="F1018" s="230">
        <v>3.0</v>
      </c>
      <c r="G1018" s="232"/>
    </row>
    <row r="1019">
      <c r="A1019" s="2"/>
      <c r="B1019" s="168" t="s">
        <v>290</v>
      </c>
      <c r="C1019" s="168" t="s">
        <v>1293</v>
      </c>
      <c r="D1019" s="229">
        <v>29.5</v>
      </c>
      <c r="E1019" s="229">
        <v>33.0</v>
      </c>
      <c r="F1019" s="230">
        <v>3.0</v>
      </c>
      <c r="G1019" s="232"/>
    </row>
    <row r="1020">
      <c r="A1020" s="2"/>
      <c r="B1020" s="168" t="s">
        <v>565</v>
      </c>
      <c r="C1020" s="168" t="s">
        <v>1294</v>
      </c>
      <c r="D1020" s="229">
        <v>24.5</v>
      </c>
      <c r="E1020" s="229">
        <v>28.0</v>
      </c>
      <c r="F1020" s="230">
        <v>3.0</v>
      </c>
      <c r="G1020" s="232"/>
    </row>
    <row r="1021">
      <c r="A1021" s="2"/>
      <c r="B1021" s="168" t="s">
        <v>255</v>
      </c>
      <c r="C1021" s="168" t="s">
        <v>1295</v>
      </c>
      <c r="D1021" s="229">
        <v>31.5</v>
      </c>
      <c r="E1021" s="229">
        <v>35.0</v>
      </c>
      <c r="F1021" s="230">
        <v>3.0</v>
      </c>
      <c r="G1021" s="232"/>
    </row>
    <row r="1022">
      <c r="A1022" s="2"/>
      <c r="B1022" s="168" t="s">
        <v>341</v>
      </c>
      <c r="C1022" s="168" t="s">
        <v>1296</v>
      </c>
      <c r="D1022" s="229">
        <v>29.5</v>
      </c>
      <c r="E1022" s="229">
        <v>29.5</v>
      </c>
      <c r="F1022" s="230">
        <v>3.0</v>
      </c>
      <c r="G1022" s="232"/>
    </row>
    <row r="1023">
      <c r="A1023" s="2"/>
      <c r="B1023" s="168" t="s">
        <v>241</v>
      </c>
      <c r="C1023" s="168" t="s">
        <v>1297</v>
      </c>
      <c r="D1023" s="229">
        <v>31.5</v>
      </c>
      <c r="E1023" s="229">
        <v>35.0</v>
      </c>
      <c r="F1023" s="230">
        <v>3.0</v>
      </c>
      <c r="G1023" s="232"/>
    </row>
    <row r="1024">
      <c r="A1024" s="2"/>
      <c r="B1024" s="168" t="s">
        <v>288</v>
      </c>
      <c r="C1024" s="168" t="s">
        <v>1298</v>
      </c>
      <c r="D1024" s="229">
        <v>21.5</v>
      </c>
      <c r="E1024" s="229">
        <v>25.0</v>
      </c>
      <c r="F1024" s="230">
        <v>3.0</v>
      </c>
      <c r="G1024" s="232"/>
    </row>
    <row r="1025">
      <c r="A1025" s="2"/>
      <c r="B1025" s="168" t="s">
        <v>830</v>
      </c>
      <c r="C1025" s="168" t="s">
        <v>1299</v>
      </c>
      <c r="D1025" s="229">
        <v>24.5</v>
      </c>
      <c r="E1025" s="229">
        <v>28.0</v>
      </c>
      <c r="F1025" s="230">
        <v>3.0</v>
      </c>
      <c r="G1025" s="232"/>
    </row>
    <row r="1026">
      <c r="A1026" s="2"/>
      <c r="B1026" s="168" t="s">
        <v>290</v>
      </c>
      <c r="C1026" s="168" t="s">
        <v>1300</v>
      </c>
      <c r="D1026" s="229">
        <v>29.5</v>
      </c>
      <c r="E1026" s="229">
        <v>33.0</v>
      </c>
      <c r="F1026" s="230">
        <v>3.0</v>
      </c>
      <c r="G1026" s="232"/>
    </row>
    <row r="1027">
      <c r="A1027" s="2"/>
      <c r="B1027" s="168" t="s">
        <v>269</v>
      </c>
      <c r="C1027" s="168" t="s">
        <v>1301</v>
      </c>
      <c r="D1027" s="229">
        <v>26.5</v>
      </c>
      <c r="E1027" s="229">
        <v>30.0</v>
      </c>
      <c r="F1027" s="230">
        <v>3.0</v>
      </c>
      <c r="G1027" s="232"/>
    </row>
    <row r="1028">
      <c r="A1028" s="2"/>
      <c r="B1028" s="168" t="s">
        <v>368</v>
      </c>
      <c r="C1028" s="168" t="s">
        <v>1302</v>
      </c>
      <c r="D1028" s="229">
        <v>32.5</v>
      </c>
      <c r="E1028" s="229">
        <v>36.0</v>
      </c>
      <c r="F1028" s="230">
        <v>3.0</v>
      </c>
      <c r="G1028" s="232"/>
    </row>
    <row r="1029">
      <c r="A1029" s="2"/>
      <c r="B1029" s="168" t="s">
        <v>230</v>
      </c>
      <c r="C1029" s="168" t="s">
        <v>1303</v>
      </c>
      <c r="D1029" s="229">
        <v>21.5</v>
      </c>
      <c r="E1029" s="229">
        <v>25.0</v>
      </c>
      <c r="F1029" s="230">
        <v>3.0</v>
      </c>
      <c r="G1029" s="232"/>
    </row>
    <row r="1030">
      <c r="A1030" s="2"/>
      <c r="B1030" s="168" t="s">
        <v>273</v>
      </c>
      <c r="C1030" s="168" t="s">
        <v>1304</v>
      </c>
      <c r="D1030" s="229">
        <v>29.5</v>
      </c>
      <c r="E1030" s="229">
        <v>33.0</v>
      </c>
      <c r="F1030" s="230">
        <v>3.0</v>
      </c>
      <c r="G1030" s="232"/>
    </row>
    <row r="1031">
      <c r="A1031" s="2"/>
      <c r="B1031" s="168" t="s">
        <v>239</v>
      </c>
      <c r="C1031" s="168" t="s">
        <v>1305</v>
      </c>
      <c r="D1031" s="229">
        <v>29.5</v>
      </c>
      <c r="E1031" s="229">
        <v>33.0</v>
      </c>
      <c r="F1031" s="230">
        <v>3.0</v>
      </c>
      <c r="G1031" s="232"/>
    </row>
    <row r="1032">
      <c r="A1032" s="2"/>
      <c r="B1032" s="168" t="s">
        <v>430</v>
      </c>
      <c r="C1032" s="168" t="s">
        <v>1306</v>
      </c>
      <c r="D1032" s="229">
        <v>34.5</v>
      </c>
      <c r="E1032" s="229">
        <v>38.0</v>
      </c>
      <c r="F1032" s="230">
        <v>3.0</v>
      </c>
      <c r="G1032" s="232"/>
    </row>
    <row r="1033">
      <c r="A1033" s="2"/>
      <c r="B1033" s="168" t="s">
        <v>337</v>
      </c>
      <c r="C1033" s="168" t="s">
        <v>1307</v>
      </c>
      <c r="D1033" s="229">
        <v>23.5</v>
      </c>
      <c r="E1033" s="229">
        <v>27.0</v>
      </c>
      <c r="F1033" s="230">
        <v>3.0</v>
      </c>
      <c r="G1033" s="232"/>
    </row>
    <row r="1034">
      <c r="A1034" s="2"/>
      <c r="B1034" s="168" t="s">
        <v>294</v>
      </c>
      <c r="C1034" s="168" t="s">
        <v>1308</v>
      </c>
      <c r="D1034" s="229">
        <v>19.5</v>
      </c>
      <c r="E1034" s="229">
        <v>19.5</v>
      </c>
      <c r="F1034" s="230">
        <v>3.0</v>
      </c>
      <c r="G1034" s="232"/>
    </row>
    <row r="1035">
      <c r="A1035" s="2"/>
      <c r="B1035" s="168" t="s">
        <v>288</v>
      </c>
      <c r="C1035" s="168" t="s">
        <v>1309</v>
      </c>
      <c r="D1035" s="229">
        <v>21.5</v>
      </c>
      <c r="E1035" s="229">
        <v>25.0</v>
      </c>
      <c r="F1035" s="230">
        <v>3.0</v>
      </c>
      <c r="G1035" s="232"/>
    </row>
    <row r="1036">
      <c r="A1036" s="2"/>
      <c r="B1036" s="168" t="s">
        <v>245</v>
      </c>
      <c r="C1036" s="168" t="s">
        <v>1310</v>
      </c>
      <c r="D1036" s="229">
        <v>29.5</v>
      </c>
      <c r="E1036" s="229">
        <v>33.0</v>
      </c>
      <c r="F1036" s="230">
        <v>3.0</v>
      </c>
      <c r="G1036" s="232"/>
    </row>
    <row r="1037">
      <c r="A1037" s="2"/>
      <c r="B1037" s="168" t="s">
        <v>1311</v>
      </c>
      <c r="C1037" s="168" t="s">
        <v>1312</v>
      </c>
      <c r="D1037" s="229">
        <v>28.5</v>
      </c>
      <c r="E1037" s="229">
        <v>32.0</v>
      </c>
      <c r="F1037" s="230">
        <v>3.0</v>
      </c>
      <c r="G1037" s="232"/>
    </row>
    <row r="1038">
      <c r="A1038" s="2"/>
      <c r="B1038" s="168" t="s">
        <v>269</v>
      </c>
      <c r="C1038" s="168" t="s">
        <v>1313</v>
      </c>
      <c r="D1038" s="229">
        <v>26.5</v>
      </c>
      <c r="E1038" s="229">
        <v>30.0</v>
      </c>
      <c r="F1038" s="230">
        <v>3.0</v>
      </c>
      <c r="G1038" s="232"/>
    </row>
    <row r="1039">
      <c r="A1039" s="2"/>
      <c r="B1039" s="168" t="s">
        <v>381</v>
      </c>
      <c r="C1039" s="168" t="s">
        <v>1314</v>
      </c>
      <c r="D1039" s="229">
        <v>28.5</v>
      </c>
      <c r="E1039" s="229">
        <v>32.0</v>
      </c>
      <c r="F1039" s="230">
        <v>3.0</v>
      </c>
      <c r="G1039" s="232"/>
    </row>
    <row r="1040">
      <c r="A1040" s="2"/>
      <c r="B1040" s="168" t="s">
        <v>232</v>
      </c>
      <c r="C1040" s="168" t="s">
        <v>1315</v>
      </c>
      <c r="D1040" s="229">
        <v>25.0</v>
      </c>
      <c r="E1040" s="229">
        <v>28.5</v>
      </c>
      <c r="F1040" s="230">
        <v>3.0</v>
      </c>
      <c r="G1040" s="232"/>
    </row>
    <row r="1041">
      <c r="A1041" s="2"/>
      <c r="B1041" s="168" t="s">
        <v>368</v>
      </c>
      <c r="C1041" s="168" t="s">
        <v>1316</v>
      </c>
      <c r="D1041" s="229">
        <v>32.5</v>
      </c>
      <c r="E1041" s="229">
        <v>36.0</v>
      </c>
      <c r="F1041" s="230">
        <v>3.0</v>
      </c>
      <c r="G1041" s="232"/>
    </row>
    <row r="1042">
      <c r="A1042" s="2"/>
      <c r="B1042" s="168" t="s">
        <v>217</v>
      </c>
      <c r="C1042" s="168" t="s">
        <v>1317</v>
      </c>
      <c r="D1042" s="229">
        <v>27.5</v>
      </c>
      <c r="E1042" s="229">
        <v>31.0</v>
      </c>
      <c r="F1042" s="230">
        <v>3.0</v>
      </c>
      <c r="G1042" s="232"/>
    </row>
    <row r="1043">
      <c r="A1043" s="2"/>
      <c r="B1043" s="168" t="s">
        <v>245</v>
      </c>
      <c r="C1043" s="168" t="s">
        <v>1318</v>
      </c>
      <c r="D1043" s="229">
        <v>29.5</v>
      </c>
      <c r="E1043" s="229">
        <v>33.0</v>
      </c>
      <c r="F1043" s="230">
        <v>3.0</v>
      </c>
      <c r="G1043" s="232"/>
    </row>
    <row r="1044">
      <c r="A1044" s="2"/>
      <c r="B1044" s="168" t="s">
        <v>217</v>
      </c>
      <c r="C1044" s="168" t="s">
        <v>1319</v>
      </c>
      <c r="D1044" s="229">
        <v>27.5</v>
      </c>
      <c r="E1044" s="229">
        <v>31.0</v>
      </c>
      <c r="F1044" s="230">
        <v>3.0</v>
      </c>
      <c r="G1044" s="232"/>
    </row>
    <row r="1045">
      <c r="A1045" s="2"/>
      <c r="B1045" s="168" t="s">
        <v>217</v>
      </c>
      <c r="C1045" s="168" t="s">
        <v>1320</v>
      </c>
      <c r="D1045" s="229">
        <v>27.5</v>
      </c>
      <c r="E1045" s="229">
        <v>31.0</v>
      </c>
      <c r="F1045" s="230">
        <v>3.0</v>
      </c>
      <c r="G1045" s="232"/>
    </row>
    <row r="1046">
      <c r="A1046" s="2"/>
      <c r="B1046" s="168" t="s">
        <v>245</v>
      </c>
      <c r="C1046" s="168" t="s">
        <v>1321</v>
      </c>
      <c r="D1046" s="229">
        <v>29.5</v>
      </c>
      <c r="E1046" s="229">
        <v>33.0</v>
      </c>
      <c r="F1046" s="230">
        <v>3.0</v>
      </c>
      <c r="G1046" s="232"/>
    </row>
    <row r="1047">
      <c r="A1047" s="2"/>
      <c r="B1047" s="168" t="s">
        <v>285</v>
      </c>
      <c r="C1047" s="168" t="s">
        <v>1322</v>
      </c>
      <c r="D1047" s="229">
        <v>24.5</v>
      </c>
      <c r="E1047" s="229">
        <v>28.0</v>
      </c>
      <c r="F1047" s="230">
        <v>3.0</v>
      </c>
      <c r="G1047" s="232"/>
    </row>
    <row r="1048">
      <c r="A1048" s="2"/>
      <c r="B1048" s="168" t="s">
        <v>275</v>
      </c>
      <c r="C1048" s="168" t="s">
        <v>1323</v>
      </c>
      <c r="D1048" s="229">
        <v>26.0</v>
      </c>
      <c r="E1048" s="229">
        <v>29.5</v>
      </c>
      <c r="F1048" s="230">
        <v>3.0</v>
      </c>
      <c r="G1048" s="232"/>
    </row>
    <row r="1049">
      <c r="A1049" s="2"/>
      <c r="B1049" s="168" t="s">
        <v>592</v>
      </c>
      <c r="C1049" s="168" t="s">
        <v>1324</v>
      </c>
      <c r="D1049" s="229">
        <v>34.5</v>
      </c>
      <c r="E1049" s="229">
        <v>38.0</v>
      </c>
      <c r="F1049" s="230">
        <v>3.0</v>
      </c>
      <c r="G1049" s="232"/>
    </row>
    <row r="1050">
      <c r="A1050" s="2"/>
      <c r="B1050" s="168" t="s">
        <v>273</v>
      </c>
      <c r="C1050" s="168" t="s">
        <v>1325</v>
      </c>
      <c r="D1050" s="229">
        <v>29.5</v>
      </c>
      <c r="E1050" s="229">
        <v>33.0</v>
      </c>
      <c r="F1050" s="230">
        <v>3.0</v>
      </c>
      <c r="G1050" s="232"/>
    </row>
    <row r="1051">
      <c r="A1051" s="2"/>
      <c r="B1051" s="168" t="s">
        <v>269</v>
      </c>
      <c r="C1051" s="168" t="s">
        <v>1326</v>
      </c>
      <c r="D1051" s="229">
        <v>26.5</v>
      </c>
      <c r="E1051" s="229">
        <v>30.0</v>
      </c>
      <c r="F1051" s="230">
        <v>3.0</v>
      </c>
      <c r="G1051" s="232"/>
    </row>
    <row r="1052">
      <c r="A1052" s="2"/>
      <c r="B1052" s="168" t="s">
        <v>296</v>
      </c>
      <c r="C1052" s="168" t="s">
        <v>1327</v>
      </c>
      <c r="D1052" s="229">
        <v>26.0</v>
      </c>
      <c r="E1052" s="229">
        <v>29.5</v>
      </c>
      <c r="F1052" s="230">
        <v>3.0</v>
      </c>
      <c r="G1052" s="232"/>
    </row>
    <row r="1053">
      <c r="A1053" s="2"/>
      <c r="B1053" s="168" t="s">
        <v>430</v>
      </c>
      <c r="C1053" s="168" t="s">
        <v>1328</v>
      </c>
      <c r="D1053" s="229">
        <v>34.5</v>
      </c>
      <c r="E1053" s="229">
        <v>38.0</v>
      </c>
      <c r="F1053" s="230">
        <v>3.0</v>
      </c>
      <c r="G1053" s="232"/>
    </row>
    <row r="1054">
      <c r="A1054" s="2"/>
      <c r="B1054" s="168" t="s">
        <v>1329</v>
      </c>
      <c r="C1054" s="168" t="s">
        <v>1330</v>
      </c>
      <c r="D1054" s="229">
        <v>26.5</v>
      </c>
      <c r="E1054" s="229">
        <v>30.0</v>
      </c>
      <c r="F1054" s="230">
        <v>3.0</v>
      </c>
      <c r="G1054" s="232"/>
    </row>
    <row r="1055">
      <c r="A1055" s="2"/>
      <c r="B1055" s="168" t="s">
        <v>266</v>
      </c>
      <c r="C1055" s="168" t="s">
        <v>1331</v>
      </c>
      <c r="D1055" s="229">
        <v>33.0</v>
      </c>
      <c r="E1055" s="229">
        <v>33.0</v>
      </c>
      <c r="F1055" s="230">
        <v>3.0</v>
      </c>
      <c r="G1055" s="232"/>
    </row>
    <row r="1056">
      <c r="A1056" s="2"/>
      <c r="B1056" s="168" t="s">
        <v>221</v>
      </c>
      <c r="C1056" s="168" t="s">
        <v>1332</v>
      </c>
      <c r="D1056" s="229">
        <v>27.5</v>
      </c>
      <c r="E1056" s="229">
        <v>31.0</v>
      </c>
      <c r="F1056" s="230">
        <v>3.0</v>
      </c>
      <c r="G1056" s="232"/>
    </row>
    <row r="1057">
      <c r="A1057" s="2"/>
      <c r="B1057" s="168" t="s">
        <v>255</v>
      </c>
      <c r="C1057" s="168" t="s">
        <v>1333</v>
      </c>
      <c r="D1057" s="229">
        <v>31.5</v>
      </c>
      <c r="E1057" s="229">
        <v>35.0</v>
      </c>
      <c r="F1057" s="230">
        <v>3.0</v>
      </c>
      <c r="G1057" s="232"/>
    </row>
    <row r="1058">
      <c r="A1058" s="2"/>
      <c r="B1058" s="168" t="s">
        <v>337</v>
      </c>
      <c r="C1058" s="168" t="s">
        <v>1334</v>
      </c>
      <c r="D1058" s="229">
        <v>28.5</v>
      </c>
      <c r="E1058" s="229">
        <v>32.0</v>
      </c>
      <c r="F1058" s="230">
        <v>3.0</v>
      </c>
      <c r="G1058" s="232"/>
    </row>
    <row r="1059">
      <c r="A1059" s="2"/>
      <c r="B1059" s="168" t="s">
        <v>285</v>
      </c>
      <c r="C1059" s="168" t="s">
        <v>1335</v>
      </c>
      <c r="D1059" s="229">
        <v>24.5</v>
      </c>
      <c r="E1059" s="229">
        <v>28.0</v>
      </c>
      <c r="F1059" s="230">
        <v>3.0</v>
      </c>
      <c r="G1059" s="232"/>
    </row>
    <row r="1060">
      <c r="A1060" s="2"/>
      <c r="B1060" s="168" t="s">
        <v>223</v>
      </c>
      <c r="C1060" s="168" t="s">
        <v>1336</v>
      </c>
      <c r="D1060" s="229">
        <v>26.5</v>
      </c>
      <c r="E1060" s="229">
        <v>30.0</v>
      </c>
      <c r="F1060" s="230">
        <v>3.0</v>
      </c>
      <c r="G1060" s="232"/>
    </row>
    <row r="1061">
      <c r="A1061" s="2"/>
      <c r="B1061" s="168" t="s">
        <v>241</v>
      </c>
      <c r="C1061" s="168" t="s">
        <v>1337</v>
      </c>
      <c r="D1061" s="229">
        <v>32.5</v>
      </c>
      <c r="E1061" s="229">
        <v>36.0</v>
      </c>
      <c r="F1061" s="230">
        <v>3.0</v>
      </c>
      <c r="G1061" s="232"/>
    </row>
    <row r="1062">
      <c r="A1062" s="2"/>
      <c r="B1062" s="168" t="s">
        <v>251</v>
      </c>
      <c r="C1062" s="168" t="s">
        <v>1338</v>
      </c>
      <c r="D1062" s="229">
        <v>34.5</v>
      </c>
      <c r="E1062" s="229">
        <v>38.0</v>
      </c>
      <c r="F1062" s="230">
        <v>3.0</v>
      </c>
      <c r="G1062" s="232"/>
    </row>
    <row r="1063">
      <c r="A1063" s="2"/>
      <c r="B1063" s="168" t="s">
        <v>221</v>
      </c>
      <c r="C1063" s="168" t="s">
        <v>1339</v>
      </c>
      <c r="D1063" s="229">
        <v>20.5</v>
      </c>
      <c r="E1063" s="229">
        <v>24.0</v>
      </c>
      <c r="F1063" s="230">
        <v>3.0</v>
      </c>
      <c r="G1063" s="232"/>
    </row>
    <row r="1064">
      <c r="A1064" s="2"/>
      <c r="B1064" s="168" t="s">
        <v>288</v>
      </c>
      <c r="C1064" s="168" t="s">
        <v>1340</v>
      </c>
      <c r="D1064" s="229">
        <v>21.5</v>
      </c>
      <c r="E1064" s="229">
        <v>25.0</v>
      </c>
      <c r="F1064" s="230">
        <v>3.0</v>
      </c>
      <c r="G1064" s="232"/>
    </row>
    <row r="1065">
      <c r="A1065" s="2"/>
      <c r="B1065" s="168" t="s">
        <v>217</v>
      </c>
      <c r="C1065" s="168" t="s">
        <v>1341</v>
      </c>
      <c r="D1065" s="229">
        <v>27.5</v>
      </c>
      <c r="E1065" s="229">
        <v>31.0</v>
      </c>
      <c r="F1065" s="230">
        <v>3.0</v>
      </c>
      <c r="G1065" s="232"/>
    </row>
    <row r="1066">
      <c r="A1066" s="2"/>
      <c r="B1066" s="168" t="s">
        <v>430</v>
      </c>
      <c r="C1066" s="168" t="s">
        <v>1342</v>
      </c>
      <c r="D1066" s="229">
        <v>34.5</v>
      </c>
      <c r="E1066" s="229">
        <v>38.0</v>
      </c>
      <c r="F1066" s="230">
        <v>3.0</v>
      </c>
      <c r="G1066" s="232"/>
    </row>
    <row r="1067">
      <c r="A1067" s="2"/>
      <c r="B1067" s="168" t="s">
        <v>328</v>
      </c>
      <c r="C1067" s="168" t="s">
        <v>1343</v>
      </c>
      <c r="D1067" s="229">
        <v>34.5</v>
      </c>
      <c r="E1067" s="229">
        <v>38.0</v>
      </c>
      <c r="F1067" s="230">
        <v>3.0</v>
      </c>
      <c r="G1067" s="232"/>
    </row>
    <row r="1068">
      <c r="A1068" s="2"/>
      <c r="B1068" s="168" t="s">
        <v>269</v>
      </c>
      <c r="C1068" s="168" t="s">
        <v>1344</v>
      </c>
      <c r="D1068" s="229">
        <v>26.5</v>
      </c>
      <c r="E1068" s="229">
        <v>30.0</v>
      </c>
      <c r="F1068" s="230">
        <v>3.0</v>
      </c>
      <c r="G1068" s="232"/>
    </row>
    <row r="1069">
      <c r="A1069" s="2"/>
      <c r="B1069" s="168" t="s">
        <v>288</v>
      </c>
      <c r="C1069" s="168" t="s">
        <v>1345</v>
      </c>
      <c r="D1069" s="229">
        <v>21.5</v>
      </c>
      <c r="E1069" s="229">
        <v>25.0</v>
      </c>
      <c r="F1069" s="230">
        <v>3.0</v>
      </c>
      <c r="G1069" s="232"/>
    </row>
    <row r="1070">
      <c r="A1070" s="2"/>
      <c r="B1070" s="168" t="s">
        <v>288</v>
      </c>
      <c r="C1070" s="168" t="s">
        <v>1346</v>
      </c>
      <c r="D1070" s="229">
        <v>16.5</v>
      </c>
      <c r="E1070" s="229">
        <v>20.0</v>
      </c>
      <c r="F1070" s="230">
        <v>3.0</v>
      </c>
      <c r="G1070" s="232"/>
    </row>
    <row r="1071">
      <c r="A1071" s="2"/>
      <c r="B1071" s="168" t="s">
        <v>1311</v>
      </c>
      <c r="C1071" s="168" t="s">
        <v>1347</v>
      </c>
      <c r="D1071" s="229">
        <v>28.5</v>
      </c>
      <c r="E1071" s="229">
        <v>32.0</v>
      </c>
      <c r="F1071" s="230">
        <v>3.0</v>
      </c>
      <c r="G1071" s="232"/>
    </row>
    <row r="1072">
      <c r="A1072" s="2"/>
      <c r="B1072" s="168" t="s">
        <v>288</v>
      </c>
      <c r="C1072" s="168" t="s">
        <v>1348</v>
      </c>
      <c r="D1072" s="229">
        <v>21.5</v>
      </c>
      <c r="E1072" s="229">
        <v>25.0</v>
      </c>
      <c r="F1072" s="230">
        <v>3.0</v>
      </c>
      <c r="G1072" s="232"/>
    </row>
    <row r="1073">
      <c r="A1073" s="2"/>
      <c r="B1073" s="168" t="s">
        <v>406</v>
      </c>
      <c r="C1073" s="168" t="s">
        <v>1349</v>
      </c>
      <c r="D1073" s="229">
        <v>27.5</v>
      </c>
      <c r="E1073" s="229">
        <v>31.0</v>
      </c>
      <c r="F1073" s="230">
        <v>3.0</v>
      </c>
      <c r="G1073" s="232"/>
    </row>
    <row r="1074">
      <c r="A1074" s="2"/>
      <c r="B1074" s="168" t="s">
        <v>427</v>
      </c>
      <c r="C1074" s="168" t="s">
        <v>1350</v>
      </c>
      <c r="D1074" s="229">
        <v>26.5</v>
      </c>
      <c r="E1074" s="229">
        <v>30.0</v>
      </c>
      <c r="F1074" s="230">
        <v>3.0</v>
      </c>
      <c r="G1074" s="232"/>
    </row>
    <row r="1075">
      <c r="A1075" s="2"/>
      <c r="B1075" s="168" t="s">
        <v>318</v>
      </c>
      <c r="C1075" s="168" t="s">
        <v>1351</v>
      </c>
      <c r="D1075" s="229">
        <v>25.5</v>
      </c>
      <c r="E1075" s="229">
        <v>29.0</v>
      </c>
      <c r="F1075" s="230">
        <v>3.0</v>
      </c>
      <c r="G1075" s="232"/>
    </row>
    <row r="1076">
      <c r="A1076" s="2"/>
      <c r="B1076" s="168" t="s">
        <v>368</v>
      </c>
      <c r="C1076" s="168" t="s">
        <v>1352</v>
      </c>
      <c r="D1076" s="229">
        <v>32.5</v>
      </c>
      <c r="E1076" s="229">
        <v>36.0</v>
      </c>
      <c r="F1076" s="230">
        <v>3.0</v>
      </c>
      <c r="G1076" s="232"/>
    </row>
    <row r="1077">
      <c r="A1077" s="2"/>
      <c r="B1077" s="168" t="s">
        <v>230</v>
      </c>
      <c r="C1077" s="168" t="s">
        <v>1353</v>
      </c>
      <c r="D1077" s="229">
        <v>21.5</v>
      </c>
      <c r="E1077" s="229">
        <v>25.0</v>
      </c>
      <c r="F1077" s="230">
        <v>3.0</v>
      </c>
      <c r="G1077" s="232"/>
    </row>
    <row r="1078">
      <c r="A1078" s="2"/>
      <c r="B1078" s="168" t="s">
        <v>255</v>
      </c>
      <c r="C1078" s="168" t="s">
        <v>1354</v>
      </c>
      <c r="D1078" s="229">
        <v>31.5</v>
      </c>
      <c r="E1078" s="229">
        <v>35.0</v>
      </c>
      <c r="F1078" s="230">
        <v>3.0</v>
      </c>
      <c r="G1078" s="232"/>
    </row>
    <row r="1079">
      <c r="A1079" s="2"/>
      <c r="B1079" s="168" t="s">
        <v>269</v>
      </c>
      <c r="C1079" s="168" t="s">
        <v>1355</v>
      </c>
      <c r="D1079" s="229">
        <v>26.5</v>
      </c>
      <c r="E1079" s="229">
        <v>30.0</v>
      </c>
      <c r="F1079" s="230">
        <v>3.0</v>
      </c>
      <c r="G1079" s="232"/>
    </row>
    <row r="1080">
      <c r="A1080" s="2"/>
      <c r="B1080" s="168" t="s">
        <v>282</v>
      </c>
      <c r="C1080" s="168" t="s">
        <v>1356</v>
      </c>
      <c r="D1080" s="229">
        <v>34.5</v>
      </c>
      <c r="E1080" s="229">
        <v>38.0</v>
      </c>
      <c r="F1080" s="230">
        <v>3.0</v>
      </c>
      <c r="G1080" s="232"/>
    </row>
    <row r="1081">
      <c r="A1081" s="2"/>
      <c r="B1081" s="168" t="s">
        <v>280</v>
      </c>
      <c r="C1081" s="168" t="s">
        <v>1357</v>
      </c>
      <c r="D1081" s="229">
        <v>28.5</v>
      </c>
      <c r="E1081" s="229">
        <v>32.0</v>
      </c>
      <c r="F1081" s="230">
        <v>3.0</v>
      </c>
      <c r="G1081" s="232"/>
    </row>
    <row r="1082">
      <c r="A1082" s="2"/>
      <c r="B1082" s="168" t="s">
        <v>337</v>
      </c>
      <c r="C1082" s="168" t="s">
        <v>1358</v>
      </c>
      <c r="D1082" s="229">
        <v>20.5</v>
      </c>
      <c r="E1082" s="229">
        <v>24.0</v>
      </c>
      <c r="F1082" s="230">
        <v>3.0</v>
      </c>
      <c r="G1082" s="232"/>
    </row>
    <row r="1083">
      <c r="A1083" s="2"/>
      <c r="B1083" s="168" t="s">
        <v>288</v>
      </c>
      <c r="C1083" s="168" t="s">
        <v>1359</v>
      </c>
      <c r="D1083" s="229">
        <v>16.5</v>
      </c>
      <c r="E1083" s="229">
        <v>20.0</v>
      </c>
      <c r="F1083" s="230">
        <v>3.0</v>
      </c>
      <c r="G1083" s="232"/>
    </row>
    <row r="1084">
      <c r="A1084" s="2"/>
      <c r="B1084" s="168" t="s">
        <v>449</v>
      </c>
      <c r="C1084" s="168" t="s">
        <v>1360</v>
      </c>
      <c r="D1084" s="229">
        <v>28.5</v>
      </c>
      <c r="E1084" s="229">
        <v>32.0</v>
      </c>
      <c r="F1084" s="230">
        <v>3.0</v>
      </c>
      <c r="G1084" s="232"/>
    </row>
    <row r="1085">
      <c r="A1085" s="2"/>
      <c r="B1085" s="168" t="s">
        <v>337</v>
      </c>
      <c r="C1085" s="168" t="s">
        <v>1361</v>
      </c>
      <c r="D1085" s="229">
        <v>28.5</v>
      </c>
      <c r="E1085" s="229">
        <v>32.0</v>
      </c>
      <c r="F1085" s="230">
        <v>3.0</v>
      </c>
      <c r="G1085" s="232"/>
    </row>
    <row r="1086">
      <c r="A1086" s="2"/>
      <c r="B1086" s="168" t="s">
        <v>232</v>
      </c>
      <c r="C1086" s="168" t="s">
        <v>1362</v>
      </c>
      <c r="D1086" s="229">
        <v>25.5</v>
      </c>
      <c r="E1086" s="229">
        <v>29.0</v>
      </c>
      <c r="F1086" s="230">
        <v>3.0</v>
      </c>
      <c r="G1086" s="232"/>
    </row>
    <row r="1087">
      <c r="A1087" s="2"/>
      <c r="B1087" s="168" t="s">
        <v>215</v>
      </c>
      <c r="C1087" s="168" t="s">
        <v>1363</v>
      </c>
      <c r="D1087" s="229">
        <v>27.5</v>
      </c>
      <c r="E1087" s="229">
        <v>31.0</v>
      </c>
      <c r="F1087" s="230">
        <v>3.0</v>
      </c>
      <c r="G1087" s="232"/>
    </row>
    <row r="1088">
      <c r="A1088" s="2"/>
      <c r="B1088" s="168" t="s">
        <v>337</v>
      </c>
      <c r="C1088" s="168" t="s">
        <v>1364</v>
      </c>
      <c r="D1088" s="229">
        <v>28.5</v>
      </c>
      <c r="E1088" s="229">
        <v>32.0</v>
      </c>
      <c r="F1088" s="230">
        <v>3.0</v>
      </c>
      <c r="G1088" s="232"/>
    </row>
    <row r="1089">
      <c r="A1089" s="2"/>
      <c r="B1089" s="168" t="s">
        <v>290</v>
      </c>
      <c r="C1089" s="168" t="s">
        <v>1365</v>
      </c>
      <c r="D1089" s="229">
        <v>28.0</v>
      </c>
      <c r="E1089" s="229">
        <v>31.5</v>
      </c>
      <c r="F1089" s="230">
        <v>3.0</v>
      </c>
      <c r="G1089" s="232"/>
    </row>
    <row r="1090">
      <c r="A1090" s="2"/>
      <c r="B1090" s="168" t="s">
        <v>269</v>
      </c>
      <c r="C1090" s="168" t="s">
        <v>1366</v>
      </c>
      <c r="D1090" s="229">
        <v>26.5</v>
      </c>
      <c r="E1090" s="229">
        <v>30.0</v>
      </c>
      <c r="F1090" s="230">
        <v>3.0</v>
      </c>
      <c r="G1090" s="232"/>
    </row>
    <row r="1091">
      <c r="A1091" s="2"/>
      <c r="B1091" s="168" t="s">
        <v>217</v>
      </c>
      <c r="C1091" s="168" t="s">
        <v>1367</v>
      </c>
      <c r="D1091" s="229">
        <v>27.5</v>
      </c>
      <c r="E1091" s="229">
        <v>31.0</v>
      </c>
      <c r="F1091" s="230">
        <v>3.0</v>
      </c>
      <c r="G1091" s="232"/>
    </row>
    <row r="1092">
      <c r="A1092" s="2"/>
      <c r="B1092" s="168" t="s">
        <v>230</v>
      </c>
      <c r="C1092" s="168" t="s">
        <v>1368</v>
      </c>
      <c r="D1092" s="229">
        <v>21.5</v>
      </c>
      <c r="E1092" s="229">
        <v>25.0</v>
      </c>
      <c r="F1092" s="230">
        <v>3.0</v>
      </c>
      <c r="G1092" s="232"/>
    </row>
    <row r="1093">
      <c r="A1093" s="2"/>
      <c r="B1093" s="168" t="s">
        <v>257</v>
      </c>
      <c r="C1093" s="168" t="s">
        <v>1369</v>
      </c>
      <c r="D1093" s="229">
        <v>28.5</v>
      </c>
      <c r="E1093" s="229">
        <v>32.0</v>
      </c>
      <c r="F1093" s="230">
        <v>3.0</v>
      </c>
      <c r="G1093" s="232"/>
    </row>
    <row r="1094">
      <c r="A1094" s="2"/>
      <c r="B1094" s="168" t="s">
        <v>576</v>
      </c>
      <c r="C1094" s="168" t="s">
        <v>1370</v>
      </c>
      <c r="D1094" s="229">
        <v>20.5</v>
      </c>
      <c r="E1094" s="229">
        <v>24.0</v>
      </c>
      <c r="F1094" s="230">
        <v>3.0</v>
      </c>
      <c r="G1094" s="232"/>
    </row>
    <row r="1095">
      <c r="A1095" s="2"/>
      <c r="B1095" s="168" t="s">
        <v>273</v>
      </c>
      <c r="C1095" s="168" t="s">
        <v>1371</v>
      </c>
      <c r="D1095" s="229">
        <v>29.5</v>
      </c>
      <c r="E1095" s="229">
        <v>33.0</v>
      </c>
      <c r="F1095" s="230">
        <v>3.0</v>
      </c>
      <c r="G1095" s="232"/>
    </row>
    <row r="1096">
      <c r="A1096" s="2"/>
      <c r="B1096" s="168" t="s">
        <v>581</v>
      </c>
      <c r="C1096" s="168" t="s">
        <v>581</v>
      </c>
      <c r="D1096" s="229">
        <v>26.5</v>
      </c>
      <c r="E1096" s="229">
        <v>30.0</v>
      </c>
      <c r="F1096" s="230">
        <v>3.0</v>
      </c>
      <c r="G1096" s="232"/>
    </row>
    <row r="1097">
      <c r="A1097" s="2"/>
      <c r="B1097" s="168" t="s">
        <v>345</v>
      </c>
      <c r="C1097" s="168" t="s">
        <v>1372</v>
      </c>
      <c r="D1097" s="229">
        <v>26.5</v>
      </c>
      <c r="E1097" s="229">
        <v>30.0</v>
      </c>
      <c r="F1097" s="230">
        <v>3.0</v>
      </c>
      <c r="G1097" s="232"/>
    </row>
    <row r="1098">
      <c r="A1098" s="2"/>
      <c r="B1098" s="168" t="s">
        <v>269</v>
      </c>
      <c r="C1098" s="168" t="s">
        <v>1373</v>
      </c>
      <c r="D1098" s="229">
        <v>26.5</v>
      </c>
      <c r="E1098" s="229">
        <v>30.0</v>
      </c>
      <c r="F1098" s="230">
        <v>3.0</v>
      </c>
      <c r="G1098" s="232"/>
    </row>
    <row r="1099">
      <c r="A1099" s="2"/>
      <c r="B1099" s="168" t="s">
        <v>335</v>
      </c>
      <c r="C1099" s="168" t="s">
        <v>1374</v>
      </c>
      <c r="D1099" s="229">
        <v>34.5</v>
      </c>
      <c r="E1099" s="229">
        <v>38.0</v>
      </c>
      <c r="F1099" s="230">
        <v>3.0</v>
      </c>
      <c r="G1099" s="232"/>
    </row>
    <row r="1100">
      <c r="A1100" s="2"/>
      <c r="B1100" s="168" t="s">
        <v>348</v>
      </c>
      <c r="C1100" s="168" t="s">
        <v>1375</v>
      </c>
      <c r="D1100" s="229">
        <v>21.5</v>
      </c>
      <c r="E1100" s="229">
        <v>25.0</v>
      </c>
      <c r="F1100" s="230">
        <v>3.0</v>
      </c>
      <c r="G1100" s="232"/>
    </row>
    <row r="1101">
      <c r="A1101" s="2"/>
      <c r="B1101" s="168" t="s">
        <v>230</v>
      </c>
      <c r="C1101" s="168" t="s">
        <v>1376</v>
      </c>
      <c r="D1101" s="229">
        <v>21.5</v>
      </c>
      <c r="E1101" s="229">
        <v>25.0</v>
      </c>
      <c r="F1101" s="230">
        <v>3.0</v>
      </c>
      <c r="G1101" s="232"/>
    </row>
    <row r="1102">
      <c r="A1102" s="2"/>
      <c r="B1102" s="168" t="s">
        <v>262</v>
      </c>
      <c r="C1102" s="168" t="s">
        <v>1377</v>
      </c>
      <c r="D1102" s="229">
        <v>29.5</v>
      </c>
      <c r="E1102" s="229">
        <v>33.0</v>
      </c>
      <c r="F1102" s="230">
        <v>3.0</v>
      </c>
      <c r="G1102" s="232"/>
    </row>
    <row r="1103">
      <c r="A1103" s="2"/>
      <c r="B1103" s="168" t="s">
        <v>318</v>
      </c>
      <c r="C1103" s="168" t="s">
        <v>1378</v>
      </c>
      <c r="D1103" s="229">
        <v>25.5</v>
      </c>
      <c r="E1103" s="229">
        <v>29.0</v>
      </c>
      <c r="F1103" s="230">
        <v>3.0</v>
      </c>
      <c r="G1103" s="232"/>
    </row>
    <row r="1104">
      <c r="A1104" s="2"/>
      <c r="B1104" s="168" t="s">
        <v>269</v>
      </c>
      <c r="C1104" s="168" t="s">
        <v>1379</v>
      </c>
      <c r="D1104" s="229">
        <v>26.5</v>
      </c>
      <c r="E1104" s="229">
        <v>30.0</v>
      </c>
      <c r="F1104" s="230">
        <v>3.0</v>
      </c>
      <c r="G1104" s="232"/>
    </row>
    <row r="1105">
      <c r="A1105" s="2"/>
      <c r="B1105" s="168" t="s">
        <v>285</v>
      </c>
      <c r="C1105" s="168" t="s">
        <v>1380</v>
      </c>
      <c r="D1105" s="229">
        <v>24.5</v>
      </c>
      <c r="E1105" s="229">
        <v>28.0</v>
      </c>
      <c r="F1105" s="230">
        <v>3.0</v>
      </c>
      <c r="G1105" s="232"/>
    </row>
    <row r="1106">
      <c r="A1106" s="2"/>
      <c r="B1106" s="168" t="s">
        <v>335</v>
      </c>
      <c r="C1106" s="168" t="s">
        <v>1381</v>
      </c>
      <c r="D1106" s="229">
        <v>34.5</v>
      </c>
      <c r="E1106" s="229">
        <v>38.0</v>
      </c>
      <c r="F1106" s="230">
        <v>3.0</v>
      </c>
      <c r="G1106" s="232"/>
    </row>
    <row r="1107">
      <c r="A1107" s="2"/>
      <c r="B1107" s="168" t="s">
        <v>449</v>
      </c>
      <c r="C1107" s="168" t="s">
        <v>1382</v>
      </c>
      <c r="D1107" s="229">
        <v>28.5</v>
      </c>
      <c r="E1107" s="229">
        <v>32.0</v>
      </c>
      <c r="F1107" s="230">
        <v>3.0</v>
      </c>
      <c r="G1107" s="232"/>
    </row>
    <row r="1108">
      <c r="A1108" s="2"/>
      <c r="B1108" s="168" t="s">
        <v>255</v>
      </c>
      <c r="C1108" s="168" t="s">
        <v>1383</v>
      </c>
      <c r="D1108" s="229">
        <v>30.5</v>
      </c>
      <c r="E1108" s="229">
        <v>34.0</v>
      </c>
      <c r="F1108" s="230">
        <v>3.0</v>
      </c>
      <c r="G1108" s="232"/>
    </row>
    <row r="1109">
      <c r="A1109" s="2"/>
      <c r="B1109" s="168" t="s">
        <v>245</v>
      </c>
      <c r="C1109" s="168" t="s">
        <v>1384</v>
      </c>
      <c r="D1109" s="229">
        <v>29.5</v>
      </c>
      <c r="E1109" s="229">
        <v>33.0</v>
      </c>
      <c r="F1109" s="230">
        <v>3.0</v>
      </c>
      <c r="G1109" s="232"/>
    </row>
    <row r="1110">
      <c r="A1110" s="2"/>
      <c r="B1110" s="168" t="s">
        <v>332</v>
      </c>
      <c r="C1110" s="168" t="s">
        <v>1385</v>
      </c>
      <c r="D1110" s="229">
        <v>28.5</v>
      </c>
      <c r="E1110" s="229">
        <v>32.0</v>
      </c>
      <c r="F1110" s="230">
        <v>3.0</v>
      </c>
      <c r="G1110" s="232"/>
    </row>
    <row r="1111">
      <c r="A1111" s="2"/>
      <c r="B1111" s="168" t="s">
        <v>217</v>
      </c>
      <c r="C1111" s="168" t="s">
        <v>1386</v>
      </c>
      <c r="D1111" s="229">
        <v>27.5</v>
      </c>
      <c r="E1111" s="229">
        <v>31.0</v>
      </c>
      <c r="F1111" s="230">
        <v>3.0</v>
      </c>
      <c r="G1111" s="232"/>
    </row>
    <row r="1112">
      <c r="A1112" s="2"/>
      <c r="B1112" s="168" t="s">
        <v>332</v>
      </c>
      <c r="C1112" s="168" t="s">
        <v>1387</v>
      </c>
      <c r="D1112" s="229">
        <v>28.5</v>
      </c>
      <c r="E1112" s="229">
        <v>32.0</v>
      </c>
      <c r="F1112" s="230">
        <v>3.0</v>
      </c>
      <c r="G1112" s="232"/>
    </row>
    <row r="1113">
      <c r="A1113" s="2"/>
      <c r="B1113" s="168" t="s">
        <v>230</v>
      </c>
      <c r="C1113" s="168" t="s">
        <v>1388</v>
      </c>
      <c r="D1113" s="229">
        <v>21.5</v>
      </c>
      <c r="E1113" s="229">
        <v>25.0</v>
      </c>
      <c r="F1113" s="230">
        <v>3.0</v>
      </c>
      <c r="G1113" s="232"/>
    </row>
    <row r="1114">
      <c r="A1114" s="2"/>
      <c r="B1114" s="168" t="s">
        <v>232</v>
      </c>
      <c r="C1114" s="168" t="s">
        <v>1389</v>
      </c>
      <c r="D1114" s="229">
        <v>25.0</v>
      </c>
      <c r="E1114" s="229">
        <v>28.5</v>
      </c>
      <c r="F1114" s="230">
        <v>3.0</v>
      </c>
      <c r="G1114" s="232"/>
    </row>
    <row r="1115">
      <c r="A1115" s="2"/>
      <c r="B1115" s="168" t="s">
        <v>217</v>
      </c>
      <c r="C1115" s="168" t="s">
        <v>1390</v>
      </c>
      <c r="D1115" s="229">
        <v>27.5</v>
      </c>
      <c r="E1115" s="229">
        <v>31.0</v>
      </c>
      <c r="F1115" s="230">
        <v>3.0</v>
      </c>
      <c r="G1115" s="232"/>
    </row>
    <row r="1116">
      <c r="A1116" s="2"/>
      <c r="B1116" s="168" t="s">
        <v>230</v>
      </c>
      <c r="C1116" s="168" t="s">
        <v>1391</v>
      </c>
      <c r="D1116" s="229">
        <v>21.5</v>
      </c>
      <c r="E1116" s="229">
        <v>25.0</v>
      </c>
      <c r="F1116" s="230">
        <v>3.0</v>
      </c>
      <c r="G1116" s="232"/>
    </row>
    <row r="1117">
      <c r="A1117" s="2"/>
      <c r="B1117" s="168" t="s">
        <v>1392</v>
      </c>
      <c r="C1117" s="168" t="s">
        <v>1393</v>
      </c>
      <c r="D1117" s="229">
        <v>26.5</v>
      </c>
      <c r="E1117" s="229">
        <v>30.0</v>
      </c>
      <c r="F1117" s="230">
        <v>3.0</v>
      </c>
      <c r="G1117" s="232"/>
    </row>
    <row r="1118">
      <c r="A1118" s="2"/>
      <c r="B1118" s="168" t="s">
        <v>223</v>
      </c>
      <c r="C1118" s="168" t="s">
        <v>1394</v>
      </c>
      <c r="D1118" s="229">
        <v>26.5</v>
      </c>
      <c r="E1118" s="229">
        <v>30.0</v>
      </c>
      <c r="F1118" s="230">
        <v>3.0</v>
      </c>
      <c r="G1118" s="232"/>
    </row>
    <row r="1119">
      <c r="A1119" s="2"/>
      <c r="B1119" s="168" t="s">
        <v>260</v>
      </c>
      <c r="C1119" s="168" t="s">
        <v>1395</v>
      </c>
      <c r="D1119" s="229">
        <v>28.5</v>
      </c>
      <c r="E1119" s="229">
        <v>32.0</v>
      </c>
      <c r="F1119" s="230">
        <v>3.0</v>
      </c>
      <c r="G1119" s="232"/>
    </row>
    <row r="1120">
      <c r="A1120" s="2"/>
      <c r="B1120" s="168" t="s">
        <v>377</v>
      </c>
      <c r="C1120" s="168" t="s">
        <v>1396</v>
      </c>
      <c r="D1120" s="229">
        <v>29.5</v>
      </c>
      <c r="E1120" s="229">
        <v>33.0</v>
      </c>
      <c r="F1120" s="230">
        <v>3.0</v>
      </c>
      <c r="G1120" s="232"/>
    </row>
    <row r="1121">
      <c r="A1121" s="2"/>
      <c r="B1121" s="168" t="s">
        <v>245</v>
      </c>
      <c r="C1121" s="168" t="s">
        <v>1397</v>
      </c>
      <c r="D1121" s="229">
        <v>29.5</v>
      </c>
      <c r="E1121" s="229">
        <v>33.0</v>
      </c>
      <c r="F1121" s="230">
        <v>3.0</v>
      </c>
      <c r="G1121" s="232"/>
    </row>
    <row r="1122">
      <c r="A1122" s="2"/>
      <c r="B1122" s="168" t="s">
        <v>271</v>
      </c>
      <c r="C1122" s="168" t="s">
        <v>1398</v>
      </c>
      <c r="D1122" s="229">
        <v>30.0</v>
      </c>
      <c r="E1122" s="229">
        <v>33.5</v>
      </c>
      <c r="F1122" s="230">
        <v>3.0</v>
      </c>
      <c r="G1122" s="232"/>
    </row>
    <row r="1123">
      <c r="A1123" s="2"/>
      <c r="B1123" s="168" t="s">
        <v>811</v>
      </c>
      <c r="C1123" s="168" t="s">
        <v>1399</v>
      </c>
      <c r="D1123" s="229">
        <v>29.5</v>
      </c>
      <c r="E1123" s="229">
        <v>33.0</v>
      </c>
      <c r="F1123" s="230">
        <v>3.0</v>
      </c>
      <c r="G1123" s="232"/>
    </row>
    <row r="1124">
      <c r="A1124" s="2"/>
      <c r="B1124" s="168" t="s">
        <v>232</v>
      </c>
      <c r="C1124" s="168" t="s">
        <v>1400</v>
      </c>
      <c r="D1124" s="229">
        <v>32.5</v>
      </c>
      <c r="E1124" s="229">
        <v>36.0</v>
      </c>
      <c r="F1124" s="230">
        <v>3.0</v>
      </c>
      <c r="G1124" s="232"/>
    </row>
    <row r="1125">
      <c r="A1125" s="2"/>
      <c r="B1125" s="168" t="s">
        <v>937</v>
      </c>
      <c r="C1125" s="168" t="s">
        <v>1401</v>
      </c>
      <c r="D1125" s="229">
        <v>21.5</v>
      </c>
      <c r="E1125" s="229">
        <v>25.0</v>
      </c>
      <c r="F1125" s="230">
        <v>3.0</v>
      </c>
      <c r="G1125" s="232"/>
    </row>
    <row r="1126">
      <c r="A1126" s="2"/>
      <c r="B1126" s="168" t="s">
        <v>592</v>
      </c>
      <c r="C1126" s="168" t="s">
        <v>1402</v>
      </c>
      <c r="D1126" s="229">
        <v>34.5</v>
      </c>
      <c r="E1126" s="229">
        <v>38.0</v>
      </c>
      <c r="F1126" s="230">
        <v>3.0</v>
      </c>
      <c r="G1126" s="232"/>
    </row>
    <row r="1127">
      <c r="A1127" s="2"/>
      <c r="B1127" s="168" t="s">
        <v>243</v>
      </c>
      <c r="C1127" s="168" t="s">
        <v>1403</v>
      </c>
      <c r="D1127" s="229">
        <v>29.5</v>
      </c>
      <c r="E1127" s="229">
        <v>33.0</v>
      </c>
      <c r="F1127" s="230">
        <v>3.0</v>
      </c>
      <c r="G1127" s="232"/>
    </row>
    <row r="1128">
      <c r="A1128" s="2"/>
      <c r="B1128" s="168" t="s">
        <v>296</v>
      </c>
      <c r="C1128" s="168" t="s">
        <v>1404</v>
      </c>
      <c r="D1128" s="229">
        <v>21.5</v>
      </c>
      <c r="E1128" s="229">
        <v>25.0</v>
      </c>
      <c r="F1128" s="230">
        <v>3.0</v>
      </c>
      <c r="G1128" s="232"/>
    </row>
    <row r="1129">
      <c r="A1129" s="2"/>
      <c r="B1129" s="168" t="s">
        <v>257</v>
      </c>
      <c r="C1129" s="168" t="s">
        <v>257</v>
      </c>
      <c r="D1129" s="229">
        <v>28.5</v>
      </c>
      <c r="E1129" s="229">
        <v>32.0</v>
      </c>
      <c r="F1129" s="230">
        <v>3.0</v>
      </c>
      <c r="G1129" s="232"/>
    </row>
    <row r="1130">
      <c r="A1130" s="2"/>
      <c r="B1130" s="168" t="s">
        <v>257</v>
      </c>
      <c r="C1130" s="168" t="s">
        <v>1405</v>
      </c>
      <c r="D1130" s="229">
        <v>28.5</v>
      </c>
      <c r="E1130" s="229">
        <v>32.0</v>
      </c>
      <c r="F1130" s="230">
        <v>3.0</v>
      </c>
      <c r="G1130" s="232"/>
    </row>
    <row r="1131">
      <c r="A1131" s="2"/>
      <c r="B1131" s="168" t="s">
        <v>335</v>
      </c>
      <c r="C1131" s="168" t="s">
        <v>1406</v>
      </c>
      <c r="D1131" s="229">
        <v>34.5</v>
      </c>
      <c r="E1131" s="229">
        <v>38.0</v>
      </c>
      <c r="F1131" s="230">
        <v>3.0</v>
      </c>
      <c r="G1131" s="232"/>
    </row>
    <row r="1132">
      <c r="A1132" s="2"/>
      <c r="B1132" s="168" t="s">
        <v>335</v>
      </c>
      <c r="C1132" s="168" t="s">
        <v>1407</v>
      </c>
      <c r="D1132" s="229">
        <v>34.5</v>
      </c>
      <c r="E1132" s="229">
        <v>38.0</v>
      </c>
      <c r="F1132" s="230">
        <v>3.0</v>
      </c>
      <c r="G1132" s="232"/>
    </row>
    <row r="1133">
      <c r="A1133" s="2"/>
      <c r="B1133" s="168" t="s">
        <v>241</v>
      </c>
      <c r="C1133" s="168" t="s">
        <v>1408</v>
      </c>
      <c r="D1133" s="229">
        <v>27.5</v>
      </c>
      <c r="E1133" s="229">
        <v>31.0</v>
      </c>
      <c r="F1133" s="230">
        <v>3.0</v>
      </c>
      <c r="G1133" s="232"/>
    </row>
    <row r="1134">
      <c r="A1134" s="2"/>
      <c r="B1134" s="168" t="s">
        <v>337</v>
      </c>
      <c r="C1134" s="168" t="s">
        <v>1409</v>
      </c>
      <c r="D1134" s="229">
        <v>20.5</v>
      </c>
      <c r="E1134" s="229">
        <v>24.0</v>
      </c>
      <c r="F1134" s="230">
        <v>3.0</v>
      </c>
      <c r="G1134" s="232"/>
    </row>
    <row r="1135">
      <c r="A1135" s="2"/>
      <c r="B1135" s="168" t="s">
        <v>243</v>
      </c>
      <c r="C1135" s="168" t="s">
        <v>1410</v>
      </c>
      <c r="D1135" s="229">
        <v>29.5</v>
      </c>
      <c r="E1135" s="229">
        <v>33.0</v>
      </c>
      <c r="F1135" s="230">
        <v>3.0</v>
      </c>
      <c r="G1135" s="232"/>
    </row>
    <row r="1136">
      <c r="A1136" s="2"/>
      <c r="B1136" s="168" t="s">
        <v>1311</v>
      </c>
      <c r="C1136" s="168" t="s">
        <v>1411</v>
      </c>
      <c r="D1136" s="229">
        <v>28.5</v>
      </c>
      <c r="E1136" s="229">
        <v>32.0</v>
      </c>
      <c r="F1136" s="230">
        <v>3.0</v>
      </c>
      <c r="G1136" s="232"/>
    </row>
    <row r="1137">
      <c r="A1137" s="2"/>
      <c r="B1137" s="168" t="s">
        <v>337</v>
      </c>
      <c r="C1137" s="168" t="s">
        <v>1412</v>
      </c>
      <c r="D1137" s="229">
        <v>28.0</v>
      </c>
      <c r="E1137" s="229">
        <v>31.5</v>
      </c>
      <c r="F1137" s="230">
        <v>3.0</v>
      </c>
      <c r="G1137" s="232"/>
    </row>
    <row r="1138">
      <c r="A1138" s="2"/>
      <c r="B1138" s="168" t="s">
        <v>247</v>
      </c>
      <c r="C1138" s="168" t="s">
        <v>1413</v>
      </c>
      <c r="D1138" s="229">
        <v>29.5</v>
      </c>
      <c r="E1138" s="229">
        <v>33.0</v>
      </c>
      <c r="F1138" s="230">
        <v>3.0</v>
      </c>
      <c r="G1138" s="232"/>
    </row>
    <row r="1139">
      <c r="A1139" s="2"/>
      <c r="B1139" s="168" t="s">
        <v>337</v>
      </c>
      <c r="C1139" s="168" t="s">
        <v>1414</v>
      </c>
      <c r="D1139" s="229">
        <v>28.5</v>
      </c>
      <c r="E1139" s="229">
        <v>32.0</v>
      </c>
      <c r="F1139" s="230">
        <v>3.0</v>
      </c>
      <c r="G1139" s="232"/>
    </row>
    <row r="1140">
      <c r="A1140" s="2"/>
      <c r="B1140" s="168" t="s">
        <v>271</v>
      </c>
      <c r="C1140" s="168" t="s">
        <v>1415</v>
      </c>
      <c r="D1140" s="229">
        <v>30.5</v>
      </c>
      <c r="E1140" s="229">
        <v>34.0</v>
      </c>
      <c r="F1140" s="230">
        <v>3.0</v>
      </c>
      <c r="G1140" s="232"/>
    </row>
    <row r="1141">
      <c r="A1141" s="2"/>
      <c r="B1141" s="168" t="s">
        <v>335</v>
      </c>
      <c r="C1141" s="168" t="s">
        <v>1416</v>
      </c>
      <c r="D1141" s="229">
        <v>34.5</v>
      </c>
      <c r="E1141" s="229">
        <v>38.0</v>
      </c>
      <c r="F1141" s="230">
        <v>3.0</v>
      </c>
      <c r="G1141" s="232"/>
    </row>
    <row r="1142">
      <c r="A1142" s="2"/>
      <c r="B1142" s="168" t="s">
        <v>456</v>
      </c>
      <c r="C1142" s="168" t="s">
        <v>1417</v>
      </c>
      <c r="D1142" s="229">
        <v>21.5</v>
      </c>
      <c r="E1142" s="229">
        <v>25.0</v>
      </c>
      <c r="F1142" s="230">
        <v>3.0</v>
      </c>
      <c r="G1142" s="232"/>
    </row>
    <row r="1143">
      <c r="A1143" s="2"/>
      <c r="B1143" s="168" t="s">
        <v>296</v>
      </c>
      <c r="C1143" s="168" t="s">
        <v>1418</v>
      </c>
      <c r="D1143" s="229">
        <v>21.5</v>
      </c>
      <c r="E1143" s="229">
        <v>25.0</v>
      </c>
      <c r="F1143" s="230">
        <v>3.0</v>
      </c>
      <c r="G1143" s="232"/>
    </row>
    <row r="1144">
      <c r="A1144" s="2"/>
      <c r="B1144" s="168" t="s">
        <v>328</v>
      </c>
      <c r="C1144" s="168" t="s">
        <v>328</v>
      </c>
      <c r="D1144" s="229">
        <v>34.5</v>
      </c>
      <c r="E1144" s="229">
        <v>38.0</v>
      </c>
      <c r="F1144" s="230">
        <v>3.0</v>
      </c>
      <c r="G1144" s="232"/>
    </row>
    <row r="1145">
      <c r="A1145" s="2"/>
      <c r="B1145" s="168" t="s">
        <v>427</v>
      </c>
      <c r="C1145" s="168" t="s">
        <v>1419</v>
      </c>
      <c r="D1145" s="229">
        <v>26.0</v>
      </c>
      <c r="E1145" s="229">
        <v>29.5</v>
      </c>
      <c r="F1145" s="230">
        <v>3.0</v>
      </c>
      <c r="G1145" s="232"/>
    </row>
    <row r="1146">
      <c r="A1146" s="2"/>
      <c r="B1146" s="168" t="s">
        <v>273</v>
      </c>
      <c r="C1146" s="168" t="s">
        <v>1420</v>
      </c>
      <c r="D1146" s="229">
        <v>29.5</v>
      </c>
      <c r="E1146" s="229">
        <v>33.0</v>
      </c>
      <c r="F1146" s="230">
        <v>3.0</v>
      </c>
      <c r="G1146" s="232"/>
    </row>
    <row r="1147">
      <c r="A1147" s="2"/>
      <c r="B1147" s="168" t="s">
        <v>243</v>
      </c>
      <c r="C1147" s="168" t="s">
        <v>1421</v>
      </c>
      <c r="D1147" s="229">
        <v>29.5</v>
      </c>
      <c r="E1147" s="229">
        <v>33.0</v>
      </c>
      <c r="F1147" s="230">
        <v>3.0</v>
      </c>
      <c r="G1147" s="232"/>
    </row>
    <row r="1148">
      <c r="A1148" s="2"/>
      <c r="B1148" s="168" t="s">
        <v>215</v>
      </c>
      <c r="C1148" s="168" t="s">
        <v>1422</v>
      </c>
      <c r="D1148" s="229">
        <v>29.5</v>
      </c>
      <c r="E1148" s="229">
        <v>33.0</v>
      </c>
      <c r="F1148" s="230">
        <v>3.0</v>
      </c>
      <c r="G1148" s="232"/>
    </row>
    <row r="1149">
      <c r="A1149" s="2"/>
      <c r="B1149" s="168" t="s">
        <v>377</v>
      </c>
      <c r="C1149" s="168" t="s">
        <v>1423</v>
      </c>
      <c r="D1149" s="229">
        <v>29.5</v>
      </c>
      <c r="E1149" s="229">
        <v>33.0</v>
      </c>
      <c r="F1149" s="230">
        <v>3.0</v>
      </c>
      <c r="G1149" s="232"/>
    </row>
    <row r="1150">
      <c r="A1150" s="2"/>
      <c r="B1150" s="168" t="s">
        <v>285</v>
      </c>
      <c r="C1150" s="168" t="s">
        <v>1424</v>
      </c>
      <c r="D1150" s="229">
        <v>24.5</v>
      </c>
      <c r="E1150" s="229">
        <v>28.0</v>
      </c>
      <c r="F1150" s="230">
        <v>3.0</v>
      </c>
      <c r="G1150" s="232"/>
    </row>
    <row r="1151">
      <c r="A1151" s="2"/>
      <c r="B1151" s="168" t="s">
        <v>318</v>
      </c>
      <c r="C1151" s="168" t="s">
        <v>1425</v>
      </c>
      <c r="D1151" s="229">
        <v>25.5</v>
      </c>
      <c r="E1151" s="229">
        <v>29.0</v>
      </c>
      <c r="F1151" s="230">
        <v>3.0</v>
      </c>
      <c r="G1151" s="232"/>
    </row>
    <row r="1152">
      <c r="A1152" s="2"/>
      <c r="B1152" s="168" t="s">
        <v>269</v>
      </c>
      <c r="C1152" s="168" t="s">
        <v>1426</v>
      </c>
      <c r="D1152" s="229">
        <v>26.5</v>
      </c>
      <c r="E1152" s="229">
        <v>30.0</v>
      </c>
      <c r="F1152" s="230">
        <v>3.0</v>
      </c>
      <c r="G1152" s="232"/>
    </row>
    <row r="1153">
      <c r="A1153" s="2"/>
      <c r="B1153" s="168" t="s">
        <v>217</v>
      </c>
      <c r="C1153" s="168" t="s">
        <v>1427</v>
      </c>
      <c r="D1153" s="229">
        <v>27.5</v>
      </c>
      <c r="E1153" s="229">
        <v>31.0</v>
      </c>
      <c r="F1153" s="230">
        <v>3.0</v>
      </c>
      <c r="G1153" s="232"/>
    </row>
    <row r="1154">
      <c r="A1154" s="2"/>
      <c r="B1154" s="168" t="s">
        <v>335</v>
      </c>
      <c r="C1154" s="168" t="s">
        <v>1428</v>
      </c>
      <c r="D1154" s="229">
        <v>34.5</v>
      </c>
      <c r="E1154" s="229">
        <v>38.0</v>
      </c>
      <c r="F1154" s="230">
        <v>3.0</v>
      </c>
      <c r="G1154" s="232"/>
    </row>
    <row r="1155">
      <c r="A1155" s="2"/>
      <c r="B1155" s="168" t="s">
        <v>386</v>
      </c>
      <c r="C1155" s="168" t="s">
        <v>1429</v>
      </c>
      <c r="D1155" s="229">
        <v>34.5</v>
      </c>
      <c r="E1155" s="229">
        <v>38.0</v>
      </c>
      <c r="F1155" s="230">
        <v>3.0</v>
      </c>
      <c r="G1155" s="232"/>
    </row>
    <row r="1156">
      <c r="A1156" s="2"/>
      <c r="B1156" s="168" t="s">
        <v>217</v>
      </c>
      <c r="C1156" s="168" t="s">
        <v>1430</v>
      </c>
      <c r="D1156" s="229">
        <v>27.5</v>
      </c>
      <c r="E1156" s="229">
        <v>31.0</v>
      </c>
      <c r="F1156" s="230">
        <v>3.0</v>
      </c>
      <c r="G1156" s="232"/>
    </row>
    <row r="1157">
      <c r="A1157" s="2"/>
      <c r="B1157" s="168" t="s">
        <v>302</v>
      </c>
      <c r="C1157" s="168" t="s">
        <v>1431</v>
      </c>
      <c r="D1157" s="229">
        <v>34.5</v>
      </c>
      <c r="E1157" s="229">
        <v>38.0</v>
      </c>
      <c r="F1157" s="230">
        <v>3.0</v>
      </c>
      <c r="G1157" s="232"/>
    </row>
    <row r="1158">
      <c r="A1158" s="2"/>
      <c r="B1158" s="168" t="s">
        <v>1432</v>
      </c>
      <c r="C1158" s="168" t="s">
        <v>1433</v>
      </c>
      <c r="D1158" s="229">
        <v>26.5</v>
      </c>
      <c r="E1158" s="229">
        <v>30.0</v>
      </c>
      <c r="F1158" s="230">
        <v>3.0</v>
      </c>
      <c r="G1158" s="232"/>
    </row>
    <row r="1159">
      <c r="A1159" s="2"/>
      <c r="B1159" s="168" t="s">
        <v>241</v>
      </c>
      <c r="C1159" s="168" t="s">
        <v>1434</v>
      </c>
      <c r="D1159" s="229">
        <v>32.5</v>
      </c>
      <c r="E1159" s="229">
        <v>36.0</v>
      </c>
      <c r="F1159" s="230">
        <v>3.0</v>
      </c>
      <c r="G1159" s="232"/>
    </row>
    <row r="1160">
      <c r="A1160" s="2"/>
      <c r="B1160" s="168" t="s">
        <v>377</v>
      </c>
      <c r="C1160" s="168" t="s">
        <v>1435</v>
      </c>
      <c r="D1160" s="229">
        <v>24.5</v>
      </c>
      <c r="E1160" s="229">
        <v>28.0</v>
      </c>
      <c r="F1160" s="230">
        <v>3.0</v>
      </c>
      <c r="G1160" s="232"/>
    </row>
    <row r="1161">
      <c r="A1161" s="2"/>
      <c r="B1161" s="168" t="s">
        <v>215</v>
      </c>
      <c r="C1161" s="168" t="s">
        <v>1436</v>
      </c>
      <c r="D1161" s="229">
        <v>19.5</v>
      </c>
      <c r="E1161" s="229">
        <v>23.0</v>
      </c>
      <c r="F1161" s="230">
        <v>3.0</v>
      </c>
      <c r="G1161" s="232"/>
    </row>
    <row r="1162">
      <c r="A1162" s="2"/>
      <c r="B1162" s="168" t="s">
        <v>241</v>
      </c>
      <c r="C1162" s="168" t="s">
        <v>1437</v>
      </c>
      <c r="D1162" s="229">
        <v>32.5</v>
      </c>
      <c r="E1162" s="229">
        <v>36.0</v>
      </c>
      <c r="F1162" s="230">
        <v>3.0</v>
      </c>
      <c r="G1162" s="232"/>
    </row>
    <row r="1163">
      <c r="A1163" s="2"/>
      <c r="B1163" s="168" t="s">
        <v>288</v>
      </c>
      <c r="C1163" s="168" t="s">
        <v>1438</v>
      </c>
      <c r="D1163" s="229">
        <v>21.5</v>
      </c>
      <c r="E1163" s="229">
        <v>25.0</v>
      </c>
      <c r="F1163" s="230">
        <v>3.0</v>
      </c>
      <c r="G1163" s="232"/>
    </row>
    <row r="1164">
      <c r="A1164" s="2"/>
      <c r="B1164" s="168" t="s">
        <v>269</v>
      </c>
      <c r="C1164" s="168" t="s">
        <v>1439</v>
      </c>
      <c r="D1164" s="229">
        <v>26.5</v>
      </c>
      <c r="E1164" s="229">
        <v>30.0</v>
      </c>
      <c r="F1164" s="230">
        <v>3.0</v>
      </c>
      <c r="G1164" s="232"/>
    </row>
    <row r="1165">
      <c r="A1165" s="2"/>
      <c r="B1165" s="168" t="s">
        <v>245</v>
      </c>
      <c r="C1165" s="168" t="s">
        <v>1440</v>
      </c>
      <c r="D1165" s="229">
        <v>29.5</v>
      </c>
      <c r="E1165" s="229">
        <v>33.0</v>
      </c>
      <c r="F1165" s="230">
        <v>3.0</v>
      </c>
      <c r="G1165" s="232"/>
    </row>
    <row r="1166">
      <c r="A1166" s="2"/>
      <c r="B1166" s="168" t="s">
        <v>335</v>
      </c>
      <c r="C1166" s="168" t="s">
        <v>1441</v>
      </c>
      <c r="D1166" s="229">
        <v>34.5</v>
      </c>
      <c r="E1166" s="229">
        <v>38.0</v>
      </c>
      <c r="F1166" s="230">
        <v>3.0</v>
      </c>
      <c r="G1166" s="232"/>
    </row>
    <row r="1167">
      <c r="A1167" s="2"/>
      <c r="B1167" s="168" t="s">
        <v>219</v>
      </c>
      <c r="C1167" s="168" t="s">
        <v>1442</v>
      </c>
      <c r="D1167" s="229">
        <v>23.5</v>
      </c>
      <c r="E1167" s="229">
        <v>27.0</v>
      </c>
      <c r="F1167" s="230">
        <v>3.0</v>
      </c>
      <c r="G1167" s="232"/>
    </row>
    <row r="1168">
      <c r="A1168" s="2"/>
      <c r="B1168" s="168" t="s">
        <v>255</v>
      </c>
      <c r="C1168" s="168" t="s">
        <v>1443</v>
      </c>
      <c r="D1168" s="229">
        <v>28.5</v>
      </c>
      <c r="E1168" s="229">
        <v>32.0</v>
      </c>
      <c r="F1168" s="230">
        <v>3.0</v>
      </c>
      <c r="G1168" s="232"/>
    </row>
    <row r="1169">
      <c r="A1169" s="2"/>
      <c r="B1169" s="168" t="s">
        <v>269</v>
      </c>
      <c r="C1169" s="168" t="s">
        <v>1444</v>
      </c>
      <c r="D1169" s="229">
        <v>26.5</v>
      </c>
      <c r="E1169" s="229">
        <v>30.0</v>
      </c>
      <c r="F1169" s="230">
        <v>3.0</v>
      </c>
      <c r="G1169" s="232"/>
    </row>
    <row r="1170">
      <c r="A1170" s="2"/>
      <c r="B1170" s="168" t="s">
        <v>288</v>
      </c>
      <c r="C1170" s="168" t="s">
        <v>1445</v>
      </c>
      <c r="D1170" s="229">
        <v>21.5</v>
      </c>
      <c r="E1170" s="229">
        <v>25.0</v>
      </c>
      <c r="F1170" s="230">
        <v>3.0</v>
      </c>
      <c r="G1170" s="232"/>
    </row>
    <row r="1171">
      <c r="A1171" s="2"/>
      <c r="B1171" s="168" t="s">
        <v>335</v>
      </c>
      <c r="C1171" s="168" t="s">
        <v>1446</v>
      </c>
      <c r="D1171" s="229">
        <v>34.5</v>
      </c>
      <c r="E1171" s="229">
        <v>38.0</v>
      </c>
      <c r="F1171" s="230">
        <v>3.0</v>
      </c>
      <c r="G1171" s="232"/>
    </row>
    <row r="1172">
      <c r="A1172" s="2"/>
      <c r="B1172" s="168" t="s">
        <v>1432</v>
      </c>
      <c r="C1172" s="168" t="s">
        <v>1447</v>
      </c>
      <c r="D1172" s="229">
        <v>26.5</v>
      </c>
      <c r="E1172" s="229">
        <v>30.0</v>
      </c>
      <c r="F1172" s="230">
        <v>3.0</v>
      </c>
      <c r="G1172" s="232"/>
    </row>
    <row r="1173">
      <c r="A1173" s="2"/>
      <c r="B1173" s="168" t="s">
        <v>245</v>
      </c>
      <c r="C1173" s="168" t="s">
        <v>1448</v>
      </c>
      <c r="D1173" s="229">
        <v>29.5</v>
      </c>
      <c r="E1173" s="229">
        <v>33.0</v>
      </c>
      <c r="F1173" s="230">
        <v>3.0</v>
      </c>
      <c r="G1173" s="232"/>
    </row>
    <row r="1174">
      <c r="A1174" s="2"/>
      <c r="B1174" s="168" t="s">
        <v>230</v>
      </c>
      <c r="C1174" s="168" t="s">
        <v>1449</v>
      </c>
      <c r="D1174" s="229">
        <v>21.5</v>
      </c>
      <c r="E1174" s="229">
        <v>25.0</v>
      </c>
      <c r="F1174" s="230">
        <v>3.0</v>
      </c>
      <c r="G1174" s="232"/>
    </row>
    <row r="1175">
      <c r="A1175" s="2"/>
      <c r="B1175" s="168" t="s">
        <v>269</v>
      </c>
      <c r="C1175" s="168" t="s">
        <v>1450</v>
      </c>
      <c r="D1175" s="229">
        <v>21.5</v>
      </c>
      <c r="E1175" s="229">
        <v>25.0</v>
      </c>
      <c r="F1175" s="230">
        <v>3.0</v>
      </c>
      <c r="G1175" s="232"/>
    </row>
    <row r="1176">
      <c r="A1176" s="2"/>
      <c r="B1176" s="168" t="s">
        <v>337</v>
      </c>
      <c r="C1176" s="168" t="s">
        <v>1451</v>
      </c>
      <c r="D1176" s="229">
        <v>28.5</v>
      </c>
      <c r="E1176" s="229">
        <v>32.0</v>
      </c>
      <c r="F1176" s="230">
        <v>3.0</v>
      </c>
      <c r="G1176" s="232"/>
    </row>
    <row r="1177">
      <c r="A1177" s="2"/>
      <c r="B1177" s="168" t="s">
        <v>335</v>
      </c>
      <c r="C1177" s="168" t="s">
        <v>1452</v>
      </c>
      <c r="D1177" s="229">
        <v>34.5</v>
      </c>
      <c r="E1177" s="229">
        <v>38.0</v>
      </c>
      <c r="F1177" s="230">
        <v>3.0</v>
      </c>
      <c r="G1177" s="232"/>
    </row>
    <row r="1178">
      <c r="A1178" s="2"/>
      <c r="B1178" s="168" t="s">
        <v>260</v>
      </c>
      <c r="C1178" s="168" t="s">
        <v>1453</v>
      </c>
      <c r="D1178" s="229">
        <v>28.5</v>
      </c>
      <c r="E1178" s="229">
        <v>32.0</v>
      </c>
      <c r="F1178" s="230">
        <v>3.0</v>
      </c>
      <c r="G1178" s="232"/>
    </row>
    <row r="1179">
      <c r="A1179" s="2"/>
      <c r="B1179" s="168" t="s">
        <v>341</v>
      </c>
      <c r="C1179" s="168" t="s">
        <v>1454</v>
      </c>
      <c r="D1179" s="229">
        <v>29.5</v>
      </c>
      <c r="E1179" s="229">
        <v>29.5</v>
      </c>
      <c r="F1179" s="230">
        <v>3.0</v>
      </c>
      <c r="G1179" s="232"/>
    </row>
    <row r="1180">
      <c r="A1180" s="2"/>
      <c r="B1180" s="168" t="s">
        <v>269</v>
      </c>
      <c r="C1180" s="168" t="s">
        <v>1455</v>
      </c>
      <c r="D1180" s="229">
        <v>26.5</v>
      </c>
      <c r="E1180" s="229">
        <v>30.0</v>
      </c>
      <c r="F1180" s="230">
        <v>3.0</v>
      </c>
      <c r="G1180" s="232"/>
    </row>
    <row r="1181">
      <c r="A1181" s="2"/>
      <c r="B1181" s="168" t="s">
        <v>271</v>
      </c>
      <c r="C1181" s="168" t="s">
        <v>1456</v>
      </c>
      <c r="D1181" s="229">
        <v>28.5</v>
      </c>
      <c r="E1181" s="229">
        <v>32.0</v>
      </c>
      <c r="F1181" s="230">
        <v>3.0</v>
      </c>
      <c r="G1181" s="232"/>
    </row>
    <row r="1182">
      <c r="A1182" s="2"/>
      <c r="B1182" s="168" t="s">
        <v>215</v>
      </c>
      <c r="C1182" s="168" t="s">
        <v>1457</v>
      </c>
      <c r="D1182" s="229">
        <v>29.5</v>
      </c>
      <c r="E1182" s="229">
        <v>33.0</v>
      </c>
      <c r="F1182" s="230">
        <v>3.0</v>
      </c>
      <c r="G1182" s="232"/>
    </row>
    <row r="1183">
      <c r="A1183" s="2"/>
      <c r="B1183" s="168" t="s">
        <v>232</v>
      </c>
      <c r="C1183" s="168" t="s">
        <v>1458</v>
      </c>
      <c r="D1183" s="229">
        <v>25.5</v>
      </c>
      <c r="E1183" s="229">
        <v>29.0</v>
      </c>
      <c r="F1183" s="230">
        <v>3.0</v>
      </c>
      <c r="G1183" s="232"/>
    </row>
    <row r="1184">
      <c r="A1184" s="2"/>
      <c r="B1184" s="168" t="s">
        <v>247</v>
      </c>
      <c r="C1184" s="168" t="s">
        <v>247</v>
      </c>
      <c r="D1184" s="229">
        <v>29.5</v>
      </c>
      <c r="E1184" s="229">
        <v>33.0</v>
      </c>
      <c r="F1184" s="230">
        <v>3.0</v>
      </c>
      <c r="G1184" s="232"/>
    </row>
    <row r="1185">
      <c r="A1185" s="2"/>
      <c r="B1185" s="168" t="s">
        <v>234</v>
      </c>
      <c r="C1185" s="168" t="s">
        <v>1459</v>
      </c>
      <c r="D1185" s="229">
        <v>29.5</v>
      </c>
      <c r="E1185" s="229">
        <v>33.0</v>
      </c>
      <c r="F1185" s="230">
        <v>3.0</v>
      </c>
      <c r="G1185" s="232"/>
    </row>
    <row r="1186">
      <c r="A1186" s="2"/>
      <c r="B1186" s="168" t="s">
        <v>269</v>
      </c>
      <c r="C1186" s="168" t="s">
        <v>1460</v>
      </c>
      <c r="D1186" s="229">
        <v>26.5</v>
      </c>
      <c r="E1186" s="229">
        <v>30.0</v>
      </c>
      <c r="F1186" s="230">
        <v>3.0</v>
      </c>
      <c r="G1186" s="232"/>
    </row>
    <row r="1187">
      <c r="A1187" s="2"/>
      <c r="B1187" s="168" t="s">
        <v>232</v>
      </c>
      <c r="C1187" s="168" t="s">
        <v>1461</v>
      </c>
      <c r="D1187" s="229">
        <v>32.5</v>
      </c>
      <c r="E1187" s="229">
        <v>36.0</v>
      </c>
      <c r="F1187" s="230">
        <v>3.0</v>
      </c>
      <c r="G1187" s="232"/>
    </row>
    <row r="1188">
      <c r="A1188" s="2"/>
      <c r="B1188" s="168" t="s">
        <v>285</v>
      </c>
      <c r="C1188" s="168" t="s">
        <v>1462</v>
      </c>
      <c r="D1188" s="229">
        <v>24.5</v>
      </c>
      <c r="E1188" s="229">
        <v>28.0</v>
      </c>
      <c r="F1188" s="230">
        <v>3.0</v>
      </c>
      <c r="G1188" s="232"/>
    </row>
    <row r="1189">
      <c r="A1189" s="2"/>
      <c r="B1189" s="168" t="s">
        <v>239</v>
      </c>
      <c r="C1189" s="168" t="s">
        <v>1463</v>
      </c>
      <c r="D1189" s="229">
        <v>29.5</v>
      </c>
      <c r="E1189" s="229">
        <v>33.0</v>
      </c>
      <c r="F1189" s="230">
        <v>3.0</v>
      </c>
      <c r="G1189" s="232"/>
    </row>
    <row r="1190">
      <c r="A1190" s="2"/>
      <c r="B1190" s="168" t="s">
        <v>215</v>
      </c>
      <c r="C1190" s="168" t="s">
        <v>1464</v>
      </c>
      <c r="D1190" s="229">
        <v>27.5</v>
      </c>
      <c r="E1190" s="229">
        <v>31.0</v>
      </c>
      <c r="F1190" s="230">
        <v>3.0</v>
      </c>
      <c r="G1190" s="232"/>
    </row>
    <row r="1191">
      <c r="A1191" s="2"/>
      <c r="B1191" s="168" t="s">
        <v>217</v>
      </c>
      <c r="C1191" s="168" t="s">
        <v>1465</v>
      </c>
      <c r="D1191" s="229">
        <v>27.5</v>
      </c>
      <c r="E1191" s="229">
        <v>31.0</v>
      </c>
      <c r="F1191" s="230">
        <v>3.0</v>
      </c>
      <c r="G1191" s="232"/>
    </row>
    <row r="1192">
      <c r="A1192" s="2"/>
      <c r="B1192" s="168" t="s">
        <v>290</v>
      </c>
      <c r="C1192" s="168" t="s">
        <v>1466</v>
      </c>
      <c r="D1192" s="229">
        <v>29.5</v>
      </c>
      <c r="E1192" s="229">
        <v>33.0</v>
      </c>
      <c r="F1192" s="230">
        <v>3.0</v>
      </c>
      <c r="G1192" s="232"/>
    </row>
    <row r="1193">
      <c r="A1193" s="2"/>
      <c r="B1193" s="168" t="s">
        <v>328</v>
      </c>
      <c r="C1193" s="168" t="s">
        <v>1467</v>
      </c>
      <c r="D1193" s="229">
        <v>34.5</v>
      </c>
      <c r="E1193" s="229">
        <v>38.0</v>
      </c>
      <c r="F1193" s="230">
        <v>3.0</v>
      </c>
      <c r="G1193" s="232"/>
    </row>
    <row r="1194">
      <c r="A1194" s="2"/>
      <c r="B1194" s="168" t="s">
        <v>255</v>
      </c>
      <c r="C1194" s="168" t="s">
        <v>1468</v>
      </c>
      <c r="D1194" s="229">
        <v>29.0</v>
      </c>
      <c r="E1194" s="229">
        <v>32.5</v>
      </c>
      <c r="F1194" s="230">
        <v>3.0</v>
      </c>
      <c r="G1194" s="232"/>
    </row>
    <row r="1195">
      <c r="A1195" s="2"/>
      <c r="B1195" s="168" t="s">
        <v>217</v>
      </c>
      <c r="C1195" s="168" t="s">
        <v>1469</v>
      </c>
      <c r="D1195" s="229">
        <v>27.5</v>
      </c>
      <c r="E1195" s="229">
        <v>31.0</v>
      </c>
      <c r="F1195" s="230">
        <v>3.0</v>
      </c>
      <c r="G1195" s="232"/>
    </row>
    <row r="1196">
      <c r="A1196" s="2"/>
      <c r="B1196" s="168" t="s">
        <v>245</v>
      </c>
      <c r="C1196" s="168" t="s">
        <v>1470</v>
      </c>
      <c r="D1196" s="229">
        <v>29.5</v>
      </c>
      <c r="E1196" s="229">
        <v>33.0</v>
      </c>
      <c r="F1196" s="230">
        <v>3.0</v>
      </c>
      <c r="G1196" s="232"/>
    </row>
    <row r="1197">
      <c r="A1197" s="2"/>
      <c r="B1197" s="168" t="s">
        <v>337</v>
      </c>
      <c r="C1197" s="168" t="s">
        <v>1471</v>
      </c>
      <c r="D1197" s="229">
        <v>28.5</v>
      </c>
      <c r="E1197" s="229">
        <v>32.0</v>
      </c>
      <c r="F1197" s="230">
        <v>3.0</v>
      </c>
      <c r="G1197" s="232"/>
    </row>
    <row r="1198">
      <c r="A1198" s="2"/>
      <c r="B1198" s="168" t="s">
        <v>217</v>
      </c>
      <c r="C1198" s="168" t="s">
        <v>1472</v>
      </c>
      <c r="D1198" s="229">
        <v>27.5</v>
      </c>
      <c r="E1198" s="229">
        <v>31.0</v>
      </c>
      <c r="F1198" s="230">
        <v>3.0</v>
      </c>
      <c r="G1198" s="232"/>
    </row>
    <row r="1199">
      <c r="A1199" s="2"/>
      <c r="B1199" s="168" t="s">
        <v>255</v>
      </c>
      <c r="C1199" s="168" t="s">
        <v>1473</v>
      </c>
      <c r="D1199" s="229">
        <v>31.5</v>
      </c>
      <c r="E1199" s="229">
        <v>35.0</v>
      </c>
      <c r="F1199" s="230">
        <v>3.0</v>
      </c>
      <c r="G1199" s="232"/>
    </row>
    <row r="1200">
      <c r="A1200" s="2"/>
      <c r="B1200" s="168" t="s">
        <v>230</v>
      </c>
      <c r="C1200" s="168" t="s">
        <v>1474</v>
      </c>
      <c r="D1200" s="229">
        <v>16.5</v>
      </c>
      <c r="E1200" s="229">
        <v>20.0</v>
      </c>
      <c r="F1200" s="230">
        <v>3.0</v>
      </c>
      <c r="G1200" s="232"/>
    </row>
    <row r="1201">
      <c r="A1201" s="2"/>
      <c r="B1201" s="168" t="s">
        <v>230</v>
      </c>
      <c r="C1201" s="168" t="s">
        <v>1475</v>
      </c>
      <c r="D1201" s="229">
        <v>16.5</v>
      </c>
      <c r="E1201" s="229">
        <v>20.0</v>
      </c>
      <c r="F1201" s="230">
        <v>3.0</v>
      </c>
      <c r="G1201" s="232"/>
    </row>
    <row r="1202">
      <c r="A1202" s="2"/>
      <c r="B1202" s="168" t="s">
        <v>290</v>
      </c>
      <c r="C1202" s="168" t="s">
        <v>1476</v>
      </c>
      <c r="D1202" s="229">
        <v>29.5</v>
      </c>
      <c r="E1202" s="229">
        <v>33.0</v>
      </c>
      <c r="F1202" s="230">
        <v>3.0</v>
      </c>
      <c r="G1202" s="232"/>
    </row>
    <row r="1203">
      <c r="A1203" s="2"/>
      <c r="B1203" s="168" t="s">
        <v>1311</v>
      </c>
      <c r="C1203" s="168" t="s">
        <v>1477</v>
      </c>
      <c r="D1203" s="229">
        <v>28.5</v>
      </c>
      <c r="E1203" s="229">
        <v>32.0</v>
      </c>
      <c r="F1203" s="230">
        <v>3.0</v>
      </c>
      <c r="G1203" s="232"/>
    </row>
    <row r="1204">
      <c r="A1204" s="2"/>
      <c r="B1204" s="168" t="s">
        <v>377</v>
      </c>
      <c r="C1204" s="168" t="s">
        <v>1478</v>
      </c>
      <c r="D1204" s="229">
        <v>29.5</v>
      </c>
      <c r="E1204" s="229">
        <v>33.0</v>
      </c>
      <c r="F1204" s="230">
        <v>3.0</v>
      </c>
      <c r="G1204" s="232"/>
    </row>
    <row r="1205">
      <c r="A1205" s="2"/>
      <c r="B1205" s="168" t="s">
        <v>241</v>
      </c>
      <c r="C1205" s="168" t="s">
        <v>1479</v>
      </c>
      <c r="D1205" s="229">
        <v>27.5</v>
      </c>
      <c r="E1205" s="229">
        <v>31.0</v>
      </c>
      <c r="F1205" s="230">
        <v>3.0</v>
      </c>
      <c r="G1205" s="232"/>
    </row>
    <row r="1206">
      <c r="A1206" s="2"/>
      <c r="B1206" s="168" t="s">
        <v>290</v>
      </c>
      <c r="C1206" s="168" t="s">
        <v>1480</v>
      </c>
      <c r="D1206" s="229">
        <v>29.5</v>
      </c>
      <c r="E1206" s="229">
        <v>33.0</v>
      </c>
      <c r="F1206" s="230">
        <v>3.0</v>
      </c>
      <c r="G1206" s="232"/>
    </row>
    <row r="1207">
      <c r="A1207" s="2"/>
      <c r="B1207" s="168" t="s">
        <v>217</v>
      </c>
      <c r="C1207" s="168" t="s">
        <v>1481</v>
      </c>
      <c r="D1207" s="229">
        <v>27.5</v>
      </c>
      <c r="E1207" s="229">
        <v>31.0</v>
      </c>
      <c r="F1207" s="230">
        <v>3.0</v>
      </c>
      <c r="G1207" s="232"/>
    </row>
    <row r="1208">
      <c r="A1208" s="2"/>
      <c r="B1208" s="168" t="s">
        <v>296</v>
      </c>
      <c r="C1208" s="168" t="s">
        <v>1482</v>
      </c>
      <c r="D1208" s="229">
        <v>26.5</v>
      </c>
      <c r="E1208" s="229">
        <v>30.0</v>
      </c>
      <c r="F1208" s="230">
        <v>3.0</v>
      </c>
      <c r="G1208" s="232"/>
    </row>
    <row r="1209">
      <c r="A1209" s="2"/>
      <c r="B1209" s="168" t="s">
        <v>377</v>
      </c>
      <c r="C1209" s="168" t="s">
        <v>1483</v>
      </c>
      <c r="D1209" s="229">
        <v>29.5</v>
      </c>
      <c r="E1209" s="229">
        <v>33.0</v>
      </c>
      <c r="F1209" s="230">
        <v>3.0</v>
      </c>
      <c r="G1209" s="232"/>
    </row>
    <row r="1210">
      <c r="A1210" s="2"/>
      <c r="B1210" s="168" t="s">
        <v>438</v>
      </c>
      <c r="C1210" s="168" t="s">
        <v>1484</v>
      </c>
      <c r="D1210" s="229">
        <v>29.5</v>
      </c>
      <c r="E1210" s="229">
        <v>33.0</v>
      </c>
      <c r="F1210" s="230">
        <v>3.0</v>
      </c>
      <c r="G1210" s="232"/>
    </row>
    <row r="1211">
      <c r="A1211" s="2"/>
      <c r="B1211" s="168" t="s">
        <v>290</v>
      </c>
      <c r="C1211" s="168" t="s">
        <v>1485</v>
      </c>
      <c r="D1211" s="229">
        <v>29.5</v>
      </c>
      <c r="E1211" s="229">
        <v>33.0</v>
      </c>
      <c r="F1211" s="230">
        <v>3.0</v>
      </c>
      <c r="G1211" s="232"/>
    </row>
    <row r="1212">
      <c r="A1212" s="2"/>
      <c r="B1212" s="168" t="s">
        <v>221</v>
      </c>
      <c r="C1212" s="168" t="s">
        <v>1486</v>
      </c>
      <c r="D1212" s="229">
        <v>27.5</v>
      </c>
      <c r="E1212" s="229">
        <v>31.0</v>
      </c>
      <c r="F1212" s="230">
        <v>3.0</v>
      </c>
      <c r="G1212" s="232"/>
    </row>
    <row r="1213">
      <c r="A1213" s="2"/>
      <c r="B1213" s="168" t="s">
        <v>300</v>
      </c>
      <c r="C1213" s="168" t="s">
        <v>1487</v>
      </c>
      <c r="D1213" s="229">
        <v>28.5</v>
      </c>
      <c r="E1213" s="229">
        <v>32.0</v>
      </c>
      <c r="F1213" s="230">
        <v>3.0</v>
      </c>
      <c r="G1213" s="232"/>
    </row>
    <row r="1214">
      <c r="A1214" s="2"/>
      <c r="B1214" s="168" t="s">
        <v>288</v>
      </c>
      <c r="C1214" s="168" t="s">
        <v>1488</v>
      </c>
      <c r="D1214" s="229">
        <v>21.5</v>
      </c>
      <c r="E1214" s="229">
        <v>25.0</v>
      </c>
      <c r="F1214" s="230">
        <v>3.0</v>
      </c>
      <c r="G1214" s="232"/>
    </row>
    <row r="1215">
      <c r="A1215" s="2"/>
      <c r="B1215" s="168" t="s">
        <v>230</v>
      </c>
      <c r="C1215" s="168" t="s">
        <v>1489</v>
      </c>
      <c r="D1215" s="229">
        <v>21.5</v>
      </c>
      <c r="E1215" s="229">
        <v>25.0</v>
      </c>
      <c r="F1215" s="230">
        <v>3.0</v>
      </c>
      <c r="G1215" s="232"/>
    </row>
    <row r="1216">
      <c r="A1216" s="2"/>
      <c r="B1216" s="168" t="s">
        <v>232</v>
      </c>
      <c r="C1216" s="168" t="s">
        <v>1490</v>
      </c>
      <c r="D1216" s="229">
        <v>32.5</v>
      </c>
      <c r="E1216" s="229">
        <v>36.0</v>
      </c>
      <c r="F1216" s="230">
        <v>3.0</v>
      </c>
      <c r="G1216" s="232"/>
    </row>
    <row r="1217">
      <c r="A1217" s="2"/>
      <c r="B1217" s="168" t="s">
        <v>230</v>
      </c>
      <c r="C1217" s="168" t="s">
        <v>1491</v>
      </c>
      <c r="D1217" s="229">
        <v>21.5</v>
      </c>
      <c r="E1217" s="229">
        <v>25.0</v>
      </c>
      <c r="F1217" s="230">
        <v>3.0</v>
      </c>
      <c r="G1217" s="232"/>
    </row>
    <row r="1218">
      <c r="A1218" s="2"/>
      <c r="B1218" s="168" t="s">
        <v>328</v>
      </c>
      <c r="C1218" s="168" t="s">
        <v>1492</v>
      </c>
      <c r="D1218" s="229">
        <v>34.5</v>
      </c>
      <c r="E1218" s="229">
        <v>38.0</v>
      </c>
      <c r="F1218" s="230">
        <v>3.0</v>
      </c>
      <c r="G1218" s="232"/>
    </row>
    <row r="1219">
      <c r="A1219" s="2"/>
      <c r="B1219" s="168" t="s">
        <v>937</v>
      </c>
      <c r="C1219" s="168" t="s">
        <v>1493</v>
      </c>
      <c r="D1219" s="229">
        <v>21.5</v>
      </c>
      <c r="E1219" s="229">
        <v>25.0</v>
      </c>
      <c r="F1219" s="230">
        <v>3.0</v>
      </c>
      <c r="G1219" s="232"/>
    </row>
    <row r="1220">
      <c r="A1220" s="2"/>
      <c r="B1220" s="168" t="s">
        <v>232</v>
      </c>
      <c r="C1220" s="168" t="s">
        <v>1494</v>
      </c>
      <c r="D1220" s="229">
        <v>25.5</v>
      </c>
      <c r="E1220" s="229">
        <v>29.0</v>
      </c>
      <c r="F1220" s="230">
        <v>3.0</v>
      </c>
      <c r="G1220" s="232"/>
    </row>
    <row r="1221">
      <c r="A1221" s="2"/>
      <c r="B1221" s="168" t="s">
        <v>217</v>
      </c>
      <c r="C1221" s="168" t="s">
        <v>1495</v>
      </c>
      <c r="D1221" s="229">
        <v>27.5</v>
      </c>
      <c r="E1221" s="229">
        <v>31.0</v>
      </c>
      <c r="F1221" s="230">
        <v>3.0</v>
      </c>
      <c r="G1221" s="232"/>
    </row>
    <row r="1222">
      <c r="A1222" s="2"/>
      <c r="B1222" s="168" t="s">
        <v>332</v>
      </c>
      <c r="C1222" s="168" t="s">
        <v>1496</v>
      </c>
      <c r="D1222" s="229">
        <v>28.5</v>
      </c>
      <c r="E1222" s="229">
        <v>32.0</v>
      </c>
      <c r="F1222" s="230">
        <v>3.0</v>
      </c>
      <c r="G1222" s="232"/>
    </row>
    <row r="1223">
      <c r="A1223" s="2"/>
      <c r="B1223" s="168" t="s">
        <v>245</v>
      </c>
      <c r="C1223" s="168" t="s">
        <v>1497</v>
      </c>
      <c r="D1223" s="229">
        <v>29.5</v>
      </c>
      <c r="E1223" s="229">
        <v>33.0</v>
      </c>
      <c r="F1223" s="230">
        <v>3.0</v>
      </c>
      <c r="G1223" s="232"/>
    </row>
    <row r="1224">
      <c r="A1224" s="2"/>
      <c r="B1224" s="168" t="s">
        <v>413</v>
      </c>
      <c r="C1224" s="168" t="s">
        <v>1498</v>
      </c>
      <c r="D1224" s="229">
        <v>29.5</v>
      </c>
      <c r="E1224" s="229">
        <v>33.0</v>
      </c>
      <c r="F1224" s="230">
        <v>3.0</v>
      </c>
      <c r="G1224" s="232"/>
    </row>
    <row r="1225">
      <c r="A1225" s="2"/>
      <c r="B1225" s="168" t="s">
        <v>255</v>
      </c>
      <c r="C1225" s="168" t="s">
        <v>1499</v>
      </c>
      <c r="D1225" s="229">
        <v>31.5</v>
      </c>
      <c r="E1225" s="229">
        <v>35.0</v>
      </c>
      <c r="F1225" s="230">
        <v>3.0</v>
      </c>
      <c r="G1225" s="232"/>
    </row>
    <row r="1226">
      <c r="A1226" s="2"/>
      <c r="B1226" s="168" t="s">
        <v>234</v>
      </c>
      <c r="C1226" s="168" t="s">
        <v>1500</v>
      </c>
      <c r="D1226" s="229">
        <v>24.5</v>
      </c>
      <c r="E1226" s="229">
        <v>28.0</v>
      </c>
      <c r="F1226" s="230">
        <v>3.0</v>
      </c>
      <c r="G1226" s="232"/>
    </row>
    <row r="1227">
      <c r="A1227" s="2"/>
      <c r="B1227" s="168" t="s">
        <v>234</v>
      </c>
      <c r="C1227" s="168" t="s">
        <v>1501</v>
      </c>
      <c r="D1227" s="229">
        <v>29.5</v>
      </c>
      <c r="E1227" s="229">
        <v>33.0</v>
      </c>
      <c r="F1227" s="230">
        <v>3.0</v>
      </c>
      <c r="G1227" s="232"/>
    </row>
    <row r="1228">
      <c r="A1228" s="2"/>
      <c r="B1228" s="168" t="s">
        <v>266</v>
      </c>
      <c r="C1228" s="168" t="s">
        <v>266</v>
      </c>
      <c r="D1228" s="229">
        <v>33.0</v>
      </c>
      <c r="E1228" s="229">
        <v>33.0</v>
      </c>
      <c r="F1228" s="230">
        <v>3.0</v>
      </c>
      <c r="G1228" s="232"/>
    </row>
    <row r="1229">
      <c r="A1229" s="2"/>
      <c r="B1229" s="168" t="s">
        <v>257</v>
      </c>
      <c r="C1229" s="168" t="s">
        <v>1502</v>
      </c>
      <c r="D1229" s="229">
        <v>28.5</v>
      </c>
      <c r="E1229" s="229">
        <v>32.0</v>
      </c>
      <c r="F1229" s="230">
        <v>3.0</v>
      </c>
      <c r="G1229" s="232"/>
    </row>
    <row r="1230">
      <c r="A1230" s="2"/>
      <c r="B1230" s="168" t="s">
        <v>296</v>
      </c>
      <c r="C1230" s="168" t="s">
        <v>1503</v>
      </c>
      <c r="D1230" s="229">
        <v>26.5</v>
      </c>
      <c r="E1230" s="229">
        <v>30.0</v>
      </c>
      <c r="F1230" s="230">
        <v>3.0</v>
      </c>
      <c r="G1230" s="232"/>
    </row>
    <row r="1231">
      <c r="A1231" s="2"/>
      <c r="B1231" s="168" t="s">
        <v>241</v>
      </c>
      <c r="C1231" s="168" t="s">
        <v>1504</v>
      </c>
      <c r="D1231" s="229">
        <v>32.5</v>
      </c>
      <c r="E1231" s="229">
        <v>36.0</v>
      </c>
      <c r="F1231" s="230">
        <v>3.0</v>
      </c>
      <c r="G1231" s="232"/>
    </row>
    <row r="1232">
      <c r="A1232" s="2"/>
      <c r="B1232" s="168" t="s">
        <v>332</v>
      </c>
      <c r="C1232" s="168" t="s">
        <v>1505</v>
      </c>
      <c r="D1232" s="229">
        <v>28.5</v>
      </c>
      <c r="E1232" s="229">
        <v>32.0</v>
      </c>
      <c r="F1232" s="230">
        <v>3.0</v>
      </c>
      <c r="G1232" s="232"/>
    </row>
    <row r="1233">
      <c r="A1233" s="2"/>
      <c r="B1233" s="168" t="s">
        <v>241</v>
      </c>
      <c r="C1233" s="168" t="s">
        <v>1506</v>
      </c>
      <c r="D1233" s="229">
        <v>27.5</v>
      </c>
      <c r="E1233" s="229">
        <v>31.0</v>
      </c>
      <c r="F1233" s="230">
        <v>3.0</v>
      </c>
      <c r="G1233" s="232"/>
    </row>
    <row r="1234">
      <c r="A1234" s="2"/>
      <c r="B1234" s="168" t="s">
        <v>232</v>
      </c>
      <c r="C1234" s="168" t="s">
        <v>1507</v>
      </c>
      <c r="D1234" s="229">
        <v>32.5</v>
      </c>
      <c r="E1234" s="229">
        <v>36.0</v>
      </c>
      <c r="F1234" s="230">
        <v>3.0</v>
      </c>
      <c r="G1234" s="232"/>
    </row>
    <row r="1235">
      <c r="A1235" s="2"/>
      <c r="B1235" s="168" t="s">
        <v>302</v>
      </c>
      <c r="C1235" s="168" t="s">
        <v>1508</v>
      </c>
      <c r="D1235" s="229">
        <v>34.5</v>
      </c>
      <c r="E1235" s="229">
        <v>38.0</v>
      </c>
      <c r="F1235" s="230">
        <v>3.0</v>
      </c>
      <c r="G1235" s="232"/>
    </row>
    <row r="1236">
      <c r="A1236" s="2"/>
      <c r="B1236" s="168" t="s">
        <v>257</v>
      </c>
      <c r="C1236" s="168" t="s">
        <v>1509</v>
      </c>
      <c r="D1236" s="229">
        <v>28.5</v>
      </c>
      <c r="E1236" s="229">
        <v>32.0</v>
      </c>
      <c r="F1236" s="230">
        <v>3.0</v>
      </c>
      <c r="G1236" s="232"/>
    </row>
    <row r="1237">
      <c r="A1237" s="2"/>
      <c r="B1237" s="168" t="s">
        <v>296</v>
      </c>
      <c r="C1237" s="168" t="s">
        <v>1510</v>
      </c>
      <c r="D1237" s="229">
        <v>26.5</v>
      </c>
      <c r="E1237" s="229">
        <v>30.0</v>
      </c>
      <c r="F1237" s="230">
        <v>3.0</v>
      </c>
      <c r="G1237" s="232"/>
    </row>
    <row r="1238">
      <c r="A1238" s="2"/>
      <c r="B1238" s="168" t="s">
        <v>239</v>
      </c>
      <c r="C1238" s="168" t="s">
        <v>1511</v>
      </c>
      <c r="D1238" s="229">
        <v>29.5</v>
      </c>
      <c r="E1238" s="229">
        <v>33.0</v>
      </c>
      <c r="F1238" s="230">
        <v>3.0</v>
      </c>
      <c r="G1238" s="232"/>
    </row>
    <row r="1239">
      <c r="A1239" s="2"/>
      <c r="B1239" s="168" t="s">
        <v>328</v>
      </c>
      <c r="C1239" s="168" t="s">
        <v>1512</v>
      </c>
      <c r="D1239" s="229">
        <v>34.5</v>
      </c>
      <c r="E1239" s="229">
        <v>38.0</v>
      </c>
      <c r="F1239" s="230">
        <v>3.0</v>
      </c>
      <c r="G1239" s="232"/>
    </row>
    <row r="1240">
      <c r="A1240" s="2"/>
      <c r="B1240" s="168" t="s">
        <v>269</v>
      </c>
      <c r="C1240" s="168" t="s">
        <v>1513</v>
      </c>
      <c r="D1240" s="229">
        <v>26.5</v>
      </c>
      <c r="E1240" s="229">
        <v>30.0</v>
      </c>
      <c r="F1240" s="230">
        <v>3.0</v>
      </c>
      <c r="G1240" s="232"/>
    </row>
    <row r="1241">
      <c r="A1241" s="2"/>
      <c r="B1241" s="168" t="s">
        <v>1432</v>
      </c>
      <c r="C1241" s="168" t="s">
        <v>1514</v>
      </c>
      <c r="D1241" s="229">
        <v>26.5</v>
      </c>
      <c r="E1241" s="229">
        <v>30.0</v>
      </c>
      <c r="F1241" s="230">
        <v>3.0</v>
      </c>
      <c r="G1241" s="232"/>
    </row>
    <row r="1242">
      <c r="A1242" s="2"/>
      <c r="B1242" s="168" t="s">
        <v>341</v>
      </c>
      <c r="C1242" s="168" t="s">
        <v>1515</v>
      </c>
      <c r="D1242" s="229">
        <v>29.0</v>
      </c>
      <c r="E1242" s="229">
        <v>29.0</v>
      </c>
      <c r="F1242" s="230">
        <v>3.0</v>
      </c>
      <c r="G1242" s="232"/>
    </row>
    <row r="1243">
      <c r="A1243" s="2"/>
      <c r="B1243" s="168" t="s">
        <v>241</v>
      </c>
      <c r="C1243" s="168" t="s">
        <v>1516</v>
      </c>
      <c r="D1243" s="229">
        <v>32.5</v>
      </c>
      <c r="E1243" s="229">
        <v>36.0</v>
      </c>
      <c r="F1243" s="230">
        <v>3.0</v>
      </c>
      <c r="G1243" s="232"/>
    </row>
    <row r="1244">
      <c r="A1244" s="2"/>
      <c r="B1244" s="168" t="s">
        <v>288</v>
      </c>
      <c r="C1244" s="168" t="s">
        <v>1517</v>
      </c>
      <c r="D1244" s="229">
        <v>21.5</v>
      </c>
      <c r="E1244" s="229">
        <v>25.0</v>
      </c>
      <c r="F1244" s="230">
        <v>3.0</v>
      </c>
      <c r="G1244" s="232"/>
    </row>
    <row r="1245">
      <c r="A1245" s="2"/>
      <c r="B1245" s="168" t="s">
        <v>255</v>
      </c>
      <c r="C1245" s="168" t="s">
        <v>1518</v>
      </c>
      <c r="D1245" s="229">
        <v>31.5</v>
      </c>
      <c r="E1245" s="229">
        <v>35.0</v>
      </c>
      <c r="F1245" s="230">
        <v>3.0</v>
      </c>
      <c r="G1245" s="232"/>
    </row>
    <row r="1246">
      <c r="A1246" s="2"/>
      <c r="B1246" s="168" t="s">
        <v>230</v>
      </c>
      <c r="C1246" s="168" t="s">
        <v>1519</v>
      </c>
      <c r="D1246" s="229">
        <v>21.5</v>
      </c>
      <c r="E1246" s="229">
        <v>25.0</v>
      </c>
      <c r="F1246" s="230">
        <v>3.0</v>
      </c>
      <c r="G1246" s="232"/>
    </row>
    <row r="1247">
      <c r="A1247" s="2"/>
      <c r="B1247" s="168" t="s">
        <v>230</v>
      </c>
      <c r="C1247" s="168" t="s">
        <v>1520</v>
      </c>
      <c r="D1247" s="229">
        <v>21.5</v>
      </c>
      <c r="E1247" s="229">
        <v>25.0</v>
      </c>
      <c r="F1247" s="230">
        <v>3.0</v>
      </c>
      <c r="G1247" s="232"/>
    </row>
    <row r="1248">
      <c r="A1248" s="2"/>
      <c r="B1248" s="168" t="s">
        <v>273</v>
      </c>
      <c r="C1248" s="168" t="s">
        <v>1521</v>
      </c>
      <c r="D1248" s="229">
        <v>24.5</v>
      </c>
      <c r="E1248" s="229">
        <v>28.0</v>
      </c>
      <c r="F1248" s="230">
        <v>3.0</v>
      </c>
      <c r="G1248" s="232"/>
    </row>
    <row r="1249">
      <c r="A1249" s="2"/>
      <c r="B1249" s="168" t="s">
        <v>413</v>
      </c>
      <c r="C1249" s="168" t="s">
        <v>1522</v>
      </c>
      <c r="D1249" s="229">
        <v>29.5</v>
      </c>
      <c r="E1249" s="229">
        <v>33.0</v>
      </c>
      <c r="F1249" s="230">
        <v>3.0</v>
      </c>
      <c r="G1249" s="232"/>
    </row>
    <row r="1250">
      <c r="A1250" s="2"/>
      <c r="B1250" s="168" t="s">
        <v>223</v>
      </c>
      <c r="C1250" s="168" t="s">
        <v>1523</v>
      </c>
      <c r="D1250" s="229">
        <v>26.5</v>
      </c>
      <c r="E1250" s="229">
        <v>30.0</v>
      </c>
      <c r="F1250" s="230">
        <v>3.0</v>
      </c>
      <c r="G1250" s="232"/>
    </row>
    <row r="1251">
      <c r="A1251" s="2"/>
      <c r="B1251" s="168" t="s">
        <v>241</v>
      </c>
      <c r="C1251" s="168" t="s">
        <v>1524</v>
      </c>
      <c r="D1251" s="229">
        <v>32.5</v>
      </c>
      <c r="E1251" s="229">
        <v>36.0</v>
      </c>
      <c r="F1251" s="230">
        <v>3.0</v>
      </c>
      <c r="G1251" s="232"/>
    </row>
    <row r="1252">
      <c r="A1252" s="2"/>
      <c r="B1252" s="168" t="s">
        <v>223</v>
      </c>
      <c r="C1252" s="168" t="s">
        <v>1525</v>
      </c>
      <c r="D1252" s="229">
        <v>26.5</v>
      </c>
      <c r="E1252" s="229">
        <v>30.0</v>
      </c>
      <c r="F1252" s="230">
        <v>3.0</v>
      </c>
      <c r="G1252" s="232"/>
    </row>
    <row r="1253">
      <c r="A1253" s="2"/>
      <c r="B1253" s="168" t="s">
        <v>337</v>
      </c>
      <c r="C1253" s="168" t="s">
        <v>1526</v>
      </c>
      <c r="D1253" s="229">
        <v>28.5</v>
      </c>
      <c r="E1253" s="229">
        <v>32.0</v>
      </c>
      <c r="F1253" s="230">
        <v>3.0</v>
      </c>
      <c r="G1253" s="232"/>
    </row>
    <row r="1254">
      <c r="A1254" s="2"/>
      <c r="B1254" s="168" t="s">
        <v>345</v>
      </c>
      <c r="C1254" s="168" t="s">
        <v>1527</v>
      </c>
      <c r="D1254" s="229">
        <v>26.5</v>
      </c>
      <c r="E1254" s="229">
        <v>30.0</v>
      </c>
      <c r="F1254" s="230">
        <v>3.0</v>
      </c>
      <c r="G1254" s="232"/>
    </row>
    <row r="1255">
      <c r="A1255" s="2"/>
      <c r="B1255" s="168" t="s">
        <v>245</v>
      </c>
      <c r="C1255" s="168" t="s">
        <v>1528</v>
      </c>
      <c r="D1255" s="229">
        <v>29.5</v>
      </c>
      <c r="E1255" s="229">
        <v>33.0</v>
      </c>
      <c r="F1255" s="230">
        <v>3.0</v>
      </c>
      <c r="G1255" s="232"/>
    </row>
    <row r="1256">
      <c r="A1256" s="2"/>
      <c r="B1256" s="168" t="s">
        <v>328</v>
      </c>
      <c r="C1256" s="168" t="s">
        <v>1529</v>
      </c>
      <c r="D1256" s="229">
        <v>34.5</v>
      </c>
      <c r="E1256" s="229">
        <v>38.0</v>
      </c>
      <c r="F1256" s="230">
        <v>3.0</v>
      </c>
      <c r="G1256" s="232"/>
    </row>
    <row r="1257">
      <c r="A1257" s="2"/>
      <c r="B1257" s="168" t="s">
        <v>241</v>
      </c>
      <c r="C1257" s="168" t="s">
        <v>1530</v>
      </c>
      <c r="D1257" s="229">
        <v>28.5</v>
      </c>
      <c r="E1257" s="229">
        <v>32.0</v>
      </c>
      <c r="F1257" s="230">
        <v>3.0</v>
      </c>
      <c r="G1257" s="232"/>
    </row>
    <row r="1258">
      <c r="A1258" s="2"/>
      <c r="B1258" s="168" t="s">
        <v>221</v>
      </c>
      <c r="C1258" s="168" t="s">
        <v>1531</v>
      </c>
      <c r="D1258" s="229">
        <v>27.5</v>
      </c>
      <c r="E1258" s="229">
        <v>31.0</v>
      </c>
      <c r="F1258" s="230">
        <v>3.0</v>
      </c>
      <c r="G1258" s="232"/>
    </row>
    <row r="1259">
      <c r="A1259" s="2"/>
      <c r="B1259" s="168" t="s">
        <v>332</v>
      </c>
      <c r="C1259" s="168" t="s">
        <v>1532</v>
      </c>
      <c r="D1259" s="229">
        <v>28.5</v>
      </c>
      <c r="E1259" s="229">
        <v>32.0</v>
      </c>
      <c r="F1259" s="230">
        <v>3.0</v>
      </c>
      <c r="G1259" s="232"/>
    </row>
    <row r="1260">
      <c r="A1260" s="2"/>
      <c r="B1260" s="168" t="s">
        <v>302</v>
      </c>
      <c r="C1260" s="168" t="s">
        <v>1533</v>
      </c>
      <c r="D1260" s="229">
        <v>34.5</v>
      </c>
      <c r="E1260" s="229">
        <v>38.0</v>
      </c>
      <c r="F1260" s="230">
        <v>3.0</v>
      </c>
      <c r="G1260" s="232"/>
    </row>
    <row r="1261">
      <c r="A1261" s="2"/>
      <c r="B1261" s="168" t="s">
        <v>239</v>
      </c>
      <c r="C1261" s="168" t="s">
        <v>1534</v>
      </c>
      <c r="D1261" s="229">
        <v>29.5</v>
      </c>
      <c r="E1261" s="229">
        <v>33.0</v>
      </c>
      <c r="F1261" s="230">
        <v>3.0</v>
      </c>
      <c r="G1261" s="232"/>
    </row>
    <row r="1262">
      <c r="A1262" s="2"/>
      <c r="B1262" s="168" t="s">
        <v>285</v>
      </c>
      <c r="C1262" s="168" t="s">
        <v>1535</v>
      </c>
      <c r="D1262" s="229">
        <v>22.0</v>
      </c>
      <c r="E1262" s="229">
        <v>25.5</v>
      </c>
      <c r="F1262" s="230">
        <v>3.0</v>
      </c>
      <c r="G1262" s="232"/>
    </row>
    <row r="1263">
      <c r="A1263" s="2"/>
      <c r="B1263" s="168" t="s">
        <v>332</v>
      </c>
      <c r="C1263" s="168" t="s">
        <v>1536</v>
      </c>
      <c r="D1263" s="229">
        <v>28.0</v>
      </c>
      <c r="E1263" s="229">
        <v>31.5</v>
      </c>
      <c r="F1263" s="230">
        <v>3.0</v>
      </c>
      <c r="G1263" s="232"/>
    </row>
    <row r="1264">
      <c r="A1264" s="2"/>
      <c r="B1264" s="168" t="s">
        <v>241</v>
      </c>
      <c r="C1264" s="168" t="s">
        <v>1537</v>
      </c>
      <c r="D1264" s="229">
        <v>32.5</v>
      </c>
      <c r="E1264" s="229">
        <v>36.0</v>
      </c>
      <c r="F1264" s="230">
        <v>3.0</v>
      </c>
      <c r="G1264" s="232"/>
    </row>
    <row r="1265">
      <c r="A1265" s="2"/>
      <c r="B1265" s="168" t="s">
        <v>377</v>
      </c>
      <c r="C1265" s="168" t="s">
        <v>1538</v>
      </c>
      <c r="D1265" s="229">
        <v>29.5</v>
      </c>
      <c r="E1265" s="229">
        <v>33.0</v>
      </c>
      <c r="F1265" s="230">
        <v>3.0</v>
      </c>
      <c r="G1265" s="232"/>
    </row>
    <row r="1266">
      <c r="A1266" s="2"/>
      <c r="B1266" s="168" t="s">
        <v>217</v>
      </c>
      <c r="C1266" s="168" t="s">
        <v>1539</v>
      </c>
      <c r="D1266" s="229">
        <v>27.5</v>
      </c>
      <c r="E1266" s="229">
        <v>31.0</v>
      </c>
      <c r="F1266" s="230">
        <v>3.0</v>
      </c>
      <c r="G1266" s="232"/>
    </row>
    <row r="1267">
      <c r="A1267" s="2"/>
      <c r="B1267" s="168" t="s">
        <v>234</v>
      </c>
      <c r="C1267" s="168" t="s">
        <v>1540</v>
      </c>
      <c r="D1267" s="229">
        <v>29.5</v>
      </c>
      <c r="E1267" s="229">
        <v>33.0</v>
      </c>
      <c r="F1267" s="230">
        <v>3.0</v>
      </c>
      <c r="G1267" s="232"/>
    </row>
    <row r="1268">
      <c r="A1268" s="2"/>
      <c r="B1268" s="168" t="s">
        <v>230</v>
      </c>
      <c r="C1268" s="168" t="s">
        <v>1541</v>
      </c>
      <c r="D1268" s="229">
        <v>16.5</v>
      </c>
      <c r="E1268" s="229">
        <v>20.0</v>
      </c>
      <c r="F1268" s="230">
        <v>3.0</v>
      </c>
      <c r="G1268" s="232"/>
    </row>
    <row r="1269">
      <c r="A1269" s="2"/>
      <c r="B1269" s="168" t="s">
        <v>335</v>
      </c>
      <c r="C1269" s="168" t="s">
        <v>1542</v>
      </c>
      <c r="D1269" s="229">
        <v>34.5</v>
      </c>
      <c r="E1269" s="229">
        <v>38.0</v>
      </c>
      <c r="F1269" s="230">
        <v>3.0</v>
      </c>
      <c r="G1269" s="232"/>
    </row>
    <row r="1270">
      <c r="A1270" s="2"/>
      <c r="B1270" s="168" t="s">
        <v>290</v>
      </c>
      <c r="C1270" s="168" t="s">
        <v>1543</v>
      </c>
      <c r="D1270" s="229">
        <v>29.5</v>
      </c>
      <c r="E1270" s="229">
        <v>33.0</v>
      </c>
      <c r="F1270" s="230">
        <v>3.0</v>
      </c>
      <c r="G1270" s="232"/>
    </row>
    <row r="1271">
      <c r="A1271" s="2"/>
      <c r="B1271" s="168" t="s">
        <v>430</v>
      </c>
      <c r="C1271" s="168" t="s">
        <v>1544</v>
      </c>
      <c r="D1271" s="229">
        <v>34.5</v>
      </c>
      <c r="E1271" s="229">
        <v>38.0</v>
      </c>
      <c r="F1271" s="230">
        <v>3.0</v>
      </c>
      <c r="G1271" s="232"/>
    </row>
    <row r="1272">
      <c r="A1272" s="2"/>
      <c r="B1272" s="168" t="s">
        <v>269</v>
      </c>
      <c r="C1272" s="168" t="s">
        <v>1545</v>
      </c>
      <c r="D1272" s="229">
        <v>26.5</v>
      </c>
      <c r="E1272" s="229">
        <v>30.0</v>
      </c>
      <c r="F1272" s="230">
        <v>3.0</v>
      </c>
      <c r="G1272" s="232"/>
    </row>
    <row r="1273">
      <c r="A1273" s="2"/>
      <c r="B1273" s="168" t="s">
        <v>241</v>
      </c>
      <c r="C1273" s="168" t="s">
        <v>1546</v>
      </c>
      <c r="D1273" s="229">
        <v>32.5</v>
      </c>
      <c r="E1273" s="229">
        <v>36.0</v>
      </c>
      <c r="F1273" s="230">
        <v>3.0</v>
      </c>
      <c r="G1273" s="232"/>
    </row>
    <row r="1274">
      <c r="A1274" s="2"/>
      <c r="B1274" s="168" t="s">
        <v>332</v>
      </c>
      <c r="C1274" s="168" t="s">
        <v>1547</v>
      </c>
      <c r="D1274" s="229">
        <v>28.5</v>
      </c>
      <c r="E1274" s="229">
        <v>32.0</v>
      </c>
      <c r="F1274" s="230">
        <v>3.0</v>
      </c>
      <c r="G1274" s="232"/>
    </row>
    <row r="1275">
      <c r="A1275" s="2"/>
      <c r="B1275" s="168" t="s">
        <v>232</v>
      </c>
      <c r="C1275" s="168" t="s">
        <v>1548</v>
      </c>
      <c r="D1275" s="229">
        <v>30.5</v>
      </c>
      <c r="E1275" s="229">
        <v>34.0</v>
      </c>
      <c r="F1275" s="230">
        <v>3.0</v>
      </c>
      <c r="G1275" s="232"/>
    </row>
    <row r="1276">
      <c r="A1276" s="2"/>
      <c r="B1276" s="168" t="s">
        <v>236</v>
      </c>
      <c r="C1276" s="168" t="s">
        <v>1549</v>
      </c>
      <c r="D1276" s="229">
        <v>34.5</v>
      </c>
      <c r="E1276" s="229">
        <v>38.0</v>
      </c>
      <c r="F1276" s="230">
        <v>3.0</v>
      </c>
      <c r="G1276" s="232"/>
    </row>
    <row r="1277">
      <c r="A1277" s="2"/>
      <c r="B1277" s="168" t="s">
        <v>245</v>
      </c>
      <c r="C1277" s="168" t="s">
        <v>1550</v>
      </c>
      <c r="D1277" s="229">
        <v>29.5</v>
      </c>
      <c r="E1277" s="229">
        <v>33.0</v>
      </c>
      <c r="F1277" s="230">
        <v>3.0</v>
      </c>
      <c r="G1277" s="232"/>
    </row>
    <row r="1278">
      <c r="A1278" s="2"/>
      <c r="B1278" s="168" t="s">
        <v>232</v>
      </c>
      <c r="C1278" s="168" t="s">
        <v>1551</v>
      </c>
      <c r="D1278" s="229">
        <v>27.5</v>
      </c>
      <c r="E1278" s="229">
        <v>31.0</v>
      </c>
      <c r="F1278" s="230">
        <v>3.0</v>
      </c>
      <c r="G1278" s="232"/>
    </row>
    <row r="1279">
      <c r="A1279" s="2"/>
      <c r="B1279" s="168" t="s">
        <v>288</v>
      </c>
      <c r="C1279" s="168" t="s">
        <v>1552</v>
      </c>
      <c r="D1279" s="229">
        <v>16.5</v>
      </c>
      <c r="E1279" s="229">
        <v>20.0</v>
      </c>
      <c r="F1279" s="230">
        <v>3.0</v>
      </c>
      <c r="G1279" s="232"/>
    </row>
    <row r="1280">
      <c r="A1280" s="2"/>
      <c r="B1280" s="168" t="s">
        <v>232</v>
      </c>
      <c r="C1280" s="168" t="s">
        <v>1553</v>
      </c>
      <c r="D1280" s="229">
        <v>25.5</v>
      </c>
      <c r="E1280" s="229">
        <v>29.0</v>
      </c>
      <c r="F1280" s="230">
        <v>3.0</v>
      </c>
      <c r="G1280" s="232"/>
    </row>
    <row r="1281">
      <c r="A1281" s="2"/>
      <c r="B1281" s="168" t="s">
        <v>223</v>
      </c>
      <c r="C1281" s="168" t="s">
        <v>1554</v>
      </c>
      <c r="D1281" s="229">
        <v>26.5</v>
      </c>
      <c r="E1281" s="229">
        <v>30.0</v>
      </c>
      <c r="F1281" s="230">
        <v>3.0</v>
      </c>
      <c r="G1281" s="232"/>
    </row>
    <row r="1282">
      <c r="A1282" s="2"/>
      <c r="B1282" s="168" t="s">
        <v>230</v>
      </c>
      <c r="C1282" s="168" t="s">
        <v>1555</v>
      </c>
      <c r="D1282" s="229">
        <v>21.5</v>
      </c>
      <c r="E1282" s="229">
        <v>25.0</v>
      </c>
      <c r="F1282" s="230">
        <v>3.0</v>
      </c>
      <c r="G1282" s="232"/>
    </row>
    <row r="1283">
      <c r="A1283" s="2"/>
      <c r="B1283" s="168" t="s">
        <v>230</v>
      </c>
      <c r="C1283" s="168" t="s">
        <v>1556</v>
      </c>
      <c r="D1283" s="229">
        <v>21.5</v>
      </c>
      <c r="E1283" s="229">
        <v>25.0</v>
      </c>
      <c r="F1283" s="230">
        <v>3.0</v>
      </c>
      <c r="G1283" s="232"/>
    </row>
    <row r="1284">
      <c r="A1284" s="2"/>
      <c r="B1284" s="168" t="s">
        <v>232</v>
      </c>
      <c r="C1284" s="168" t="s">
        <v>1557</v>
      </c>
      <c r="D1284" s="229">
        <v>31.5</v>
      </c>
      <c r="E1284" s="229">
        <v>35.0</v>
      </c>
      <c r="F1284" s="230">
        <v>3.0</v>
      </c>
      <c r="G1284" s="232"/>
    </row>
    <row r="1285">
      <c r="A1285" s="2"/>
      <c r="B1285" s="168" t="s">
        <v>232</v>
      </c>
      <c r="C1285" s="168" t="s">
        <v>1558</v>
      </c>
      <c r="D1285" s="229">
        <v>30.5</v>
      </c>
      <c r="E1285" s="229">
        <v>34.0</v>
      </c>
      <c r="F1285" s="230">
        <v>3.0</v>
      </c>
      <c r="G1285" s="232"/>
    </row>
    <row r="1286">
      <c r="A1286" s="2"/>
      <c r="B1286" s="168" t="s">
        <v>337</v>
      </c>
      <c r="C1286" s="168" t="s">
        <v>1559</v>
      </c>
      <c r="D1286" s="229">
        <v>28.5</v>
      </c>
      <c r="E1286" s="229">
        <v>32.0</v>
      </c>
      <c r="F1286" s="230">
        <v>3.0</v>
      </c>
      <c r="G1286" s="232"/>
    </row>
    <row r="1287">
      <c r="A1287" s="2"/>
      <c r="B1287" s="168" t="s">
        <v>290</v>
      </c>
      <c r="C1287" s="168" t="s">
        <v>1560</v>
      </c>
      <c r="D1287" s="229">
        <v>29.5</v>
      </c>
      <c r="E1287" s="229">
        <v>33.0</v>
      </c>
      <c r="F1287" s="230">
        <v>3.0</v>
      </c>
      <c r="G1287" s="232"/>
    </row>
    <row r="1288">
      <c r="A1288" s="2"/>
      <c r="B1288" s="168" t="s">
        <v>215</v>
      </c>
      <c r="C1288" s="168" t="s">
        <v>1561</v>
      </c>
      <c r="D1288" s="229">
        <v>25.5</v>
      </c>
      <c r="E1288" s="229">
        <v>29.0</v>
      </c>
      <c r="F1288" s="230">
        <v>3.0</v>
      </c>
      <c r="G1288" s="232"/>
    </row>
    <row r="1289">
      <c r="A1289" s="2"/>
      <c r="B1289" s="168" t="s">
        <v>215</v>
      </c>
      <c r="C1289" s="168" t="s">
        <v>1562</v>
      </c>
      <c r="D1289" s="229">
        <v>25.5</v>
      </c>
      <c r="E1289" s="229">
        <v>29.0</v>
      </c>
      <c r="F1289" s="230">
        <v>3.0</v>
      </c>
      <c r="G1289" s="232"/>
    </row>
    <row r="1290">
      <c r="A1290" s="2"/>
      <c r="B1290" s="168" t="s">
        <v>217</v>
      </c>
      <c r="C1290" s="168" t="s">
        <v>1563</v>
      </c>
      <c r="D1290" s="229">
        <v>27.5</v>
      </c>
      <c r="E1290" s="229">
        <v>31.0</v>
      </c>
      <c r="F1290" s="230">
        <v>3.0</v>
      </c>
      <c r="G1290" s="232"/>
    </row>
    <row r="1291">
      <c r="A1291" s="2"/>
      <c r="B1291" s="168" t="s">
        <v>245</v>
      </c>
      <c r="C1291" s="168" t="s">
        <v>1564</v>
      </c>
      <c r="D1291" s="229">
        <v>29.0</v>
      </c>
      <c r="E1291" s="229">
        <v>32.5</v>
      </c>
      <c r="F1291" s="230">
        <v>3.0</v>
      </c>
      <c r="G1291" s="232"/>
    </row>
    <row r="1292">
      <c r="A1292" s="2"/>
      <c r="B1292" s="168" t="s">
        <v>345</v>
      </c>
      <c r="C1292" s="168" t="s">
        <v>1565</v>
      </c>
      <c r="D1292" s="229">
        <v>26.5</v>
      </c>
      <c r="E1292" s="229">
        <v>30.0</v>
      </c>
      <c r="F1292" s="230">
        <v>3.0</v>
      </c>
      <c r="G1292" s="232"/>
    </row>
    <row r="1293">
      <c r="A1293" s="2"/>
      <c r="B1293" s="168" t="s">
        <v>219</v>
      </c>
      <c r="C1293" s="168" t="s">
        <v>1566</v>
      </c>
      <c r="D1293" s="229">
        <v>28.5</v>
      </c>
      <c r="E1293" s="229">
        <v>32.0</v>
      </c>
      <c r="F1293" s="230">
        <v>3.0</v>
      </c>
      <c r="G1293" s="232"/>
    </row>
    <row r="1294">
      <c r="A1294" s="2"/>
      <c r="B1294" s="168" t="s">
        <v>232</v>
      </c>
      <c r="C1294" s="168" t="s">
        <v>1567</v>
      </c>
      <c r="D1294" s="229">
        <v>32.5</v>
      </c>
      <c r="E1294" s="229">
        <v>36.0</v>
      </c>
      <c r="F1294" s="230">
        <v>3.0</v>
      </c>
      <c r="G1294" s="232"/>
    </row>
    <row r="1295">
      <c r="A1295" s="2"/>
      <c r="B1295" s="168" t="s">
        <v>296</v>
      </c>
      <c r="C1295" s="168" t="s">
        <v>1568</v>
      </c>
      <c r="D1295" s="229">
        <v>26.5</v>
      </c>
      <c r="E1295" s="229">
        <v>30.0</v>
      </c>
      <c r="F1295" s="230">
        <v>3.0</v>
      </c>
      <c r="G1295" s="232"/>
    </row>
    <row r="1296">
      <c r="A1296" s="2"/>
      <c r="B1296" s="168" t="s">
        <v>215</v>
      </c>
      <c r="C1296" s="168" t="s">
        <v>1569</v>
      </c>
      <c r="D1296" s="229">
        <v>27.5</v>
      </c>
      <c r="E1296" s="229">
        <v>31.0</v>
      </c>
      <c r="F1296" s="230">
        <v>3.0</v>
      </c>
      <c r="G1296" s="232"/>
    </row>
    <row r="1297">
      <c r="A1297" s="2"/>
      <c r="B1297" s="168" t="s">
        <v>296</v>
      </c>
      <c r="C1297" s="168" t="s">
        <v>1570</v>
      </c>
      <c r="D1297" s="229">
        <v>26.5</v>
      </c>
      <c r="E1297" s="229">
        <v>30.0</v>
      </c>
      <c r="F1297" s="230">
        <v>3.0</v>
      </c>
      <c r="G1297" s="232"/>
    </row>
    <row r="1298">
      <c r="A1298" s="2"/>
      <c r="B1298" s="168" t="s">
        <v>290</v>
      </c>
      <c r="C1298" s="168" t="s">
        <v>1571</v>
      </c>
      <c r="D1298" s="229">
        <v>29.5</v>
      </c>
      <c r="E1298" s="229">
        <v>33.0</v>
      </c>
      <c r="F1298" s="230">
        <v>3.0</v>
      </c>
      <c r="G1298" s="232"/>
    </row>
    <row r="1299">
      <c r="A1299" s="2"/>
      <c r="B1299" s="168" t="s">
        <v>247</v>
      </c>
      <c r="C1299" s="168" t="s">
        <v>1572</v>
      </c>
      <c r="D1299" s="229">
        <v>29.5</v>
      </c>
      <c r="E1299" s="229">
        <v>33.0</v>
      </c>
      <c r="F1299" s="230">
        <v>3.0</v>
      </c>
      <c r="G1299" s="232"/>
    </row>
    <row r="1300">
      <c r="A1300" s="2"/>
      <c r="B1300" s="168" t="s">
        <v>381</v>
      </c>
      <c r="C1300" s="168" t="s">
        <v>1573</v>
      </c>
      <c r="D1300" s="229">
        <v>28.5</v>
      </c>
      <c r="E1300" s="229">
        <v>32.0</v>
      </c>
      <c r="F1300" s="230">
        <v>3.0</v>
      </c>
      <c r="G1300" s="232"/>
    </row>
    <row r="1301">
      <c r="A1301" s="2"/>
      <c r="B1301" s="168" t="s">
        <v>217</v>
      </c>
      <c r="C1301" s="168" t="s">
        <v>1574</v>
      </c>
      <c r="D1301" s="229">
        <v>27.5</v>
      </c>
      <c r="E1301" s="229">
        <v>31.0</v>
      </c>
      <c r="F1301" s="230">
        <v>3.0</v>
      </c>
      <c r="G1301" s="232"/>
    </row>
    <row r="1302">
      <c r="A1302" s="2"/>
      <c r="B1302" s="168" t="s">
        <v>239</v>
      </c>
      <c r="C1302" s="168" t="s">
        <v>1575</v>
      </c>
      <c r="D1302" s="229">
        <v>29.5</v>
      </c>
      <c r="E1302" s="229">
        <v>33.0</v>
      </c>
      <c r="F1302" s="230">
        <v>3.0</v>
      </c>
      <c r="G1302" s="232"/>
    </row>
    <row r="1303">
      <c r="A1303" s="2"/>
      <c r="B1303" s="168" t="s">
        <v>232</v>
      </c>
      <c r="C1303" s="168" t="s">
        <v>1576</v>
      </c>
      <c r="D1303" s="229">
        <v>25.0</v>
      </c>
      <c r="E1303" s="229">
        <v>28.5</v>
      </c>
      <c r="F1303" s="230">
        <v>3.0</v>
      </c>
      <c r="G1303" s="232"/>
    </row>
    <row r="1304">
      <c r="A1304" s="2"/>
      <c r="B1304" s="168" t="s">
        <v>302</v>
      </c>
      <c r="C1304" s="168" t="s">
        <v>1577</v>
      </c>
      <c r="D1304" s="229">
        <v>34.5</v>
      </c>
      <c r="E1304" s="229">
        <v>38.0</v>
      </c>
      <c r="F1304" s="230">
        <v>3.0</v>
      </c>
      <c r="G1304" s="232"/>
    </row>
    <row r="1305">
      <c r="A1305" s="2"/>
      <c r="B1305" s="168" t="s">
        <v>269</v>
      </c>
      <c r="C1305" s="168" t="s">
        <v>1578</v>
      </c>
      <c r="D1305" s="229">
        <v>26.5</v>
      </c>
      <c r="E1305" s="229">
        <v>30.0</v>
      </c>
      <c r="F1305" s="230">
        <v>3.0</v>
      </c>
      <c r="G1305" s="232"/>
    </row>
    <row r="1306">
      <c r="A1306" s="2"/>
      <c r="B1306" s="168" t="s">
        <v>576</v>
      </c>
      <c r="C1306" s="168" t="s">
        <v>1579</v>
      </c>
      <c r="D1306" s="229">
        <v>24.5</v>
      </c>
      <c r="E1306" s="229">
        <v>28.0</v>
      </c>
      <c r="F1306" s="230">
        <v>3.0</v>
      </c>
      <c r="G1306" s="232"/>
    </row>
    <row r="1307">
      <c r="A1307" s="2"/>
      <c r="B1307" s="168" t="s">
        <v>269</v>
      </c>
      <c r="C1307" s="168" t="s">
        <v>1580</v>
      </c>
      <c r="D1307" s="229">
        <v>26.5</v>
      </c>
      <c r="E1307" s="229">
        <v>30.0</v>
      </c>
      <c r="F1307" s="230">
        <v>3.0</v>
      </c>
      <c r="G1307" s="232"/>
    </row>
    <row r="1308">
      <c r="A1308" s="2"/>
      <c r="B1308" s="168" t="s">
        <v>318</v>
      </c>
      <c r="C1308" s="168" t="s">
        <v>1581</v>
      </c>
      <c r="D1308" s="229">
        <v>25.5</v>
      </c>
      <c r="E1308" s="229">
        <v>29.0</v>
      </c>
      <c r="F1308" s="230">
        <v>3.0</v>
      </c>
      <c r="G1308" s="232"/>
    </row>
    <row r="1309">
      <c r="A1309" s="2"/>
      <c r="B1309" s="168" t="s">
        <v>217</v>
      </c>
      <c r="C1309" s="168" t="s">
        <v>1582</v>
      </c>
      <c r="D1309" s="229">
        <v>27.5</v>
      </c>
      <c r="E1309" s="229">
        <v>31.0</v>
      </c>
      <c r="F1309" s="230">
        <v>3.0</v>
      </c>
      <c r="G1309" s="232"/>
    </row>
    <row r="1310">
      <c r="A1310" s="2"/>
      <c r="B1310" s="168" t="s">
        <v>302</v>
      </c>
      <c r="C1310" s="168" t="s">
        <v>1583</v>
      </c>
      <c r="D1310" s="229">
        <v>34.5</v>
      </c>
      <c r="E1310" s="229">
        <v>38.0</v>
      </c>
      <c r="F1310" s="230">
        <v>3.0</v>
      </c>
      <c r="G1310" s="232"/>
    </row>
    <row r="1311">
      <c r="A1311" s="2"/>
      <c r="B1311" s="168" t="s">
        <v>337</v>
      </c>
      <c r="C1311" s="168" t="s">
        <v>1584</v>
      </c>
      <c r="D1311" s="229">
        <v>28.5</v>
      </c>
      <c r="E1311" s="229">
        <v>32.0</v>
      </c>
      <c r="F1311" s="230">
        <v>3.0</v>
      </c>
      <c r="G1311" s="232"/>
    </row>
    <row r="1312">
      <c r="A1312" s="2"/>
      <c r="B1312" s="168" t="s">
        <v>490</v>
      </c>
      <c r="C1312" s="168" t="s">
        <v>1585</v>
      </c>
      <c r="D1312" s="229">
        <v>34.5</v>
      </c>
      <c r="E1312" s="229">
        <v>38.0</v>
      </c>
      <c r="F1312" s="230">
        <v>3.0</v>
      </c>
      <c r="G1312" s="232"/>
    </row>
    <row r="1313">
      <c r="A1313" s="2"/>
      <c r="B1313" s="168" t="s">
        <v>245</v>
      </c>
      <c r="C1313" s="168" t="s">
        <v>1586</v>
      </c>
      <c r="D1313" s="229">
        <v>29.0</v>
      </c>
      <c r="E1313" s="229">
        <v>32.5</v>
      </c>
      <c r="F1313" s="230">
        <v>3.0</v>
      </c>
      <c r="G1313" s="232"/>
    </row>
    <row r="1314">
      <c r="A1314" s="2"/>
      <c r="B1314" s="168" t="s">
        <v>328</v>
      </c>
      <c r="C1314" s="168" t="s">
        <v>1587</v>
      </c>
      <c r="D1314" s="229">
        <v>34.5</v>
      </c>
      <c r="E1314" s="229">
        <v>38.0</v>
      </c>
      <c r="F1314" s="230">
        <v>3.0</v>
      </c>
      <c r="G1314" s="232"/>
    </row>
    <row r="1315">
      <c r="A1315" s="2"/>
      <c r="B1315" s="168" t="s">
        <v>269</v>
      </c>
      <c r="C1315" s="168" t="s">
        <v>1588</v>
      </c>
      <c r="D1315" s="229">
        <v>26.5</v>
      </c>
      <c r="E1315" s="229">
        <v>30.0</v>
      </c>
      <c r="F1315" s="230">
        <v>3.0</v>
      </c>
      <c r="G1315" s="232"/>
    </row>
    <row r="1316">
      <c r="A1316" s="2"/>
      <c r="B1316" s="168" t="s">
        <v>1589</v>
      </c>
      <c r="C1316" s="168" t="s">
        <v>1589</v>
      </c>
      <c r="D1316" s="229">
        <v>19.5</v>
      </c>
      <c r="E1316" s="229">
        <v>19.5</v>
      </c>
      <c r="F1316" s="230">
        <v>3.0</v>
      </c>
      <c r="G1316" s="232"/>
    </row>
    <row r="1317">
      <c r="A1317" s="2"/>
      <c r="B1317" s="168" t="s">
        <v>430</v>
      </c>
      <c r="C1317" s="168" t="s">
        <v>1590</v>
      </c>
      <c r="D1317" s="229">
        <v>34.5</v>
      </c>
      <c r="E1317" s="229">
        <v>38.0</v>
      </c>
      <c r="F1317" s="230">
        <v>3.0</v>
      </c>
      <c r="G1317" s="232"/>
    </row>
    <row r="1318">
      <c r="A1318" s="2"/>
      <c r="B1318" s="168" t="s">
        <v>1392</v>
      </c>
      <c r="C1318" s="168" t="s">
        <v>1591</v>
      </c>
      <c r="D1318" s="229">
        <v>26.5</v>
      </c>
      <c r="E1318" s="229">
        <v>30.0</v>
      </c>
      <c r="F1318" s="230">
        <v>3.0</v>
      </c>
      <c r="G1318" s="232"/>
    </row>
    <row r="1319">
      <c r="A1319" s="2"/>
      <c r="B1319" s="168" t="s">
        <v>811</v>
      </c>
      <c r="C1319" s="168" t="s">
        <v>1592</v>
      </c>
      <c r="D1319" s="229">
        <v>29.5</v>
      </c>
      <c r="E1319" s="229">
        <v>33.0</v>
      </c>
      <c r="F1319" s="230">
        <v>3.0</v>
      </c>
      <c r="G1319" s="232"/>
    </row>
    <row r="1320">
      <c r="A1320" s="2"/>
      <c r="B1320" s="168" t="s">
        <v>446</v>
      </c>
      <c r="C1320" s="168" t="s">
        <v>1593</v>
      </c>
      <c r="D1320" s="229">
        <v>4.5</v>
      </c>
      <c r="E1320" s="229">
        <v>4.5</v>
      </c>
      <c r="F1320" s="230">
        <v>3.0</v>
      </c>
      <c r="G1320" s="232"/>
    </row>
    <row r="1321">
      <c r="A1321" s="2"/>
      <c r="B1321" s="168" t="s">
        <v>280</v>
      </c>
      <c r="C1321" s="168" t="s">
        <v>1594</v>
      </c>
      <c r="D1321" s="229">
        <v>34.5</v>
      </c>
      <c r="E1321" s="229">
        <v>38.0</v>
      </c>
      <c r="F1321" s="230">
        <v>3.0</v>
      </c>
      <c r="G1321" s="232"/>
    </row>
    <row r="1322">
      <c r="A1322" s="2"/>
      <c r="B1322" s="168" t="s">
        <v>255</v>
      </c>
      <c r="C1322" s="168" t="s">
        <v>1595</v>
      </c>
      <c r="D1322" s="229">
        <v>31.5</v>
      </c>
      <c r="E1322" s="229">
        <v>35.0</v>
      </c>
      <c r="F1322" s="230">
        <v>3.0</v>
      </c>
      <c r="G1322" s="232"/>
    </row>
    <row r="1323">
      <c r="A1323" s="2"/>
      <c r="B1323" s="168" t="s">
        <v>290</v>
      </c>
      <c r="C1323" s="168" t="s">
        <v>1596</v>
      </c>
      <c r="D1323" s="229">
        <v>29.5</v>
      </c>
      <c r="E1323" s="229">
        <v>33.0</v>
      </c>
      <c r="F1323" s="230">
        <v>3.0</v>
      </c>
      <c r="G1323" s="232"/>
    </row>
    <row r="1324">
      <c r="A1324" s="2"/>
      <c r="B1324" s="168" t="s">
        <v>318</v>
      </c>
      <c r="C1324" s="168" t="s">
        <v>1597</v>
      </c>
      <c r="D1324" s="229">
        <v>25.5</v>
      </c>
      <c r="E1324" s="229">
        <v>29.0</v>
      </c>
      <c r="F1324" s="230">
        <v>3.0</v>
      </c>
      <c r="G1324" s="232"/>
    </row>
    <row r="1325">
      <c r="A1325" s="2"/>
      <c r="B1325" s="168" t="s">
        <v>234</v>
      </c>
      <c r="C1325" s="168" t="s">
        <v>1598</v>
      </c>
      <c r="D1325" s="229">
        <v>29.5</v>
      </c>
      <c r="E1325" s="229">
        <v>33.0</v>
      </c>
      <c r="F1325" s="230">
        <v>3.0</v>
      </c>
      <c r="G1325" s="232"/>
    </row>
    <row r="1326">
      <c r="A1326" s="2"/>
      <c r="B1326" s="168" t="s">
        <v>217</v>
      </c>
      <c r="C1326" s="168" t="s">
        <v>1599</v>
      </c>
      <c r="D1326" s="229">
        <v>22.5</v>
      </c>
      <c r="E1326" s="229">
        <v>26.0</v>
      </c>
      <c r="F1326" s="230">
        <v>3.0</v>
      </c>
      <c r="G1326" s="232"/>
    </row>
    <row r="1327">
      <c r="A1327" s="2"/>
      <c r="B1327" s="168" t="s">
        <v>255</v>
      </c>
      <c r="C1327" s="168" t="s">
        <v>1600</v>
      </c>
      <c r="D1327" s="229">
        <v>26.5</v>
      </c>
      <c r="E1327" s="229">
        <v>30.0</v>
      </c>
      <c r="F1327" s="230">
        <v>3.0</v>
      </c>
      <c r="G1327" s="232"/>
    </row>
    <row r="1328">
      <c r="A1328" s="2"/>
      <c r="B1328" s="168" t="s">
        <v>1392</v>
      </c>
      <c r="C1328" s="168" t="s">
        <v>1601</v>
      </c>
      <c r="D1328" s="229">
        <v>26.5</v>
      </c>
      <c r="E1328" s="229">
        <v>30.0</v>
      </c>
      <c r="F1328" s="230">
        <v>3.0</v>
      </c>
      <c r="G1328" s="232"/>
    </row>
    <row r="1329">
      <c r="A1329" s="2"/>
      <c r="B1329" s="168" t="s">
        <v>241</v>
      </c>
      <c r="C1329" s="168" t="s">
        <v>1602</v>
      </c>
      <c r="D1329" s="229">
        <v>32.5</v>
      </c>
      <c r="E1329" s="229">
        <v>36.0</v>
      </c>
      <c r="F1329" s="230">
        <v>3.0</v>
      </c>
      <c r="G1329" s="232"/>
    </row>
    <row r="1330">
      <c r="A1330" s="2"/>
      <c r="B1330" s="168" t="s">
        <v>241</v>
      </c>
      <c r="C1330" s="168" t="s">
        <v>1603</v>
      </c>
      <c r="D1330" s="229">
        <v>27.5</v>
      </c>
      <c r="E1330" s="229">
        <v>31.0</v>
      </c>
      <c r="F1330" s="230">
        <v>3.0</v>
      </c>
      <c r="G1330" s="232"/>
    </row>
    <row r="1331">
      <c r="A1331" s="2"/>
      <c r="B1331" s="168" t="s">
        <v>273</v>
      </c>
      <c r="C1331" s="168" t="s">
        <v>1604</v>
      </c>
      <c r="D1331" s="229">
        <v>29.5</v>
      </c>
      <c r="E1331" s="229">
        <v>33.0</v>
      </c>
      <c r="F1331" s="230">
        <v>3.0</v>
      </c>
      <c r="G1331" s="232"/>
    </row>
    <row r="1332">
      <c r="A1332" s="2"/>
      <c r="B1332" s="168" t="s">
        <v>266</v>
      </c>
      <c r="C1332" s="168" t="s">
        <v>1605</v>
      </c>
      <c r="D1332" s="229">
        <v>33.0</v>
      </c>
      <c r="E1332" s="229">
        <v>33.0</v>
      </c>
      <c r="F1332" s="230">
        <v>3.0</v>
      </c>
      <c r="G1332" s="232"/>
    </row>
    <row r="1333">
      <c r="A1333" s="2"/>
      <c r="B1333" s="168" t="s">
        <v>332</v>
      </c>
      <c r="C1333" s="168" t="s">
        <v>1606</v>
      </c>
      <c r="D1333" s="229">
        <v>28.5</v>
      </c>
      <c r="E1333" s="229">
        <v>32.0</v>
      </c>
      <c r="F1333" s="230">
        <v>3.0</v>
      </c>
      <c r="G1333" s="232"/>
    </row>
    <row r="1334">
      <c r="A1334" s="2"/>
      <c r="B1334" s="168" t="s">
        <v>684</v>
      </c>
      <c r="C1334" s="168" t="s">
        <v>1607</v>
      </c>
      <c r="D1334" s="229">
        <v>25.5</v>
      </c>
      <c r="E1334" s="229">
        <v>29.0</v>
      </c>
      <c r="F1334" s="230">
        <v>3.0</v>
      </c>
      <c r="G1334" s="232"/>
    </row>
    <row r="1335">
      <c r="A1335" s="2"/>
      <c r="B1335" s="168" t="s">
        <v>215</v>
      </c>
      <c r="C1335" s="168" t="s">
        <v>1608</v>
      </c>
      <c r="D1335" s="229">
        <v>27.5</v>
      </c>
      <c r="E1335" s="229">
        <v>31.0</v>
      </c>
      <c r="F1335" s="230">
        <v>3.0</v>
      </c>
      <c r="G1335" s="232"/>
    </row>
    <row r="1336">
      <c r="A1336" s="2"/>
      <c r="B1336" s="168" t="s">
        <v>288</v>
      </c>
      <c r="C1336" s="168" t="s">
        <v>1609</v>
      </c>
      <c r="D1336" s="229">
        <v>21.5</v>
      </c>
      <c r="E1336" s="229">
        <v>25.0</v>
      </c>
      <c r="F1336" s="230">
        <v>3.0</v>
      </c>
      <c r="G1336" s="232"/>
    </row>
    <row r="1337">
      <c r="A1337" s="2"/>
      <c r="B1337" s="168" t="s">
        <v>341</v>
      </c>
      <c r="C1337" s="168" t="s">
        <v>1610</v>
      </c>
      <c r="D1337" s="229">
        <v>29.5</v>
      </c>
      <c r="E1337" s="229">
        <v>29.5</v>
      </c>
      <c r="F1337" s="230">
        <v>3.0</v>
      </c>
      <c r="G1337" s="232"/>
    </row>
    <row r="1338">
      <c r="A1338" s="2"/>
      <c r="B1338" s="168" t="s">
        <v>245</v>
      </c>
      <c r="C1338" s="168" t="s">
        <v>1611</v>
      </c>
      <c r="D1338" s="229">
        <v>29.5</v>
      </c>
      <c r="E1338" s="229">
        <v>33.0</v>
      </c>
      <c r="F1338" s="230">
        <v>3.0</v>
      </c>
      <c r="G1338" s="232"/>
    </row>
    <row r="1339">
      <c r="A1339" s="2"/>
      <c r="B1339" s="168" t="s">
        <v>288</v>
      </c>
      <c r="C1339" s="168" t="s">
        <v>1612</v>
      </c>
      <c r="D1339" s="229">
        <v>16.5</v>
      </c>
      <c r="E1339" s="229">
        <v>20.0</v>
      </c>
      <c r="F1339" s="230">
        <v>3.0</v>
      </c>
      <c r="G1339" s="232"/>
    </row>
    <row r="1340">
      <c r="A1340" s="2"/>
      <c r="B1340" s="168" t="s">
        <v>257</v>
      </c>
      <c r="C1340" s="168" t="s">
        <v>1613</v>
      </c>
      <c r="D1340" s="229">
        <v>28.5</v>
      </c>
      <c r="E1340" s="229">
        <v>32.0</v>
      </c>
      <c r="F1340" s="230">
        <v>3.0</v>
      </c>
      <c r="G1340" s="232"/>
    </row>
    <row r="1341">
      <c r="A1341" s="2"/>
      <c r="B1341" s="168" t="s">
        <v>269</v>
      </c>
      <c r="C1341" s="168" t="s">
        <v>1614</v>
      </c>
      <c r="D1341" s="229">
        <v>26.5</v>
      </c>
      <c r="E1341" s="229">
        <v>30.0</v>
      </c>
      <c r="F1341" s="230">
        <v>3.0</v>
      </c>
      <c r="G1341" s="232"/>
    </row>
    <row r="1342">
      <c r="A1342" s="2"/>
      <c r="B1342" s="168" t="s">
        <v>337</v>
      </c>
      <c r="C1342" s="168" t="s">
        <v>1615</v>
      </c>
      <c r="D1342" s="229">
        <v>26.5</v>
      </c>
      <c r="E1342" s="229">
        <v>30.0</v>
      </c>
      <c r="F1342" s="230">
        <v>3.0</v>
      </c>
      <c r="G1342" s="232"/>
    </row>
    <row r="1343">
      <c r="A1343" s="2"/>
      <c r="B1343" s="168" t="s">
        <v>337</v>
      </c>
      <c r="C1343" s="168" t="s">
        <v>1616</v>
      </c>
      <c r="D1343" s="229">
        <v>28.5</v>
      </c>
      <c r="E1343" s="229">
        <v>32.0</v>
      </c>
      <c r="F1343" s="230">
        <v>3.0</v>
      </c>
      <c r="G1343" s="232"/>
    </row>
    <row r="1344">
      <c r="A1344" s="2"/>
      <c r="B1344" s="168" t="s">
        <v>257</v>
      </c>
      <c r="C1344" s="168" t="s">
        <v>1617</v>
      </c>
      <c r="D1344" s="229">
        <v>28.5</v>
      </c>
      <c r="E1344" s="229">
        <v>32.0</v>
      </c>
      <c r="F1344" s="230">
        <v>3.0</v>
      </c>
      <c r="G1344" s="232"/>
    </row>
    <row r="1345">
      <c r="A1345" s="2"/>
      <c r="B1345" s="168" t="s">
        <v>217</v>
      </c>
      <c r="C1345" s="168" t="s">
        <v>1618</v>
      </c>
      <c r="D1345" s="229">
        <v>27.5</v>
      </c>
      <c r="E1345" s="229">
        <v>31.0</v>
      </c>
      <c r="F1345" s="230">
        <v>3.0</v>
      </c>
      <c r="G1345" s="232"/>
    </row>
    <row r="1346">
      <c r="A1346" s="2"/>
      <c r="B1346" s="168" t="s">
        <v>269</v>
      </c>
      <c r="C1346" s="168" t="s">
        <v>1619</v>
      </c>
      <c r="D1346" s="229">
        <v>26.5</v>
      </c>
      <c r="E1346" s="229">
        <v>30.0</v>
      </c>
      <c r="F1346" s="230">
        <v>3.0</v>
      </c>
      <c r="G1346" s="232"/>
    </row>
    <row r="1347">
      <c r="A1347" s="2"/>
      <c r="B1347" s="168" t="s">
        <v>341</v>
      </c>
      <c r="C1347" s="168" t="s">
        <v>1620</v>
      </c>
      <c r="D1347" s="229">
        <v>29.5</v>
      </c>
      <c r="E1347" s="229">
        <v>29.5</v>
      </c>
      <c r="F1347" s="230">
        <v>3.0</v>
      </c>
      <c r="G1347" s="232"/>
    </row>
    <row r="1348">
      <c r="A1348" s="2"/>
      <c r="B1348" s="168" t="s">
        <v>1621</v>
      </c>
      <c r="C1348" s="168" t="s">
        <v>1622</v>
      </c>
      <c r="D1348" s="229">
        <v>23.5</v>
      </c>
      <c r="E1348" s="229">
        <v>23.5</v>
      </c>
      <c r="F1348" s="230">
        <v>3.0</v>
      </c>
      <c r="G1348" s="232"/>
    </row>
    <row r="1349">
      <c r="A1349" s="2"/>
      <c r="B1349" s="168" t="s">
        <v>288</v>
      </c>
      <c r="C1349" s="168" t="s">
        <v>1623</v>
      </c>
      <c r="D1349" s="229">
        <v>21.5</v>
      </c>
      <c r="E1349" s="229">
        <v>25.0</v>
      </c>
      <c r="F1349" s="230">
        <v>3.0</v>
      </c>
      <c r="G1349" s="232"/>
    </row>
    <row r="1350">
      <c r="A1350" s="2"/>
      <c r="B1350" s="168" t="s">
        <v>230</v>
      </c>
      <c r="C1350" s="168" t="s">
        <v>1624</v>
      </c>
      <c r="D1350" s="229">
        <v>21.5</v>
      </c>
      <c r="E1350" s="229">
        <v>25.0</v>
      </c>
      <c r="F1350" s="230">
        <v>3.0</v>
      </c>
      <c r="G1350" s="232"/>
    </row>
    <row r="1351">
      <c r="A1351" s="2"/>
      <c r="B1351" s="168" t="s">
        <v>341</v>
      </c>
      <c r="C1351" s="168" t="s">
        <v>1625</v>
      </c>
      <c r="D1351" s="229">
        <v>29.5</v>
      </c>
      <c r="E1351" s="229">
        <v>29.5</v>
      </c>
      <c r="F1351" s="230">
        <v>3.0</v>
      </c>
      <c r="G1351" s="232"/>
    </row>
    <row r="1352">
      <c r="A1352" s="2"/>
      <c r="B1352" s="168" t="s">
        <v>221</v>
      </c>
      <c r="C1352" s="168" t="s">
        <v>1626</v>
      </c>
      <c r="D1352" s="229">
        <v>27.5</v>
      </c>
      <c r="E1352" s="229">
        <v>31.0</v>
      </c>
      <c r="F1352" s="230">
        <v>3.0</v>
      </c>
      <c r="G1352" s="232"/>
    </row>
    <row r="1353">
      <c r="A1353" s="2"/>
      <c r="B1353" s="168" t="s">
        <v>217</v>
      </c>
      <c r="C1353" s="168" t="s">
        <v>1627</v>
      </c>
      <c r="D1353" s="229">
        <v>27.5</v>
      </c>
      <c r="E1353" s="229">
        <v>31.0</v>
      </c>
      <c r="F1353" s="230">
        <v>3.0</v>
      </c>
      <c r="G1353" s="232"/>
    </row>
    <row r="1354">
      <c r="A1354" s="2"/>
      <c r="B1354" s="168" t="s">
        <v>217</v>
      </c>
      <c r="C1354" s="168" t="s">
        <v>1628</v>
      </c>
      <c r="D1354" s="229">
        <v>22.5</v>
      </c>
      <c r="E1354" s="229">
        <v>26.0</v>
      </c>
      <c r="F1354" s="230">
        <v>3.0</v>
      </c>
      <c r="G1354" s="232"/>
    </row>
    <row r="1355">
      <c r="A1355" s="2"/>
      <c r="B1355" s="168" t="s">
        <v>332</v>
      </c>
      <c r="C1355" s="168" t="s">
        <v>1629</v>
      </c>
      <c r="D1355" s="229">
        <v>28.5</v>
      </c>
      <c r="E1355" s="229">
        <v>32.0</v>
      </c>
      <c r="F1355" s="230">
        <v>3.0</v>
      </c>
      <c r="G1355" s="232"/>
    </row>
    <row r="1356">
      <c r="A1356" s="2"/>
      <c r="B1356" s="168" t="s">
        <v>230</v>
      </c>
      <c r="C1356" s="168" t="s">
        <v>1630</v>
      </c>
      <c r="D1356" s="229">
        <v>21.5</v>
      </c>
      <c r="E1356" s="229">
        <v>25.0</v>
      </c>
      <c r="F1356" s="230">
        <v>3.0</v>
      </c>
      <c r="G1356" s="232"/>
    </row>
    <row r="1357">
      <c r="A1357" s="2"/>
      <c r="B1357" s="168" t="s">
        <v>230</v>
      </c>
      <c r="C1357" s="168" t="s">
        <v>1631</v>
      </c>
      <c r="D1357" s="229">
        <v>16.5</v>
      </c>
      <c r="E1357" s="229">
        <v>20.0</v>
      </c>
      <c r="F1357" s="230">
        <v>3.0</v>
      </c>
      <c r="G1357" s="232"/>
    </row>
    <row r="1358">
      <c r="A1358" s="2"/>
      <c r="B1358" s="168" t="s">
        <v>255</v>
      </c>
      <c r="C1358" s="168" t="s">
        <v>1632</v>
      </c>
      <c r="D1358" s="229">
        <v>31.5</v>
      </c>
      <c r="E1358" s="229">
        <v>35.0</v>
      </c>
      <c r="F1358" s="230">
        <v>3.0</v>
      </c>
      <c r="G1358" s="232"/>
    </row>
    <row r="1359">
      <c r="A1359" s="2"/>
      <c r="B1359" s="168" t="s">
        <v>368</v>
      </c>
      <c r="C1359" s="168" t="s">
        <v>1633</v>
      </c>
      <c r="D1359" s="229">
        <v>32.5</v>
      </c>
      <c r="E1359" s="229">
        <v>36.0</v>
      </c>
      <c r="F1359" s="230">
        <v>3.0</v>
      </c>
      <c r="G1359" s="232"/>
    </row>
    <row r="1360">
      <c r="A1360" s="2"/>
      <c r="B1360" s="168" t="s">
        <v>592</v>
      </c>
      <c r="C1360" s="168" t="s">
        <v>1634</v>
      </c>
      <c r="D1360" s="229">
        <v>34.5</v>
      </c>
      <c r="E1360" s="229">
        <v>38.0</v>
      </c>
      <c r="F1360" s="230">
        <v>3.0</v>
      </c>
      <c r="G1360" s="232"/>
    </row>
    <row r="1361">
      <c r="A1361" s="2"/>
      <c r="B1361" s="168" t="s">
        <v>245</v>
      </c>
      <c r="C1361" s="168" t="s">
        <v>1635</v>
      </c>
      <c r="D1361" s="229">
        <v>29.5</v>
      </c>
      <c r="E1361" s="229">
        <v>33.0</v>
      </c>
      <c r="F1361" s="230">
        <v>3.0</v>
      </c>
      <c r="G1361" s="232"/>
    </row>
    <row r="1362">
      <c r="A1362" s="2"/>
      <c r="B1362" s="168" t="s">
        <v>257</v>
      </c>
      <c r="C1362" s="168" t="s">
        <v>1636</v>
      </c>
      <c r="D1362" s="229">
        <v>28.5</v>
      </c>
      <c r="E1362" s="229">
        <v>32.0</v>
      </c>
      <c r="F1362" s="230">
        <v>3.0</v>
      </c>
      <c r="G1362" s="232"/>
    </row>
    <row r="1363">
      <c r="A1363" s="2"/>
      <c r="B1363" s="168" t="s">
        <v>581</v>
      </c>
      <c r="C1363" s="168" t="s">
        <v>1637</v>
      </c>
      <c r="D1363" s="229">
        <v>26.5</v>
      </c>
      <c r="E1363" s="229">
        <v>30.0</v>
      </c>
      <c r="F1363" s="230">
        <v>3.0</v>
      </c>
      <c r="G1363" s="232"/>
    </row>
    <row r="1364">
      <c r="A1364" s="2"/>
      <c r="B1364" s="168" t="s">
        <v>377</v>
      </c>
      <c r="C1364" s="168" t="s">
        <v>1638</v>
      </c>
      <c r="D1364" s="229">
        <v>29.5</v>
      </c>
      <c r="E1364" s="229">
        <v>33.0</v>
      </c>
      <c r="F1364" s="230">
        <v>3.0</v>
      </c>
      <c r="G1364" s="232"/>
    </row>
    <row r="1365">
      <c r="A1365" s="2"/>
      <c r="B1365" s="168" t="s">
        <v>221</v>
      </c>
      <c r="C1365" s="168" t="s">
        <v>1639</v>
      </c>
      <c r="D1365" s="229">
        <v>27.5</v>
      </c>
      <c r="E1365" s="229">
        <v>31.0</v>
      </c>
      <c r="F1365" s="230">
        <v>3.0</v>
      </c>
      <c r="G1365" s="232"/>
    </row>
    <row r="1366">
      <c r="A1366" s="2"/>
      <c r="B1366" s="168" t="s">
        <v>223</v>
      </c>
      <c r="C1366" s="168" t="s">
        <v>1640</v>
      </c>
      <c r="D1366" s="229">
        <v>26.5</v>
      </c>
      <c r="E1366" s="229">
        <v>30.0</v>
      </c>
      <c r="F1366" s="230">
        <v>3.0</v>
      </c>
      <c r="G1366" s="232"/>
    </row>
    <row r="1367">
      <c r="A1367" s="2"/>
      <c r="B1367" s="168" t="s">
        <v>230</v>
      </c>
      <c r="C1367" s="168" t="s">
        <v>1641</v>
      </c>
      <c r="D1367" s="229">
        <v>21.5</v>
      </c>
      <c r="E1367" s="229">
        <v>25.0</v>
      </c>
      <c r="F1367" s="230">
        <v>3.0</v>
      </c>
      <c r="G1367" s="232"/>
    </row>
    <row r="1368">
      <c r="A1368" s="2"/>
      <c r="B1368" s="168" t="s">
        <v>234</v>
      </c>
      <c r="C1368" s="168" t="s">
        <v>1642</v>
      </c>
      <c r="D1368" s="229">
        <v>29.5</v>
      </c>
      <c r="E1368" s="229">
        <v>33.0</v>
      </c>
      <c r="F1368" s="230">
        <v>3.0</v>
      </c>
      <c r="G1368" s="232"/>
    </row>
    <row r="1369">
      <c r="A1369" s="2"/>
      <c r="B1369" s="168" t="s">
        <v>223</v>
      </c>
      <c r="C1369" s="168" t="s">
        <v>1643</v>
      </c>
      <c r="D1369" s="229">
        <v>26.5</v>
      </c>
      <c r="E1369" s="229">
        <v>30.0</v>
      </c>
      <c r="F1369" s="230">
        <v>3.0</v>
      </c>
      <c r="G1369" s="232"/>
    </row>
    <row r="1370">
      <c r="A1370" s="2"/>
      <c r="B1370" s="168" t="s">
        <v>341</v>
      </c>
      <c r="C1370" s="168" t="s">
        <v>1644</v>
      </c>
      <c r="D1370" s="229">
        <v>24.5</v>
      </c>
      <c r="E1370" s="229">
        <v>24.5</v>
      </c>
      <c r="F1370" s="230">
        <v>3.0</v>
      </c>
      <c r="G1370" s="232"/>
    </row>
    <row r="1371">
      <c r="A1371" s="2"/>
      <c r="B1371" s="168" t="s">
        <v>720</v>
      </c>
      <c r="C1371" s="168" t="s">
        <v>1645</v>
      </c>
      <c r="D1371" s="229">
        <v>30.5</v>
      </c>
      <c r="E1371" s="229">
        <v>34.0</v>
      </c>
      <c r="F1371" s="230">
        <v>3.0</v>
      </c>
      <c r="G1371" s="232"/>
    </row>
    <row r="1372">
      <c r="A1372" s="2"/>
      <c r="B1372" s="168" t="s">
        <v>241</v>
      </c>
      <c r="C1372" s="168" t="s">
        <v>1646</v>
      </c>
      <c r="D1372" s="229">
        <v>32.5</v>
      </c>
      <c r="E1372" s="229">
        <v>36.0</v>
      </c>
      <c r="F1372" s="230">
        <v>3.0</v>
      </c>
      <c r="G1372" s="232"/>
    </row>
    <row r="1373">
      <c r="A1373" s="2"/>
      <c r="B1373" s="168" t="s">
        <v>273</v>
      </c>
      <c r="C1373" s="168" t="s">
        <v>1647</v>
      </c>
      <c r="D1373" s="229">
        <v>24.5</v>
      </c>
      <c r="E1373" s="229">
        <v>28.0</v>
      </c>
      <c r="F1373" s="230">
        <v>3.0</v>
      </c>
      <c r="G1373" s="232"/>
    </row>
    <row r="1374">
      <c r="A1374" s="2"/>
      <c r="B1374" s="168" t="s">
        <v>341</v>
      </c>
      <c r="C1374" s="168" t="s">
        <v>1648</v>
      </c>
      <c r="D1374" s="229">
        <v>29.5</v>
      </c>
      <c r="E1374" s="229">
        <v>29.5</v>
      </c>
      <c r="F1374" s="230">
        <v>3.0</v>
      </c>
      <c r="G1374" s="232"/>
    </row>
    <row r="1375">
      <c r="A1375" s="2"/>
      <c r="B1375" s="168" t="s">
        <v>592</v>
      </c>
      <c r="C1375" s="168" t="s">
        <v>1649</v>
      </c>
      <c r="D1375" s="229">
        <v>34.5</v>
      </c>
      <c r="E1375" s="229">
        <v>38.0</v>
      </c>
      <c r="F1375" s="230">
        <v>3.0</v>
      </c>
      <c r="G1375" s="232"/>
    </row>
    <row r="1376">
      <c r="A1376" s="2"/>
      <c r="B1376" s="168" t="s">
        <v>285</v>
      </c>
      <c r="C1376" s="168" t="s">
        <v>1650</v>
      </c>
      <c r="D1376" s="229">
        <v>24.5</v>
      </c>
      <c r="E1376" s="229">
        <v>28.0</v>
      </c>
      <c r="F1376" s="230">
        <v>3.0</v>
      </c>
      <c r="G1376" s="232"/>
    </row>
    <row r="1377">
      <c r="A1377" s="2"/>
      <c r="B1377" s="168" t="s">
        <v>232</v>
      </c>
      <c r="C1377" s="168" t="s">
        <v>1651</v>
      </c>
      <c r="D1377" s="229">
        <v>25.5</v>
      </c>
      <c r="E1377" s="229">
        <v>29.0</v>
      </c>
      <c r="F1377" s="230">
        <v>3.0</v>
      </c>
      <c r="G1377" s="232"/>
    </row>
    <row r="1378">
      <c r="A1378" s="2"/>
      <c r="B1378" s="168" t="s">
        <v>254</v>
      </c>
      <c r="C1378" s="168" t="s">
        <v>1652</v>
      </c>
      <c r="D1378" s="229">
        <v>26.5</v>
      </c>
      <c r="E1378" s="229">
        <v>30.0</v>
      </c>
      <c r="F1378" s="230">
        <v>3.0</v>
      </c>
      <c r="G1378" s="232"/>
    </row>
    <row r="1379">
      <c r="A1379" s="2"/>
      <c r="B1379" s="168" t="s">
        <v>217</v>
      </c>
      <c r="C1379" s="168" t="s">
        <v>1653</v>
      </c>
      <c r="D1379" s="229">
        <v>27.5</v>
      </c>
      <c r="E1379" s="229">
        <v>31.0</v>
      </c>
      <c r="F1379" s="230">
        <v>3.0</v>
      </c>
      <c r="G1379" s="232"/>
    </row>
    <row r="1380">
      <c r="A1380" s="2"/>
      <c r="B1380" s="168" t="s">
        <v>300</v>
      </c>
      <c r="C1380" s="168" t="s">
        <v>1654</v>
      </c>
      <c r="D1380" s="229">
        <v>28.5</v>
      </c>
      <c r="E1380" s="229">
        <v>32.0</v>
      </c>
      <c r="F1380" s="230">
        <v>3.0</v>
      </c>
      <c r="G1380" s="232"/>
    </row>
    <row r="1381">
      <c r="A1381" s="2"/>
      <c r="B1381" s="168" t="s">
        <v>245</v>
      </c>
      <c r="C1381" s="168" t="s">
        <v>1655</v>
      </c>
      <c r="D1381" s="229">
        <v>24.5</v>
      </c>
      <c r="E1381" s="229">
        <v>28.0</v>
      </c>
      <c r="F1381" s="230">
        <v>3.0</v>
      </c>
      <c r="G1381" s="232"/>
    </row>
    <row r="1382">
      <c r="A1382" s="2"/>
      <c r="B1382" s="168" t="s">
        <v>273</v>
      </c>
      <c r="C1382" s="168" t="s">
        <v>1656</v>
      </c>
      <c r="D1382" s="229">
        <v>24.5</v>
      </c>
      <c r="E1382" s="229">
        <v>28.0</v>
      </c>
      <c r="F1382" s="230">
        <v>3.0</v>
      </c>
      <c r="G1382" s="232"/>
    </row>
    <row r="1383">
      <c r="A1383" s="2"/>
      <c r="B1383" s="168" t="s">
        <v>230</v>
      </c>
      <c r="C1383" s="168" t="s">
        <v>1657</v>
      </c>
      <c r="D1383" s="229">
        <v>16.5</v>
      </c>
      <c r="E1383" s="229">
        <v>20.0</v>
      </c>
      <c r="F1383" s="230">
        <v>3.0</v>
      </c>
      <c r="G1383" s="232"/>
    </row>
    <row r="1384">
      <c r="A1384" s="2"/>
      <c r="B1384" s="168" t="s">
        <v>296</v>
      </c>
      <c r="C1384" s="168" t="s">
        <v>1658</v>
      </c>
      <c r="D1384" s="229">
        <v>26.5</v>
      </c>
      <c r="E1384" s="229">
        <v>30.0</v>
      </c>
      <c r="F1384" s="230">
        <v>3.0</v>
      </c>
      <c r="G1384" s="232"/>
    </row>
    <row r="1385">
      <c r="A1385" s="2"/>
      <c r="B1385" s="168" t="s">
        <v>296</v>
      </c>
      <c r="C1385" s="168" t="s">
        <v>1659</v>
      </c>
      <c r="D1385" s="229">
        <v>26.5</v>
      </c>
      <c r="E1385" s="229">
        <v>30.0</v>
      </c>
      <c r="F1385" s="230">
        <v>3.0</v>
      </c>
      <c r="G1385" s="232"/>
    </row>
    <row r="1386">
      <c r="A1386" s="2"/>
      <c r="B1386" s="168" t="s">
        <v>290</v>
      </c>
      <c r="C1386" s="168" t="s">
        <v>1660</v>
      </c>
      <c r="D1386" s="229">
        <v>29.5</v>
      </c>
      <c r="E1386" s="229">
        <v>33.0</v>
      </c>
      <c r="F1386" s="230">
        <v>3.0</v>
      </c>
      <c r="G1386" s="232"/>
    </row>
    <row r="1387">
      <c r="A1387" s="2"/>
      <c r="B1387" s="168" t="s">
        <v>273</v>
      </c>
      <c r="C1387" s="168" t="s">
        <v>1661</v>
      </c>
      <c r="D1387" s="229">
        <v>24.5</v>
      </c>
      <c r="E1387" s="229">
        <v>28.0</v>
      </c>
      <c r="F1387" s="230">
        <v>3.0</v>
      </c>
      <c r="G1387" s="232"/>
    </row>
    <row r="1388">
      <c r="A1388" s="2"/>
      <c r="B1388" s="168" t="s">
        <v>332</v>
      </c>
      <c r="C1388" s="168" t="s">
        <v>1662</v>
      </c>
      <c r="D1388" s="229">
        <v>28.5</v>
      </c>
      <c r="E1388" s="229">
        <v>32.0</v>
      </c>
      <c r="F1388" s="230">
        <v>3.0</v>
      </c>
      <c r="G1388" s="232"/>
    </row>
    <row r="1389">
      <c r="A1389" s="2"/>
      <c r="B1389" s="168" t="s">
        <v>288</v>
      </c>
      <c r="C1389" s="168" t="s">
        <v>1663</v>
      </c>
      <c r="D1389" s="229">
        <v>21.5</v>
      </c>
      <c r="E1389" s="229">
        <v>25.0</v>
      </c>
      <c r="F1389" s="230">
        <v>3.0</v>
      </c>
      <c r="G1389" s="232"/>
    </row>
    <row r="1390">
      <c r="A1390" s="2"/>
      <c r="B1390" s="168" t="s">
        <v>230</v>
      </c>
      <c r="C1390" s="168" t="s">
        <v>1664</v>
      </c>
      <c r="D1390" s="229">
        <v>21.5</v>
      </c>
      <c r="E1390" s="229">
        <v>25.0</v>
      </c>
      <c r="F1390" s="230">
        <v>3.0</v>
      </c>
      <c r="G1390" s="232"/>
    </row>
    <row r="1391">
      <c r="A1391" s="2"/>
      <c r="B1391" s="168" t="s">
        <v>230</v>
      </c>
      <c r="C1391" s="168" t="s">
        <v>1665</v>
      </c>
      <c r="D1391" s="229">
        <v>21.5</v>
      </c>
      <c r="E1391" s="229">
        <v>25.0</v>
      </c>
      <c r="F1391" s="230">
        <v>3.0</v>
      </c>
      <c r="G1391" s="232"/>
    </row>
    <row r="1392">
      <c r="A1392" s="2"/>
      <c r="B1392" s="168" t="s">
        <v>232</v>
      </c>
      <c r="C1392" s="168" t="s">
        <v>1666</v>
      </c>
      <c r="D1392" s="229">
        <v>25.5</v>
      </c>
      <c r="E1392" s="229">
        <v>29.0</v>
      </c>
      <c r="F1392" s="230">
        <v>3.0</v>
      </c>
      <c r="G1392" s="232"/>
    </row>
    <row r="1393">
      <c r="A1393" s="2"/>
      <c r="B1393" s="168" t="s">
        <v>273</v>
      </c>
      <c r="C1393" s="168" t="s">
        <v>1667</v>
      </c>
      <c r="D1393" s="229">
        <v>29.5</v>
      </c>
      <c r="E1393" s="229">
        <v>33.0</v>
      </c>
      <c r="F1393" s="230">
        <v>3.0</v>
      </c>
      <c r="G1393" s="232"/>
    </row>
    <row r="1394">
      <c r="A1394" s="2"/>
      <c r="B1394" s="168" t="s">
        <v>337</v>
      </c>
      <c r="C1394" s="168" t="s">
        <v>1668</v>
      </c>
      <c r="D1394" s="229">
        <v>20.5</v>
      </c>
      <c r="E1394" s="229">
        <v>24.0</v>
      </c>
      <c r="F1394" s="230">
        <v>3.0</v>
      </c>
      <c r="G1394" s="232"/>
    </row>
    <row r="1395">
      <c r="A1395" s="2"/>
      <c r="B1395" s="168" t="s">
        <v>269</v>
      </c>
      <c r="C1395" s="168" t="s">
        <v>1669</v>
      </c>
      <c r="D1395" s="229">
        <v>26.5</v>
      </c>
      <c r="E1395" s="229">
        <v>30.0</v>
      </c>
      <c r="F1395" s="230">
        <v>3.0</v>
      </c>
      <c r="G1395" s="232"/>
    </row>
    <row r="1396">
      <c r="A1396" s="2"/>
      <c r="B1396" s="168" t="s">
        <v>337</v>
      </c>
      <c r="C1396" s="168" t="s">
        <v>1670</v>
      </c>
      <c r="D1396" s="229">
        <v>23.5</v>
      </c>
      <c r="E1396" s="229">
        <v>27.0</v>
      </c>
      <c r="F1396" s="230">
        <v>3.0</v>
      </c>
      <c r="G1396" s="232"/>
    </row>
    <row r="1397">
      <c r="A1397" s="2"/>
      <c r="B1397" s="168" t="s">
        <v>328</v>
      </c>
      <c r="C1397" s="168" t="s">
        <v>1671</v>
      </c>
      <c r="D1397" s="229">
        <v>34.5</v>
      </c>
      <c r="E1397" s="229">
        <v>38.0</v>
      </c>
      <c r="F1397" s="230">
        <v>3.0</v>
      </c>
      <c r="G1397" s="232"/>
    </row>
    <row r="1398">
      <c r="A1398" s="2"/>
      <c r="B1398" s="168" t="s">
        <v>280</v>
      </c>
      <c r="C1398" s="168" t="s">
        <v>1672</v>
      </c>
      <c r="D1398" s="229">
        <v>28.5</v>
      </c>
      <c r="E1398" s="229">
        <v>32.0</v>
      </c>
      <c r="F1398" s="230">
        <v>3.0</v>
      </c>
      <c r="G1398" s="232"/>
    </row>
    <row r="1399">
      <c r="A1399" s="2"/>
      <c r="B1399" s="168" t="s">
        <v>288</v>
      </c>
      <c r="C1399" s="168" t="s">
        <v>1673</v>
      </c>
      <c r="D1399" s="229">
        <v>16.5</v>
      </c>
      <c r="E1399" s="229">
        <v>20.0</v>
      </c>
      <c r="F1399" s="230">
        <v>3.0</v>
      </c>
      <c r="G1399" s="232"/>
    </row>
    <row r="1400">
      <c r="A1400" s="2"/>
      <c r="B1400" s="168" t="s">
        <v>215</v>
      </c>
      <c r="C1400" s="168" t="s">
        <v>1674</v>
      </c>
      <c r="D1400" s="229">
        <v>24.5</v>
      </c>
      <c r="E1400" s="229">
        <v>28.0</v>
      </c>
      <c r="F1400" s="230">
        <v>3.0</v>
      </c>
      <c r="G1400" s="232"/>
    </row>
    <row r="1401">
      <c r="A1401" s="2"/>
      <c r="B1401" s="168" t="s">
        <v>296</v>
      </c>
      <c r="C1401" s="168" t="s">
        <v>1675</v>
      </c>
      <c r="D1401" s="229">
        <v>26.5</v>
      </c>
      <c r="E1401" s="229">
        <v>30.0</v>
      </c>
      <c r="F1401" s="230">
        <v>3.0</v>
      </c>
      <c r="G1401" s="232"/>
    </row>
    <row r="1402">
      <c r="A1402" s="2"/>
      <c r="B1402" s="168" t="s">
        <v>271</v>
      </c>
      <c r="C1402" s="168" t="s">
        <v>1676</v>
      </c>
      <c r="D1402" s="229">
        <v>30.5</v>
      </c>
      <c r="E1402" s="229">
        <v>34.0</v>
      </c>
      <c r="F1402" s="230">
        <v>3.0</v>
      </c>
      <c r="G1402" s="232"/>
    </row>
    <row r="1403">
      <c r="A1403" s="2"/>
      <c r="B1403" s="168" t="s">
        <v>255</v>
      </c>
      <c r="C1403" s="168" t="s">
        <v>1677</v>
      </c>
      <c r="D1403" s="229">
        <v>31.5</v>
      </c>
      <c r="E1403" s="229">
        <v>35.0</v>
      </c>
      <c r="F1403" s="230">
        <v>3.0</v>
      </c>
      <c r="G1403" s="232"/>
    </row>
    <row r="1404">
      <c r="A1404" s="2"/>
      <c r="B1404" s="168" t="s">
        <v>230</v>
      </c>
      <c r="C1404" s="168" t="s">
        <v>1678</v>
      </c>
      <c r="D1404" s="229">
        <v>16.5</v>
      </c>
      <c r="E1404" s="229">
        <v>20.0</v>
      </c>
      <c r="F1404" s="230">
        <v>3.0</v>
      </c>
      <c r="G1404" s="232"/>
    </row>
    <row r="1405">
      <c r="A1405" s="2"/>
      <c r="B1405" s="168" t="s">
        <v>232</v>
      </c>
      <c r="C1405" s="168" t="s">
        <v>1679</v>
      </c>
      <c r="D1405" s="229">
        <v>25.5</v>
      </c>
      <c r="E1405" s="229">
        <v>29.0</v>
      </c>
      <c r="F1405" s="230">
        <v>3.0</v>
      </c>
      <c r="G1405" s="232"/>
    </row>
    <row r="1406">
      <c r="A1406" s="2"/>
      <c r="B1406" s="168" t="s">
        <v>280</v>
      </c>
      <c r="C1406" s="168" t="s">
        <v>1680</v>
      </c>
      <c r="D1406" s="229">
        <v>28.5</v>
      </c>
      <c r="E1406" s="229">
        <v>32.0</v>
      </c>
      <c r="F1406" s="230">
        <v>3.0</v>
      </c>
      <c r="G1406" s="232"/>
    </row>
    <row r="1407">
      <c r="A1407" s="2"/>
      <c r="B1407" s="168" t="s">
        <v>243</v>
      </c>
      <c r="C1407" s="168" t="s">
        <v>1681</v>
      </c>
      <c r="D1407" s="229">
        <v>29.5</v>
      </c>
      <c r="E1407" s="229">
        <v>33.0</v>
      </c>
      <c r="F1407" s="230">
        <v>3.0</v>
      </c>
      <c r="G1407" s="232"/>
    </row>
    <row r="1408">
      <c r="A1408" s="2"/>
      <c r="B1408" s="168" t="s">
        <v>684</v>
      </c>
      <c r="C1408" s="168" t="s">
        <v>1682</v>
      </c>
      <c r="D1408" s="229">
        <v>25.5</v>
      </c>
      <c r="E1408" s="229">
        <v>29.0</v>
      </c>
      <c r="F1408" s="230">
        <v>3.0</v>
      </c>
      <c r="G1408" s="232"/>
    </row>
    <row r="1409">
      <c r="A1409" s="2"/>
      <c r="B1409" s="168" t="s">
        <v>296</v>
      </c>
      <c r="C1409" s="168" t="s">
        <v>1683</v>
      </c>
      <c r="D1409" s="229">
        <v>26.5</v>
      </c>
      <c r="E1409" s="229">
        <v>30.0</v>
      </c>
      <c r="F1409" s="230">
        <v>3.0</v>
      </c>
      <c r="G1409" s="232"/>
    </row>
    <row r="1410">
      <c r="A1410" s="2"/>
      <c r="B1410" s="168" t="s">
        <v>288</v>
      </c>
      <c r="C1410" s="168" t="s">
        <v>1684</v>
      </c>
      <c r="D1410" s="229">
        <v>21.5</v>
      </c>
      <c r="E1410" s="229">
        <v>25.0</v>
      </c>
      <c r="F1410" s="230">
        <v>3.0</v>
      </c>
      <c r="G1410" s="232"/>
    </row>
    <row r="1411">
      <c r="A1411" s="2"/>
      <c r="B1411" s="168" t="s">
        <v>290</v>
      </c>
      <c r="C1411" s="168" t="s">
        <v>1685</v>
      </c>
      <c r="D1411" s="229">
        <v>29.5</v>
      </c>
      <c r="E1411" s="229">
        <v>33.0</v>
      </c>
      <c r="F1411" s="230">
        <v>3.0</v>
      </c>
      <c r="G1411" s="232"/>
    </row>
    <row r="1412">
      <c r="A1412" s="2"/>
      <c r="B1412" s="168" t="s">
        <v>230</v>
      </c>
      <c r="C1412" s="168" t="s">
        <v>1686</v>
      </c>
      <c r="D1412" s="229">
        <v>16.5</v>
      </c>
      <c r="E1412" s="229">
        <v>20.0</v>
      </c>
      <c r="F1412" s="230">
        <v>3.0</v>
      </c>
      <c r="G1412" s="232"/>
    </row>
    <row r="1413">
      <c r="A1413" s="2"/>
      <c r="B1413" s="168" t="s">
        <v>217</v>
      </c>
      <c r="C1413" s="168" t="s">
        <v>1687</v>
      </c>
      <c r="D1413" s="229">
        <v>27.5</v>
      </c>
      <c r="E1413" s="229">
        <v>31.0</v>
      </c>
      <c r="F1413" s="230">
        <v>3.0</v>
      </c>
      <c r="G1413" s="232"/>
    </row>
    <row r="1414">
      <c r="A1414" s="2"/>
      <c r="B1414" s="168" t="s">
        <v>288</v>
      </c>
      <c r="C1414" s="168" t="s">
        <v>1688</v>
      </c>
      <c r="D1414" s="229">
        <v>21.5</v>
      </c>
      <c r="E1414" s="229">
        <v>25.0</v>
      </c>
      <c r="F1414" s="230">
        <v>3.0</v>
      </c>
      <c r="G1414" s="232"/>
    </row>
    <row r="1415">
      <c r="A1415" s="2"/>
      <c r="B1415" s="168" t="s">
        <v>221</v>
      </c>
      <c r="C1415" s="168" t="s">
        <v>1689</v>
      </c>
      <c r="D1415" s="229">
        <v>27.5</v>
      </c>
      <c r="E1415" s="229">
        <v>31.0</v>
      </c>
      <c r="F1415" s="230">
        <v>3.0</v>
      </c>
      <c r="G1415" s="232"/>
    </row>
    <row r="1416">
      <c r="A1416" s="2"/>
      <c r="B1416" s="168" t="s">
        <v>381</v>
      </c>
      <c r="C1416" s="168" t="s">
        <v>1690</v>
      </c>
      <c r="D1416" s="229">
        <v>27.0</v>
      </c>
      <c r="E1416" s="229">
        <v>30.5</v>
      </c>
      <c r="F1416" s="230">
        <v>3.0</v>
      </c>
      <c r="G1416" s="232"/>
    </row>
    <row r="1417">
      <c r="A1417" s="2"/>
      <c r="B1417" s="168" t="s">
        <v>290</v>
      </c>
      <c r="C1417" s="168" t="s">
        <v>1691</v>
      </c>
      <c r="D1417" s="229">
        <v>29.5</v>
      </c>
      <c r="E1417" s="229">
        <v>33.0</v>
      </c>
      <c r="F1417" s="230">
        <v>3.0</v>
      </c>
      <c r="G1417" s="232"/>
    </row>
    <row r="1418">
      <c r="A1418" s="2"/>
      <c r="B1418" s="168" t="s">
        <v>241</v>
      </c>
      <c r="C1418" s="168" t="s">
        <v>1692</v>
      </c>
      <c r="D1418" s="229">
        <v>32.5</v>
      </c>
      <c r="E1418" s="229">
        <v>36.0</v>
      </c>
      <c r="F1418" s="230">
        <v>3.0</v>
      </c>
      <c r="G1418" s="232"/>
    </row>
    <row r="1419">
      <c r="A1419" s="2"/>
      <c r="B1419" s="168" t="s">
        <v>290</v>
      </c>
      <c r="C1419" s="168" t="s">
        <v>1693</v>
      </c>
      <c r="D1419" s="229">
        <v>29.5</v>
      </c>
      <c r="E1419" s="229">
        <v>33.0</v>
      </c>
      <c r="F1419" s="230">
        <v>3.0</v>
      </c>
      <c r="G1419" s="232"/>
    </row>
    <row r="1420">
      <c r="A1420" s="2"/>
      <c r="B1420" s="168" t="s">
        <v>581</v>
      </c>
      <c r="C1420" s="168" t="s">
        <v>1694</v>
      </c>
      <c r="D1420" s="229">
        <v>26.5</v>
      </c>
      <c r="E1420" s="229">
        <v>30.0</v>
      </c>
      <c r="F1420" s="230">
        <v>3.0</v>
      </c>
      <c r="G1420" s="232"/>
    </row>
    <row r="1421">
      <c r="A1421" s="2"/>
      <c r="B1421" s="168" t="s">
        <v>245</v>
      </c>
      <c r="C1421" s="168" t="s">
        <v>1695</v>
      </c>
      <c r="D1421" s="229">
        <v>29.5</v>
      </c>
      <c r="E1421" s="229">
        <v>33.0</v>
      </c>
      <c r="F1421" s="230">
        <v>3.0</v>
      </c>
      <c r="G1421" s="232"/>
    </row>
    <row r="1422">
      <c r="A1422" s="2"/>
      <c r="B1422" s="168" t="s">
        <v>427</v>
      </c>
      <c r="C1422" s="168" t="s">
        <v>1696</v>
      </c>
      <c r="D1422" s="229">
        <v>26.5</v>
      </c>
      <c r="E1422" s="229">
        <v>30.0</v>
      </c>
      <c r="F1422" s="230">
        <v>3.0</v>
      </c>
      <c r="G1422" s="232"/>
    </row>
    <row r="1423">
      <c r="A1423" s="2"/>
      <c r="B1423" s="168" t="s">
        <v>337</v>
      </c>
      <c r="C1423" s="168" t="s">
        <v>1697</v>
      </c>
      <c r="D1423" s="229">
        <v>28.5</v>
      </c>
      <c r="E1423" s="229">
        <v>32.0</v>
      </c>
      <c r="F1423" s="230">
        <v>3.0</v>
      </c>
      <c r="G1423" s="232"/>
    </row>
    <row r="1424">
      <c r="A1424" s="2"/>
      <c r="B1424" s="168" t="s">
        <v>269</v>
      </c>
      <c r="C1424" s="168" t="s">
        <v>1698</v>
      </c>
      <c r="D1424" s="229">
        <v>26.5</v>
      </c>
      <c r="E1424" s="229">
        <v>30.0</v>
      </c>
      <c r="F1424" s="230">
        <v>3.0</v>
      </c>
      <c r="G1424" s="232"/>
    </row>
    <row r="1425">
      <c r="A1425" s="2"/>
      <c r="B1425" s="168" t="s">
        <v>239</v>
      </c>
      <c r="C1425" s="168" t="s">
        <v>1699</v>
      </c>
      <c r="D1425" s="229">
        <v>29.5</v>
      </c>
      <c r="E1425" s="229">
        <v>33.0</v>
      </c>
      <c r="F1425" s="230">
        <v>3.0</v>
      </c>
      <c r="G1425" s="232"/>
    </row>
    <row r="1426">
      <c r="A1426" s="2"/>
      <c r="B1426" s="168" t="s">
        <v>427</v>
      </c>
      <c r="C1426" s="168" t="s">
        <v>1700</v>
      </c>
      <c r="D1426" s="229">
        <v>26.5</v>
      </c>
      <c r="E1426" s="229">
        <v>30.0</v>
      </c>
      <c r="F1426" s="230">
        <v>3.0</v>
      </c>
      <c r="G1426" s="232"/>
    </row>
    <row r="1427">
      <c r="A1427" s="2"/>
      <c r="B1427" s="168" t="s">
        <v>257</v>
      </c>
      <c r="C1427" s="168" t="s">
        <v>1701</v>
      </c>
      <c r="D1427" s="229">
        <v>23.5</v>
      </c>
      <c r="E1427" s="229">
        <v>27.0</v>
      </c>
      <c r="F1427" s="230">
        <v>3.0</v>
      </c>
      <c r="G1427" s="232"/>
    </row>
    <row r="1428">
      <c r="A1428" s="2"/>
      <c r="B1428" s="168" t="s">
        <v>219</v>
      </c>
      <c r="C1428" s="168" t="s">
        <v>1702</v>
      </c>
      <c r="D1428" s="229">
        <v>28.5</v>
      </c>
      <c r="E1428" s="229">
        <v>32.0</v>
      </c>
      <c r="F1428" s="230">
        <v>3.0</v>
      </c>
      <c r="G1428" s="232"/>
    </row>
    <row r="1429">
      <c r="A1429" s="2"/>
      <c r="B1429" s="168" t="s">
        <v>285</v>
      </c>
      <c r="C1429" s="168" t="s">
        <v>1703</v>
      </c>
      <c r="D1429" s="229">
        <v>24.5</v>
      </c>
      <c r="E1429" s="229">
        <v>28.0</v>
      </c>
      <c r="F1429" s="230">
        <v>3.0</v>
      </c>
      <c r="G1429" s="232"/>
    </row>
    <row r="1430">
      <c r="A1430" s="2"/>
      <c r="B1430" s="168" t="s">
        <v>221</v>
      </c>
      <c r="C1430" s="168" t="s">
        <v>1704</v>
      </c>
      <c r="D1430" s="229">
        <v>27.5</v>
      </c>
      <c r="E1430" s="229">
        <v>31.0</v>
      </c>
      <c r="F1430" s="230">
        <v>3.0</v>
      </c>
      <c r="G1430" s="232"/>
    </row>
    <row r="1431">
      <c r="A1431" s="2"/>
      <c r="B1431" s="168" t="s">
        <v>232</v>
      </c>
      <c r="C1431" s="168" t="s">
        <v>1705</v>
      </c>
      <c r="D1431" s="229">
        <v>32.5</v>
      </c>
      <c r="E1431" s="229">
        <v>36.0</v>
      </c>
      <c r="F1431" s="230">
        <v>3.0</v>
      </c>
      <c r="G1431" s="232"/>
    </row>
    <row r="1432">
      <c r="A1432" s="2"/>
      <c r="B1432" s="168" t="s">
        <v>290</v>
      </c>
      <c r="C1432" s="168" t="s">
        <v>1706</v>
      </c>
      <c r="D1432" s="229">
        <v>29.5</v>
      </c>
      <c r="E1432" s="229">
        <v>33.0</v>
      </c>
      <c r="F1432" s="230">
        <v>3.0</v>
      </c>
      <c r="G1432" s="232"/>
    </row>
    <row r="1433">
      <c r="A1433" s="2"/>
      <c r="B1433" s="168" t="s">
        <v>247</v>
      </c>
      <c r="C1433" s="168" t="s">
        <v>1707</v>
      </c>
      <c r="D1433" s="229">
        <v>29.5</v>
      </c>
      <c r="E1433" s="229">
        <v>33.0</v>
      </c>
      <c r="F1433" s="230">
        <v>3.0</v>
      </c>
      <c r="G1433" s="232"/>
    </row>
    <row r="1434">
      <c r="A1434" s="2"/>
      <c r="B1434" s="168" t="s">
        <v>368</v>
      </c>
      <c r="C1434" s="168" t="s">
        <v>1708</v>
      </c>
      <c r="D1434" s="229">
        <v>32.5</v>
      </c>
      <c r="E1434" s="229">
        <v>36.0</v>
      </c>
      <c r="F1434" s="230">
        <v>3.0</v>
      </c>
      <c r="G1434" s="232"/>
    </row>
    <row r="1435">
      <c r="A1435" s="2"/>
      <c r="B1435" s="168" t="s">
        <v>296</v>
      </c>
      <c r="C1435" s="168" t="s">
        <v>1709</v>
      </c>
      <c r="D1435" s="229">
        <v>26.5</v>
      </c>
      <c r="E1435" s="229">
        <v>30.0</v>
      </c>
      <c r="F1435" s="230">
        <v>3.0</v>
      </c>
      <c r="G1435" s="232"/>
    </row>
    <row r="1436">
      <c r="A1436" s="2"/>
      <c r="B1436" s="168" t="s">
        <v>232</v>
      </c>
      <c r="C1436" s="168" t="s">
        <v>1710</v>
      </c>
      <c r="D1436" s="229">
        <v>32.5</v>
      </c>
      <c r="E1436" s="229">
        <v>36.0</v>
      </c>
      <c r="F1436" s="230">
        <v>3.0</v>
      </c>
      <c r="G1436" s="232"/>
    </row>
    <row r="1437">
      <c r="A1437" s="2"/>
      <c r="B1437" s="168" t="s">
        <v>217</v>
      </c>
      <c r="C1437" s="168" t="s">
        <v>1711</v>
      </c>
      <c r="D1437" s="229">
        <v>27.5</v>
      </c>
      <c r="E1437" s="229">
        <v>31.0</v>
      </c>
      <c r="F1437" s="230">
        <v>3.0</v>
      </c>
      <c r="G1437" s="232"/>
    </row>
    <row r="1438">
      <c r="A1438" s="2"/>
      <c r="B1438" s="168" t="s">
        <v>377</v>
      </c>
      <c r="C1438" s="168" t="s">
        <v>1712</v>
      </c>
      <c r="D1438" s="229">
        <v>29.5</v>
      </c>
      <c r="E1438" s="229">
        <v>33.0</v>
      </c>
      <c r="F1438" s="230">
        <v>3.0</v>
      </c>
      <c r="G1438" s="232"/>
    </row>
    <row r="1439">
      <c r="A1439" s="2"/>
      <c r="B1439" s="168" t="s">
        <v>230</v>
      </c>
      <c r="C1439" s="168" t="s">
        <v>1713</v>
      </c>
      <c r="D1439" s="229">
        <v>21.5</v>
      </c>
      <c r="E1439" s="229">
        <v>25.0</v>
      </c>
      <c r="F1439" s="230">
        <v>3.0</v>
      </c>
      <c r="G1439" s="232"/>
    </row>
    <row r="1440">
      <c r="A1440" s="2"/>
      <c r="B1440" s="168" t="s">
        <v>223</v>
      </c>
      <c r="C1440" s="168" t="s">
        <v>1714</v>
      </c>
      <c r="D1440" s="229">
        <v>26.5</v>
      </c>
      <c r="E1440" s="229">
        <v>30.0</v>
      </c>
      <c r="F1440" s="230">
        <v>3.0</v>
      </c>
      <c r="G1440" s="232"/>
    </row>
    <row r="1441">
      <c r="A1441" s="2"/>
      <c r="B1441" s="168" t="s">
        <v>241</v>
      </c>
      <c r="C1441" s="168" t="s">
        <v>1715</v>
      </c>
      <c r="D1441" s="229">
        <v>32.5</v>
      </c>
      <c r="E1441" s="229">
        <v>36.0</v>
      </c>
      <c r="F1441" s="230">
        <v>3.0</v>
      </c>
      <c r="G1441" s="232"/>
    </row>
    <row r="1442">
      <c r="A1442" s="2"/>
      <c r="B1442" s="168" t="s">
        <v>230</v>
      </c>
      <c r="C1442" s="168" t="s">
        <v>1716</v>
      </c>
      <c r="D1442" s="229">
        <v>16.5</v>
      </c>
      <c r="E1442" s="229">
        <v>20.0</v>
      </c>
      <c r="F1442" s="230">
        <v>3.0</v>
      </c>
      <c r="G1442" s="232"/>
    </row>
    <row r="1443">
      <c r="A1443" s="2"/>
      <c r="B1443" s="168" t="s">
        <v>230</v>
      </c>
      <c r="C1443" s="168" t="s">
        <v>1717</v>
      </c>
      <c r="D1443" s="229">
        <v>21.5</v>
      </c>
      <c r="E1443" s="229">
        <v>25.0</v>
      </c>
      <c r="F1443" s="230">
        <v>3.0</v>
      </c>
      <c r="G1443" s="232"/>
    </row>
    <row r="1444">
      <c r="A1444" s="2"/>
      <c r="B1444" s="168" t="s">
        <v>381</v>
      </c>
      <c r="C1444" s="168" t="s">
        <v>1718</v>
      </c>
      <c r="D1444" s="229">
        <v>28.0</v>
      </c>
      <c r="E1444" s="229">
        <v>31.5</v>
      </c>
      <c r="F1444" s="230">
        <v>3.0</v>
      </c>
      <c r="G1444" s="232"/>
    </row>
    <row r="1445">
      <c r="A1445" s="2"/>
      <c r="B1445" s="168" t="s">
        <v>217</v>
      </c>
      <c r="C1445" s="168" t="s">
        <v>1719</v>
      </c>
      <c r="D1445" s="229">
        <v>27.5</v>
      </c>
      <c r="E1445" s="229">
        <v>31.0</v>
      </c>
      <c r="F1445" s="230">
        <v>3.0</v>
      </c>
      <c r="G1445" s="232"/>
    </row>
    <row r="1446">
      <c r="A1446" s="2"/>
      <c r="B1446" s="168" t="s">
        <v>288</v>
      </c>
      <c r="C1446" s="168" t="s">
        <v>1720</v>
      </c>
      <c r="D1446" s="229">
        <v>21.5</v>
      </c>
      <c r="E1446" s="229">
        <v>25.0</v>
      </c>
      <c r="F1446" s="230">
        <v>3.0</v>
      </c>
      <c r="G1446" s="232"/>
    </row>
    <row r="1447">
      <c r="A1447" s="2"/>
      <c r="B1447" s="168" t="s">
        <v>245</v>
      </c>
      <c r="C1447" s="168" t="s">
        <v>1721</v>
      </c>
      <c r="D1447" s="229">
        <v>29.5</v>
      </c>
      <c r="E1447" s="229">
        <v>33.0</v>
      </c>
      <c r="F1447" s="230">
        <v>3.0</v>
      </c>
      <c r="G1447" s="232"/>
    </row>
    <row r="1448">
      <c r="A1448" s="2"/>
      <c r="B1448" s="168" t="s">
        <v>427</v>
      </c>
      <c r="C1448" s="168" t="s">
        <v>1722</v>
      </c>
      <c r="D1448" s="229">
        <v>26.5</v>
      </c>
      <c r="E1448" s="229">
        <v>30.0</v>
      </c>
      <c r="F1448" s="230">
        <v>3.0</v>
      </c>
      <c r="G1448" s="232"/>
    </row>
    <row r="1449">
      <c r="A1449" s="2"/>
      <c r="B1449" s="168" t="s">
        <v>290</v>
      </c>
      <c r="C1449" s="168" t="s">
        <v>1723</v>
      </c>
      <c r="D1449" s="229">
        <v>29.5</v>
      </c>
      <c r="E1449" s="229">
        <v>33.0</v>
      </c>
      <c r="F1449" s="230">
        <v>3.0</v>
      </c>
      <c r="G1449" s="232"/>
    </row>
    <row r="1450">
      <c r="A1450" s="2"/>
      <c r="B1450" s="168" t="s">
        <v>438</v>
      </c>
      <c r="C1450" s="168" t="s">
        <v>1724</v>
      </c>
      <c r="D1450" s="229">
        <v>29.5</v>
      </c>
      <c r="E1450" s="229">
        <v>33.0</v>
      </c>
      <c r="F1450" s="230">
        <v>3.0</v>
      </c>
      <c r="G1450" s="232"/>
    </row>
    <row r="1451">
      <c r="A1451" s="2"/>
      <c r="B1451" s="168" t="s">
        <v>219</v>
      </c>
      <c r="C1451" s="168" t="s">
        <v>1725</v>
      </c>
      <c r="D1451" s="229">
        <v>19.5</v>
      </c>
      <c r="E1451" s="229">
        <v>23.0</v>
      </c>
      <c r="F1451" s="230">
        <v>3.0</v>
      </c>
      <c r="G1451" s="232"/>
    </row>
    <row r="1452">
      <c r="A1452" s="2"/>
      <c r="B1452" s="168" t="s">
        <v>296</v>
      </c>
      <c r="C1452" s="168" t="s">
        <v>1726</v>
      </c>
      <c r="D1452" s="229">
        <v>26.5</v>
      </c>
      <c r="E1452" s="229">
        <v>30.0</v>
      </c>
      <c r="F1452" s="230">
        <v>3.0</v>
      </c>
      <c r="G1452" s="232"/>
    </row>
    <row r="1453">
      <c r="A1453" s="2"/>
      <c r="B1453" s="168" t="s">
        <v>269</v>
      </c>
      <c r="C1453" s="168" t="s">
        <v>1727</v>
      </c>
      <c r="D1453" s="229">
        <v>26.5</v>
      </c>
      <c r="E1453" s="229">
        <v>30.0</v>
      </c>
      <c r="F1453" s="230">
        <v>3.0</v>
      </c>
      <c r="G1453" s="232"/>
    </row>
    <row r="1454">
      <c r="A1454" s="2"/>
      <c r="B1454" s="168" t="s">
        <v>230</v>
      </c>
      <c r="C1454" s="168" t="s">
        <v>1728</v>
      </c>
      <c r="D1454" s="229">
        <v>20.5</v>
      </c>
      <c r="E1454" s="229">
        <v>24.0</v>
      </c>
      <c r="F1454" s="230">
        <v>3.0</v>
      </c>
      <c r="G1454" s="232"/>
    </row>
    <row r="1455">
      <c r="A1455" s="2"/>
      <c r="B1455" s="168" t="s">
        <v>255</v>
      </c>
      <c r="C1455" s="168" t="s">
        <v>1729</v>
      </c>
      <c r="D1455" s="229">
        <v>31.5</v>
      </c>
      <c r="E1455" s="229">
        <v>35.0</v>
      </c>
      <c r="F1455" s="230">
        <v>3.0</v>
      </c>
      <c r="G1455" s="232"/>
    </row>
    <row r="1456">
      <c r="A1456" s="2"/>
      <c r="B1456" s="168" t="s">
        <v>230</v>
      </c>
      <c r="C1456" s="168" t="s">
        <v>1730</v>
      </c>
      <c r="D1456" s="229">
        <v>21.5</v>
      </c>
      <c r="E1456" s="229">
        <v>25.0</v>
      </c>
      <c r="F1456" s="230">
        <v>3.0</v>
      </c>
      <c r="G1456" s="232"/>
    </row>
    <row r="1457">
      <c r="A1457" s="2"/>
      <c r="B1457" s="168" t="s">
        <v>266</v>
      </c>
      <c r="C1457" s="168" t="s">
        <v>1731</v>
      </c>
      <c r="D1457" s="229">
        <v>33.0</v>
      </c>
      <c r="E1457" s="229">
        <v>33.0</v>
      </c>
      <c r="F1457" s="230">
        <v>3.0</v>
      </c>
      <c r="G1457" s="232"/>
    </row>
    <row r="1458">
      <c r="A1458" s="2"/>
      <c r="B1458" s="168" t="s">
        <v>290</v>
      </c>
      <c r="C1458" s="168" t="s">
        <v>1732</v>
      </c>
      <c r="D1458" s="229">
        <v>29.5</v>
      </c>
      <c r="E1458" s="229">
        <v>33.0</v>
      </c>
      <c r="F1458" s="230">
        <v>3.0</v>
      </c>
      <c r="G1458" s="232"/>
    </row>
    <row r="1459">
      <c r="A1459" s="2"/>
      <c r="B1459" s="168" t="s">
        <v>230</v>
      </c>
      <c r="C1459" s="168" t="s">
        <v>1733</v>
      </c>
      <c r="D1459" s="229">
        <v>21.5</v>
      </c>
      <c r="E1459" s="229">
        <v>25.0</v>
      </c>
      <c r="F1459" s="230">
        <v>3.0</v>
      </c>
      <c r="G1459" s="232"/>
    </row>
    <row r="1460">
      <c r="A1460" s="2"/>
      <c r="B1460" s="168" t="s">
        <v>273</v>
      </c>
      <c r="C1460" s="168" t="s">
        <v>1734</v>
      </c>
      <c r="D1460" s="229">
        <v>24.5</v>
      </c>
      <c r="E1460" s="229">
        <v>28.0</v>
      </c>
      <c r="F1460" s="230">
        <v>3.0</v>
      </c>
      <c r="G1460" s="232"/>
    </row>
    <row r="1461">
      <c r="A1461" s="2"/>
      <c r="B1461" s="168" t="s">
        <v>341</v>
      </c>
      <c r="C1461" s="168" t="s">
        <v>1735</v>
      </c>
      <c r="D1461" s="229">
        <v>29.5</v>
      </c>
      <c r="E1461" s="229">
        <v>29.5</v>
      </c>
      <c r="F1461" s="230">
        <v>3.0</v>
      </c>
      <c r="G1461" s="232"/>
    </row>
    <row r="1462">
      <c r="A1462" s="2"/>
      <c r="B1462" s="168" t="s">
        <v>230</v>
      </c>
      <c r="C1462" s="168" t="s">
        <v>1736</v>
      </c>
      <c r="D1462" s="229">
        <v>21.5</v>
      </c>
      <c r="E1462" s="229">
        <v>25.0</v>
      </c>
      <c r="F1462" s="230">
        <v>3.0</v>
      </c>
      <c r="G1462" s="232"/>
    </row>
    <row r="1463">
      <c r="A1463" s="2"/>
      <c r="B1463" s="168" t="s">
        <v>269</v>
      </c>
      <c r="C1463" s="168" t="s">
        <v>1737</v>
      </c>
      <c r="D1463" s="229">
        <v>26.5</v>
      </c>
      <c r="E1463" s="229">
        <v>30.0</v>
      </c>
      <c r="F1463" s="230">
        <v>3.0</v>
      </c>
      <c r="G1463" s="232"/>
    </row>
    <row r="1464">
      <c r="A1464" s="2"/>
      <c r="B1464" s="168" t="s">
        <v>215</v>
      </c>
      <c r="C1464" s="168" t="s">
        <v>1738</v>
      </c>
      <c r="D1464" s="229">
        <v>27.5</v>
      </c>
      <c r="E1464" s="229">
        <v>31.0</v>
      </c>
      <c r="F1464" s="230">
        <v>3.0</v>
      </c>
      <c r="G1464" s="232"/>
    </row>
    <row r="1465">
      <c r="A1465" s="2"/>
      <c r="B1465" s="168" t="s">
        <v>241</v>
      </c>
      <c r="C1465" s="168" t="s">
        <v>1739</v>
      </c>
      <c r="D1465" s="229">
        <v>32.5</v>
      </c>
      <c r="E1465" s="229">
        <v>36.0</v>
      </c>
      <c r="F1465" s="230">
        <v>3.0</v>
      </c>
      <c r="G1465" s="232"/>
    </row>
    <row r="1466">
      <c r="A1466" s="2"/>
      <c r="B1466" s="168" t="s">
        <v>217</v>
      </c>
      <c r="C1466" s="168" t="s">
        <v>217</v>
      </c>
      <c r="D1466" s="229">
        <v>27.5</v>
      </c>
      <c r="E1466" s="229">
        <v>31.0</v>
      </c>
      <c r="F1466" s="230">
        <v>3.0</v>
      </c>
      <c r="G1466" s="232"/>
    </row>
    <row r="1467">
      <c r="A1467" s="2"/>
      <c r="B1467" s="168" t="s">
        <v>318</v>
      </c>
      <c r="C1467" s="168" t="s">
        <v>1740</v>
      </c>
      <c r="D1467" s="229">
        <v>25.5</v>
      </c>
      <c r="E1467" s="229">
        <v>29.0</v>
      </c>
      <c r="F1467" s="230">
        <v>3.0</v>
      </c>
      <c r="G1467" s="232"/>
    </row>
    <row r="1468">
      <c r="A1468" s="2"/>
      <c r="B1468" s="168" t="s">
        <v>269</v>
      </c>
      <c r="C1468" s="168" t="s">
        <v>1741</v>
      </c>
      <c r="D1468" s="229">
        <v>26.5</v>
      </c>
      <c r="E1468" s="229">
        <v>30.0</v>
      </c>
      <c r="F1468" s="230">
        <v>3.0</v>
      </c>
      <c r="G1468" s="232"/>
    </row>
    <row r="1469">
      <c r="A1469" s="2"/>
      <c r="B1469" s="168" t="s">
        <v>273</v>
      </c>
      <c r="C1469" s="168" t="s">
        <v>1742</v>
      </c>
      <c r="D1469" s="229">
        <v>24.5</v>
      </c>
      <c r="E1469" s="229">
        <v>28.0</v>
      </c>
      <c r="F1469" s="230">
        <v>3.0</v>
      </c>
      <c r="G1469" s="232"/>
    </row>
    <row r="1470">
      <c r="A1470" s="2"/>
      <c r="B1470" s="168" t="s">
        <v>296</v>
      </c>
      <c r="C1470" s="168" t="s">
        <v>1743</v>
      </c>
      <c r="D1470" s="229">
        <v>26.5</v>
      </c>
      <c r="E1470" s="229">
        <v>30.0</v>
      </c>
      <c r="F1470" s="230">
        <v>3.0</v>
      </c>
      <c r="G1470" s="232"/>
    </row>
    <row r="1471">
      <c r="A1471" s="2"/>
      <c r="B1471" s="168" t="s">
        <v>232</v>
      </c>
      <c r="C1471" s="168" t="s">
        <v>1744</v>
      </c>
      <c r="D1471" s="229">
        <v>25.5</v>
      </c>
      <c r="E1471" s="229">
        <v>29.0</v>
      </c>
      <c r="F1471" s="230">
        <v>3.0</v>
      </c>
      <c r="G1471" s="232"/>
    </row>
    <row r="1472">
      <c r="A1472" s="2"/>
      <c r="B1472" s="168" t="s">
        <v>427</v>
      </c>
      <c r="C1472" s="168" t="s">
        <v>1745</v>
      </c>
      <c r="D1472" s="229">
        <v>26.0</v>
      </c>
      <c r="E1472" s="229">
        <v>29.5</v>
      </c>
      <c r="F1472" s="230">
        <v>3.0</v>
      </c>
      <c r="G1472" s="232"/>
    </row>
    <row r="1473">
      <c r="A1473" s="2"/>
      <c r="B1473" s="168" t="s">
        <v>273</v>
      </c>
      <c r="C1473" s="168" t="s">
        <v>1746</v>
      </c>
      <c r="D1473" s="229">
        <v>29.5</v>
      </c>
      <c r="E1473" s="229">
        <v>33.0</v>
      </c>
      <c r="F1473" s="230">
        <v>3.0</v>
      </c>
      <c r="G1473" s="232"/>
    </row>
    <row r="1474">
      <c r="A1474" s="2"/>
      <c r="B1474" s="168" t="s">
        <v>269</v>
      </c>
      <c r="C1474" s="168" t="s">
        <v>1747</v>
      </c>
      <c r="D1474" s="229">
        <v>26.5</v>
      </c>
      <c r="E1474" s="229">
        <v>30.0</v>
      </c>
      <c r="F1474" s="230">
        <v>3.0</v>
      </c>
      <c r="G1474" s="232"/>
    </row>
    <row r="1475">
      <c r="A1475" s="2"/>
      <c r="B1475" s="168" t="s">
        <v>273</v>
      </c>
      <c r="C1475" s="168" t="s">
        <v>1748</v>
      </c>
      <c r="D1475" s="229">
        <v>29.5</v>
      </c>
      <c r="E1475" s="229">
        <v>33.0</v>
      </c>
      <c r="F1475" s="230">
        <v>3.0</v>
      </c>
      <c r="G1475" s="232"/>
    </row>
    <row r="1476">
      <c r="A1476" s="2"/>
      <c r="B1476" s="168" t="s">
        <v>430</v>
      </c>
      <c r="C1476" s="168" t="s">
        <v>1749</v>
      </c>
      <c r="D1476" s="229">
        <v>34.5</v>
      </c>
      <c r="E1476" s="229">
        <v>38.0</v>
      </c>
      <c r="F1476" s="230">
        <v>3.0</v>
      </c>
      <c r="G1476" s="232"/>
    </row>
    <row r="1477">
      <c r="A1477" s="2"/>
      <c r="B1477" s="168" t="s">
        <v>275</v>
      </c>
      <c r="C1477" s="168" t="s">
        <v>1750</v>
      </c>
      <c r="D1477" s="229">
        <v>26.5</v>
      </c>
      <c r="E1477" s="229">
        <v>30.0</v>
      </c>
      <c r="F1477" s="230">
        <v>3.0</v>
      </c>
      <c r="G1477" s="232"/>
    </row>
    <row r="1478">
      <c r="A1478" s="2"/>
      <c r="B1478" s="168" t="s">
        <v>592</v>
      </c>
      <c r="C1478" s="168" t="s">
        <v>1751</v>
      </c>
      <c r="D1478" s="229">
        <v>34.5</v>
      </c>
      <c r="E1478" s="229">
        <v>38.0</v>
      </c>
      <c r="F1478" s="230">
        <v>3.0</v>
      </c>
      <c r="G1478" s="232"/>
    </row>
    <row r="1479">
      <c r="A1479" s="2"/>
      <c r="B1479" s="168" t="s">
        <v>296</v>
      </c>
      <c r="C1479" s="168" t="s">
        <v>1752</v>
      </c>
      <c r="D1479" s="229">
        <v>26.5</v>
      </c>
      <c r="E1479" s="229">
        <v>30.0</v>
      </c>
      <c r="F1479" s="230">
        <v>3.0</v>
      </c>
      <c r="G1479" s="232"/>
    </row>
    <row r="1480">
      <c r="A1480" s="2"/>
      <c r="B1480" s="168" t="s">
        <v>271</v>
      </c>
      <c r="C1480" s="168" t="s">
        <v>1753</v>
      </c>
      <c r="D1480" s="229">
        <v>29.5</v>
      </c>
      <c r="E1480" s="229">
        <v>33.0</v>
      </c>
      <c r="F1480" s="230">
        <v>3.0</v>
      </c>
      <c r="G1480" s="232"/>
    </row>
    <row r="1481">
      <c r="A1481" s="2"/>
      <c r="B1481" s="168" t="s">
        <v>490</v>
      </c>
      <c r="C1481" s="168" t="s">
        <v>1754</v>
      </c>
      <c r="D1481" s="229">
        <v>34.5</v>
      </c>
      <c r="E1481" s="229">
        <v>38.0</v>
      </c>
      <c r="F1481" s="230">
        <v>3.0</v>
      </c>
      <c r="G1481" s="232"/>
    </row>
    <row r="1482">
      <c r="A1482" s="2"/>
      <c r="B1482" s="168" t="s">
        <v>269</v>
      </c>
      <c r="C1482" s="168" t="s">
        <v>1755</v>
      </c>
      <c r="D1482" s="229">
        <v>26.5</v>
      </c>
      <c r="E1482" s="229">
        <v>30.0</v>
      </c>
      <c r="F1482" s="230">
        <v>3.0</v>
      </c>
      <c r="G1482" s="232"/>
    </row>
    <row r="1483">
      <c r="A1483" s="2"/>
      <c r="B1483" s="168" t="s">
        <v>217</v>
      </c>
      <c r="C1483" s="168" t="s">
        <v>1756</v>
      </c>
      <c r="D1483" s="229">
        <v>27.0</v>
      </c>
      <c r="E1483" s="229">
        <v>30.5</v>
      </c>
      <c r="F1483" s="230">
        <v>3.0</v>
      </c>
      <c r="G1483" s="232"/>
    </row>
    <row r="1484">
      <c r="A1484" s="2"/>
      <c r="B1484" s="168" t="s">
        <v>269</v>
      </c>
      <c r="C1484" s="168" t="s">
        <v>1757</v>
      </c>
      <c r="D1484" s="229">
        <v>26.5</v>
      </c>
      <c r="E1484" s="229">
        <v>30.0</v>
      </c>
      <c r="F1484" s="230">
        <v>3.0</v>
      </c>
      <c r="G1484" s="232"/>
    </row>
    <row r="1485">
      <c r="A1485" s="2"/>
      <c r="B1485" s="168" t="s">
        <v>241</v>
      </c>
      <c r="C1485" s="168" t="s">
        <v>1758</v>
      </c>
      <c r="D1485" s="229">
        <v>31.0</v>
      </c>
      <c r="E1485" s="229">
        <v>34.5</v>
      </c>
      <c r="F1485" s="230">
        <v>3.0</v>
      </c>
      <c r="G1485" s="232"/>
    </row>
    <row r="1486">
      <c r="A1486" s="2"/>
      <c r="B1486" s="168" t="s">
        <v>269</v>
      </c>
      <c r="C1486" s="168" t="s">
        <v>1759</v>
      </c>
      <c r="D1486" s="229">
        <v>26.5</v>
      </c>
      <c r="E1486" s="229">
        <v>30.0</v>
      </c>
      <c r="F1486" s="230">
        <v>3.0</v>
      </c>
      <c r="G1486" s="232"/>
    </row>
    <row r="1487">
      <c r="A1487" s="2"/>
      <c r="B1487" s="168" t="s">
        <v>285</v>
      </c>
      <c r="C1487" s="168" t="s">
        <v>1760</v>
      </c>
      <c r="D1487" s="229">
        <v>24.5</v>
      </c>
      <c r="E1487" s="229">
        <v>28.0</v>
      </c>
      <c r="F1487" s="230">
        <v>3.0</v>
      </c>
      <c r="G1487" s="232"/>
    </row>
    <row r="1488">
      <c r="A1488" s="2"/>
      <c r="B1488" s="168" t="s">
        <v>257</v>
      </c>
      <c r="C1488" s="168" t="s">
        <v>1761</v>
      </c>
      <c r="D1488" s="229">
        <v>28.5</v>
      </c>
      <c r="E1488" s="229">
        <v>32.0</v>
      </c>
      <c r="F1488" s="230">
        <v>3.0</v>
      </c>
      <c r="G1488" s="232"/>
    </row>
    <row r="1489">
      <c r="A1489" s="2"/>
      <c r="B1489" s="168" t="s">
        <v>269</v>
      </c>
      <c r="C1489" s="168" t="s">
        <v>1762</v>
      </c>
      <c r="D1489" s="229">
        <v>26.0</v>
      </c>
      <c r="E1489" s="229">
        <v>29.5</v>
      </c>
      <c r="F1489" s="230">
        <v>3.0</v>
      </c>
      <c r="G1489" s="232"/>
    </row>
    <row r="1490">
      <c r="A1490" s="2"/>
      <c r="B1490" s="168" t="s">
        <v>288</v>
      </c>
      <c r="C1490" s="168" t="s">
        <v>1763</v>
      </c>
      <c r="D1490" s="229">
        <v>21.5</v>
      </c>
      <c r="E1490" s="229">
        <v>25.0</v>
      </c>
      <c r="F1490" s="230">
        <v>3.0</v>
      </c>
      <c r="G1490" s="232"/>
    </row>
    <row r="1491">
      <c r="A1491" s="2"/>
      <c r="B1491" s="168" t="s">
        <v>302</v>
      </c>
      <c r="C1491" s="168" t="s">
        <v>1764</v>
      </c>
      <c r="D1491" s="229">
        <v>34.5</v>
      </c>
      <c r="E1491" s="229">
        <v>38.0</v>
      </c>
      <c r="F1491" s="230">
        <v>3.0</v>
      </c>
      <c r="G1491" s="232"/>
    </row>
    <row r="1492">
      <c r="A1492" s="2"/>
      <c r="B1492" s="168" t="s">
        <v>341</v>
      </c>
      <c r="C1492" s="168" t="s">
        <v>1765</v>
      </c>
      <c r="D1492" s="229">
        <v>29.5</v>
      </c>
      <c r="E1492" s="229">
        <v>29.5</v>
      </c>
      <c r="F1492" s="230">
        <v>3.0</v>
      </c>
      <c r="G1492" s="232"/>
    </row>
    <row r="1493">
      <c r="A1493" s="2"/>
      <c r="B1493" s="168" t="s">
        <v>1392</v>
      </c>
      <c r="C1493" s="168" t="s">
        <v>1766</v>
      </c>
      <c r="D1493" s="229">
        <v>26.5</v>
      </c>
      <c r="E1493" s="229">
        <v>30.0</v>
      </c>
      <c r="F1493" s="230">
        <v>3.0</v>
      </c>
      <c r="G1493" s="232"/>
    </row>
    <row r="1494">
      <c r="A1494" s="2"/>
      <c r="B1494" s="168" t="s">
        <v>430</v>
      </c>
      <c r="C1494" s="168" t="s">
        <v>1767</v>
      </c>
      <c r="D1494" s="229">
        <v>34.5</v>
      </c>
      <c r="E1494" s="229">
        <v>38.0</v>
      </c>
      <c r="F1494" s="230">
        <v>3.0</v>
      </c>
      <c r="G1494" s="232"/>
    </row>
    <row r="1495">
      <c r="A1495" s="2"/>
      <c r="B1495" s="168" t="s">
        <v>217</v>
      </c>
      <c r="C1495" s="168" t="s">
        <v>1768</v>
      </c>
      <c r="D1495" s="229">
        <v>27.5</v>
      </c>
      <c r="E1495" s="229">
        <v>31.0</v>
      </c>
      <c r="F1495" s="230">
        <v>3.0</v>
      </c>
      <c r="G1495" s="232"/>
    </row>
    <row r="1496">
      <c r="A1496" s="2"/>
      <c r="B1496" s="168" t="s">
        <v>223</v>
      </c>
      <c r="C1496" s="168" t="s">
        <v>1769</v>
      </c>
      <c r="D1496" s="229">
        <v>26.5</v>
      </c>
      <c r="E1496" s="229">
        <v>30.0</v>
      </c>
      <c r="F1496" s="230">
        <v>3.0</v>
      </c>
      <c r="G1496" s="232"/>
    </row>
    <row r="1497">
      <c r="A1497" s="2"/>
      <c r="B1497" s="168" t="s">
        <v>290</v>
      </c>
      <c r="C1497" s="168" t="s">
        <v>1770</v>
      </c>
      <c r="D1497" s="229">
        <v>29.5</v>
      </c>
      <c r="E1497" s="229">
        <v>33.0</v>
      </c>
      <c r="F1497" s="230">
        <v>3.0</v>
      </c>
      <c r="G1497" s="232"/>
    </row>
    <row r="1498">
      <c r="A1498" s="2"/>
      <c r="B1498" s="168" t="s">
        <v>290</v>
      </c>
      <c r="C1498" s="168" t="s">
        <v>1771</v>
      </c>
      <c r="D1498" s="229">
        <v>29.5</v>
      </c>
      <c r="E1498" s="229">
        <v>33.0</v>
      </c>
      <c r="F1498" s="230">
        <v>3.0</v>
      </c>
      <c r="G1498" s="232"/>
    </row>
    <row r="1499">
      <c r="A1499" s="2"/>
      <c r="B1499" s="168" t="s">
        <v>290</v>
      </c>
      <c r="C1499" s="168" t="s">
        <v>1772</v>
      </c>
      <c r="D1499" s="229">
        <v>29.5</v>
      </c>
      <c r="E1499" s="229">
        <v>33.0</v>
      </c>
      <c r="F1499" s="230">
        <v>3.0</v>
      </c>
      <c r="G1499" s="232"/>
    </row>
    <row r="1500">
      <c r="A1500" s="2"/>
      <c r="B1500" s="168" t="s">
        <v>269</v>
      </c>
      <c r="C1500" s="168" t="s">
        <v>1773</v>
      </c>
      <c r="D1500" s="229">
        <v>26.5</v>
      </c>
      <c r="E1500" s="229">
        <v>30.0</v>
      </c>
      <c r="F1500" s="230">
        <v>3.0</v>
      </c>
      <c r="G1500" s="232"/>
    </row>
    <row r="1501">
      <c r="A1501" s="2"/>
      <c r="B1501" s="168" t="s">
        <v>413</v>
      </c>
      <c r="C1501" s="168" t="s">
        <v>1774</v>
      </c>
      <c r="D1501" s="229">
        <v>29.5</v>
      </c>
      <c r="E1501" s="229">
        <v>33.0</v>
      </c>
      <c r="F1501" s="230">
        <v>3.0</v>
      </c>
      <c r="G1501" s="232"/>
    </row>
    <row r="1502">
      <c r="A1502" s="2"/>
      <c r="B1502" s="168" t="s">
        <v>230</v>
      </c>
      <c r="C1502" s="168" t="s">
        <v>1775</v>
      </c>
      <c r="D1502" s="229">
        <v>21.5</v>
      </c>
      <c r="E1502" s="229">
        <v>25.0</v>
      </c>
      <c r="F1502" s="230">
        <v>3.0</v>
      </c>
      <c r="G1502" s="232"/>
    </row>
    <row r="1503">
      <c r="A1503" s="2"/>
      <c r="B1503" s="168" t="s">
        <v>290</v>
      </c>
      <c r="C1503" s="168" t="s">
        <v>1776</v>
      </c>
      <c r="D1503" s="229">
        <v>24.5</v>
      </c>
      <c r="E1503" s="229">
        <v>28.0</v>
      </c>
      <c r="F1503" s="230">
        <v>3.0</v>
      </c>
      <c r="G1503" s="232"/>
    </row>
    <row r="1504">
      <c r="A1504" s="2"/>
      <c r="B1504" s="168" t="s">
        <v>300</v>
      </c>
      <c r="C1504" s="168" t="s">
        <v>1777</v>
      </c>
      <c r="D1504" s="229">
        <v>28.5</v>
      </c>
      <c r="E1504" s="229">
        <v>32.0</v>
      </c>
      <c r="F1504" s="230">
        <v>3.0</v>
      </c>
      <c r="G1504" s="232"/>
    </row>
    <row r="1505">
      <c r="A1505" s="2"/>
      <c r="B1505" s="168" t="s">
        <v>255</v>
      </c>
      <c r="C1505" s="168" t="s">
        <v>1778</v>
      </c>
      <c r="D1505" s="229">
        <v>30.5</v>
      </c>
      <c r="E1505" s="229">
        <v>34.0</v>
      </c>
      <c r="F1505" s="230">
        <v>3.0</v>
      </c>
      <c r="G1505" s="232"/>
    </row>
    <row r="1506">
      <c r="A1506" s="2"/>
      <c r="B1506" s="168" t="s">
        <v>241</v>
      </c>
      <c r="C1506" s="168" t="s">
        <v>1779</v>
      </c>
      <c r="D1506" s="229">
        <v>27.5</v>
      </c>
      <c r="E1506" s="229">
        <v>31.0</v>
      </c>
      <c r="F1506" s="230">
        <v>3.0</v>
      </c>
      <c r="G1506" s="232"/>
    </row>
    <row r="1507">
      <c r="A1507" s="2"/>
      <c r="B1507" s="168" t="s">
        <v>215</v>
      </c>
      <c r="C1507" s="168" t="s">
        <v>1780</v>
      </c>
      <c r="D1507" s="229">
        <v>29.5</v>
      </c>
      <c r="E1507" s="229">
        <v>33.0</v>
      </c>
      <c r="F1507" s="230">
        <v>3.0</v>
      </c>
      <c r="G1507" s="232"/>
    </row>
    <row r="1508">
      <c r="A1508" s="2"/>
      <c r="B1508" s="168" t="s">
        <v>269</v>
      </c>
      <c r="C1508" s="168" t="s">
        <v>1781</v>
      </c>
      <c r="D1508" s="229">
        <v>26.5</v>
      </c>
      <c r="E1508" s="229">
        <v>30.0</v>
      </c>
      <c r="F1508" s="230">
        <v>3.0</v>
      </c>
      <c r="G1508" s="232"/>
    </row>
    <row r="1509">
      <c r="A1509" s="2"/>
      <c r="B1509" s="168" t="s">
        <v>937</v>
      </c>
      <c r="C1509" s="168" t="s">
        <v>1782</v>
      </c>
      <c r="D1509" s="229">
        <v>21.5</v>
      </c>
      <c r="E1509" s="229">
        <v>25.0</v>
      </c>
      <c r="F1509" s="230">
        <v>3.0</v>
      </c>
      <c r="G1509" s="232"/>
    </row>
    <row r="1510">
      <c r="A1510" s="2"/>
      <c r="B1510" s="168" t="s">
        <v>296</v>
      </c>
      <c r="C1510" s="168" t="s">
        <v>1783</v>
      </c>
      <c r="D1510" s="229">
        <v>26.5</v>
      </c>
      <c r="E1510" s="229">
        <v>30.0</v>
      </c>
      <c r="F1510" s="230">
        <v>3.0</v>
      </c>
      <c r="G1510" s="232"/>
    </row>
    <row r="1511">
      <c r="A1511" s="2"/>
      <c r="B1511" s="168" t="s">
        <v>290</v>
      </c>
      <c r="C1511" s="168" t="s">
        <v>1784</v>
      </c>
      <c r="D1511" s="229">
        <v>29.5</v>
      </c>
      <c r="E1511" s="229">
        <v>33.0</v>
      </c>
      <c r="F1511" s="230">
        <v>3.0</v>
      </c>
      <c r="G1511" s="232"/>
    </row>
    <row r="1512">
      <c r="A1512" s="2"/>
      <c r="B1512" s="168" t="s">
        <v>296</v>
      </c>
      <c r="C1512" s="168" t="s">
        <v>1785</v>
      </c>
      <c r="D1512" s="229">
        <v>26.5</v>
      </c>
      <c r="E1512" s="229">
        <v>30.0</v>
      </c>
      <c r="F1512" s="230">
        <v>3.0</v>
      </c>
      <c r="G1512" s="232"/>
    </row>
    <row r="1513">
      <c r="A1513" s="2"/>
      <c r="B1513" s="168" t="s">
        <v>341</v>
      </c>
      <c r="C1513" s="168" t="s">
        <v>1786</v>
      </c>
      <c r="D1513" s="229">
        <v>29.5</v>
      </c>
      <c r="E1513" s="229">
        <v>29.5</v>
      </c>
      <c r="F1513" s="230">
        <v>3.0</v>
      </c>
      <c r="G1513" s="232"/>
    </row>
    <row r="1514">
      <c r="A1514" s="2"/>
      <c r="B1514" s="168" t="s">
        <v>234</v>
      </c>
      <c r="C1514" s="168" t="s">
        <v>1787</v>
      </c>
      <c r="D1514" s="229">
        <v>29.5</v>
      </c>
      <c r="E1514" s="229">
        <v>33.0</v>
      </c>
      <c r="F1514" s="230">
        <v>3.0</v>
      </c>
      <c r="G1514" s="232"/>
    </row>
    <row r="1515">
      <c r="A1515" s="2"/>
      <c r="B1515" s="168" t="s">
        <v>269</v>
      </c>
      <c r="C1515" s="168" t="s">
        <v>1788</v>
      </c>
      <c r="D1515" s="229">
        <v>26.5</v>
      </c>
      <c r="E1515" s="229">
        <v>30.0</v>
      </c>
      <c r="F1515" s="230">
        <v>3.0</v>
      </c>
      <c r="G1515" s="232"/>
    </row>
    <row r="1516">
      <c r="A1516" s="2"/>
      <c r="B1516" s="168" t="s">
        <v>290</v>
      </c>
      <c r="C1516" s="168" t="s">
        <v>1789</v>
      </c>
      <c r="D1516" s="229">
        <v>29.5</v>
      </c>
      <c r="E1516" s="229">
        <v>33.0</v>
      </c>
      <c r="F1516" s="230">
        <v>3.0</v>
      </c>
      <c r="G1516" s="232"/>
    </row>
    <row r="1517">
      <c r="A1517" s="2"/>
      <c r="B1517" s="168" t="s">
        <v>232</v>
      </c>
      <c r="C1517" s="168" t="s">
        <v>1790</v>
      </c>
      <c r="D1517" s="229">
        <v>25.5</v>
      </c>
      <c r="E1517" s="229">
        <v>29.0</v>
      </c>
      <c r="F1517" s="230">
        <v>3.0</v>
      </c>
      <c r="G1517" s="232"/>
    </row>
    <row r="1518">
      <c r="A1518" s="2"/>
      <c r="B1518" s="168" t="s">
        <v>290</v>
      </c>
      <c r="C1518" s="168" t="s">
        <v>1791</v>
      </c>
      <c r="D1518" s="229">
        <v>21.5</v>
      </c>
      <c r="E1518" s="229">
        <v>25.0</v>
      </c>
      <c r="F1518" s="230">
        <v>3.0</v>
      </c>
      <c r="G1518" s="232"/>
    </row>
    <row r="1519">
      <c r="A1519" s="2"/>
      <c r="B1519" s="168" t="s">
        <v>269</v>
      </c>
      <c r="C1519" s="168" t="s">
        <v>1792</v>
      </c>
      <c r="D1519" s="229">
        <v>26.5</v>
      </c>
      <c r="E1519" s="229">
        <v>30.0</v>
      </c>
      <c r="F1519" s="230">
        <v>3.0</v>
      </c>
      <c r="G1519" s="232"/>
    </row>
    <row r="1520">
      <c r="A1520" s="2"/>
      <c r="B1520" s="168" t="s">
        <v>232</v>
      </c>
      <c r="C1520" s="168" t="s">
        <v>1793</v>
      </c>
      <c r="D1520" s="229">
        <v>27.5</v>
      </c>
      <c r="E1520" s="229">
        <v>31.0</v>
      </c>
      <c r="F1520" s="230">
        <v>3.0</v>
      </c>
      <c r="G1520" s="232"/>
    </row>
    <row r="1521">
      <c r="A1521" s="2"/>
      <c r="B1521" s="168" t="s">
        <v>215</v>
      </c>
      <c r="C1521" s="168" t="s">
        <v>1794</v>
      </c>
      <c r="D1521" s="229">
        <v>27.5</v>
      </c>
      <c r="E1521" s="229">
        <v>31.0</v>
      </c>
      <c r="F1521" s="230">
        <v>3.0</v>
      </c>
      <c r="G1521" s="232"/>
    </row>
    <row r="1522">
      <c r="A1522" s="2"/>
      <c r="B1522" s="168" t="s">
        <v>337</v>
      </c>
      <c r="C1522" s="168" t="s">
        <v>1795</v>
      </c>
      <c r="D1522" s="229">
        <v>22.0</v>
      </c>
      <c r="E1522" s="229">
        <v>25.5</v>
      </c>
      <c r="F1522" s="230">
        <v>3.0</v>
      </c>
      <c r="G1522" s="232"/>
    </row>
    <row r="1523">
      <c r="A1523" s="2"/>
      <c r="B1523" s="168" t="s">
        <v>236</v>
      </c>
      <c r="C1523" s="168" t="s">
        <v>1796</v>
      </c>
      <c r="D1523" s="229">
        <v>34.5</v>
      </c>
      <c r="E1523" s="229">
        <v>38.0</v>
      </c>
      <c r="F1523" s="230">
        <v>3.0</v>
      </c>
      <c r="G1523" s="232"/>
    </row>
    <row r="1524">
      <c r="A1524" s="2"/>
      <c r="B1524" s="168" t="s">
        <v>381</v>
      </c>
      <c r="C1524" s="168" t="s">
        <v>1797</v>
      </c>
      <c r="D1524" s="229">
        <v>28.5</v>
      </c>
      <c r="E1524" s="229">
        <v>32.0</v>
      </c>
      <c r="F1524" s="230">
        <v>3.0</v>
      </c>
      <c r="G1524" s="232"/>
    </row>
    <row r="1525">
      <c r="A1525" s="2"/>
      <c r="B1525" s="168" t="s">
        <v>221</v>
      </c>
      <c r="C1525" s="168" t="s">
        <v>1798</v>
      </c>
      <c r="D1525" s="229">
        <v>27.5</v>
      </c>
      <c r="E1525" s="229">
        <v>31.0</v>
      </c>
      <c r="F1525" s="230">
        <v>3.0</v>
      </c>
      <c r="G1525" s="232"/>
    </row>
    <row r="1526">
      <c r="A1526" s="2"/>
      <c r="B1526" s="168" t="s">
        <v>328</v>
      </c>
      <c r="C1526" s="168" t="s">
        <v>1799</v>
      </c>
      <c r="D1526" s="229">
        <v>34.5</v>
      </c>
      <c r="E1526" s="229">
        <v>38.0</v>
      </c>
      <c r="F1526" s="230">
        <v>3.0</v>
      </c>
      <c r="G1526" s="232"/>
    </row>
    <row r="1527">
      <c r="A1527" s="2"/>
      <c r="B1527" s="168" t="s">
        <v>565</v>
      </c>
      <c r="C1527" s="168" t="s">
        <v>1800</v>
      </c>
      <c r="D1527" s="229">
        <v>24.5</v>
      </c>
      <c r="E1527" s="229">
        <v>28.0</v>
      </c>
      <c r="F1527" s="230">
        <v>3.0</v>
      </c>
      <c r="G1527" s="232"/>
    </row>
    <row r="1528">
      <c r="A1528" s="2"/>
      <c r="B1528" s="168" t="s">
        <v>234</v>
      </c>
      <c r="C1528" s="168" t="s">
        <v>1801</v>
      </c>
      <c r="D1528" s="229">
        <v>29.5</v>
      </c>
      <c r="E1528" s="229">
        <v>33.0</v>
      </c>
      <c r="F1528" s="230">
        <v>3.0</v>
      </c>
      <c r="G1528" s="232"/>
    </row>
    <row r="1529">
      <c r="A1529" s="2"/>
      <c r="B1529" s="168" t="s">
        <v>381</v>
      </c>
      <c r="C1529" s="168" t="s">
        <v>1802</v>
      </c>
      <c r="D1529" s="229">
        <v>28.5</v>
      </c>
      <c r="E1529" s="229">
        <v>32.0</v>
      </c>
      <c r="F1529" s="230">
        <v>3.0</v>
      </c>
      <c r="G1529" s="232"/>
    </row>
    <row r="1530">
      <c r="A1530" s="2"/>
      <c r="B1530" s="168" t="s">
        <v>247</v>
      </c>
      <c r="C1530" s="168" t="s">
        <v>1803</v>
      </c>
      <c r="D1530" s="229">
        <v>29.5</v>
      </c>
      <c r="E1530" s="229">
        <v>33.0</v>
      </c>
      <c r="F1530" s="230">
        <v>3.0</v>
      </c>
      <c r="G1530" s="232"/>
    </row>
    <row r="1531">
      <c r="A1531" s="2"/>
      <c r="B1531" s="168" t="s">
        <v>236</v>
      </c>
      <c r="C1531" s="168" t="s">
        <v>1804</v>
      </c>
      <c r="D1531" s="229">
        <v>34.5</v>
      </c>
      <c r="E1531" s="229">
        <v>38.0</v>
      </c>
      <c r="F1531" s="230">
        <v>3.0</v>
      </c>
      <c r="G1531" s="232"/>
    </row>
    <row r="1532">
      <c r="A1532" s="2"/>
      <c r="B1532" s="168" t="s">
        <v>215</v>
      </c>
      <c r="C1532" s="168" t="s">
        <v>1805</v>
      </c>
      <c r="D1532" s="229">
        <v>29.5</v>
      </c>
      <c r="E1532" s="229">
        <v>33.0</v>
      </c>
      <c r="F1532" s="230">
        <v>3.0</v>
      </c>
      <c r="G1532" s="232"/>
    </row>
    <row r="1533">
      <c r="A1533" s="2"/>
      <c r="B1533" s="168" t="s">
        <v>576</v>
      </c>
      <c r="C1533" s="168" t="s">
        <v>1806</v>
      </c>
      <c r="D1533" s="229">
        <v>19.5</v>
      </c>
      <c r="E1533" s="229">
        <v>23.0</v>
      </c>
      <c r="F1533" s="230">
        <v>3.0</v>
      </c>
      <c r="G1533" s="232"/>
    </row>
    <row r="1534">
      <c r="A1534" s="2"/>
      <c r="B1534" s="168" t="s">
        <v>285</v>
      </c>
      <c r="C1534" s="168" t="s">
        <v>1807</v>
      </c>
      <c r="D1534" s="229">
        <v>24.5</v>
      </c>
      <c r="E1534" s="229">
        <v>28.0</v>
      </c>
      <c r="F1534" s="230">
        <v>3.0</v>
      </c>
      <c r="G1534" s="232"/>
    </row>
    <row r="1535">
      <c r="A1535" s="2"/>
      <c r="B1535" s="168" t="s">
        <v>241</v>
      </c>
      <c r="C1535" s="168" t="s">
        <v>1808</v>
      </c>
      <c r="D1535" s="229">
        <v>32.5</v>
      </c>
      <c r="E1535" s="229">
        <v>36.0</v>
      </c>
      <c r="F1535" s="230">
        <v>3.0</v>
      </c>
      <c r="G1535" s="232"/>
    </row>
    <row r="1536">
      <c r="A1536" s="2"/>
      <c r="B1536" s="168" t="s">
        <v>296</v>
      </c>
      <c r="C1536" s="168" t="s">
        <v>1809</v>
      </c>
      <c r="D1536" s="229">
        <v>26.5</v>
      </c>
      <c r="E1536" s="229">
        <v>30.0</v>
      </c>
      <c r="F1536" s="230">
        <v>3.0</v>
      </c>
      <c r="G1536" s="232"/>
    </row>
    <row r="1537">
      <c r="A1537" s="2"/>
      <c r="B1537" s="168" t="s">
        <v>288</v>
      </c>
      <c r="C1537" s="168" t="s">
        <v>1810</v>
      </c>
      <c r="D1537" s="229">
        <v>21.5</v>
      </c>
      <c r="E1537" s="229">
        <v>25.0</v>
      </c>
      <c r="F1537" s="230">
        <v>3.0</v>
      </c>
      <c r="G1537" s="232"/>
    </row>
    <row r="1538">
      <c r="A1538" s="2"/>
      <c r="B1538" s="168" t="s">
        <v>217</v>
      </c>
      <c r="C1538" s="168" t="s">
        <v>1811</v>
      </c>
      <c r="D1538" s="229">
        <v>22.5</v>
      </c>
      <c r="E1538" s="229">
        <v>26.0</v>
      </c>
      <c r="F1538" s="230">
        <v>3.0</v>
      </c>
      <c r="G1538" s="232"/>
    </row>
    <row r="1539">
      <c r="A1539" s="2"/>
      <c r="B1539" s="168" t="s">
        <v>269</v>
      </c>
      <c r="C1539" s="168" t="s">
        <v>1812</v>
      </c>
      <c r="D1539" s="229">
        <v>26.5</v>
      </c>
      <c r="E1539" s="229">
        <v>30.0</v>
      </c>
      <c r="F1539" s="230">
        <v>3.0</v>
      </c>
      <c r="G1539" s="232"/>
    </row>
    <row r="1540">
      <c r="A1540" s="2"/>
      <c r="B1540" s="168" t="s">
        <v>332</v>
      </c>
      <c r="C1540" s="168" t="s">
        <v>1813</v>
      </c>
      <c r="D1540" s="229">
        <v>28.5</v>
      </c>
      <c r="E1540" s="229">
        <v>32.0</v>
      </c>
      <c r="F1540" s="230">
        <v>3.0</v>
      </c>
      <c r="G1540" s="232"/>
    </row>
    <row r="1541">
      <c r="A1541" s="2"/>
      <c r="B1541" s="168" t="s">
        <v>337</v>
      </c>
      <c r="C1541" s="168" t="s">
        <v>1814</v>
      </c>
      <c r="D1541" s="229">
        <v>28.5</v>
      </c>
      <c r="E1541" s="229">
        <v>32.0</v>
      </c>
      <c r="F1541" s="230">
        <v>3.0</v>
      </c>
      <c r="G1541" s="232"/>
    </row>
    <row r="1542">
      <c r="A1542" s="2"/>
      <c r="B1542" s="168" t="s">
        <v>684</v>
      </c>
      <c r="C1542" s="168" t="s">
        <v>1815</v>
      </c>
      <c r="D1542" s="229">
        <v>24.5</v>
      </c>
      <c r="E1542" s="229">
        <v>28.0</v>
      </c>
      <c r="F1542" s="230">
        <v>3.0</v>
      </c>
      <c r="G1542" s="232"/>
    </row>
    <row r="1543">
      <c r="A1543" s="2"/>
      <c r="B1543" s="168" t="s">
        <v>345</v>
      </c>
      <c r="C1543" s="168" t="s">
        <v>1816</v>
      </c>
      <c r="D1543" s="229">
        <v>26.5</v>
      </c>
      <c r="E1543" s="229">
        <v>30.0</v>
      </c>
      <c r="F1543" s="230">
        <v>3.0</v>
      </c>
      <c r="G1543" s="232"/>
    </row>
    <row r="1544">
      <c r="A1544" s="2"/>
      <c r="B1544" s="168" t="s">
        <v>215</v>
      </c>
      <c r="C1544" s="168" t="s">
        <v>1817</v>
      </c>
      <c r="D1544" s="229">
        <v>29.5</v>
      </c>
      <c r="E1544" s="229">
        <v>33.0</v>
      </c>
      <c r="F1544" s="230">
        <v>3.0</v>
      </c>
      <c r="G1544" s="232"/>
    </row>
    <row r="1545">
      <c r="A1545" s="2"/>
      <c r="B1545" s="168" t="s">
        <v>318</v>
      </c>
      <c r="C1545" s="168" t="s">
        <v>1818</v>
      </c>
      <c r="D1545" s="229">
        <v>25.5</v>
      </c>
      <c r="E1545" s="229">
        <v>29.0</v>
      </c>
      <c r="F1545" s="230">
        <v>3.0</v>
      </c>
      <c r="G1545" s="232"/>
    </row>
    <row r="1546">
      <c r="A1546" s="2"/>
      <c r="B1546" s="168" t="s">
        <v>260</v>
      </c>
      <c r="C1546" s="168" t="s">
        <v>1819</v>
      </c>
      <c r="D1546" s="229">
        <v>28.5</v>
      </c>
      <c r="E1546" s="229">
        <v>32.0</v>
      </c>
      <c r="F1546" s="230">
        <v>3.0</v>
      </c>
      <c r="G1546" s="232"/>
    </row>
    <row r="1547">
      <c r="A1547" s="2"/>
      <c r="B1547" s="168" t="s">
        <v>273</v>
      </c>
      <c r="C1547" s="168" t="s">
        <v>1820</v>
      </c>
      <c r="D1547" s="229">
        <v>29.5</v>
      </c>
      <c r="E1547" s="229">
        <v>33.0</v>
      </c>
      <c r="F1547" s="230">
        <v>3.0</v>
      </c>
      <c r="G1547" s="232"/>
    </row>
    <row r="1548">
      <c r="A1548" s="2"/>
      <c r="B1548" s="168" t="s">
        <v>217</v>
      </c>
      <c r="C1548" s="168" t="s">
        <v>1821</v>
      </c>
      <c r="D1548" s="229">
        <v>27.5</v>
      </c>
      <c r="E1548" s="229">
        <v>31.0</v>
      </c>
      <c r="F1548" s="230">
        <v>3.0</v>
      </c>
      <c r="G1548" s="232"/>
    </row>
    <row r="1549">
      <c r="A1549" s="2"/>
      <c r="B1549" s="168" t="s">
        <v>288</v>
      </c>
      <c r="C1549" s="168" t="s">
        <v>1822</v>
      </c>
      <c r="D1549" s="229">
        <v>21.5</v>
      </c>
      <c r="E1549" s="229">
        <v>25.0</v>
      </c>
      <c r="F1549" s="230">
        <v>3.0</v>
      </c>
      <c r="G1549" s="232"/>
    </row>
    <row r="1550">
      <c r="A1550" s="2"/>
      <c r="B1550" s="168" t="s">
        <v>217</v>
      </c>
      <c r="C1550" s="168" t="s">
        <v>1823</v>
      </c>
      <c r="D1550" s="229">
        <v>27.5</v>
      </c>
      <c r="E1550" s="229">
        <v>31.0</v>
      </c>
      <c r="F1550" s="230">
        <v>3.0</v>
      </c>
      <c r="G1550" s="232"/>
    </row>
    <row r="1551">
      <c r="A1551" s="2"/>
      <c r="B1551" s="168" t="s">
        <v>592</v>
      </c>
      <c r="C1551" s="168" t="s">
        <v>1824</v>
      </c>
      <c r="D1551" s="229">
        <v>34.5</v>
      </c>
      <c r="E1551" s="229">
        <v>38.0</v>
      </c>
      <c r="F1551" s="230">
        <v>3.0</v>
      </c>
      <c r="G1551" s="232"/>
    </row>
    <row r="1552">
      <c r="A1552" s="2"/>
      <c r="B1552" s="168" t="s">
        <v>223</v>
      </c>
      <c r="C1552" s="168" t="s">
        <v>1825</v>
      </c>
      <c r="D1552" s="229">
        <v>21.5</v>
      </c>
      <c r="E1552" s="229">
        <v>25.0</v>
      </c>
      <c r="F1552" s="230">
        <v>3.0</v>
      </c>
      <c r="G1552" s="232"/>
    </row>
    <row r="1553">
      <c r="A1553" s="2"/>
      <c r="B1553" s="168" t="s">
        <v>245</v>
      </c>
      <c r="C1553" s="168" t="s">
        <v>1826</v>
      </c>
      <c r="D1553" s="229">
        <v>29.5</v>
      </c>
      <c r="E1553" s="229">
        <v>33.0</v>
      </c>
      <c r="F1553" s="230">
        <v>3.0</v>
      </c>
      <c r="G1553" s="232"/>
    </row>
    <row r="1554">
      <c r="A1554" s="2"/>
      <c r="B1554" s="168" t="s">
        <v>273</v>
      </c>
      <c r="C1554" s="168" t="s">
        <v>1827</v>
      </c>
      <c r="D1554" s="229">
        <v>24.5</v>
      </c>
      <c r="E1554" s="229">
        <v>28.0</v>
      </c>
      <c r="F1554" s="230">
        <v>3.0</v>
      </c>
      <c r="G1554" s="232"/>
    </row>
    <row r="1555">
      <c r="A1555" s="2"/>
      <c r="B1555" s="168" t="s">
        <v>232</v>
      </c>
      <c r="C1555" s="168" t="s">
        <v>1828</v>
      </c>
      <c r="D1555" s="229">
        <v>27.5</v>
      </c>
      <c r="E1555" s="229">
        <v>31.0</v>
      </c>
      <c r="F1555" s="230">
        <v>3.0</v>
      </c>
      <c r="G1555" s="232"/>
    </row>
    <row r="1556">
      <c r="A1556" s="2"/>
      <c r="B1556" s="168" t="s">
        <v>269</v>
      </c>
      <c r="C1556" s="168" t="s">
        <v>1829</v>
      </c>
      <c r="D1556" s="229">
        <v>26.5</v>
      </c>
      <c r="E1556" s="229">
        <v>30.0</v>
      </c>
      <c r="F1556" s="230">
        <v>3.0</v>
      </c>
      <c r="G1556" s="232"/>
    </row>
    <row r="1557">
      <c r="A1557" s="2"/>
      <c r="B1557" s="168" t="s">
        <v>241</v>
      </c>
      <c r="C1557" s="168" t="s">
        <v>1830</v>
      </c>
      <c r="D1557" s="229">
        <v>32.5</v>
      </c>
      <c r="E1557" s="229">
        <v>36.0</v>
      </c>
      <c r="F1557" s="230">
        <v>3.0</v>
      </c>
      <c r="G1557" s="232"/>
    </row>
    <row r="1558">
      <c r="A1558" s="2"/>
      <c r="B1558" s="168" t="s">
        <v>241</v>
      </c>
      <c r="C1558" s="168" t="s">
        <v>1831</v>
      </c>
      <c r="D1558" s="229">
        <v>31.5</v>
      </c>
      <c r="E1558" s="229">
        <v>35.0</v>
      </c>
      <c r="F1558" s="230">
        <v>3.0</v>
      </c>
      <c r="G1558" s="232"/>
    </row>
    <row r="1559">
      <c r="A1559" s="2"/>
      <c r="B1559" s="168" t="s">
        <v>335</v>
      </c>
      <c r="C1559" s="168" t="s">
        <v>1832</v>
      </c>
      <c r="D1559" s="229">
        <v>34.5</v>
      </c>
      <c r="E1559" s="229">
        <v>38.0</v>
      </c>
      <c r="F1559" s="230">
        <v>3.0</v>
      </c>
      <c r="G1559" s="232"/>
    </row>
    <row r="1560">
      <c r="A1560" s="2"/>
      <c r="B1560" s="168" t="s">
        <v>377</v>
      </c>
      <c r="C1560" s="168" t="s">
        <v>1833</v>
      </c>
      <c r="D1560" s="229">
        <v>24.5</v>
      </c>
      <c r="E1560" s="229">
        <v>28.0</v>
      </c>
      <c r="F1560" s="230">
        <v>3.0</v>
      </c>
      <c r="G1560" s="232"/>
    </row>
    <row r="1561">
      <c r="A1561" s="2"/>
      <c r="B1561" s="168" t="s">
        <v>341</v>
      </c>
      <c r="C1561" s="168" t="s">
        <v>1834</v>
      </c>
      <c r="D1561" s="229">
        <v>29.5</v>
      </c>
      <c r="E1561" s="229">
        <v>29.5</v>
      </c>
      <c r="F1561" s="230">
        <v>3.0</v>
      </c>
      <c r="G1561" s="232"/>
    </row>
    <row r="1562">
      <c r="A1562" s="2"/>
      <c r="B1562" s="168" t="s">
        <v>260</v>
      </c>
      <c r="C1562" s="168" t="s">
        <v>1835</v>
      </c>
      <c r="D1562" s="229">
        <v>28.5</v>
      </c>
      <c r="E1562" s="229">
        <v>32.0</v>
      </c>
      <c r="F1562" s="230">
        <v>3.0</v>
      </c>
      <c r="G1562" s="232"/>
    </row>
    <row r="1563">
      <c r="A1563" s="2"/>
      <c r="B1563" s="168" t="s">
        <v>232</v>
      </c>
      <c r="C1563" s="168" t="s">
        <v>1836</v>
      </c>
      <c r="D1563" s="229">
        <v>31.5</v>
      </c>
      <c r="E1563" s="229">
        <v>35.0</v>
      </c>
      <c r="F1563" s="230">
        <v>3.0</v>
      </c>
      <c r="G1563" s="232"/>
    </row>
    <row r="1564">
      <c r="A1564" s="2"/>
      <c r="B1564" s="168" t="s">
        <v>490</v>
      </c>
      <c r="C1564" s="168" t="s">
        <v>1837</v>
      </c>
      <c r="D1564" s="229">
        <v>34.5</v>
      </c>
      <c r="E1564" s="229">
        <v>38.0</v>
      </c>
      <c r="F1564" s="230">
        <v>3.0</v>
      </c>
      <c r="G1564" s="232"/>
    </row>
    <row r="1565">
      <c r="A1565" s="2"/>
      <c r="B1565" s="168" t="s">
        <v>328</v>
      </c>
      <c r="C1565" s="168" t="s">
        <v>1838</v>
      </c>
      <c r="D1565" s="229">
        <v>34.5</v>
      </c>
      <c r="E1565" s="229">
        <v>38.0</v>
      </c>
      <c r="F1565" s="230">
        <v>3.0</v>
      </c>
      <c r="G1565" s="232"/>
    </row>
    <row r="1566">
      <c r="A1566" s="2"/>
      <c r="B1566" s="168" t="s">
        <v>335</v>
      </c>
      <c r="C1566" s="168" t="s">
        <v>1839</v>
      </c>
      <c r="D1566" s="229">
        <v>34.5</v>
      </c>
      <c r="E1566" s="229">
        <v>38.0</v>
      </c>
      <c r="F1566" s="230">
        <v>3.0</v>
      </c>
      <c r="G1566" s="232"/>
    </row>
    <row r="1567">
      <c r="A1567" s="2"/>
      <c r="B1567" s="168" t="s">
        <v>247</v>
      </c>
      <c r="C1567" s="168" t="s">
        <v>1840</v>
      </c>
      <c r="D1567" s="229">
        <v>29.5</v>
      </c>
      <c r="E1567" s="229">
        <v>33.0</v>
      </c>
      <c r="F1567" s="230">
        <v>3.0</v>
      </c>
      <c r="G1567" s="232"/>
    </row>
    <row r="1568">
      <c r="A1568" s="2"/>
      <c r="B1568" s="168" t="s">
        <v>273</v>
      </c>
      <c r="C1568" s="168" t="s">
        <v>1841</v>
      </c>
      <c r="D1568" s="229">
        <v>29.5</v>
      </c>
      <c r="E1568" s="229">
        <v>33.0</v>
      </c>
      <c r="F1568" s="230">
        <v>3.0</v>
      </c>
      <c r="G1568" s="232"/>
    </row>
    <row r="1569">
      <c r="A1569" s="2"/>
      <c r="B1569" s="168" t="s">
        <v>243</v>
      </c>
      <c r="C1569" s="168" t="s">
        <v>1842</v>
      </c>
      <c r="D1569" s="229">
        <v>29.5</v>
      </c>
      <c r="E1569" s="229">
        <v>33.0</v>
      </c>
      <c r="F1569" s="230">
        <v>3.0</v>
      </c>
      <c r="G1569" s="232"/>
    </row>
    <row r="1570">
      <c r="A1570" s="2"/>
      <c r="B1570" s="168" t="s">
        <v>318</v>
      </c>
      <c r="C1570" s="168" t="s">
        <v>1843</v>
      </c>
      <c r="D1570" s="229">
        <v>25.5</v>
      </c>
      <c r="E1570" s="229">
        <v>29.0</v>
      </c>
      <c r="F1570" s="230">
        <v>3.0</v>
      </c>
      <c r="G1570" s="232"/>
    </row>
    <row r="1571">
      <c r="A1571" s="2"/>
      <c r="B1571" s="168" t="s">
        <v>230</v>
      </c>
      <c r="C1571" s="168" t="s">
        <v>1844</v>
      </c>
      <c r="D1571" s="229">
        <v>21.5</v>
      </c>
      <c r="E1571" s="229">
        <v>25.0</v>
      </c>
      <c r="F1571" s="230">
        <v>3.0</v>
      </c>
      <c r="G1571" s="232"/>
    </row>
    <row r="1572">
      <c r="A1572" s="2"/>
      <c r="B1572" s="168" t="s">
        <v>254</v>
      </c>
      <c r="C1572" s="168" t="s">
        <v>1845</v>
      </c>
      <c r="D1572" s="229">
        <v>26.5</v>
      </c>
      <c r="E1572" s="229">
        <v>30.0</v>
      </c>
      <c r="F1572" s="230">
        <v>3.0</v>
      </c>
      <c r="G1572" s="232"/>
    </row>
    <row r="1573">
      <c r="A1573" s="2"/>
      <c r="B1573" s="168" t="s">
        <v>260</v>
      </c>
      <c r="C1573" s="168" t="s">
        <v>1846</v>
      </c>
      <c r="D1573" s="229">
        <v>28.5</v>
      </c>
      <c r="E1573" s="229">
        <v>32.0</v>
      </c>
      <c r="F1573" s="230">
        <v>3.0</v>
      </c>
      <c r="G1573" s="232"/>
    </row>
    <row r="1574">
      <c r="A1574" s="2"/>
      <c r="B1574" s="168" t="s">
        <v>1329</v>
      </c>
      <c r="C1574" s="168" t="s">
        <v>1329</v>
      </c>
      <c r="D1574" s="229">
        <v>26.5</v>
      </c>
      <c r="E1574" s="229">
        <v>30.0</v>
      </c>
      <c r="F1574" s="230">
        <v>3.0</v>
      </c>
      <c r="G1574" s="232"/>
    </row>
    <row r="1575">
      <c r="A1575" s="2"/>
      <c r="B1575" s="168" t="s">
        <v>245</v>
      </c>
      <c r="C1575" s="168" t="s">
        <v>1847</v>
      </c>
      <c r="D1575" s="229">
        <v>29.5</v>
      </c>
      <c r="E1575" s="229">
        <v>33.0</v>
      </c>
      <c r="F1575" s="230">
        <v>3.0</v>
      </c>
      <c r="G1575" s="232"/>
    </row>
    <row r="1576">
      <c r="A1576" s="2"/>
      <c r="B1576" s="168" t="s">
        <v>288</v>
      </c>
      <c r="C1576" s="168" t="s">
        <v>1848</v>
      </c>
      <c r="D1576" s="229">
        <v>21.5</v>
      </c>
      <c r="E1576" s="229">
        <v>25.0</v>
      </c>
      <c r="F1576" s="230">
        <v>3.0</v>
      </c>
      <c r="G1576" s="232"/>
    </row>
    <row r="1577">
      <c r="A1577" s="2"/>
      <c r="B1577" s="168" t="s">
        <v>257</v>
      </c>
      <c r="C1577" s="168" t="s">
        <v>1849</v>
      </c>
      <c r="D1577" s="229">
        <v>28.5</v>
      </c>
      <c r="E1577" s="229">
        <v>32.0</v>
      </c>
      <c r="F1577" s="230">
        <v>3.0</v>
      </c>
      <c r="G1577" s="232"/>
    </row>
    <row r="1578">
      <c r="A1578" s="2"/>
      <c r="B1578" s="168" t="s">
        <v>720</v>
      </c>
      <c r="C1578" s="168" t="s">
        <v>1850</v>
      </c>
      <c r="D1578" s="229">
        <v>30.0</v>
      </c>
      <c r="E1578" s="229">
        <v>33.5</v>
      </c>
      <c r="F1578" s="230">
        <v>3.0</v>
      </c>
      <c r="G1578" s="232"/>
    </row>
    <row r="1579">
      <c r="A1579" s="2"/>
      <c r="B1579" s="168" t="s">
        <v>236</v>
      </c>
      <c r="C1579" s="168" t="s">
        <v>1851</v>
      </c>
      <c r="D1579" s="229">
        <v>34.5</v>
      </c>
      <c r="E1579" s="229">
        <v>38.0</v>
      </c>
      <c r="F1579" s="230">
        <v>3.0</v>
      </c>
      <c r="G1579" s="232"/>
    </row>
    <row r="1580">
      <c r="A1580" s="2"/>
      <c r="B1580" s="168" t="s">
        <v>245</v>
      </c>
      <c r="C1580" s="168" t="s">
        <v>245</v>
      </c>
      <c r="D1580" s="229">
        <v>29.5</v>
      </c>
      <c r="E1580" s="229">
        <v>33.0</v>
      </c>
      <c r="F1580" s="230">
        <v>3.0</v>
      </c>
      <c r="G1580" s="232"/>
    </row>
    <row r="1581">
      <c r="A1581" s="2"/>
      <c r="B1581" s="168" t="s">
        <v>241</v>
      </c>
      <c r="C1581" s="168" t="s">
        <v>1852</v>
      </c>
      <c r="D1581" s="229">
        <v>32.5</v>
      </c>
      <c r="E1581" s="229">
        <v>36.0</v>
      </c>
      <c r="F1581" s="230">
        <v>3.0</v>
      </c>
      <c r="G1581" s="232"/>
    </row>
    <row r="1582">
      <c r="A1582" s="2"/>
      <c r="B1582" s="168" t="s">
        <v>245</v>
      </c>
      <c r="C1582" s="168" t="s">
        <v>1853</v>
      </c>
      <c r="D1582" s="229">
        <v>29.5</v>
      </c>
      <c r="E1582" s="229">
        <v>33.0</v>
      </c>
      <c r="F1582" s="230">
        <v>3.0</v>
      </c>
      <c r="G1582" s="232"/>
    </row>
    <row r="1583">
      <c r="A1583" s="2"/>
      <c r="B1583" s="168" t="s">
        <v>217</v>
      </c>
      <c r="C1583" s="168" t="s">
        <v>1854</v>
      </c>
      <c r="D1583" s="229">
        <v>27.5</v>
      </c>
      <c r="E1583" s="229">
        <v>31.0</v>
      </c>
      <c r="F1583" s="230">
        <v>3.0</v>
      </c>
      <c r="G1583" s="232"/>
    </row>
    <row r="1584">
      <c r="A1584" s="2"/>
      <c r="B1584" s="168" t="s">
        <v>230</v>
      </c>
      <c r="C1584" s="168" t="s">
        <v>1855</v>
      </c>
      <c r="D1584" s="229">
        <v>16.5</v>
      </c>
      <c r="E1584" s="229">
        <v>20.0</v>
      </c>
      <c r="F1584" s="230">
        <v>3.0</v>
      </c>
      <c r="G1584" s="232"/>
    </row>
    <row r="1585">
      <c r="A1585" s="2"/>
      <c r="B1585" s="168" t="s">
        <v>232</v>
      </c>
      <c r="C1585" s="168" t="s">
        <v>1856</v>
      </c>
      <c r="D1585" s="229">
        <v>31.5</v>
      </c>
      <c r="E1585" s="229">
        <v>35.0</v>
      </c>
      <c r="F1585" s="230">
        <v>3.0</v>
      </c>
      <c r="G1585" s="232"/>
    </row>
    <row r="1586">
      <c r="A1586" s="2"/>
      <c r="B1586" s="168" t="s">
        <v>269</v>
      </c>
      <c r="C1586" s="168" t="s">
        <v>1857</v>
      </c>
      <c r="D1586" s="229">
        <v>26.5</v>
      </c>
      <c r="E1586" s="229">
        <v>30.0</v>
      </c>
      <c r="F1586" s="230">
        <v>3.0</v>
      </c>
      <c r="G1586" s="232"/>
    </row>
    <row r="1587">
      <c r="A1587" s="2"/>
      <c r="B1587" s="168" t="s">
        <v>223</v>
      </c>
      <c r="C1587" s="168" t="s">
        <v>1858</v>
      </c>
      <c r="D1587" s="229">
        <v>21.5</v>
      </c>
      <c r="E1587" s="229">
        <v>25.0</v>
      </c>
      <c r="F1587" s="230">
        <v>3.0</v>
      </c>
      <c r="G1587" s="232"/>
    </row>
    <row r="1588">
      <c r="A1588" s="2"/>
      <c r="B1588" s="168" t="s">
        <v>217</v>
      </c>
      <c r="C1588" s="168" t="s">
        <v>1859</v>
      </c>
      <c r="D1588" s="229">
        <v>27.5</v>
      </c>
      <c r="E1588" s="229">
        <v>31.0</v>
      </c>
      <c r="F1588" s="230">
        <v>3.0</v>
      </c>
      <c r="G1588" s="232"/>
    </row>
    <row r="1589">
      <c r="A1589" s="2"/>
      <c r="B1589" s="168" t="s">
        <v>290</v>
      </c>
      <c r="C1589" s="168" t="s">
        <v>1860</v>
      </c>
      <c r="D1589" s="229">
        <v>29.5</v>
      </c>
      <c r="E1589" s="229">
        <v>33.0</v>
      </c>
      <c r="F1589" s="230">
        <v>3.0</v>
      </c>
      <c r="G1589" s="232"/>
    </row>
    <row r="1590">
      <c r="A1590" s="2"/>
      <c r="B1590" s="168" t="s">
        <v>273</v>
      </c>
      <c r="C1590" s="168" t="s">
        <v>1861</v>
      </c>
      <c r="D1590" s="229">
        <v>29.5</v>
      </c>
      <c r="E1590" s="229">
        <v>33.0</v>
      </c>
      <c r="F1590" s="230">
        <v>3.0</v>
      </c>
      <c r="G1590" s="232"/>
    </row>
    <row r="1591">
      <c r="A1591" s="2"/>
      <c r="B1591" s="168" t="s">
        <v>217</v>
      </c>
      <c r="C1591" s="168" t="s">
        <v>1862</v>
      </c>
      <c r="D1591" s="229">
        <v>27.5</v>
      </c>
      <c r="E1591" s="229">
        <v>31.0</v>
      </c>
      <c r="F1591" s="230">
        <v>3.0</v>
      </c>
      <c r="G1591" s="232"/>
    </row>
    <row r="1592">
      <c r="A1592" s="2"/>
      <c r="B1592" s="168" t="s">
        <v>241</v>
      </c>
      <c r="C1592" s="168" t="s">
        <v>1863</v>
      </c>
      <c r="D1592" s="229">
        <v>32.5</v>
      </c>
      <c r="E1592" s="229">
        <v>36.0</v>
      </c>
      <c r="F1592" s="230">
        <v>3.0</v>
      </c>
      <c r="G1592" s="232"/>
    </row>
    <row r="1593">
      <c r="A1593" s="2"/>
      <c r="B1593" s="168" t="s">
        <v>241</v>
      </c>
      <c r="C1593" s="168" t="s">
        <v>1864</v>
      </c>
      <c r="D1593" s="229">
        <v>32.5</v>
      </c>
      <c r="E1593" s="229">
        <v>36.0</v>
      </c>
      <c r="F1593" s="230">
        <v>3.0</v>
      </c>
      <c r="G1593" s="232"/>
    </row>
    <row r="1594">
      <c r="A1594" s="2"/>
      <c r="B1594" s="168" t="s">
        <v>217</v>
      </c>
      <c r="C1594" s="168" t="s">
        <v>1865</v>
      </c>
      <c r="D1594" s="229">
        <v>27.5</v>
      </c>
      <c r="E1594" s="229">
        <v>31.0</v>
      </c>
      <c r="F1594" s="230">
        <v>3.0</v>
      </c>
      <c r="G1594" s="232"/>
    </row>
    <row r="1595">
      <c r="A1595" s="2"/>
      <c r="B1595" s="168" t="s">
        <v>269</v>
      </c>
      <c r="C1595" s="168" t="s">
        <v>1866</v>
      </c>
      <c r="D1595" s="229">
        <v>26.5</v>
      </c>
      <c r="E1595" s="229">
        <v>30.0</v>
      </c>
      <c r="F1595" s="230">
        <v>3.0</v>
      </c>
      <c r="G1595" s="232"/>
    </row>
    <row r="1596">
      <c r="A1596" s="2"/>
      <c r="B1596" s="168" t="s">
        <v>234</v>
      </c>
      <c r="C1596" s="168" t="s">
        <v>1867</v>
      </c>
      <c r="D1596" s="229">
        <v>29.5</v>
      </c>
      <c r="E1596" s="229">
        <v>33.0</v>
      </c>
      <c r="F1596" s="230">
        <v>3.0</v>
      </c>
      <c r="G1596" s="232"/>
    </row>
    <row r="1597">
      <c r="A1597" s="2"/>
      <c r="B1597" s="168" t="s">
        <v>217</v>
      </c>
      <c r="C1597" s="168" t="s">
        <v>1868</v>
      </c>
      <c r="D1597" s="229">
        <v>27.5</v>
      </c>
      <c r="E1597" s="229">
        <v>31.0</v>
      </c>
      <c r="F1597" s="230">
        <v>3.0</v>
      </c>
      <c r="G1597" s="232"/>
    </row>
    <row r="1598">
      <c r="A1598" s="2"/>
      <c r="B1598" s="168" t="s">
        <v>446</v>
      </c>
      <c r="C1598" s="168" t="s">
        <v>1869</v>
      </c>
      <c r="D1598" s="229">
        <v>9.5</v>
      </c>
      <c r="E1598" s="229">
        <v>9.5</v>
      </c>
      <c r="F1598" s="230">
        <v>3.0</v>
      </c>
      <c r="G1598" s="232"/>
    </row>
    <row r="1599">
      <c r="A1599" s="2"/>
      <c r="B1599" s="168" t="s">
        <v>230</v>
      </c>
      <c r="C1599" s="168" t="s">
        <v>1870</v>
      </c>
      <c r="D1599" s="229">
        <v>21.5</v>
      </c>
      <c r="E1599" s="229">
        <v>25.0</v>
      </c>
      <c r="F1599" s="230">
        <v>3.0</v>
      </c>
      <c r="G1599" s="232"/>
    </row>
    <row r="1600">
      <c r="A1600" s="2"/>
      <c r="B1600" s="168" t="s">
        <v>288</v>
      </c>
      <c r="C1600" s="168" t="s">
        <v>1871</v>
      </c>
      <c r="D1600" s="229">
        <v>21.5</v>
      </c>
      <c r="E1600" s="229">
        <v>25.0</v>
      </c>
      <c r="F1600" s="230">
        <v>3.0</v>
      </c>
      <c r="G1600" s="232"/>
    </row>
    <row r="1601">
      <c r="A1601" s="2"/>
      <c r="B1601" s="168" t="s">
        <v>273</v>
      </c>
      <c r="C1601" s="168" t="s">
        <v>1872</v>
      </c>
      <c r="D1601" s="229">
        <v>24.5</v>
      </c>
      <c r="E1601" s="229">
        <v>28.0</v>
      </c>
      <c r="F1601" s="230">
        <v>3.0</v>
      </c>
      <c r="G1601" s="232"/>
    </row>
    <row r="1602">
      <c r="A1602" s="2"/>
      <c r="B1602" s="168" t="s">
        <v>241</v>
      </c>
      <c r="C1602" s="168" t="s">
        <v>1873</v>
      </c>
      <c r="D1602" s="229">
        <v>32.5</v>
      </c>
      <c r="E1602" s="229">
        <v>36.0</v>
      </c>
      <c r="F1602" s="230">
        <v>3.0</v>
      </c>
      <c r="G1602" s="232"/>
    </row>
    <row r="1603">
      <c r="A1603" s="2"/>
      <c r="B1603" s="168" t="s">
        <v>241</v>
      </c>
      <c r="C1603" s="168" t="s">
        <v>1874</v>
      </c>
      <c r="D1603" s="229">
        <v>32.5</v>
      </c>
      <c r="E1603" s="229">
        <v>36.0</v>
      </c>
      <c r="F1603" s="230">
        <v>3.0</v>
      </c>
      <c r="G1603" s="232"/>
    </row>
    <row r="1604">
      <c r="A1604" s="2"/>
      <c r="B1604" s="168" t="s">
        <v>243</v>
      </c>
      <c r="C1604" s="168" t="s">
        <v>1875</v>
      </c>
      <c r="D1604" s="229">
        <v>29.5</v>
      </c>
      <c r="E1604" s="229">
        <v>33.0</v>
      </c>
      <c r="F1604" s="230">
        <v>3.0</v>
      </c>
      <c r="G1604" s="232"/>
    </row>
    <row r="1605">
      <c r="A1605" s="2"/>
      <c r="B1605" s="168" t="s">
        <v>257</v>
      </c>
      <c r="C1605" s="168" t="s">
        <v>1876</v>
      </c>
      <c r="D1605" s="229">
        <v>28.5</v>
      </c>
      <c r="E1605" s="229">
        <v>32.0</v>
      </c>
      <c r="F1605" s="230">
        <v>3.0</v>
      </c>
      <c r="G1605" s="232"/>
    </row>
    <row r="1606">
      <c r="A1606" s="2"/>
      <c r="B1606" s="168" t="s">
        <v>255</v>
      </c>
      <c r="C1606" s="168" t="s">
        <v>1877</v>
      </c>
      <c r="D1606" s="229">
        <v>28.5</v>
      </c>
      <c r="E1606" s="229">
        <v>32.0</v>
      </c>
      <c r="F1606" s="230">
        <v>3.0</v>
      </c>
      <c r="G1606" s="232"/>
    </row>
    <row r="1607">
      <c r="A1607" s="2"/>
      <c r="B1607" s="168" t="s">
        <v>375</v>
      </c>
      <c r="C1607" s="168" t="s">
        <v>1878</v>
      </c>
      <c r="D1607" s="229">
        <v>26.5</v>
      </c>
      <c r="E1607" s="229">
        <v>30.0</v>
      </c>
      <c r="F1607" s="230">
        <v>3.0</v>
      </c>
      <c r="G1607" s="232"/>
    </row>
    <row r="1608">
      <c r="A1608" s="2"/>
      <c r="B1608" s="168" t="s">
        <v>260</v>
      </c>
      <c r="C1608" s="168" t="s">
        <v>1879</v>
      </c>
      <c r="D1608" s="229">
        <v>28.5</v>
      </c>
      <c r="E1608" s="229">
        <v>32.0</v>
      </c>
      <c r="F1608" s="230">
        <v>3.0</v>
      </c>
      <c r="G1608" s="232"/>
    </row>
    <row r="1609">
      <c r="A1609" s="2"/>
      <c r="B1609" s="168" t="s">
        <v>377</v>
      </c>
      <c r="C1609" s="168" t="s">
        <v>1880</v>
      </c>
      <c r="D1609" s="229">
        <v>24.5</v>
      </c>
      <c r="E1609" s="229">
        <v>28.0</v>
      </c>
      <c r="F1609" s="230">
        <v>3.0</v>
      </c>
      <c r="G1609" s="232"/>
    </row>
    <row r="1610">
      <c r="A1610" s="2"/>
      <c r="B1610" s="168" t="s">
        <v>217</v>
      </c>
      <c r="C1610" s="168" t="s">
        <v>1881</v>
      </c>
      <c r="D1610" s="229">
        <v>27.5</v>
      </c>
      <c r="E1610" s="229">
        <v>31.0</v>
      </c>
      <c r="F1610" s="230">
        <v>3.0</v>
      </c>
      <c r="G1610" s="232"/>
    </row>
    <row r="1611">
      <c r="A1611" s="2"/>
      <c r="B1611" s="168" t="s">
        <v>269</v>
      </c>
      <c r="C1611" s="168" t="s">
        <v>1882</v>
      </c>
      <c r="D1611" s="229">
        <v>26.5</v>
      </c>
      <c r="E1611" s="229">
        <v>30.0</v>
      </c>
      <c r="F1611" s="230">
        <v>3.0</v>
      </c>
      <c r="G1611" s="232"/>
    </row>
    <row r="1612">
      <c r="A1612" s="2"/>
      <c r="B1612" s="168" t="s">
        <v>269</v>
      </c>
      <c r="C1612" s="168" t="s">
        <v>1883</v>
      </c>
      <c r="D1612" s="229">
        <v>26.5</v>
      </c>
      <c r="E1612" s="229">
        <v>30.0</v>
      </c>
      <c r="F1612" s="230">
        <v>3.0</v>
      </c>
      <c r="G1612" s="232"/>
    </row>
    <row r="1613">
      <c r="A1613" s="2"/>
      <c r="B1613" s="168" t="s">
        <v>230</v>
      </c>
      <c r="C1613" s="168" t="s">
        <v>1884</v>
      </c>
      <c r="D1613" s="229">
        <v>21.5</v>
      </c>
      <c r="E1613" s="229">
        <v>25.0</v>
      </c>
      <c r="F1613" s="230">
        <v>3.0</v>
      </c>
      <c r="G1613" s="232"/>
    </row>
    <row r="1614">
      <c r="A1614" s="2"/>
      <c r="B1614" s="168" t="s">
        <v>290</v>
      </c>
      <c r="C1614" s="168" t="s">
        <v>1885</v>
      </c>
      <c r="D1614" s="229">
        <v>29.5</v>
      </c>
      <c r="E1614" s="229">
        <v>33.0</v>
      </c>
      <c r="F1614" s="230">
        <v>3.0</v>
      </c>
      <c r="G1614" s="232"/>
    </row>
    <row r="1615">
      <c r="A1615" s="2"/>
      <c r="B1615" s="168" t="s">
        <v>217</v>
      </c>
      <c r="C1615" s="168" t="s">
        <v>1886</v>
      </c>
      <c r="D1615" s="229">
        <v>27.5</v>
      </c>
      <c r="E1615" s="229">
        <v>31.0</v>
      </c>
      <c r="F1615" s="230">
        <v>3.0</v>
      </c>
      <c r="G1615" s="232"/>
    </row>
    <row r="1616">
      <c r="A1616" s="2"/>
      <c r="B1616" s="168" t="s">
        <v>290</v>
      </c>
      <c r="C1616" s="168" t="s">
        <v>1887</v>
      </c>
      <c r="D1616" s="229">
        <v>24.5</v>
      </c>
      <c r="E1616" s="229">
        <v>28.0</v>
      </c>
      <c r="F1616" s="230">
        <v>3.0</v>
      </c>
      <c r="G1616" s="232"/>
    </row>
    <row r="1617">
      <c r="A1617" s="2"/>
      <c r="B1617" s="168" t="s">
        <v>230</v>
      </c>
      <c r="C1617" s="168" t="s">
        <v>1888</v>
      </c>
      <c r="D1617" s="229">
        <v>21.5</v>
      </c>
      <c r="E1617" s="229">
        <v>25.0</v>
      </c>
      <c r="F1617" s="230">
        <v>3.0</v>
      </c>
      <c r="G1617" s="232"/>
    </row>
    <row r="1618">
      <c r="A1618" s="2"/>
      <c r="B1618" s="168" t="s">
        <v>937</v>
      </c>
      <c r="C1618" s="168" t="s">
        <v>1889</v>
      </c>
      <c r="D1618" s="229">
        <v>21.5</v>
      </c>
      <c r="E1618" s="229">
        <v>25.0</v>
      </c>
      <c r="F1618" s="230">
        <v>3.0</v>
      </c>
      <c r="G1618" s="232"/>
    </row>
    <row r="1619">
      <c r="A1619" s="2"/>
      <c r="B1619" s="168" t="s">
        <v>269</v>
      </c>
      <c r="C1619" s="168" t="s">
        <v>269</v>
      </c>
      <c r="D1619" s="229">
        <v>26.5</v>
      </c>
      <c r="E1619" s="229">
        <v>30.0</v>
      </c>
      <c r="F1619" s="230">
        <v>3.0</v>
      </c>
      <c r="G1619" s="232"/>
    </row>
    <row r="1620">
      <c r="A1620" s="2"/>
      <c r="B1620" s="168" t="s">
        <v>288</v>
      </c>
      <c r="C1620" s="168" t="s">
        <v>1890</v>
      </c>
      <c r="D1620" s="229">
        <v>21.5</v>
      </c>
      <c r="E1620" s="229">
        <v>25.0</v>
      </c>
      <c r="F1620" s="230">
        <v>3.0</v>
      </c>
      <c r="G1620" s="232"/>
    </row>
    <row r="1621">
      <c r="A1621" s="2"/>
      <c r="B1621" s="168" t="s">
        <v>1392</v>
      </c>
      <c r="C1621" s="168" t="s">
        <v>1891</v>
      </c>
      <c r="D1621" s="229">
        <v>26.5</v>
      </c>
      <c r="E1621" s="229">
        <v>30.0</v>
      </c>
      <c r="F1621" s="230">
        <v>3.0</v>
      </c>
      <c r="G1621" s="232"/>
    </row>
    <row r="1622">
      <c r="A1622" s="2"/>
      <c r="B1622" s="168" t="s">
        <v>230</v>
      </c>
      <c r="C1622" s="168" t="s">
        <v>1892</v>
      </c>
      <c r="D1622" s="229">
        <v>21.5</v>
      </c>
      <c r="E1622" s="229">
        <v>25.0</v>
      </c>
      <c r="F1622" s="230">
        <v>3.0</v>
      </c>
      <c r="G1622" s="232"/>
    </row>
    <row r="1623">
      <c r="A1623" s="2"/>
      <c r="B1623" s="168" t="s">
        <v>269</v>
      </c>
      <c r="C1623" s="168" t="s">
        <v>1893</v>
      </c>
      <c r="D1623" s="229">
        <v>26.5</v>
      </c>
      <c r="E1623" s="229">
        <v>30.0</v>
      </c>
      <c r="F1623" s="230">
        <v>3.0</v>
      </c>
      <c r="G1623" s="232"/>
    </row>
    <row r="1624">
      <c r="A1624" s="2"/>
      <c r="B1624" s="168" t="s">
        <v>257</v>
      </c>
      <c r="C1624" s="168" t="s">
        <v>1894</v>
      </c>
      <c r="D1624" s="229">
        <v>23.5</v>
      </c>
      <c r="E1624" s="229">
        <v>27.0</v>
      </c>
      <c r="F1624" s="230">
        <v>3.0</v>
      </c>
      <c r="G1624" s="232"/>
    </row>
    <row r="1625">
      <c r="A1625" s="2"/>
      <c r="B1625" s="168" t="s">
        <v>223</v>
      </c>
      <c r="C1625" s="168" t="s">
        <v>1895</v>
      </c>
      <c r="D1625" s="229">
        <v>26.5</v>
      </c>
      <c r="E1625" s="229">
        <v>30.0</v>
      </c>
      <c r="F1625" s="230">
        <v>3.0</v>
      </c>
      <c r="G1625" s="232"/>
    </row>
    <row r="1626">
      <c r="A1626" s="2"/>
      <c r="B1626" s="168" t="s">
        <v>337</v>
      </c>
      <c r="C1626" s="168" t="s">
        <v>1896</v>
      </c>
      <c r="D1626" s="229">
        <v>28.5</v>
      </c>
      <c r="E1626" s="229">
        <v>32.0</v>
      </c>
      <c r="F1626" s="230">
        <v>3.0</v>
      </c>
      <c r="G1626" s="232"/>
    </row>
    <row r="1627">
      <c r="A1627" s="2"/>
      <c r="B1627" s="168" t="s">
        <v>464</v>
      </c>
      <c r="C1627" s="168" t="s">
        <v>464</v>
      </c>
      <c r="D1627" s="229">
        <v>0.5</v>
      </c>
      <c r="E1627" s="229">
        <v>0.5</v>
      </c>
      <c r="F1627" s="230">
        <v>0.5</v>
      </c>
      <c r="G1627" s="232"/>
    </row>
    <row r="1628">
      <c r="A1628" s="2"/>
      <c r="B1628" s="168" t="s">
        <v>255</v>
      </c>
      <c r="C1628" s="168" t="s">
        <v>1897</v>
      </c>
      <c r="D1628" s="229">
        <v>31.5</v>
      </c>
      <c r="E1628" s="229">
        <v>35.0</v>
      </c>
      <c r="F1628" s="230">
        <v>3.0</v>
      </c>
      <c r="G1628" s="232"/>
    </row>
    <row r="1629">
      <c r="A1629" s="2"/>
      <c r="B1629" s="168" t="s">
        <v>241</v>
      </c>
      <c r="C1629" s="168" t="s">
        <v>1898</v>
      </c>
      <c r="D1629" s="229">
        <v>32.5</v>
      </c>
      <c r="E1629" s="229">
        <v>36.0</v>
      </c>
      <c r="F1629" s="230">
        <v>3.0</v>
      </c>
      <c r="G1629" s="232"/>
    </row>
    <row r="1630">
      <c r="A1630" s="2"/>
      <c r="B1630" s="168" t="s">
        <v>375</v>
      </c>
      <c r="C1630" s="168" t="s">
        <v>1899</v>
      </c>
      <c r="D1630" s="229">
        <v>26.5</v>
      </c>
      <c r="E1630" s="229">
        <v>30.0</v>
      </c>
      <c r="F1630" s="230">
        <v>3.0</v>
      </c>
      <c r="G1630" s="232"/>
    </row>
    <row r="1631">
      <c r="A1631" s="2"/>
      <c r="B1631" s="168" t="s">
        <v>243</v>
      </c>
      <c r="C1631" s="168" t="s">
        <v>1900</v>
      </c>
      <c r="D1631" s="229">
        <v>29.5</v>
      </c>
      <c r="E1631" s="229">
        <v>33.0</v>
      </c>
      <c r="F1631" s="230">
        <v>3.0</v>
      </c>
      <c r="G1631" s="232"/>
    </row>
    <row r="1632">
      <c r="A1632" s="2"/>
      <c r="B1632" s="168" t="s">
        <v>332</v>
      </c>
      <c r="C1632" s="168" t="s">
        <v>1901</v>
      </c>
      <c r="D1632" s="229">
        <v>3.0</v>
      </c>
      <c r="E1632" s="229">
        <v>3.0</v>
      </c>
      <c r="F1632" s="230">
        <v>3.0</v>
      </c>
      <c r="G1632" s="232"/>
    </row>
    <row r="1633">
      <c r="A1633" s="2"/>
      <c r="B1633" s="168" t="s">
        <v>232</v>
      </c>
      <c r="C1633" s="168" t="s">
        <v>1902</v>
      </c>
      <c r="D1633" s="229">
        <v>25.5</v>
      </c>
      <c r="E1633" s="229">
        <v>29.0</v>
      </c>
      <c r="F1633" s="230">
        <v>3.0</v>
      </c>
      <c r="G1633" s="232"/>
    </row>
    <row r="1634">
      <c r="A1634" s="2"/>
      <c r="B1634" s="168" t="s">
        <v>328</v>
      </c>
      <c r="C1634" s="168" t="s">
        <v>1903</v>
      </c>
      <c r="D1634" s="229">
        <v>34.5</v>
      </c>
      <c r="E1634" s="229">
        <v>38.0</v>
      </c>
      <c r="F1634" s="230">
        <v>3.0</v>
      </c>
      <c r="G1634" s="232"/>
    </row>
    <row r="1635">
      <c r="A1635" s="2"/>
      <c r="B1635" s="168" t="s">
        <v>215</v>
      </c>
      <c r="C1635" s="168" t="s">
        <v>1904</v>
      </c>
      <c r="D1635" s="229">
        <v>27.5</v>
      </c>
      <c r="E1635" s="229">
        <v>31.0</v>
      </c>
      <c r="F1635" s="230">
        <v>3.0</v>
      </c>
      <c r="G1635" s="232"/>
    </row>
    <row r="1636">
      <c r="A1636" s="2"/>
      <c r="B1636" s="168" t="s">
        <v>337</v>
      </c>
      <c r="C1636" s="168" t="s">
        <v>1905</v>
      </c>
      <c r="D1636" s="229">
        <v>28.5</v>
      </c>
      <c r="E1636" s="229">
        <v>32.0</v>
      </c>
      <c r="F1636" s="230">
        <v>3.0</v>
      </c>
      <c r="G1636" s="232"/>
    </row>
    <row r="1637">
      <c r="A1637" s="2"/>
      <c r="B1637" s="168" t="s">
        <v>273</v>
      </c>
      <c r="C1637" s="168" t="s">
        <v>1906</v>
      </c>
      <c r="D1637" s="229">
        <v>29.5</v>
      </c>
      <c r="E1637" s="229">
        <v>33.0</v>
      </c>
      <c r="F1637" s="230">
        <v>3.0</v>
      </c>
      <c r="G1637" s="232"/>
    </row>
    <row r="1638">
      <c r="A1638" s="2"/>
      <c r="B1638" s="168" t="s">
        <v>230</v>
      </c>
      <c r="C1638" s="168" t="s">
        <v>1907</v>
      </c>
      <c r="D1638" s="229">
        <v>21.5</v>
      </c>
      <c r="E1638" s="229">
        <v>25.0</v>
      </c>
      <c r="F1638" s="230">
        <v>3.0</v>
      </c>
      <c r="G1638" s="232"/>
    </row>
    <row r="1639">
      <c r="A1639" s="2"/>
      <c r="B1639" s="168" t="s">
        <v>592</v>
      </c>
      <c r="C1639" s="168" t="s">
        <v>1908</v>
      </c>
      <c r="D1639" s="229">
        <v>34.5</v>
      </c>
      <c r="E1639" s="229">
        <v>38.0</v>
      </c>
      <c r="F1639" s="230">
        <v>3.0</v>
      </c>
      <c r="G1639" s="232"/>
    </row>
    <row r="1640">
      <c r="A1640" s="2"/>
      <c r="B1640" s="168" t="s">
        <v>296</v>
      </c>
      <c r="C1640" s="168" t="s">
        <v>1909</v>
      </c>
      <c r="D1640" s="229">
        <v>26.5</v>
      </c>
      <c r="E1640" s="229">
        <v>30.0</v>
      </c>
      <c r="F1640" s="230">
        <v>3.0</v>
      </c>
      <c r="G1640" s="232"/>
    </row>
    <row r="1641">
      <c r="A1641" s="2"/>
      <c r="B1641" s="168" t="s">
        <v>269</v>
      </c>
      <c r="C1641" s="168" t="s">
        <v>1910</v>
      </c>
      <c r="D1641" s="229">
        <v>26.5</v>
      </c>
      <c r="E1641" s="229">
        <v>30.0</v>
      </c>
      <c r="F1641" s="230">
        <v>3.0</v>
      </c>
      <c r="G1641" s="232"/>
    </row>
    <row r="1642">
      <c r="A1642" s="2"/>
      <c r="B1642" s="168" t="s">
        <v>288</v>
      </c>
      <c r="C1642" s="168" t="s">
        <v>1911</v>
      </c>
      <c r="D1642" s="229">
        <v>21.5</v>
      </c>
      <c r="E1642" s="229">
        <v>25.0</v>
      </c>
      <c r="F1642" s="230">
        <v>3.0</v>
      </c>
      <c r="G1642" s="232"/>
    </row>
    <row r="1643">
      <c r="A1643" s="2"/>
      <c r="B1643" s="168" t="s">
        <v>232</v>
      </c>
      <c r="C1643" s="168" t="s">
        <v>1912</v>
      </c>
      <c r="D1643" s="229">
        <v>27.5</v>
      </c>
      <c r="E1643" s="229">
        <v>31.0</v>
      </c>
      <c r="F1643" s="230">
        <v>3.0</v>
      </c>
      <c r="G1643" s="232"/>
    </row>
    <row r="1644">
      <c r="A1644" s="2"/>
      <c r="B1644" s="168" t="s">
        <v>406</v>
      </c>
      <c r="C1644" s="168" t="s">
        <v>1913</v>
      </c>
      <c r="D1644" s="229">
        <v>21.5</v>
      </c>
      <c r="E1644" s="229">
        <v>25.0</v>
      </c>
      <c r="F1644" s="230">
        <v>3.0</v>
      </c>
      <c r="G1644" s="232"/>
    </row>
    <row r="1645">
      <c r="A1645" s="2"/>
      <c r="B1645" s="168" t="s">
        <v>241</v>
      </c>
      <c r="C1645" s="168" t="s">
        <v>1914</v>
      </c>
      <c r="D1645" s="229">
        <v>32.5</v>
      </c>
      <c r="E1645" s="229">
        <v>36.0</v>
      </c>
      <c r="F1645" s="230">
        <v>3.0</v>
      </c>
      <c r="G1645" s="232"/>
    </row>
    <row r="1646">
      <c r="A1646" s="2"/>
      <c r="B1646" s="168" t="s">
        <v>234</v>
      </c>
      <c r="C1646" s="168" t="s">
        <v>1915</v>
      </c>
      <c r="D1646" s="229">
        <v>29.5</v>
      </c>
      <c r="E1646" s="229">
        <v>33.0</v>
      </c>
      <c r="F1646" s="230">
        <v>3.0</v>
      </c>
      <c r="G1646" s="232"/>
    </row>
    <row r="1647">
      <c r="A1647" s="2"/>
      <c r="B1647" s="168" t="s">
        <v>217</v>
      </c>
      <c r="C1647" s="168" t="s">
        <v>1916</v>
      </c>
      <c r="D1647" s="229">
        <v>27.5</v>
      </c>
      <c r="E1647" s="229">
        <v>31.0</v>
      </c>
      <c r="F1647" s="230">
        <v>3.0</v>
      </c>
      <c r="G1647" s="232"/>
    </row>
    <row r="1648">
      <c r="A1648" s="2"/>
      <c r="B1648" s="168" t="s">
        <v>234</v>
      </c>
      <c r="C1648" s="168" t="s">
        <v>1917</v>
      </c>
      <c r="D1648" s="229">
        <v>29.5</v>
      </c>
      <c r="E1648" s="229">
        <v>33.0</v>
      </c>
      <c r="F1648" s="230">
        <v>3.0</v>
      </c>
      <c r="G1648" s="232"/>
    </row>
    <row r="1649">
      <c r="A1649" s="2"/>
      <c r="B1649" s="168" t="s">
        <v>318</v>
      </c>
      <c r="C1649" s="168" t="s">
        <v>1918</v>
      </c>
      <c r="D1649" s="229">
        <v>25.5</v>
      </c>
      <c r="E1649" s="229">
        <v>29.0</v>
      </c>
      <c r="F1649" s="230">
        <v>3.0</v>
      </c>
      <c r="G1649" s="232"/>
    </row>
    <row r="1650">
      <c r="A1650" s="2"/>
      <c r="B1650" s="168" t="s">
        <v>217</v>
      </c>
      <c r="C1650" s="168" t="s">
        <v>1919</v>
      </c>
      <c r="D1650" s="229">
        <v>27.5</v>
      </c>
      <c r="E1650" s="229">
        <v>31.0</v>
      </c>
      <c r="F1650" s="230">
        <v>3.0</v>
      </c>
      <c r="G1650" s="232"/>
    </row>
    <row r="1651">
      <c r="A1651" s="2"/>
      <c r="B1651" s="168" t="s">
        <v>456</v>
      </c>
      <c r="C1651" s="168" t="s">
        <v>1920</v>
      </c>
      <c r="D1651" s="229">
        <v>24.5</v>
      </c>
      <c r="E1651" s="229">
        <v>28.0</v>
      </c>
      <c r="F1651" s="230">
        <v>3.0</v>
      </c>
      <c r="G1651" s="232"/>
    </row>
    <row r="1652">
      <c r="A1652" s="2"/>
      <c r="B1652" s="168" t="s">
        <v>217</v>
      </c>
      <c r="C1652" s="168" t="s">
        <v>1921</v>
      </c>
      <c r="D1652" s="229">
        <v>27.5</v>
      </c>
      <c r="E1652" s="229">
        <v>31.0</v>
      </c>
      <c r="F1652" s="230">
        <v>3.0</v>
      </c>
      <c r="G1652" s="232"/>
    </row>
    <row r="1653">
      <c r="A1653" s="2"/>
      <c r="B1653" s="168" t="s">
        <v>288</v>
      </c>
      <c r="C1653" s="168" t="s">
        <v>1922</v>
      </c>
      <c r="D1653" s="229">
        <v>21.5</v>
      </c>
      <c r="E1653" s="229">
        <v>25.0</v>
      </c>
      <c r="F1653" s="230">
        <v>3.0</v>
      </c>
      <c r="G1653" s="232"/>
    </row>
    <row r="1654">
      <c r="A1654" s="2"/>
      <c r="B1654" s="168" t="s">
        <v>430</v>
      </c>
      <c r="C1654" s="168" t="s">
        <v>1923</v>
      </c>
      <c r="D1654" s="229">
        <v>34.5</v>
      </c>
      <c r="E1654" s="229">
        <v>38.0</v>
      </c>
      <c r="F1654" s="230">
        <v>3.0</v>
      </c>
      <c r="G1654" s="232"/>
    </row>
    <row r="1655">
      <c r="A1655" s="2"/>
      <c r="B1655" s="168" t="s">
        <v>230</v>
      </c>
      <c r="C1655" s="168" t="s">
        <v>1924</v>
      </c>
      <c r="D1655" s="229">
        <v>21.5</v>
      </c>
      <c r="E1655" s="229">
        <v>25.0</v>
      </c>
      <c r="F1655" s="230">
        <v>3.0</v>
      </c>
      <c r="G1655" s="232"/>
    </row>
    <row r="1656">
      <c r="A1656" s="2"/>
      <c r="B1656" s="168" t="s">
        <v>328</v>
      </c>
      <c r="C1656" s="168" t="s">
        <v>1925</v>
      </c>
      <c r="D1656" s="229">
        <v>34.5</v>
      </c>
      <c r="E1656" s="229">
        <v>38.0</v>
      </c>
      <c r="F1656" s="230">
        <v>3.0</v>
      </c>
      <c r="G1656" s="232"/>
    </row>
    <row r="1657">
      <c r="A1657" s="2"/>
      <c r="B1657" s="168" t="s">
        <v>273</v>
      </c>
      <c r="C1657" s="168" t="s">
        <v>1926</v>
      </c>
      <c r="D1657" s="229">
        <v>29.5</v>
      </c>
      <c r="E1657" s="229">
        <v>33.0</v>
      </c>
      <c r="F1657" s="230">
        <v>3.0</v>
      </c>
      <c r="G1657" s="232"/>
    </row>
    <row r="1658">
      <c r="A1658" s="2"/>
      <c r="B1658" s="168" t="s">
        <v>215</v>
      </c>
      <c r="C1658" s="168" t="s">
        <v>1927</v>
      </c>
      <c r="D1658" s="229">
        <v>29.5</v>
      </c>
      <c r="E1658" s="229">
        <v>33.0</v>
      </c>
      <c r="F1658" s="230">
        <v>3.0</v>
      </c>
      <c r="G1658" s="232"/>
    </row>
    <row r="1659">
      <c r="A1659" s="2"/>
      <c r="B1659" s="168" t="s">
        <v>288</v>
      </c>
      <c r="C1659" s="168" t="s">
        <v>1928</v>
      </c>
      <c r="D1659" s="229">
        <v>21.5</v>
      </c>
      <c r="E1659" s="229">
        <v>25.0</v>
      </c>
      <c r="F1659" s="230">
        <v>3.0</v>
      </c>
      <c r="G1659" s="232"/>
    </row>
    <row r="1660">
      <c r="A1660" s="2"/>
      <c r="B1660" s="168" t="s">
        <v>217</v>
      </c>
      <c r="C1660" s="168" t="s">
        <v>1929</v>
      </c>
      <c r="D1660" s="229">
        <v>27.5</v>
      </c>
      <c r="E1660" s="229">
        <v>31.0</v>
      </c>
      <c r="F1660" s="230">
        <v>3.0</v>
      </c>
      <c r="G1660" s="232"/>
    </row>
    <row r="1661">
      <c r="A1661" s="2"/>
      <c r="B1661" s="168" t="s">
        <v>290</v>
      </c>
      <c r="C1661" s="168" t="s">
        <v>1930</v>
      </c>
      <c r="D1661" s="229">
        <v>29.5</v>
      </c>
      <c r="E1661" s="229">
        <v>33.0</v>
      </c>
      <c r="F1661" s="230">
        <v>3.0</v>
      </c>
      <c r="G1661" s="232"/>
    </row>
    <row r="1662">
      <c r="A1662" s="2"/>
      <c r="B1662" s="168" t="s">
        <v>215</v>
      </c>
      <c r="C1662" s="168" t="s">
        <v>1931</v>
      </c>
      <c r="D1662" s="229">
        <v>27.5</v>
      </c>
      <c r="E1662" s="229">
        <v>31.0</v>
      </c>
      <c r="F1662" s="230">
        <v>3.0</v>
      </c>
      <c r="G1662" s="232"/>
    </row>
    <row r="1663">
      <c r="A1663" s="2"/>
      <c r="B1663" s="168" t="s">
        <v>269</v>
      </c>
      <c r="C1663" s="168" t="s">
        <v>1932</v>
      </c>
      <c r="D1663" s="229">
        <v>21.5</v>
      </c>
      <c r="E1663" s="229">
        <v>25.0</v>
      </c>
      <c r="F1663" s="230">
        <v>3.0</v>
      </c>
      <c r="G1663" s="232"/>
    </row>
    <row r="1664">
      <c r="A1664" s="2"/>
      <c r="B1664" s="168" t="s">
        <v>217</v>
      </c>
      <c r="C1664" s="168" t="s">
        <v>1933</v>
      </c>
      <c r="D1664" s="229">
        <v>27.5</v>
      </c>
      <c r="E1664" s="229">
        <v>31.0</v>
      </c>
      <c r="F1664" s="230">
        <v>3.0</v>
      </c>
      <c r="G1664" s="232"/>
    </row>
    <row r="1665">
      <c r="A1665" s="2"/>
      <c r="B1665" s="168" t="s">
        <v>241</v>
      </c>
      <c r="C1665" s="168" t="s">
        <v>1934</v>
      </c>
      <c r="D1665" s="229">
        <v>32.5</v>
      </c>
      <c r="E1665" s="229">
        <v>36.0</v>
      </c>
      <c r="F1665" s="230">
        <v>3.0</v>
      </c>
      <c r="G1665" s="232"/>
    </row>
    <row r="1666">
      <c r="A1666" s="2"/>
      <c r="B1666" s="168" t="s">
        <v>245</v>
      </c>
      <c r="C1666" s="168" t="s">
        <v>1935</v>
      </c>
      <c r="D1666" s="229">
        <v>29.0</v>
      </c>
      <c r="E1666" s="229">
        <v>32.5</v>
      </c>
      <c r="F1666" s="230">
        <v>3.0</v>
      </c>
      <c r="G1666" s="232"/>
    </row>
    <row r="1667">
      <c r="A1667" s="2"/>
      <c r="B1667" s="168" t="s">
        <v>234</v>
      </c>
      <c r="C1667" s="168" t="s">
        <v>1936</v>
      </c>
      <c r="D1667" s="229">
        <v>29.5</v>
      </c>
      <c r="E1667" s="229">
        <v>33.0</v>
      </c>
      <c r="F1667" s="230">
        <v>3.0</v>
      </c>
      <c r="G1667" s="232"/>
    </row>
    <row r="1668">
      <c r="A1668" s="2"/>
      <c r="B1668" s="168" t="s">
        <v>318</v>
      </c>
      <c r="C1668" s="168" t="s">
        <v>1937</v>
      </c>
      <c r="D1668" s="229">
        <v>25.5</v>
      </c>
      <c r="E1668" s="229">
        <v>29.0</v>
      </c>
      <c r="F1668" s="230">
        <v>3.0</v>
      </c>
      <c r="G1668" s="232"/>
    </row>
    <row r="1669">
      <c r="A1669" s="2"/>
      <c r="B1669" s="168" t="s">
        <v>377</v>
      </c>
      <c r="C1669" s="168" t="s">
        <v>1938</v>
      </c>
      <c r="D1669" s="229">
        <v>29.5</v>
      </c>
      <c r="E1669" s="229">
        <v>33.0</v>
      </c>
      <c r="F1669" s="230">
        <v>3.0</v>
      </c>
      <c r="G1669" s="232"/>
    </row>
    <row r="1670">
      <c r="A1670" s="2"/>
      <c r="B1670" s="168" t="s">
        <v>260</v>
      </c>
      <c r="C1670" s="168" t="s">
        <v>260</v>
      </c>
      <c r="D1670" s="229">
        <v>28.5</v>
      </c>
      <c r="E1670" s="229">
        <v>32.0</v>
      </c>
      <c r="F1670" s="230">
        <v>3.0</v>
      </c>
      <c r="G1670" s="232"/>
    </row>
    <row r="1671">
      <c r="A1671" s="2"/>
      <c r="B1671" s="168" t="s">
        <v>217</v>
      </c>
      <c r="C1671" s="168" t="s">
        <v>1939</v>
      </c>
      <c r="D1671" s="229">
        <v>27.5</v>
      </c>
      <c r="E1671" s="229">
        <v>31.0</v>
      </c>
      <c r="F1671" s="230">
        <v>3.0</v>
      </c>
      <c r="G1671" s="232"/>
    </row>
    <row r="1672">
      <c r="A1672" s="2"/>
      <c r="B1672" s="168" t="s">
        <v>375</v>
      </c>
      <c r="C1672" s="168" t="s">
        <v>1940</v>
      </c>
      <c r="D1672" s="229">
        <v>26.5</v>
      </c>
      <c r="E1672" s="229">
        <v>30.0</v>
      </c>
      <c r="F1672" s="230">
        <v>3.0</v>
      </c>
      <c r="G1672" s="232"/>
    </row>
    <row r="1673">
      <c r="A1673" s="2"/>
      <c r="B1673" s="168" t="s">
        <v>243</v>
      </c>
      <c r="C1673" s="168" t="s">
        <v>1941</v>
      </c>
      <c r="D1673" s="229">
        <v>29.5</v>
      </c>
      <c r="E1673" s="229">
        <v>33.0</v>
      </c>
      <c r="F1673" s="230">
        <v>3.0</v>
      </c>
      <c r="G1673" s="232"/>
    </row>
    <row r="1674">
      <c r="A1674" s="2"/>
      <c r="B1674" s="168" t="s">
        <v>255</v>
      </c>
      <c r="C1674" s="168" t="s">
        <v>1942</v>
      </c>
      <c r="D1674" s="229">
        <v>31.5</v>
      </c>
      <c r="E1674" s="229">
        <v>35.0</v>
      </c>
      <c r="F1674" s="230">
        <v>3.0</v>
      </c>
      <c r="G1674" s="232"/>
    </row>
    <row r="1675">
      <c r="A1675" s="2"/>
      <c r="B1675" s="168" t="s">
        <v>230</v>
      </c>
      <c r="C1675" s="168" t="s">
        <v>1943</v>
      </c>
      <c r="D1675" s="229">
        <v>21.5</v>
      </c>
      <c r="E1675" s="229">
        <v>25.0</v>
      </c>
      <c r="F1675" s="230">
        <v>3.0</v>
      </c>
      <c r="G1675" s="232"/>
    </row>
    <row r="1676">
      <c r="A1676" s="2"/>
      <c r="B1676" s="168" t="s">
        <v>345</v>
      </c>
      <c r="C1676" s="168" t="s">
        <v>1944</v>
      </c>
      <c r="D1676" s="229">
        <v>26.5</v>
      </c>
      <c r="E1676" s="229">
        <v>30.0</v>
      </c>
      <c r="F1676" s="230">
        <v>3.0</v>
      </c>
      <c r="G1676" s="232"/>
    </row>
    <row r="1677">
      <c r="A1677" s="2"/>
      <c r="B1677" s="168" t="s">
        <v>1311</v>
      </c>
      <c r="C1677" s="168" t="s">
        <v>1311</v>
      </c>
      <c r="D1677" s="229">
        <v>28.5</v>
      </c>
      <c r="E1677" s="229">
        <v>32.0</v>
      </c>
      <c r="F1677" s="230">
        <v>3.0</v>
      </c>
      <c r="G1677" s="232"/>
    </row>
    <row r="1678">
      <c r="A1678" s="2"/>
      <c r="B1678" s="168" t="s">
        <v>236</v>
      </c>
      <c r="C1678" s="168" t="s">
        <v>1945</v>
      </c>
      <c r="D1678" s="229">
        <v>34.5</v>
      </c>
      <c r="E1678" s="229">
        <v>38.0</v>
      </c>
      <c r="F1678" s="230">
        <v>3.0</v>
      </c>
      <c r="G1678" s="232"/>
    </row>
    <row r="1679">
      <c r="A1679" s="2"/>
      <c r="B1679" s="168" t="s">
        <v>337</v>
      </c>
      <c r="C1679" s="168" t="s">
        <v>1946</v>
      </c>
      <c r="D1679" s="229">
        <v>28.5</v>
      </c>
      <c r="E1679" s="229">
        <v>32.0</v>
      </c>
      <c r="F1679" s="230">
        <v>3.0</v>
      </c>
      <c r="G1679" s="232"/>
    </row>
    <row r="1680">
      <c r="A1680" s="2"/>
      <c r="B1680" s="168" t="s">
        <v>217</v>
      </c>
      <c r="C1680" s="168" t="s">
        <v>1947</v>
      </c>
      <c r="D1680" s="229">
        <v>27.5</v>
      </c>
      <c r="E1680" s="229">
        <v>31.0</v>
      </c>
      <c r="F1680" s="230">
        <v>3.0</v>
      </c>
      <c r="G1680" s="232"/>
    </row>
    <row r="1681">
      <c r="A1681" s="2"/>
      <c r="B1681" s="168" t="s">
        <v>290</v>
      </c>
      <c r="C1681" s="168" t="s">
        <v>1948</v>
      </c>
      <c r="D1681" s="229">
        <v>29.0</v>
      </c>
      <c r="E1681" s="229">
        <v>32.5</v>
      </c>
      <c r="F1681" s="230">
        <v>3.0</v>
      </c>
      <c r="G1681" s="232"/>
    </row>
    <row r="1682">
      <c r="A1682" s="2"/>
      <c r="B1682" s="168" t="s">
        <v>381</v>
      </c>
      <c r="C1682" s="168" t="s">
        <v>1949</v>
      </c>
      <c r="D1682" s="229">
        <v>26.5</v>
      </c>
      <c r="E1682" s="229">
        <v>30.0</v>
      </c>
      <c r="F1682" s="230">
        <v>3.0</v>
      </c>
      <c r="G1682" s="232"/>
    </row>
    <row r="1683">
      <c r="A1683" s="2"/>
      <c r="B1683" s="168" t="s">
        <v>576</v>
      </c>
      <c r="C1683" s="168" t="s">
        <v>1950</v>
      </c>
      <c r="D1683" s="229">
        <v>22.5</v>
      </c>
      <c r="E1683" s="229">
        <v>26.0</v>
      </c>
      <c r="F1683" s="230">
        <v>3.0</v>
      </c>
      <c r="G1683" s="232"/>
    </row>
    <row r="1684">
      <c r="A1684" s="2"/>
      <c r="B1684" s="168" t="s">
        <v>219</v>
      </c>
      <c r="C1684" s="168" t="s">
        <v>1951</v>
      </c>
      <c r="D1684" s="229">
        <v>19.5</v>
      </c>
      <c r="E1684" s="229">
        <v>23.0</v>
      </c>
      <c r="F1684" s="230">
        <v>3.0</v>
      </c>
      <c r="G1684" s="232"/>
    </row>
    <row r="1685">
      <c r="A1685" s="2"/>
      <c r="B1685" s="168" t="s">
        <v>328</v>
      </c>
      <c r="C1685" s="168" t="s">
        <v>1952</v>
      </c>
      <c r="D1685" s="229">
        <v>34.5</v>
      </c>
      <c r="E1685" s="229">
        <v>38.0</v>
      </c>
      <c r="F1685" s="230">
        <v>3.0</v>
      </c>
      <c r="G1685" s="232"/>
    </row>
    <row r="1686">
      <c r="A1686" s="2"/>
      <c r="B1686" s="168" t="s">
        <v>215</v>
      </c>
      <c r="C1686" s="168" t="s">
        <v>1953</v>
      </c>
      <c r="D1686" s="229">
        <v>27.5</v>
      </c>
      <c r="E1686" s="229">
        <v>31.0</v>
      </c>
      <c r="F1686" s="230">
        <v>3.0</v>
      </c>
      <c r="G1686" s="232"/>
    </row>
    <row r="1687">
      <c r="A1687" s="2"/>
      <c r="B1687" s="168" t="s">
        <v>290</v>
      </c>
      <c r="C1687" s="168" t="s">
        <v>1954</v>
      </c>
      <c r="D1687" s="229">
        <v>29.5</v>
      </c>
      <c r="E1687" s="229">
        <v>33.0</v>
      </c>
      <c r="F1687" s="230">
        <v>3.0</v>
      </c>
      <c r="G1687" s="232"/>
    </row>
    <row r="1688">
      <c r="A1688" s="2"/>
      <c r="B1688" s="168" t="s">
        <v>449</v>
      </c>
      <c r="C1688" s="168" t="s">
        <v>1955</v>
      </c>
      <c r="D1688" s="229">
        <v>28.5</v>
      </c>
      <c r="E1688" s="229">
        <v>32.0</v>
      </c>
      <c r="F1688" s="230">
        <v>3.0</v>
      </c>
      <c r="G1688" s="232"/>
    </row>
    <row r="1689">
      <c r="A1689" s="2"/>
      <c r="B1689" s="168" t="s">
        <v>1392</v>
      </c>
      <c r="C1689" s="168" t="s">
        <v>1956</v>
      </c>
      <c r="D1689" s="229">
        <v>26.5</v>
      </c>
      <c r="E1689" s="229">
        <v>30.0</v>
      </c>
      <c r="F1689" s="230">
        <v>3.0</v>
      </c>
      <c r="G1689" s="232"/>
    </row>
    <row r="1690">
      <c r="A1690" s="2"/>
      <c r="B1690" s="168" t="s">
        <v>377</v>
      </c>
      <c r="C1690" s="168" t="s">
        <v>1957</v>
      </c>
      <c r="D1690" s="229">
        <v>29.5</v>
      </c>
      <c r="E1690" s="229">
        <v>33.0</v>
      </c>
      <c r="F1690" s="230">
        <v>3.0</v>
      </c>
      <c r="G1690" s="232"/>
    </row>
    <row r="1691">
      <c r="A1691" s="2"/>
      <c r="B1691" s="168" t="s">
        <v>232</v>
      </c>
      <c r="C1691" s="168" t="s">
        <v>1958</v>
      </c>
      <c r="D1691" s="229">
        <v>32.5</v>
      </c>
      <c r="E1691" s="229">
        <v>36.0</v>
      </c>
      <c r="F1691" s="230">
        <v>3.0</v>
      </c>
      <c r="G1691" s="232"/>
    </row>
    <row r="1692">
      <c r="A1692" s="2"/>
      <c r="B1692" s="168" t="s">
        <v>269</v>
      </c>
      <c r="C1692" s="168" t="s">
        <v>1959</v>
      </c>
      <c r="D1692" s="229">
        <v>26.5</v>
      </c>
      <c r="E1692" s="229">
        <v>30.0</v>
      </c>
      <c r="F1692" s="230">
        <v>3.0</v>
      </c>
      <c r="G1692" s="232"/>
    </row>
    <row r="1693">
      <c r="A1693" s="2"/>
      <c r="B1693" s="168" t="s">
        <v>290</v>
      </c>
      <c r="C1693" s="168" t="s">
        <v>1960</v>
      </c>
      <c r="D1693" s="229">
        <v>29.5</v>
      </c>
      <c r="E1693" s="229">
        <v>33.0</v>
      </c>
      <c r="F1693" s="230">
        <v>3.0</v>
      </c>
      <c r="G1693" s="232"/>
    </row>
    <row r="1694">
      <c r="A1694" s="2"/>
      <c r="B1694" s="168" t="s">
        <v>404</v>
      </c>
      <c r="C1694" s="168" t="s">
        <v>1961</v>
      </c>
      <c r="D1694" s="229">
        <v>29.5</v>
      </c>
      <c r="E1694" s="229">
        <v>33.0</v>
      </c>
      <c r="F1694" s="230">
        <v>3.0</v>
      </c>
      <c r="G1694" s="232"/>
    </row>
    <row r="1695">
      <c r="A1695" s="2"/>
      <c r="B1695" s="168" t="s">
        <v>232</v>
      </c>
      <c r="C1695" s="168" t="s">
        <v>1962</v>
      </c>
      <c r="D1695" s="229">
        <v>25.0</v>
      </c>
      <c r="E1695" s="229">
        <v>28.5</v>
      </c>
      <c r="F1695" s="230">
        <v>3.0</v>
      </c>
      <c r="G1695" s="232"/>
    </row>
    <row r="1696">
      <c r="A1696" s="2"/>
      <c r="B1696" s="168" t="s">
        <v>245</v>
      </c>
      <c r="C1696" s="168" t="s">
        <v>1963</v>
      </c>
      <c r="D1696" s="229">
        <v>29.5</v>
      </c>
      <c r="E1696" s="229">
        <v>33.0</v>
      </c>
      <c r="F1696" s="230">
        <v>3.0</v>
      </c>
      <c r="G1696" s="232"/>
    </row>
    <row r="1697">
      <c r="A1697" s="2"/>
      <c r="B1697" s="168" t="s">
        <v>217</v>
      </c>
      <c r="C1697" s="168" t="s">
        <v>1964</v>
      </c>
      <c r="D1697" s="229">
        <v>27.5</v>
      </c>
      <c r="E1697" s="229">
        <v>31.0</v>
      </c>
      <c r="F1697" s="230">
        <v>3.0</v>
      </c>
      <c r="G1697" s="232"/>
    </row>
    <row r="1698">
      <c r="A1698" s="2"/>
      <c r="B1698" s="168" t="s">
        <v>269</v>
      </c>
      <c r="C1698" s="168" t="s">
        <v>1965</v>
      </c>
      <c r="D1698" s="229">
        <v>26.5</v>
      </c>
      <c r="E1698" s="229">
        <v>30.0</v>
      </c>
      <c r="F1698" s="230">
        <v>3.0</v>
      </c>
      <c r="G1698" s="232"/>
    </row>
    <row r="1699">
      <c r="A1699" s="2"/>
      <c r="B1699" s="168" t="s">
        <v>368</v>
      </c>
      <c r="C1699" s="168" t="s">
        <v>1966</v>
      </c>
      <c r="D1699" s="229">
        <v>32.5</v>
      </c>
      <c r="E1699" s="229">
        <v>36.0</v>
      </c>
      <c r="F1699" s="230">
        <v>3.0</v>
      </c>
      <c r="G1699" s="232"/>
    </row>
    <row r="1700">
      <c r="A1700" s="2"/>
      <c r="B1700" s="168" t="s">
        <v>217</v>
      </c>
      <c r="C1700" s="168" t="s">
        <v>1967</v>
      </c>
      <c r="D1700" s="229">
        <v>22.5</v>
      </c>
      <c r="E1700" s="229">
        <v>26.0</v>
      </c>
      <c r="F1700" s="230">
        <v>3.0</v>
      </c>
      <c r="G1700" s="232"/>
    </row>
    <row r="1701">
      <c r="A1701" s="2"/>
      <c r="B1701" s="168" t="s">
        <v>332</v>
      </c>
      <c r="C1701" s="168" t="s">
        <v>1968</v>
      </c>
      <c r="D1701" s="229">
        <v>28.5</v>
      </c>
      <c r="E1701" s="229">
        <v>32.0</v>
      </c>
      <c r="F1701" s="230">
        <v>3.0</v>
      </c>
      <c r="G1701" s="232"/>
    </row>
    <row r="1702">
      <c r="A1702" s="2"/>
      <c r="B1702" s="168" t="s">
        <v>217</v>
      </c>
      <c r="C1702" s="168" t="s">
        <v>1969</v>
      </c>
      <c r="D1702" s="229">
        <v>27.5</v>
      </c>
      <c r="E1702" s="229">
        <v>31.0</v>
      </c>
      <c r="F1702" s="230">
        <v>3.0</v>
      </c>
      <c r="G1702" s="232"/>
    </row>
    <row r="1703">
      <c r="A1703" s="2"/>
      <c r="B1703" s="168" t="s">
        <v>217</v>
      </c>
      <c r="C1703" s="168" t="s">
        <v>1970</v>
      </c>
      <c r="D1703" s="229">
        <v>27.5</v>
      </c>
      <c r="E1703" s="229">
        <v>31.0</v>
      </c>
      <c r="F1703" s="230">
        <v>3.0</v>
      </c>
      <c r="G1703" s="232"/>
    </row>
    <row r="1704">
      <c r="A1704" s="2"/>
      <c r="B1704" s="168" t="s">
        <v>232</v>
      </c>
      <c r="C1704" s="168" t="s">
        <v>1971</v>
      </c>
      <c r="D1704" s="229">
        <v>25.5</v>
      </c>
      <c r="E1704" s="229">
        <v>29.0</v>
      </c>
      <c r="F1704" s="230">
        <v>3.0</v>
      </c>
      <c r="G1704" s="232"/>
    </row>
    <row r="1705">
      <c r="A1705" s="2"/>
      <c r="B1705" s="168" t="s">
        <v>230</v>
      </c>
      <c r="C1705" s="168" t="s">
        <v>1972</v>
      </c>
      <c r="D1705" s="229">
        <v>16.5</v>
      </c>
      <c r="E1705" s="229">
        <v>20.0</v>
      </c>
      <c r="F1705" s="230">
        <v>3.0</v>
      </c>
      <c r="G1705" s="232"/>
    </row>
    <row r="1706">
      <c r="A1706" s="2"/>
      <c r="B1706" s="168" t="s">
        <v>217</v>
      </c>
      <c r="C1706" s="168" t="s">
        <v>1973</v>
      </c>
      <c r="D1706" s="229">
        <v>27.5</v>
      </c>
      <c r="E1706" s="229">
        <v>31.0</v>
      </c>
      <c r="F1706" s="230">
        <v>3.0</v>
      </c>
      <c r="G1706" s="232"/>
    </row>
    <row r="1707">
      <c r="A1707" s="2"/>
      <c r="B1707" s="168" t="s">
        <v>257</v>
      </c>
      <c r="C1707" s="168" t="s">
        <v>1974</v>
      </c>
      <c r="D1707" s="229">
        <v>28.5</v>
      </c>
      <c r="E1707" s="229">
        <v>32.0</v>
      </c>
      <c r="F1707" s="230">
        <v>3.0</v>
      </c>
      <c r="G1707" s="232"/>
    </row>
    <row r="1708">
      <c r="A1708" s="2"/>
      <c r="B1708" s="168" t="s">
        <v>217</v>
      </c>
      <c r="C1708" s="168" t="s">
        <v>1975</v>
      </c>
      <c r="D1708" s="229">
        <v>27.5</v>
      </c>
      <c r="E1708" s="229">
        <v>31.0</v>
      </c>
      <c r="F1708" s="230">
        <v>3.0</v>
      </c>
      <c r="G1708" s="232"/>
    </row>
    <row r="1709">
      <c r="A1709" s="2"/>
      <c r="B1709" s="168" t="s">
        <v>318</v>
      </c>
      <c r="C1709" s="168" t="s">
        <v>1976</v>
      </c>
      <c r="D1709" s="229">
        <v>25.5</v>
      </c>
      <c r="E1709" s="229">
        <v>29.0</v>
      </c>
      <c r="F1709" s="230">
        <v>3.0</v>
      </c>
      <c r="G1709" s="232"/>
    </row>
    <row r="1710">
      <c r="A1710" s="2"/>
      <c r="B1710" s="168" t="s">
        <v>217</v>
      </c>
      <c r="C1710" s="168" t="s">
        <v>1977</v>
      </c>
      <c r="D1710" s="229">
        <v>27.5</v>
      </c>
      <c r="E1710" s="229">
        <v>31.0</v>
      </c>
      <c r="F1710" s="230">
        <v>3.0</v>
      </c>
      <c r="G1710" s="232"/>
    </row>
    <row r="1711">
      <c r="A1711" s="2"/>
      <c r="B1711" s="168" t="s">
        <v>217</v>
      </c>
      <c r="C1711" s="168" t="s">
        <v>1978</v>
      </c>
      <c r="D1711" s="229">
        <v>27.5</v>
      </c>
      <c r="E1711" s="229">
        <v>31.0</v>
      </c>
      <c r="F1711" s="230">
        <v>3.0</v>
      </c>
      <c r="G1711" s="232"/>
    </row>
    <row r="1712">
      <c r="A1712" s="2"/>
      <c r="B1712" s="168" t="s">
        <v>230</v>
      </c>
      <c r="C1712" s="168" t="s">
        <v>1979</v>
      </c>
      <c r="D1712" s="229">
        <v>16.5</v>
      </c>
      <c r="E1712" s="229">
        <v>20.0</v>
      </c>
      <c r="F1712" s="230">
        <v>3.0</v>
      </c>
      <c r="G1712" s="232"/>
    </row>
    <row r="1713">
      <c r="A1713" s="2"/>
      <c r="B1713" s="168" t="s">
        <v>273</v>
      </c>
      <c r="C1713" s="168" t="s">
        <v>1980</v>
      </c>
      <c r="D1713" s="229">
        <v>29.5</v>
      </c>
      <c r="E1713" s="229">
        <v>33.0</v>
      </c>
      <c r="F1713" s="230">
        <v>3.0</v>
      </c>
      <c r="G1713" s="232"/>
    </row>
    <row r="1714">
      <c r="A1714" s="2"/>
      <c r="B1714" s="168" t="s">
        <v>290</v>
      </c>
      <c r="C1714" s="168" t="s">
        <v>1981</v>
      </c>
      <c r="D1714" s="229">
        <v>24.5</v>
      </c>
      <c r="E1714" s="229">
        <v>28.0</v>
      </c>
      <c r="F1714" s="230">
        <v>3.0</v>
      </c>
      <c r="G1714" s="232"/>
    </row>
    <row r="1715">
      <c r="A1715" s="2"/>
      <c r="B1715" s="168" t="s">
        <v>332</v>
      </c>
      <c r="C1715" s="168" t="s">
        <v>1982</v>
      </c>
      <c r="D1715" s="229">
        <v>28.5</v>
      </c>
      <c r="E1715" s="229">
        <v>32.0</v>
      </c>
      <c r="F1715" s="230">
        <v>3.0</v>
      </c>
      <c r="G1715" s="232"/>
    </row>
    <row r="1716">
      <c r="A1716" s="2"/>
      <c r="B1716" s="168" t="s">
        <v>290</v>
      </c>
      <c r="C1716" s="168" t="s">
        <v>1983</v>
      </c>
      <c r="D1716" s="229">
        <v>29.5</v>
      </c>
      <c r="E1716" s="229">
        <v>33.0</v>
      </c>
      <c r="F1716" s="230">
        <v>3.0</v>
      </c>
      <c r="G1716" s="232"/>
    </row>
    <row r="1717">
      <c r="A1717" s="2"/>
      <c r="B1717" s="168" t="s">
        <v>269</v>
      </c>
      <c r="C1717" s="168" t="s">
        <v>1984</v>
      </c>
      <c r="D1717" s="229">
        <v>26.5</v>
      </c>
      <c r="E1717" s="229">
        <v>30.0</v>
      </c>
      <c r="F1717" s="230">
        <v>3.0</v>
      </c>
      <c r="G1717" s="232"/>
    </row>
    <row r="1718">
      <c r="A1718" s="2"/>
      <c r="B1718" s="168" t="s">
        <v>377</v>
      </c>
      <c r="C1718" s="168" t="s">
        <v>1985</v>
      </c>
      <c r="D1718" s="229">
        <v>29.5</v>
      </c>
      <c r="E1718" s="229">
        <v>33.0</v>
      </c>
      <c r="F1718" s="230">
        <v>3.0</v>
      </c>
      <c r="G1718" s="232"/>
    </row>
    <row r="1719">
      <c r="A1719" s="2"/>
      <c r="B1719" s="168" t="s">
        <v>290</v>
      </c>
      <c r="C1719" s="168" t="s">
        <v>1986</v>
      </c>
      <c r="D1719" s="229">
        <v>29.5</v>
      </c>
      <c r="E1719" s="229">
        <v>33.0</v>
      </c>
      <c r="F1719" s="230">
        <v>3.0</v>
      </c>
      <c r="G1719" s="232"/>
    </row>
    <row r="1720">
      <c r="A1720" s="2"/>
      <c r="B1720" s="168" t="s">
        <v>430</v>
      </c>
      <c r="C1720" s="168" t="s">
        <v>1987</v>
      </c>
      <c r="D1720" s="229">
        <v>34.5</v>
      </c>
      <c r="E1720" s="229">
        <v>38.0</v>
      </c>
      <c r="F1720" s="230">
        <v>3.0</v>
      </c>
      <c r="G1720" s="232"/>
    </row>
    <row r="1721">
      <c r="A1721" s="2"/>
      <c r="B1721" s="168" t="s">
        <v>215</v>
      </c>
      <c r="C1721" s="168" t="s">
        <v>1988</v>
      </c>
      <c r="D1721" s="229">
        <v>27.5</v>
      </c>
      <c r="E1721" s="229">
        <v>31.0</v>
      </c>
      <c r="F1721" s="230">
        <v>3.0</v>
      </c>
      <c r="G1721" s="232"/>
    </row>
    <row r="1722">
      <c r="A1722" s="2"/>
      <c r="B1722" s="168" t="s">
        <v>217</v>
      </c>
      <c r="C1722" s="168" t="s">
        <v>1989</v>
      </c>
      <c r="D1722" s="229">
        <v>27.5</v>
      </c>
      <c r="E1722" s="229">
        <v>31.0</v>
      </c>
      <c r="F1722" s="230">
        <v>3.0</v>
      </c>
      <c r="G1722" s="232"/>
    </row>
    <row r="1723">
      <c r="A1723" s="2"/>
      <c r="B1723" s="168" t="s">
        <v>232</v>
      </c>
      <c r="C1723" s="168" t="s">
        <v>1990</v>
      </c>
      <c r="D1723" s="229">
        <v>25.5</v>
      </c>
      <c r="E1723" s="229">
        <v>29.0</v>
      </c>
      <c r="F1723" s="230">
        <v>3.0</v>
      </c>
      <c r="G1723" s="232"/>
    </row>
    <row r="1724">
      <c r="A1724" s="2"/>
      <c r="B1724" s="168" t="s">
        <v>239</v>
      </c>
      <c r="C1724" s="168" t="s">
        <v>1991</v>
      </c>
      <c r="D1724" s="229">
        <v>29.5</v>
      </c>
      <c r="E1724" s="229">
        <v>33.0</v>
      </c>
      <c r="F1724" s="230">
        <v>3.0</v>
      </c>
      <c r="G1724" s="232"/>
    </row>
    <row r="1725">
      <c r="A1725" s="2"/>
      <c r="B1725" s="168" t="s">
        <v>285</v>
      </c>
      <c r="C1725" s="168" t="s">
        <v>1992</v>
      </c>
      <c r="D1725" s="229">
        <v>24.5</v>
      </c>
      <c r="E1725" s="229">
        <v>28.0</v>
      </c>
      <c r="F1725" s="230">
        <v>3.0</v>
      </c>
      <c r="G1725" s="232"/>
    </row>
    <row r="1726">
      <c r="A1726" s="2"/>
      <c r="B1726" s="168" t="s">
        <v>217</v>
      </c>
      <c r="C1726" s="168" t="s">
        <v>1993</v>
      </c>
      <c r="D1726" s="229">
        <v>27.5</v>
      </c>
      <c r="E1726" s="229">
        <v>31.0</v>
      </c>
      <c r="F1726" s="230">
        <v>3.0</v>
      </c>
      <c r="G1726" s="232"/>
    </row>
    <row r="1727">
      <c r="A1727" s="2"/>
      <c r="B1727" s="168" t="s">
        <v>255</v>
      </c>
      <c r="C1727" s="168" t="s">
        <v>1994</v>
      </c>
      <c r="D1727" s="229">
        <v>31.5</v>
      </c>
      <c r="E1727" s="229">
        <v>35.0</v>
      </c>
      <c r="F1727" s="230">
        <v>3.0</v>
      </c>
      <c r="G1727" s="232"/>
    </row>
    <row r="1728">
      <c r="A1728" s="2"/>
      <c r="B1728" s="168" t="s">
        <v>456</v>
      </c>
      <c r="C1728" s="168" t="s">
        <v>1995</v>
      </c>
      <c r="D1728" s="229">
        <v>21.5</v>
      </c>
      <c r="E1728" s="229">
        <v>25.0</v>
      </c>
      <c r="F1728" s="230">
        <v>3.0</v>
      </c>
      <c r="G1728" s="232"/>
    </row>
    <row r="1729">
      <c r="A1729" s="2"/>
      <c r="B1729" s="168" t="s">
        <v>288</v>
      </c>
      <c r="C1729" s="168" t="s">
        <v>1996</v>
      </c>
      <c r="D1729" s="229">
        <v>21.5</v>
      </c>
      <c r="E1729" s="229">
        <v>25.0</v>
      </c>
      <c r="F1729" s="230">
        <v>3.0</v>
      </c>
      <c r="G1729" s="232"/>
    </row>
    <row r="1730">
      <c r="A1730" s="2"/>
      <c r="B1730" s="168" t="s">
        <v>332</v>
      </c>
      <c r="C1730" s="168" t="s">
        <v>1997</v>
      </c>
      <c r="D1730" s="229">
        <v>28.5</v>
      </c>
      <c r="E1730" s="229">
        <v>32.0</v>
      </c>
      <c r="F1730" s="230">
        <v>3.0</v>
      </c>
      <c r="G1730" s="232"/>
    </row>
    <row r="1731">
      <c r="A1731" s="2"/>
      <c r="B1731" s="168" t="s">
        <v>221</v>
      </c>
      <c r="C1731" s="168" t="s">
        <v>1998</v>
      </c>
      <c r="D1731" s="229">
        <v>27.5</v>
      </c>
      <c r="E1731" s="229">
        <v>31.0</v>
      </c>
      <c r="F1731" s="230">
        <v>3.0</v>
      </c>
      <c r="G1731" s="232"/>
    </row>
    <row r="1732">
      <c r="A1732" s="2"/>
      <c r="B1732" s="168" t="s">
        <v>217</v>
      </c>
      <c r="C1732" s="168" t="s">
        <v>1999</v>
      </c>
      <c r="D1732" s="229">
        <v>22.5</v>
      </c>
      <c r="E1732" s="229">
        <v>26.0</v>
      </c>
      <c r="F1732" s="230">
        <v>3.0</v>
      </c>
      <c r="G1732" s="232"/>
    </row>
    <row r="1733">
      <c r="A1733" s="2"/>
      <c r="B1733" s="168" t="s">
        <v>335</v>
      </c>
      <c r="C1733" s="168" t="s">
        <v>2000</v>
      </c>
      <c r="D1733" s="229">
        <v>34.5</v>
      </c>
      <c r="E1733" s="229">
        <v>38.0</v>
      </c>
      <c r="F1733" s="230">
        <v>3.0</v>
      </c>
      <c r="G1733" s="232"/>
    </row>
    <row r="1734">
      <c r="A1734" s="2"/>
      <c r="B1734" s="168" t="s">
        <v>318</v>
      </c>
      <c r="C1734" s="168" t="s">
        <v>2001</v>
      </c>
      <c r="D1734" s="229">
        <v>25.5</v>
      </c>
      <c r="E1734" s="229">
        <v>29.0</v>
      </c>
      <c r="F1734" s="230">
        <v>3.0</v>
      </c>
      <c r="G1734" s="232"/>
    </row>
    <row r="1735">
      <c r="A1735" s="2"/>
      <c r="B1735" s="168" t="s">
        <v>232</v>
      </c>
      <c r="C1735" s="168" t="s">
        <v>2002</v>
      </c>
      <c r="D1735" s="229">
        <v>32.5</v>
      </c>
      <c r="E1735" s="229">
        <v>36.0</v>
      </c>
      <c r="F1735" s="230">
        <v>3.0</v>
      </c>
      <c r="G1735" s="232"/>
    </row>
    <row r="1736">
      <c r="A1736" s="2"/>
      <c r="B1736" s="168" t="s">
        <v>239</v>
      </c>
      <c r="C1736" s="168" t="s">
        <v>2003</v>
      </c>
      <c r="D1736" s="229">
        <v>29.5</v>
      </c>
      <c r="E1736" s="229">
        <v>33.0</v>
      </c>
      <c r="F1736" s="230">
        <v>3.0</v>
      </c>
      <c r="G1736" s="232"/>
    </row>
    <row r="1737">
      <c r="A1737" s="2"/>
      <c r="B1737" s="168" t="s">
        <v>288</v>
      </c>
      <c r="C1737" s="168" t="s">
        <v>2004</v>
      </c>
      <c r="D1737" s="229">
        <v>21.5</v>
      </c>
      <c r="E1737" s="229">
        <v>25.0</v>
      </c>
      <c r="F1737" s="230">
        <v>3.0</v>
      </c>
      <c r="G1737" s="232"/>
    </row>
    <row r="1738">
      <c r="A1738" s="2"/>
      <c r="B1738" s="168" t="s">
        <v>337</v>
      </c>
      <c r="C1738" s="168" t="s">
        <v>2005</v>
      </c>
      <c r="D1738" s="229">
        <v>20.5</v>
      </c>
      <c r="E1738" s="229">
        <v>24.0</v>
      </c>
      <c r="F1738" s="230">
        <v>3.0</v>
      </c>
      <c r="G1738" s="232"/>
    </row>
    <row r="1739">
      <c r="A1739" s="2"/>
      <c r="B1739" s="168" t="s">
        <v>217</v>
      </c>
      <c r="C1739" s="168" t="s">
        <v>2006</v>
      </c>
      <c r="D1739" s="229">
        <v>22.5</v>
      </c>
      <c r="E1739" s="229">
        <v>26.0</v>
      </c>
      <c r="F1739" s="230">
        <v>3.0</v>
      </c>
      <c r="G1739" s="232"/>
    </row>
    <row r="1740">
      <c r="A1740" s="2"/>
      <c r="B1740" s="168" t="s">
        <v>438</v>
      </c>
      <c r="C1740" s="168" t="s">
        <v>2007</v>
      </c>
      <c r="D1740" s="229">
        <v>29.5</v>
      </c>
      <c r="E1740" s="229">
        <v>33.0</v>
      </c>
      <c r="F1740" s="230">
        <v>3.0</v>
      </c>
      <c r="G1740" s="232"/>
    </row>
    <row r="1741">
      <c r="A1741" s="2"/>
      <c r="B1741" s="168" t="s">
        <v>328</v>
      </c>
      <c r="C1741" s="168" t="s">
        <v>2008</v>
      </c>
      <c r="D1741" s="229">
        <v>34.5</v>
      </c>
      <c r="E1741" s="229">
        <v>38.0</v>
      </c>
      <c r="F1741" s="230">
        <v>3.0</v>
      </c>
      <c r="G1741" s="232"/>
    </row>
    <row r="1742">
      <c r="A1742" s="2"/>
      <c r="B1742" s="168" t="s">
        <v>269</v>
      </c>
      <c r="C1742" s="168" t="s">
        <v>2009</v>
      </c>
      <c r="D1742" s="229">
        <v>21.5</v>
      </c>
      <c r="E1742" s="229">
        <v>25.0</v>
      </c>
      <c r="F1742" s="230">
        <v>3.0</v>
      </c>
      <c r="G1742" s="232"/>
    </row>
    <row r="1743">
      <c r="A1743" s="2"/>
      <c r="B1743" s="168" t="s">
        <v>215</v>
      </c>
      <c r="C1743" s="168" t="s">
        <v>2010</v>
      </c>
      <c r="D1743" s="229">
        <v>27.5</v>
      </c>
      <c r="E1743" s="229">
        <v>31.0</v>
      </c>
      <c r="F1743" s="230">
        <v>3.0</v>
      </c>
      <c r="G1743" s="232"/>
    </row>
    <row r="1744">
      <c r="A1744" s="2"/>
      <c r="B1744" s="168" t="s">
        <v>332</v>
      </c>
      <c r="C1744" s="168" t="s">
        <v>2011</v>
      </c>
      <c r="D1744" s="229">
        <v>28.5</v>
      </c>
      <c r="E1744" s="229">
        <v>32.0</v>
      </c>
      <c r="F1744" s="230">
        <v>3.0</v>
      </c>
      <c r="G1744" s="232"/>
    </row>
    <row r="1745">
      <c r="A1745" s="2"/>
      <c r="B1745" s="168" t="s">
        <v>847</v>
      </c>
      <c r="C1745" s="168" t="s">
        <v>2012</v>
      </c>
      <c r="D1745" s="229">
        <v>0.5</v>
      </c>
      <c r="E1745" s="229">
        <v>0.5</v>
      </c>
      <c r="F1745" s="230">
        <v>0.5</v>
      </c>
      <c r="G1745" s="232"/>
    </row>
    <row r="1746">
      <c r="A1746" s="2"/>
      <c r="B1746" s="168" t="s">
        <v>296</v>
      </c>
      <c r="C1746" s="168" t="s">
        <v>2013</v>
      </c>
      <c r="D1746" s="229">
        <v>26.5</v>
      </c>
      <c r="E1746" s="229">
        <v>30.0</v>
      </c>
      <c r="F1746" s="230">
        <v>3.0</v>
      </c>
      <c r="G1746" s="232"/>
    </row>
    <row r="1747">
      <c r="A1747" s="2"/>
      <c r="B1747" s="168" t="s">
        <v>337</v>
      </c>
      <c r="C1747" s="168" t="s">
        <v>2014</v>
      </c>
      <c r="D1747" s="229">
        <v>28.5</v>
      </c>
      <c r="E1747" s="229">
        <v>32.0</v>
      </c>
      <c r="F1747" s="230">
        <v>3.0</v>
      </c>
      <c r="G1747" s="232"/>
    </row>
    <row r="1748">
      <c r="A1748" s="2"/>
      <c r="B1748" s="168" t="s">
        <v>245</v>
      </c>
      <c r="C1748" s="168" t="s">
        <v>2015</v>
      </c>
      <c r="D1748" s="229">
        <v>28.0</v>
      </c>
      <c r="E1748" s="229">
        <v>31.5</v>
      </c>
      <c r="F1748" s="230">
        <v>3.0</v>
      </c>
      <c r="G1748" s="232"/>
    </row>
    <row r="1749">
      <c r="A1749" s="2"/>
      <c r="B1749" s="168" t="s">
        <v>241</v>
      </c>
      <c r="C1749" s="168" t="s">
        <v>2016</v>
      </c>
      <c r="D1749" s="229">
        <v>32.5</v>
      </c>
      <c r="E1749" s="229">
        <v>36.0</v>
      </c>
      <c r="F1749" s="230">
        <v>3.0</v>
      </c>
      <c r="G1749" s="232"/>
    </row>
    <row r="1750">
      <c r="A1750" s="2"/>
      <c r="B1750" s="168" t="s">
        <v>241</v>
      </c>
      <c r="C1750" s="168" t="s">
        <v>2017</v>
      </c>
      <c r="D1750" s="229">
        <v>32.5</v>
      </c>
      <c r="E1750" s="229">
        <v>36.0</v>
      </c>
      <c r="F1750" s="230">
        <v>3.0</v>
      </c>
      <c r="G1750" s="232"/>
    </row>
    <row r="1751">
      <c r="A1751" s="2"/>
      <c r="B1751" s="168" t="s">
        <v>257</v>
      </c>
      <c r="C1751" s="168" t="s">
        <v>2018</v>
      </c>
      <c r="D1751" s="229">
        <v>28.5</v>
      </c>
      <c r="E1751" s="229">
        <v>32.0</v>
      </c>
      <c r="F1751" s="230">
        <v>3.0</v>
      </c>
      <c r="G1751" s="232"/>
    </row>
    <row r="1752">
      <c r="A1752" s="2"/>
      <c r="B1752" s="168" t="s">
        <v>341</v>
      </c>
      <c r="C1752" s="168" t="s">
        <v>2019</v>
      </c>
      <c r="D1752" s="229">
        <v>29.5</v>
      </c>
      <c r="E1752" s="229">
        <v>29.5</v>
      </c>
      <c r="F1752" s="230">
        <v>3.0</v>
      </c>
      <c r="G1752" s="232"/>
    </row>
    <row r="1753">
      <c r="A1753" s="2"/>
      <c r="B1753" s="168" t="s">
        <v>243</v>
      </c>
      <c r="C1753" s="168" t="s">
        <v>2020</v>
      </c>
      <c r="D1753" s="229">
        <v>29.5</v>
      </c>
      <c r="E1753" s="229">
        <v>33.0</v>
      </c>
      <c r="F1753" s="230">
        <v>3.0</v>
      </c>
      <c r="G1753" s="232"/>
    </row>
    <row r="1754">
      <c r="A1754" s="2"/>
      <c r="B1754" s="168" t="s">
        <v>290</v>
      </c>
      <c r="C1754" s="168" t="s">
        <v>2021</v>
      </c>
      <c r="D1754" s="229">
        <v>29.5</v>
      </c>
      <c r="E1754" s="229">
        <v>33.0</v>
      </c>
      <c r="F1754" s="230">
        <v>3.0</v>
      </c>
      <c r="G1754" s="232"/>
    </row>
    <row r="1755">
      <c r="A1755" s="2"/>
      <c r="B1755" s="168" t="s">
        <v>285</v>
      </c>
      <c r="C1755" s="168" t="s">
        <v>2022</v>
      </c>
      <c r="D1755" s="229">
        <v>24.5</v>
      </c>
      <c r="E1755" s="229">
        <v>28.0</v>
      </c>
      <c r="F1755" s="230">
        <v>3.0</v>
      </c>
      <c r="G1755" s="232"/>
    </row>
    <row r="1756">
      <c r="A1756" s="2"/>
      <c r="B1756" s="168" t="s">
        <v>581</v>
      </c>
      <c r="C1756" s="168" t="s">
        <v>2023</v>
      </c>
      <c r="D1756" s="229">
        <v>26.0</v>
      </c>
      <c r="E1756" s="229">
        <v>29.5</v>
      </c>
      <c r="F1756" s="230">
        <v>3.0</v>
      </c>
      <c r="G1756" s="232"/>
    </row>
    <row r="1757">
      <c r="A1757" s="2"/>
      <c r="B1757" s="168" t="s">
        <v>245</v>
      </c>
      <c r="C1757" s="168" t="s">
        <v>2024</v>
      </c>
      <c r="D1757" s="229">
        <v>29.5</v>
      </c>
      <c r="E1757" s="229">
        <v>33.0</v>
      </c>
      <c r="F1757" s="230">
        <v>3.0</v>
      </c>
      <c r="G1757" s="232"/>
    </row>
    <row r="1758">
      <c r="A1758" s="2"/>
      <c r="B1758" s="168" t="s">
        <v>257</v>
      </c>
      <c r="C1758" s="168" t="s">
        <v>2025</v>
      </c>
      <c r="D1758" s="229">
        <v>23.5</v>
      </c>
      <c r="E1758" s="229">
        <v>27.0</v>
      </c>
      <c r="F1758" s="230">
        <v>3.0</v>
      </c>
      <c r="G1758" s="232"/>
    </row>
    <row r="1759">
      <c r="A1759" s="2"/>
      <c r="B1759" s="168" t="s">
        <v>318</v>
      </c>
      <c r="C1759" s="168" t="s">
        <v>2026</v>
      </c>
      <c r="D1759" s="229">
        <v>25.5</v>
      </c>
      <c r="E1759" s="229">
        <v>29.0</v>
      </c>
      <c r="F1759" s="230">
        <v>3.0</v>
      </c>
      <c r="G1759" s="232"/>
    </row>
    <row r="1760">
      <c r="A1760" s="2"/>
      <c r="B1760" s="168" t="s">
        <v>241</v>
      </c>
      <c r="C1760" s="168" t="s">
        <v>2027</v>
      </c>
      <c r="D1760" s="229">
        <v>32.5</v>
      </c>
      <c r="E1760" s="229">
        <v>36.0</v>
      </c>
      <c r="F1760" s="230">
        <v>3.0</v>
      </c>
      <c r="G1760" s="232"/>
    </row>
    <row r="1761">
      <c r="A1761" s="2"/>
      <c r="B1761" s="168" t="s">
        <v>296</v>
      </c>
      <c r="C1761" s="168" t="s">
        <v>2028</v>
      </c>
      <c r="D1761" s="229">
        <v>26.5</v>
      </c>
      <c r="E1761" s="229">
        <v>30.0</v>
      </c>
      <c r="F1761" s="230">
        <v>3.0</v>
      </c>
      <c r="G1761" s="232"/>
    </row>
    <row r="1762">
      <c r="A1762" s="2"/>
      <c r="B1762" s="168" t="s">
        <v>245</v>
      </c>
      <c r="C1762" s="168" t="s">
        <v>2029</v>
      </c>
      <c r="D1762" s="229">
        <v>29.5</v>
      </c>
      <c r="E1762" s="229">
        <v>33.0</v>
      </c>
      <c r="F1762" s="230">
        <v>3.0</v>
      </c>
      <c r="G1762" s="232"/>
    </row>
    <row r="1763">
      <c r="A1763" s="2"/>
      <c r="B1763" s="168" t="s">
        <v>241</v>
      </c>
      <c r="C1763" s="168" t="s">
        <v>2030</v>
      </c>
      <c r="D1763" s="229">
        <v>32.5</v>
      </c>
      <c r="E1763" s="229">
        <v>36.0</v>
      </c>
      <c r="F1763" s="230">
        <v>3.0</v>
      </c>
      <c r="G1763" s="232"/>
    </row>
    <row r="1764">
      <c r="A1764" s="2"/>
      <c r="B1764" s="168" t="s">
        <v>386</v>
      </c>
      <c r="C1764" s="168" t="s">
        <v>2031</v>
      </c>
      <c r="D1764" s="229">
        <v>34.5</v>
      </c>
      <c r="E1764" s="229">
        <v>38.0</v>
      </c>
      <c r="F1764" s="230">
        <v>3.0</v>
      </c>
      <c r="G1764" s="232"/>
    </row>
    <row r="1765">
      <c r="A1765" s="2"/>
      <c r="B1765" s="168" t="s">
        <v>217</v>
      </c>
      <c r="C1765" s="168" t="s">
        <v>2032</v>
      </c>
      <c r="D1765" s="229">
        <v>27.5</v>
      </c>
      <c r="E1765" s="229">
        <v>31.0</v>
      </c>
      <c r="F1765" s="230">
        <v>3.0</v>
      </c>
      <c r="G1765" s="232"/>
    </row>
    <row r="1766">
      <c r="A1766" s="2"/>
      <c r="B1766" s="168" t="s">
        <v>290</v>
      </c>
      <c r="C1766" s="168" t="s">
        <v>2033</v>
      </c>
      <c r="D1766" s="229">
        <v>29.5</v>
      </c>
      <c r="E1766" s="229">
        <v>33.0</v>
      </c>
      <c r="F1766" s="230">
        <v>3.0</v>
      </c>
      <c r="G1766" s="232"/>
    </row>
    <row r="1767">
      <c r="A1767" s="2"/>
      <c r="B1767" s="168" t="s">
        <v>241</v>
      </c>
      <c r="C1767" s="168" t="s">
        <v>2034</v>
      </c>
      <c r="D1767" s="229">
        <v>32.5</v>
      </c>
      <c r="E1767" s="229">
        <v>36.0</v>
      </c>
      <c r="F1767" s="230">
        <v>3.0</v>
      </c>
      <c r="G1767" s="232"/>
    </row>
    <row r="1768">
      <c r="A1768" s="2"/>
      <c r="B1768" s="168" t="s">
        <v>296</v>
      </c>
      <c r="C1768" s="168" t="s">
        <v>2035</v>
      </c>
      <c r="D1768" s="229">
        <v>26.5</v>
      </c>
      <c r="E1768" s="229">
        <v>30.0</v>
      </c>
      <c r="F1768" s="230">
        <v>3.0</v>
      </c>
      <c r="G1768" s="232"/>
    </row>
    <row r="1769">
      <c r="A1769" s="2"/>
      <c r="B1769" s="168" t="s">
        <v>245</v>
      </c>
      <c r="C1769" s="168" t="s">
        <v>2036</v>
      </c>
      <c r="D1769" s="229">
        <v>29.5</v>
      </c>
      <c r="E1769" s="229">
        <v>33.0</v>
      </c>
      <c r="F1769" s="230">
        <v>3.0</v>
      </c>
      <c r="G1769" s="232"/>
    </row>
    <row r="1770">
      <c r="A1770" s="2"/>
      <c r="B1770" s="168" t="s">
        <v>576</v>
      </c>
      <c r="C1770" s="168" t="s">
        <v>2037</v>
      </c>
      <c r="D1770" s="229">
        <v>22.5</v>
      </c>
      <c r="E1770" s="229">
        <v>26.0</v>
      </c>
      <c r="F1770" s="230">
        <v>3.0</v>
      </c>
      <c r="G1770" s="232"/>
    </row>
    <row r="1771">
      <c r="A1771" s="2"/>
      <c r="B1771" s="168" t="s">
        <v>449</v>
      </c>
      <c r="C1771" s="168" t="s">
        <v>2038</v>
      </c>
      <c r="D1771" s="229">
        <v>23.5</v>
      </c>
      <c r="E1771" s="229">
        <v>27.0</v>
      </c>
      <c r="F1771" s="230">
        <v>3.0</v>
      </c>
      <c r="G1771" s="232"/>
    </row>
    <row r="1772">
      <c r="A1772" s="2"/>
      <c r="B1772" s="168" t="s">
        <v>269</v>
      </c>
      <c r="C1772" s="168" t="s">
        <v>2039</v>
      </c>
      <c r="D1772" s="229">
        <v>26.5</v>
      </c>
      <c r="E1772" s="229">
        <v>30.0</v>
      </c>
      <c r="F1772" s="230">
        <v>3.0</v>
      </c>
      <c r="G1772" s="232"/>
    </row>
    <row r="1773">
      <c r="A1773" s="2"/>
      <c r="B1773" s="168" t="s">
        <v>288</v>
      </c>
      <c r="C1773" s="168" t="s">
        <v>2040</v>
      </c>
      <c r="D1773" s="229">
        <v>21.5</v>
      </c>
      <c r="E1773" s="229">
        <v>25.0</v>
      </c>
      <c r="F1773" s="230">
        <v>3.0</v>
      </c>
      <c r="G1773" s="232"/>
    </row>
    <row r="1774">
      <c r="A1774" s="2"/>
      <c r="B1774" s="168" t="s">
        <v>217</v>
      </c>
      <c r="C1774" s="168" t="s">
        <v>2041</v>
      </c>
      <c r="D1774" s="229">
        <v>27.5</v>
      </c>
      <c r="E1774" s="229">
        <v>31.0</v>
      </c>
      <c r="F1774" s="230">
        <v>3.0</v>
      </c>
      <c r="G1774" s="232"/>
    </row>
    <row r="1775">
      <c r="A1775" s="2"/>
      <c r="B1775" s="168" t="s">
        <v>269</v>
      </c>
      <c r="C1775" s="168" t="s">
        <v>2042</v>
      </c>
      <c r="D1775" s="229">
        <v>26.5</v>
      </c>
      <c r="E1775" s="229">
        <v>30.0</v>
      </c>
      <c r="F1775" s="230">
        <v>3.0</v>
      </c>
      <c r="G1775" s="232"/>
    </row>
    <row r="1776">
      <c r="A1776" s="2"/>
      <c r="B1776" s="168" t="s">
        <v>255</v>
      </c>
      <c r="C1776" s="168" t="s">
        <v>255</v>
      </c>
      <c r="D1776" s="229">
        <v>31.5</v>
      </c>
      <c r="E1776" s="229">
        <v>35.0</v>
      </c>
      <c r="F1776" s="230">
        <v>3.0</v>
      </c>
      <c r="G1776" s="232"/>
    </row>
    <row r="1777">
      <c r="A1777" s="2"/>
      <c r="B1777" s="168" t="s">
        <v>310</v>
      </c>
      <c r="C1777" s="168" t="s">
        <v>2043</v>
      </c>
      <c r="D1777" s="229">
        <v>34.5</v>
      </c>
      <c r="E1777" s="229">
        <v>38.0</v>
      </c>
      <c r="F1777" s="230">
        <v>3.0</v>
      </c>
      <c r="G1777" s="232"/>
    </row>
    <row r="1778">
      <c r="A1778" s="2"/>
      <c r="B1778" s="168" t="s">
        <v>328</v>
      </c>
      <c r="C1778" s="168" t="s">
        <v>2044</v>
      </c>
      <c r="D1778" s="229">
        <v>34.5</v>
      </c>
      <c r="E1778" s="229">
        <v>38.0</v>
      </c>
      <c r="F1778" s="230">
        <v>3.0</v>
      </c>
      <c r="G1778" s="232"/>
    </row>
    <row r="1779">
      <c r="A1779" s="2"/>
      <c r="B1779" s="168" t="s">
        <v>427</v>
      </c>
      <c r="C1779" s="168" t="s">
        <v>2045</v>
      </c>
      <c r="D1779" s="229">
        <v>26.5</v>
      </c>
      <c r="E1779" s="229">
        <v>30.0</v>
      </c>
      <c r="F1779" s="230">
        <v>3.0</v>
      </c>
      <c r="G1779" s="232"/>
    </row>
    <row r="1780">
      <c r="A1780" s="2"/>
      <c r="B1780" s="168" t="s">
        <v>217</v>
      </c>
      <c r="C1780" s="168" t="s">
        <v>2046</v>
      </c>
      <c r="D1780" s="229">
        <v>22.5</v>
      </c>
      <c r="E1780" s="229">
        <v>26.0</v>
      </c>
      <c r="F1780" s="230">
        <v>3.0</v>
      </c>
      <c r="G1780" s="232"/>
    </row>
    <row r="1781">
      <c r="A1781" s="2"/>
      <c r="B1781" s="168" t="s">
        <v>243</v>
      </c>
      <c r="C1781" s="168" t="s">
        <v>2047</v>
      </c>
      <c r="D1781" s="229">
        <v>29.5</v>
      </c>
      <c r="E1781" s="229">
        <v>33.0</v>
      </c>
      <c r="F1781" s="230">
        <v>3.0</v>
      </c>
      <c r="G1781" s="232"/>
    </row>
    <row r="1782">
      <c r="A1782" s="2"/>
      <c r="B1782" s="168" t="s">
        <v>332</v>
      </c>
      <c r="C1782" s="168" t="s">
        <v>2048</v>
      </c>
      <c r="D1782" s="229">
        <v>28.5</v>
      </c>
      <c r="E1782" s="229">
        <v>32.0</v>
      </c>
      <c r="F1782" s="230">
        <v>3.0</v>
      </c>
      <c r="G1782" s="232"/>
    </row>
    <row r="1783">
      <c r="A1783" s="2"/>
      <c r="B1783" s="168" t="s">
        <v>290</v>
      </c>
      <c r="C1783" s="168" t="s">
        <v>2049</v>
      </c>
      <c r="D1783" s="229">
        <v>29.5</v>
      </c>
      <c r="E1783" s="229">
        <v>33.0</v>
      </c>
      <c r="F1783" s="230">
        <v>3.0</v>
      </c>
      <c r="G1783" s="232"/>
    </row>
    <row r="1784">
      <c r="A1784" s="2"/>
      <c r="B1784" s="168" t="s">
        <v>217</v>
      </c>
      <c r="C1784" s="168" t="s">
        <v>2050</v>
      </c>
      <c r="D1784" s="229">
        <v>27.5</v>
      </c>
      <c r="E1784" s="229">
        <v>31.0</v>
      </c>
      <c r="F1784" s="230">
        <v>3.0</v>
      </c>
      <c r="G1784" s="232"/>
    </row>
    <row r="1785">
      <c r="A1785" s="2"/>
      <c r="B1785" s="168" t="s">
        <v>239</v>
      </c>
      <c r="C1785" s="168" t="s">
        <v>2051</v>
      </c>
      <c r="D1785" s="229">
        <v>29.5</v>
      </c>
      <c r="E1785" s="229">
        <v>33.0</v>
      </c>
      <c r="F1785" s="230">
        <v>3.0</v>
      </c>
      <c r="G1785" s="232"/>
    </row>
    <row r="1786">
      <c r="A1786" s="2"/>
      <c r="B1786" s="168" t="s">
        <v>341</v>
      </c>
      <c r="C1786" s="168" t="s">
        <v>2052</v>
      </c>
      <c r="D1786" s="229">
        <v>29.5</v>
      </c>
      <c r="E1786" s="229">
        <v>29.5</v>
      </c>
      <c r="F1786" s="230">
        <v>3.0</v>
      </c>
      <c r="G1786" s="232"/>
    </row>
    <row r="1787">
      <c r="A1787" s="2"/>
      <c r="B1787" s="168" t="s">
        <v>217</v>
      </c>
      <c r="C1787" s="168" t="s">
        <v>2053</v>
      </c>
      <c r="D1787" s="229">
        <v>27.5</v>
      </c>
      <c r="E1787" s="229">
        <v>31.0</v>
      </c>
      <c r="F1787" s="230">
        <v>3.0</v>
      </c>
      <c r="G1787" s="232"/>
    </row>
    <row r="1788">
      <c r="A1788" s="2"/>
      <c r="B1788" s="168" t="s">
        <v>430</v>
      </c>
      <c r="C1788" s="168" t="s">
        <v>2054</v>
      </c>
      <c r="D1788" s="229">
        <v>34.5</v>
      </c>
      <c r="E1788" s="229">
        <v>38.0</v>
      </c>
      <c r="F1788" s="230">
        <v>3.0</v>
      </c>
      <c r="G1788" s="232"/>
    </row>
    <row r="1789">
      <c r="A1789" s="2"/>
      <c r="B1789" s="168" t="s">
        <v>290</v>
      </c>
      <c r="C1789" s="168" t="s">
        <v>290</v>
      </c>
      <c r="D1789" s="229">
        <v>29.5</v>
      </c>
      <c r="E1789" s="229">
        <v>33.0</v>
      </c>
      <c r="F1789" s="230">
        <v>3.0</v>
      </c>
      <c r="G1789" s="232"/>
    </row>
    <row r="1790">
      <c r="A1790" s="2"/>
      <c r="B1790" s="168" t="s">
        <v>221</v>
      </c>
      <c r="C1790" s="168" t="s">
        <v>2055</v>
      </c>
      <c r="D1790" s="229">
        <v>27.5</v>
      </c>
      <c r="E1790" s="229">
        <v>31.0</v>
      </c>
      <c r="F1790" s="230">
        <v>3.0</v>
      </c>
      <c r="G1790" s="232"/>
    </row>
    <row r="1791">
      <c r="A1791" s="2"/>
      <c r="B1791" s="168" t="s">
        <v>406</v>
      </c>
      <c r="C1791" s="168" t="s">
        <v>2056</v>
      </c>
      <c r="D1791" s="229">
        <v>24.5</v>
      </c>
      <c r="E1791" s="229">
        <v>28.0</v>
      </c>
      <c r="F1791" s="230">
        <v>3.0</v>
      </c>
      <c r="G1791" s="232"/>
    </row>
    <row r="1792">
      <c r="A1792" s="2"/>
      <c r="B1792" s="168" t="s">
        <v>255</v>
      </c>
      <c r="C1792" s="168" t="s">
        <v>2057</v>
      </c>
      <c r="D1792" s="229">
        <v>31.0</v>
      </c>
      <c r="E1792" s="229">
        <v>34.5</v>
      </c>
      <c r="F1792" s="230">
        <v>3.0</v>
      </c>
      <c r="G1792" s="232"/>
    </row>
    <row r="1793">
      <c r="A1793" s="2"/>
      <c r="B1793" s="168" t="s">
        <v>217</v>
      </c>
      <c r="C1793" s="168" t="s">
        <v>2058</v>
      </c>
      <c r="D1793" s="229">
        <v>22.5</v>
      </c>
      <c r="E1793" s="229">
        <v>26.0</v>
      </c>
      <c r="F1793" s="230">
        <v>3.0</v>
      </c>
      <c r="G1793" s="232"/>
    </row>
    <row r="1794">
      <c r="A1794" s="2"/>
      <c r="B1794" s="168" t="s">
        <v>215</v>
      </c>
      <c r="C1794" s="168" t="s">
        <v>2059</v>
      </c>
      <c r="D1794" s="229">
        <v>27.5</v>
      </c>
      <c r="E1794" s="229">
        <v>31.0</v>
      </c>
      <c r="F1794" s="230">
        <v>3.0</v>
      </c>
      <c r="G1794" s="232"/>
    </row>
    <row r="1795">
      <c r="A1795" s="2"/>
      <c r="B1795" s="168" t="s">
        <v>269</v>
      </c>
      <c r="C1795" s="168" t="s">
        <v>2060</v>
      </c>
      <c r="D1795" s="229">
        <v>26.5</v>
      </c>
      <c r="E1795" s="229">
        <v>30.0</v>
      </c>
      <c r="F1795" s="230">
        <v>3.0</v>
      </c>
      <c r="G1795" s="232"/>
    </row>
    <row r="1796">
      <c r="A1796" s="2"/>
      <c r="B1796" s="168" t="s">
        <v>234</v>
      </c>
      <c r="C1796" s="168" t="s">
        <v>2061</v>
      </c>
      <c r="D1796" s="229">
        <v>29.5</v>
      </c>
      <c r="E1796" s="229">
        <v>33.0</v>
      </c>
      <c r="F1796" s="230">
        <v>3.0</v>
      </c>
      <c r="G1796" s="232"/>
    </row>
    <row r="1797">
      <c r="A1797" s="2"/>
      <c r="B1797" s="168" t="s">
        <v>337</v>
      </c>
      <c r="C1797" s="168" t="s">
        <v>2062</v>
      </c>
      <c r="D1797" s="229">
        <v>28.5</v>
      </c>
      <c r="E1797" s="229">
        <v>32.0</v>
      </c>
      <c r="F1797" s="230">
        <v>3.0</v>
      </c>
      <c r="G1797" s="232"/>
    </row>
    <row r="1798">
      <c r="A1798" s="2"/>
      <c r="B1798" s="168" t="s">
        <v>430</v>
      </c>
      <c r="C1798" s="168" t="s">
        <v>2063</v>
      </c>
      <c r="D1798" s="229">
        <v>34.5</v>
      </c>
      <c r="E1798" s="229">
        <v>38.0</v>
      </c>
      <c r="F1798" s="230">
        <v>3.0</v>
      </c>
      <c r="G1798" s="232"/>
    </row>
    <row r="1799">
      <c r="A1799" s="2"/>
      <c r="B1799" s="168" t="s">
        <v>368</v>
      </c>
      <c r="C1799" s="168" t="s">
        <v>2064</v>
      </c>
      <c r="D1799" s="229">
        <v>32.5</v>
      </c>
      <c r="E1799" s="229">
        <v>36.0</v>
      </c>
      <c r="F1799" s="230">
        <v>3.0</v>
      </c>
      <c r="G1799" s="232"/>
    </row>
    <row r="1800">
      <c r="A1800" s="2"/>
      <c r="B1800" s="168" t="s">
        <v>230</v>
      </c>
      <c r="C1800" s="168" t="s">
        <v>2065</v>
      </c>
      <c r="D1800" s="229">
        <v>21.5</v>
      </c>
      <c r="E1800" s="229">
        <v>25.0</v>
      </c>
      <c r="F1800" s="230">
        <v>3.0</v>
      </c>
      <c r="G1800" s="232"/>
    </row>
    <row r="1801">
      <c r="A1801" s="2"/>
      <c r="B1801" s="168" t="s">
        <v>217</v>
      </c>
      <c r="C1801" s="168" t="s">
        <v>2066</v>
      </c>
      <c r="D1801" s="229">
        <v>27.5</v>
      </c>
      <c r="E1801" s="229">
        <v>31.0</v>
      </c>
      <c r="F1801" s="230">
        <v>3.0</v>
      </c>
      <c r="G1801" s="232"/>
    </row>
    <row r="1802">
      <c r="A1802" s="2"/>
      <c r="B1802" s="168" t="s">
        <v>217</v>
      </c>
      <c r="C1802" s="168" t="s">
        <v>2067</v>
      </c>
      <c r="D1802" s="229">
        <v>27.5</v>
      </c>
      <c r="E1802" s="229">
        <v>31.0</v>
      </c>
      <c r="F1802" s="230">
        <v>3.0</v>
      </c>
      <c r="G1802" s="232"/>
    </row>
    <row r="1803">
      <c r="A1803" s="2"/>
      <c r="B1803" s="168" t="s">
        <v>260</v>
      </c>
      <c r="C1803" s="168" t="s">
        <v>2068</v>
      </c>
      <c r="D1803" s="229">
        <v>28.5</v>
      </c>
      <c r="E1803" s="229">
        <v>32.0</v>
      </c>
      <c r="F1803" s="230">
        <v>3.0</v>
      </c>
      <c r="G1803" s="232"/>
    </row>
    <row r="1804">
      <c r="A1804" s="2"/>
      <c r="B1804" s="168" t="s">
        <v>290</v>
      </c>
      <c r="C1804" s="168" t="s">
        <v>2069</v>
      </c>
      <c r="D1804" s="229">
        <v>29.5</v>
      </c>
      <c r="E1804" s="229">
        <v>33.0</v>
      </c>
      <c r="F1804" s="230">
        <v>3.0</v>
      </c>
      <c r="G1804" s="232"/>
    </row>
    <row r="1805">
      <c r="A1805" s="2"/>
      <c r="B1805" s="168" t="s">
        <v>345</v>
      </c>
      <c r="C1805" s="168" t="s">
        <v>2070</v>
      </c>
      <c r="D1805" s="229">
        <v>21.5</v>
      </c>
      <c r="E1805" s="229">
        <v>25.0</v>
      </c>
      <c r="F1805" s="230">
        <v>3.0</v>
      </c>
      <c r="G1805" s="232"/>
    </row>
    <row r="1806">
      <c r="A1806" s="2"/>
      <c r="B1806" s="168" t="s">
        <v>217</v>
      </c>
      <c r="C1806" s="168" t="s">
        <v>2071</v>
      </c>
      <c r="D1806" s="229">
        <v>27.5</v>
      </c>
      <c r="E1806" s="229">
        <v>31.0</v>
      </c>
      <c r="F1806" s="230">
        <v>3.0</v>
      </c>
      <c r="G1806" s="232"/>
    </row>
    <row r="1807">
      <c r="A1807" s="2"/>
      <c r="B1807" s="168" t="s">
        <v>290</v>
      </c>
      <c r="C1807" s="168" t="s">
        <v>2072</v>
      </c>
      <c r="D1807" s="229">
        <v>24.5</v>
      </c>
      <c r="E1807" s="229">
        <v>28.0</v>
      </c>
      <c r="F1807" s="230">
        <v>3.0</v>
      </c>
      <c r="G1807" s="232"/>
    </row>
    <row r="1808">
      <c r="A1808" s="2"/>
      <c r="B1808" s="168" t="s">
        <v>232</v>
      </c>
      <c r="C1808" s="168" t="s">
        <v>2073</v>
      </c>
      <c r="D1808" s="229">
        <v>31.5</v>
      </c>
      <c r="E1808" s="229">
        <v>35.0</v>
      </c>
      <c r="F1808" s="230">
        <v>3.0</v>
      </c>
      <c r="G1808" s="232"/>
    </row>
    <row r="1809">
      <c r="A1809" s="2"/>
      <c r="B1809" s="168" t="s">
        <v>239</v>
      </c>
      <c r="C1809" s="168" t="s">
        <v>2074</v>
      </c>
      <c r="D1809" s="229">
        <v>29.5</v>
      </c>
      <c r="E1809" s="229">
        <v>33.0</v>
      </c>
      <c r="F1809" s="230">
        <v>3.0</v>
      </c>
      <c r="G1809" s="232"/>
    </row>
    <row r="1810">
      <c r="A1810" s="2"/>
      <c r="B1810" s="168" t="s">
        <v>332</v>
      </c>
      <c r="C1810" s="168" t="s">
        <v>2075</v>
      </c>
      <c r="D1810" s="229">
        <v>28.5</v>
      </c>
      <c r="E1810" s="229">
        <v>32.0</v>
      </c>
      <c r="F1810" s="230">
        <v>3.0</v>
      </c>
      <c r="G1810" s="232"/>
    </row>
    <row r="1811">
      <c r="A1811" s="2"/>
      <c r="B1811" s="168" t="s">
        <v>328</v>
      </c>
      <c r="C1811" s="168" t="s">
        <v>2076</v>
      </c>
      <c r="D1811" s="229">
        <v>34.5</v>
      </c>
      <c r="E1811" s="229">
        <v>38.0</v>
      </c>
      <c r="F1811" s="230">
        <v>3.0</v>
      </c>
      <c r="G1811" s="232"/>
    </row>
    <row r="1812">
      <c r="A1812" s="2"/>
      <c r="B1812" s="168" t="s">
        <v>446</v>
      </c>
      <c r="C1812" s="168" t="s">
        <v>2077</v>
      </c>
      <c r="D1812" s="229">
        <v>4.5</v>
      </c>
      <c r="E1812" s="229">
        <v>4.5</v>
      </c>
      <c r="F1812" s="230">
        <v>3.0</v>
      </c>
      <c r="G1812" s="232"/>
    </row>
    <row r="1813">
      <c r="A1813" s="2"/>
      <c r="B1813" s="168" t="s">
        <v>377</v>
      </c>
      <c r="C1813" s="168" t="s">
        <v>2078</v>
      </c>
      <c r="D1813" s="229">
        <v>29.5</v>
      </c>
      <c r="E1813" s="229">
        <v>33.0</v>
      </c>
      <c r="F1813" s="230">
        <v>3.0</v>
      </c>
      <c r="G1813" s="232"/>
    </row>
    <row r="1814">
      <c r="A1814" s="2"/>
      <c r="B1814" s="168" t="s">
        <v>221</v>
      </c>
      <c r="C1814" s="168" t="s">
        <v>2079</v>
      </c>
      <c r="D1814" s="229">
        <v>27.5</v>
      </c>
      <c r="E1814" s="229">
        <v>31.0</v>
      </c>
      <c r="F1814" s="230">
        <v>3.0</v>
      </c>
      <c r="G1814" s="232"/>
    </row>
    <row r="1815">
      <c r="A1815" s="2"/>
      <c r="B1815" s="168" t="s">
        <v>273</v>
      </c>
      <c r="C1815" s="168" t="s">
        <v>2080</v>
      </c>
      <c r="D1815" s="229">
        <v>24.5</v>
      </c>
      <c r="E1815" s="229">
        <v>28.0</v>
      </c>
      <c r="F1815" s="230">
        <v>3.0</v>
      </c>
      <c r="G1815" s="232"/>
    </row>
    <row r="1816">
      <c r="A1816" s="2"/>
      <c r="B1816" s="168" t="s">
        <v>232</v>
      </c>
      <c r="C1816" s="168" t="s">
        <v>2081</v>
      </c>
      <c r="D1816" s="229">
        <v>31.5</v>
      </c>
      <c r="E1816" s="229">
        <v>35.0</v>
      </c>
      <c r="F1816" s="230">
        <v>3.0</v>
      </c>
      <c r="G1816" s="232"/>
    </row>
    <row r="1817">
      <c r="A1817" s="2"/>
      <c r="B1817" s="168" t="s">
        <v>241</v>
      </c>
      <c r="C1817" s="168" t="s">
        <v>2082</v>
      </c>
      <c r="D1817" s="229">
        <v>27.5</v>
      </c>
      <c r="E1817" s="229">
        <v>31.0</v>
      </c>
      <c r="F1817" s="230">
        <v>3.0</v>
      </c>
      <c r="G1817" s="232"/>
    </row>
    <row r="1818">
      <c r="A1818" s="2"/>
      <c r="B1818" s="168" t="s">
        <v>430</v>
      </c>
      <c r="C1818" s="168" t="s">
        <v>2083</v>
      </c>
      <c r="D1818" s="229">
        <v>34.5</v>
      </c>
      <c r="E1818" s="229">
        <v>38.0</v>
      </c>
      <c r="F1818" s="230">
        <v>3.0</v>
      </c>
      <c r="G1818" s="232"/>
    </row>
    <row r="1819">
      <c r="A1819" s="2"/>
      <c r="B1819" s="168" t="s">
        <v>219</v>
      </c>
      <c r="C1819" s="168" t="s">
        <v>2084</v>
      </c>
      <c r="D1819" s="229">
        <v>28.5</v>
      </c>
      <c r="E1819" s="229">
        <v>32.0</v>
      </c>
      <c r="F1819" s="230">
        <v>3.0</v>
      </c>
      <c r="G1819" s="232"/>
    </row>
    <row r="1820">
      <c r="A1820" s="2"/>
      <c r="B1820" s="168" t="s">
        <v>296</v>
      </c>
      <c r="C1820" s="168" t="s">
        <v>2085</v>
      </c>
      <c r="D1820" s="229">
        <v>26.5</v>
      </c>
      <c r="E1820" s="229">
        <v>30.0</v>
      </c>
      <c r="F1820" s="230">
        <v>3.0</v>
      </c>
      <c r="G1820" s="232"/>
    </row>
    <row r="1821">
      <c r="A1821" s="2"/>
      <c r="B1821" s="168" t="s">
        <v>243</v>
      </c>
      <c r="C1821" s="168" t="s">
        <v>2086</v>
      </c>
      <c r="D1821" s="229">
        <v>29.5</v>
      </c>
      <c r="E1821" s="229">
        <v>33.0</v>
      </c>
      <c r="F1821" s="230">
        <v>3.0</v>
      </c>
      <c r="G1821" s="232"/>
    </row>
    <row r="1822">
      <c r="A1822" s="2"/>
      <c r="B1822" s="168" t="s">
        <v>245</v>
      </c>
      <c r="C1822" s="168" t="s">
        <v>2087</v>
      </c>
      <c r="D1822" s="229">
        <v>29.5</v>
      </c>
      <c r="E1822" s="229">
        <v>33.0</v>
      </c>
      <c r="F1822" s="230">
        <v>3.0</v>
      </c>
      <c r="G1822" s="232"/>
    </row>
    <row r="1823">
      <c r="A1823" s="2"/>
      <c r="B1823" s="168" t="s">
        <v>230</v>
      </c>
      <c r="C1823" s="168" t="s">
        <v>2088</v>
      </c>
      <c r="D1823" s="229">
        <v>21.5</v>
      </c>
      <c r="E1823" s="229">
        <v>25.0</v>
      </c>
      <c r="F1823" s="230">
        <v>3.0</v>
      </c>
      <c r="G1823" s="232"/>
    </row>
    <row r="1824">
      <c r="A1824" s="2"/>
      <c r="B1824" s="168" t="s">
        <v>271</v>
      </c>
      <c r="C1824" s="168" t="s">
        <v>2089</v>
      </c>
      <c r="D1824" s="229">
        <v>28.5</v>
      </c>
      <c r="E1824" s="229">
        <v>32.0</v>
      </c>
      <c r="F1824" s="230">
        <v>3.0</v>
      </c>
      <c r="G1824" s="232"/>
    </row>
    <row r="1825">
      <c r="A1825" s="2"/>
      <c r="B1825" s="168" t="s">
        <v>449</v>
      </c>
      <c r="C1825" s="168" t="s">
        <v>2090</v>
      </c>
      <c r="D1825" s="229">
        <v>28.5</v>
      </c>
      <c r="E1825" s="229">
        <v>32.0</v>
      </c>
      <c r="F1825" s="230">
        <v>3.0</v>
      </c>
      <c r="G1825" s="232"/>
    </row>
    <row r="1826">
      <c r="A1826" s="2"/>
      <c r="B1826" s="168" t="s">
        <v>381</v>
      </c>
      <c r="C1826" s="168" t="s">
        <v>2091</v>
      </c>
      <c r="D1826" s="229">
        <v>28.5</v>
      </c>
      <c r="E1826" s="229">
        <v>32.0</v>
      </c>
      <c r="F1826" s="230">
        <v>3.0</v>
      </c>
      <c r="G1826" s="232"/>
    </row>
    <row r="1827">
      <c r="A1827" s="2"/>
      <c r="B1827" s="168" t="s">
        <v>296</v>
      </c>
      <c r="C1827" s="168" t="s">
        <v>2092</v>
      </c>
      <c r="D1827" s="229">
        <v>21.5</v>
      </c>
      <c r="E1827" s="229">
        <v>25.0</v>
      </c>
      <c r="F1827" s="230">
        <v>3.0</v>
      </c>
      <c r="G1827" s="232"/>
    </row>
    <row r="1828">
      <c r="A1828" s="2"/>
      <c r="B1828" s="168" t="s">
        <v>255</v>
      </c>
      <c r="C1828" s="168" t="s">
        <v>2093</v>
      </c>
      <c r="D1828" s="229">
        <v>27.5</v>
      </c>
      <c r="E1828" s="229">
        <v>31.0</v>
      </c>
      <c r="F1828" s="230">
        <v>3.0</v>
      </c>
      <c r="G1828" s="232"/>
    </row>
    <row r="1829">
      <c r="A1829" s="2"/>
      <c r="B1829" s="168" t="s">
        <v>288</v>
      </c>
      <c r="C1829" s="168" t="s">
        <v>2094</v>
      </c>
      <c r="D1829" s="229">
        <v>21.5</v>
      </c>
      <c r="E1829" s="229">
        <v>25.0</v>
      </c>
      <c r="F1829" s="230">
        <v>3.0</v>
      </c>
      <c r="G1829" s="232"/>
    </row>
    <row r="1830">
      <c r="A1830" s="2"/>
      <c r="B1830" s="168" t="s">
        <v>377</v>
      </c>
      <c r="C1830" s="168" t="s">
        <v>2095</v>
      </c>
      <c r="D1830" s="229">
        <v>24.5</v>
      </c>
      <c r="E1830" s="229">
        <v>28.0</v>
      </c>
      <c r="F1830" s="230">
        <v>3.0</v>
      </c>
      <c r="G1830" s="232"/>
    </row>
    <row r="1831">
      <c r="A1831" s="2"/>
      <c r="B1831" s="168" t="s">
        <v>232</v>
      </c>
      <c r="C1831" s="168" t="s">
        <v>2096</v>
      </c>
      <c r="D1831" s="229">
        <v>31.5</v>
      </c>
      <c r="E1831" s="229">
        <v>35.0</v>
      </c>
      <c r="F1831" s="230">
        <v>3.0</v>
      </c>
      <c r="G1831" s="232"/>
    </row>
    <row r="1832">
      <c r="A1832" s="2"/>
      <c r="B1832" s="168" t="s">
        <v>269</v>
      </c>
      <c r="C1832" s="168" t="s">
        <v>2097</v>
      </c>
      <c r="D1832" s="229">
        <v>26.5</v>
      </c>
      <c r="E1832" s="229">
        <v>30.0</v>
      </c>
      <c r="F1832" s="230">
        <v>3.0</v>
      </c>
      <c r="G1832" s="232"/>
    </row>
    <row r="1833">
      <c r="A1833" s="2"/>
      <c r="B1833" s="168" t="s">
        <v>243</v>
      </c>
      <c r="C1833" s="168" t="s">
        <v>2098</v>
      </c>
      <c r="D1833" s="229">
        <v>29.5</v>
      </c>
      <c r="E1833" s="229">
        <v>33.0</v>
      </c>
      <c r="F1833" s="230">
        <v>3.0</v>
      </c>
      <c r="G1833" s="232"/>
    </row>
    <row r="1834">
      <c r="A1834" s="2"/>
      <c r="B1834" s="168" t="s">
        <v>221</v>
      </c>
      <c r="C1834" s="168" t="s">
        <v>2099</v>
      </c>
      <c r="D1834" s="229">
        <v>27.5</v>
      </c>
      <c r="E1834" s="229">
        <v>31.0</v>
      </c>
      <c r="F1834" s="230">
        <v>3.0</v>
      </c>
      <c r="G1834" s="232"/>
    </row>
    <row r="1835">
      <c r="A1835" s="2"/>
      <c r="B1835" s="168" t="s">
        <v>386</v>
      </c>
      <c r="C1835" s="168" t="s">
        <v>2100</v>
      </c>
      <c r="D1835" s="229">
        <v>34.5</v>
      </c>
      <c r="E1835" s="229">
        <v>38.0</v>
      </c>
      <c r="F1835" s="230">
        <v>3.0</v>
      </c>
      <c r="G1835" s="232"/>
    </row>
    <row r="1836">
      <c r="A1836" s="2"/>
      <c r="B1836" s="168" t="s">
        <v>290</v>
      </c>
      <c r="C1836" s="168" t="s">
        <v>2101</v>
      </c>
      <c r="D1836" s="229">
        <v>29.5</v>
      </c>
      <c r="E1836" s="229">
        <v>33.0</v>
      </c>
      <c r="F1836" s="230">
        <v>3.0</v>
      </c>
      <c r="G1836" s="232"/>
    </row>
    <row r="1837">
      <c r="A1837" s="2"/>
      <c r="B1837" s="168" t="s">
        <v>290</v>
      </c>
      <c r="C1837" s="168" t="s">
        <v>2102</v>
      </c>
      <c r="D1837" s="229">
        <v>24.5</v>
      </c>
      <c r="E1837" s="229">
        <v>28.0</v>
      </c>
      <c r="F1837" s="230">
        <v>3.0</v>
      </c>
      <c r="G1837" s="232"/>
    </row>
    <row r="1838">
      <c r="A1838" s="2"/>
      <c r="B1838" s="168" t="s">
        <v>245</v>
      </c>
      <c r="C1838" s="168" t="s">
        <v>2103</v>
      </c>
      <c r="D1838" s="229">
        <v>24.5</v>
      </c>
      <c r="E1838" s="229">
        <v>28.0</v>
      </c>
      <c r="F1838" s="230">
        <v>3.0</v>
      </c>
      <c r="G1838" s="232"/>
    </row>
    <row r="1839">
      <c r="A1839" s="2"/>
      <c r="B1839" s="168" t="s">
        <v>217</v>
      </c>
      <c r="C1839" s="168" t="s">
        <v>2104</v>
      </c>
      <c r="D1839" s="229">
        <v>27.5</v>
      </c>
      <c r="E1839" s="229">
        <v>31.0</v>
      </c>
      <c r="F1839" s="230">
        <v>3.0</v>
      </c>
      <c r="G1839" s="232"/>
    </row>
    <row r="1840">
      <c r="A1840" s="2"/>
      <c r="B1840" s="168" t="s">
        <v>221</v>
      </c>
      <c r="C1840" s="168" t="s">
        <v>2105</v>
      </c>
      <c r="D1840" s="229">
        <v>27.5</v>
      </c>
      <c r="E1840" s="229">
        <v>31.0</v>
      </c>
      <c r="F1840" s="230">
        <v>3.0</v>
      </c>
      <c r="G1840" s="232"/>
    </row>
    <row r="1841">
      <c r="A1841" s="2"/>
      <c r="B1841" s="168" t="s">
        <v>413</v>
      </c>
      <c r="C1841" s="168" t="s">
        <v>2106</v>
      </c>
      <c r="D1841" s="229">
        <v>29.5</v>
      </c>
      <c r="E1841" s="229">
        <v>33.0</v>
      </c>
      <c r="F1841" s="230">
        <v>3.0</v>
      </c>
      <c r="G1841" s="232"/>
    </row>
    <row r="1842">
      <c r="A1842" s="2"/>
      <c r="B1842" s="168" t="s">
        <v>341</v>
      </c>
      <c r="C1842" s="168" t="s">
        <v>2107</v>
      </c>
      <c r="D1842" s="229">
        <v>29.5</v>
      </c>
      <c r="E1842" s="229">
        <v>29.5</v>
      </c>
      <c r="F1842" s="230">
        <v>3.0</v>
      </c>
      <c r="G1842" s="232"/>
    </row>
    <row r="1843">
      <c r="A1843" s="2"/>
      <c r="B1843" s="168" t="s">
        <v>217</v>
      </c>
      <c r="C1843" s="168" t="s">
        <v>2108</v>
      </c>
      <c r="D1843" s="229">
        <v>27.5</v>
      </c>
      <c r="E1843" s="229">
        <v>31.0</v>
      </c>
      <c r="F1843" s="230">
        <v>3.0</v>
      </c>
      <c r="G1843" s="232"/>
    </row>
    <row r="1844">
      <c r="A1844" s="2"/>
      <c r="B1844" s="168" t="s">
        <v>269</v>
      </c>
      <c r="C1844" s="168" t="s">
        <v>2109</v>
      </c>
      <c r="D1844" s="229">
        <v>26.5</v>
      </c>
      <c r="E1844" s="229">
        <v>30.0</v>
      </c>
      <c r="F1844" s="230">
        <v>3.0</v>
      </c>
      <c r="G1844" s="232"/>
    </row>
    <row r="1845">
      <c r="A1845" s="2"/>
      <c r="B1845" s="168" t="s">
        <v>234</v>
      </c>
      <c r="C1845" s="168" t="s">
        <v>2110</v>
      </c>
      <c r="D1845" s="229">
        <v>29.5</v>
      </c>
      <c r="E1845" s="229">
        <v>33.0</v>
      </c>
      <c r="F1845" s="230">
        <v>3.0</v>
      </c>
      <c r="G1845" s="232"/>
    </row>
    <row r="1846">
      <c r="A1846" s="2"/>
      <c r="B1846" s="168" t="s">
        <v>375</v>
      </c>
      <c r="C1846" s="168" t="s">
        <v>2111</v>
      </c>
      <c r="D1846" s="229">
        <v>26.5</v>
      </c>
      <c r="E1846" s="229">
        <v>30.0</v>
      </c>
      <c r="F1846" s="230">
        <v>3.0</v>
      </c>
      <c r="G1846" s="232"/>
    </row>
    <row r="1847">
      <c r="A1847" s="2"/>
      <c r="B1847" s="168" t="s">
        <v>241</v>
      </c>
      <c r="C1847" s="168" t="s">
        <v>2112</v>
      </c>
      <c r="D1847" s="229">
        <v>32.5</v>
      </c>
      <c r="E1847" s="229">
        <v>36.0</v>
      </c>
      <c r="F1847" s="230">
        <v>3.0</v>
      </c>
      <c r="G1847" s="232"/>
    </row>
    <row r="1848">
      <c r="A1848" s="2"/>
      <c r="B1848" s="168" t="s">
        <v>269</v>
      </c>
      <c r="C1848" s="168" t="s">
        <v>2113</v>
      </c>
      <c r="D1848" s="229">
        <v>26.5</v>
      </c>
      <c r="E1848" s="229">
        <v>30.0</v>
      </c>
      <c r="F1848" s="230">
        <v>3.0</v>
      </c>
      <c r="G1848" s="232"/>
    </row>
    <row r="1849">
      <c r="A1849" s="2"/>
      <c r="B1849" s="168" t="s">
        <v>275</v>
      </c>
      <c r="C1849" s="168" t="s">
        <v>2114</v>
      </c>
      <c r="D1849" s="229">
        <v>26.5</v>
      </c>
      <c r="E1849" s="229">
        <v>30.0</v>
      </c>
      <c r="F1849" s="230">
        <v>3.0</v>
      </c>
      <c r="G1849" s="232"/>
    </row>
    <row r="1850">
      <c r="A1850" s="2"/>
      <c r="B1850" s="168" t="s">
        <v>328</v>
      </c>
      <c r="C1850" s="168" t="s">
        <v>2115</v>
      </c>
      <c r="D1850" s="229">
        <v>34.5</v>
      </c>
      <c r="E1850" s="229">
        <v>38.0</v>
      </c>
      <c r="F1850" s="230">
        <v>3.0</v>
      </c>
      <c r="G1850" s="232"/>
    </row>
    <row r="1851">
      <c r="A1851" s="2"/>
      <c r="B1851" s="168" t="s">
        <v>230</v>
      </c>
      <c r="C1851" s="168" t="s">
        <v>2116</v>
      </c>
      <c r="D1851" s="229">
        <v>16.5</v>
      </c>
      <c r="E1851" s="229">
        <v>20.0</v>
      </c>
      <c r="F1851" s="230">
        <v>3.0</v>
      </c>
      <c r="G1851" s="232"/>
    </row>
    <row r="1852">
      <c r="A1852" s="2"/>
      <c r="B1852" s="168" t="s">
        <v>241</v>
      </c>
      <c r="C1852" s="168" t="s">
        <v>2117</v>
      </c>
      <c r="D1852" s="229">
        <v>32.5</v>
      </c>
      <c r="E1852" s="229">
        <v>36.0</v>
      </c>
      <c r="F1852" s="230">
        <v>3.0</v>
      </c>
      <c r="G1852" s="232"/>
    </row>
    <row r="1853">
      <c r="A1853" s="2"/>
      <c r="B1853" s="168" t="s">
        <v>337</v>
      </c>
      <c r="C1853" s="168" t="s">
        <v>2118</v>
      </c>
      <c r="D1853" s="229">
        <v>28.5</v>
      </c>
      <c r="E1853" s="229">
        <v>32.0</v>
      </c>
      <c r="F1853" s="230">
        <v>3.0</v>
      </c>
      <c r="G1853" s="232"/>
    </row>
    <row r="1854">
      <c r="A1854" s="2"/>
      <c r="B1854" s="168" t="s">
        <v>269</v>
      </c>
      <c r="C1854" s="168" t="s">
        <v>2119</v>
      </c>
      <c r="D1854" s="229">
        <v>26.5</v>
      </c>
      <c r="E1854" s="229">
        <v>30.0</v>
      </c>
      <c r="F1854" s="230">
        <v>3.0</v>
      </c>
      <c r="G1854" s="232"/>
    </row>
    <row r="1855">
      <c r="A1855" s="2"/>
      <c r="B1855" s="168" t="s">
        <v>337</v>
      </c>
      <c r="C1855" s="168" t="s">
        <v>2120</v>
      </c>
      <c r="D1855" s="229">
        <v>28.5</v>
      </c>
      <c r="E1855" s="229">
        <v>32.0</v>
      </c>
      <c r="F1855" s="230">
        <v>3.0</v>
      </c>
      <c r="G1855" s="232"/>
    </row>
    <row r="1856">
      <c r="A1856" s="2"/>
      <c r="B1856" s="168" t="s">
        <v>217</v>
      </c>
      <c r="C1856" s="168" t="s">
        <v>2121</v>
      </c>
      <c r="D1856" s="229">
        <v>27.5</v>
      </c>
      <c r="E1856" s="229">
        <v>31.0</v>
      </c>
      <c r="F1856" s="230">
        <v>3.0</v>
      </c>
      <c r="G1856" s="232"/>
    </row>
    <row r="1857">
      <c r="A1857" s="2"/>
      <c r="B1857" s="168" t="s">
        <v>449</v>
      </c>
      <c r="C1857" s="168" t="s">
        <v>2122</v>
      </c>
      <c r="D1857" s="229">
        <v>23.5</v>
      </c>
      <c r="E1857" s="229">
        <v>27.0</v>
      </c>
      <c r="F1857" s="230">
        <v>3.0</v>
      </c>
      <c r="G1857" s="232"/>
    </row>
    <row r="1858">
      <c r="A1858" s="2"/>
      <c r="B1858" s="168" t="s">
        <v>257</v>
      </c>
      <c r="C1858" s="168" t="s">
        <v>2123</v>
      </c>
      <c r="D1858" s="229">
        <v>28.5</v>
      </c>
      <c r="E1858" s="229">
        <v>32.0</v>
      </c>
      <c r="F1858" s="230">
        <v>3.0</v>
      </c>
      <c r="G1858" s="232"/>
    </row>
    <row r="1859">
      <c r="A1859" s="2"/>
      <c r="B1859" s="168" t="s">
        <v>288</v>
      </c>
      <c r="C1859" s="168" t="s">
        <v>2124</v>
      </c>
      <c r="D1859" s="229">
        <v>21.5</v>
      </c>
      <c r="E1859" s="229">
        <v>25.0</v>
      </c>
      <c r="F1859" s="230">
        <v>3.0</v>
      </c>
      <c r="G1859" s="232"/>
    </row>
    <row r="1860">
      <c r="A1860" s="2"/>
      <c r="B1860" s="168" t="s">
        <v>217</v>
      </c>
      <c r="C1860" s="168" t="s">
        <v>2125</v>
      </c>
      <c r="D1860" s="229">
        <v>27.5</v>
      </c>
      <c r="E1860" s="229">
        <v>31.0</v>
      </c>
      <c r="F1860" s="230">
        <v>3.0</v>
      </c>
      <c r="G1860" s="232"/>
    </row>
    <row r="1861">
      <c r="A1861" s="2"/>
      <c r="B1861" s="168" t="s">
        <v>232</v>
      </c>
      <c r="C1861" s="168" t="s">
        <v>2126</v>
      </c>
      <c r="D1861" s="229">
        <v>31.5</v>
      </c>
      <c r="E1861" s="229">
        <v>35.0</v>
      </c>
      <c r="F1861" s="230">
        <v>3.0</v>
      </c>
      <c r="G1861" s="232"/>
    </row>
    <row r="1862">
      <c r="A1862" s="2"/>
      <c r="B1862" s="168" t="s">
        <v>296</v>
      </c>
      <c r="C1862" s="168" t="s">
        <v>2127</v>
      </c>
      <c r="D1862" s="229">
        <v>26.5</v>
      </c>
      <c r="E1862" s="229">
        <v>30.0</v>
      </c>
      <c r="F1862" s="230">
        <v>3.0</v>
      </c>
      <c r="G1862" s="232"/>
    </row>
    <row r="1863">
      <c r="A1863" s="2"/>
      <c r="B1863" s="168" t="s">
        <v>345</v>
      </c>
      <c r="C1863" s="168" t="s">
        <v>2128</v>
      </c>
      <c r="D1863" s="229">
        <v>26.5</v>
      </c>
      <c r="E1863" s="229">
        <v>30.0</v>
      </c>
      <c r="F1863" s="230">
        <v>3.0</v>
      </c>
      <c r="G1863" s="232"/>
    </row>
    <row r="1864">
      <c r="A1864" s="2"/>
      <c r="B1864" s="168" t="s">
        <v>223</v>
      </c>
      <c r="C1864" s="168" t="s">
        <v>2129</v>
      </c>
      <c r="D1864" s="229">
        <v>26.5</v>
      </c>
      <c r="E1864" s="229">
        <v>30.0</v>
      </c>
      <c r="F1864" s="230">
        <v>3.0</v>
      </c>
      <c r="G1864" s="232"/>
    </row>
    <row r="1865">
      <c r="A1865" s="2"/>
      <c r="B1865" s="168" t="s">
        <v>288</v>
      </c>
      <c r="C1865" s="168" t="s">
        <v>2130</v>
      </c>
      <c r="D1865" s="229">
        <v>21.5</v>
      </c>
      <c r="E1865" s="229">
        <v>25.0</v>
      </c>
      <c r="F1865" s="230">
        <v>3.0</v>
      </c>
      <c r="G1865" s="232"/>
    </row>
    <row r="1866">
      <c r="A1866" s="2"/>
      <c r="B1866" s="168" t="s">
        <v>215</v>
      </c>
      <c r="C1866" s="168" t="s">
        <v>2131</v>
      </c>
      <c r="D1866" s="229">
        <v>19.5</v>
      </c>
      <c r="E1866" s="229">
        <v>23.0</v>
      </c>
      <c r="F1866" s="230">
        <v>3.0</v>
      </c>
      <c r="G1866" s="232"/>
    </row>
    <row r="1867">
      <c r="A1867" s="2"/>
      <c r="B1867" s="168" t="s">
        <v>215</v>
      </c>
      <c r="C1867" s="168" t="s">
        <v>2132</v>
      </c>
      <c r="D1867" s="229">
        <v>27.5</v>
      </c>
      <c r="E1867" s="229">
        <v>31.0</v>
      </c>
      <c r="F1867" s="230">
        <v>3.0</v>
      </c>
      <c r="G1867" s="232"/>
    </row>
    <row r="1868">
      <c r="A1868" s="2"/>
      <c r="B1868" s="168" t="s">
        <v>232</v>
      </c>
      <c r="C1868" s="168" t="s">
        <v>2133</v>
      </c>
      <c r="D1868" s="229">
        <v>25.5</v>
      </c>
      <c r="E1868" s="229">
        <v>29.0</v>
      </c>
      <c r="F1868" s="230">
        <v>3.0</v>
      </c>
      <c r="G1868" s="232"/>
    </row>
    <row r="1869">
      <c r="A1869" s="2"/>
      <c r="B1869" s="168" t="s">
        <v>335</v>
      </c>
      <c r="C1869" s="168" t="s">
        <v>2134</v>
      </c>
      <c r="D1869" s="229">
        <v>34.5</v>
      </c>
      <c r="E1869" s="229">
        <v>38.0</v>
      </c>
      <c r="F1869" s="230">
        <v>3.0</v>
      </c>
      <c r="G1869" s="232"/>
    </row>
    <row r="1870">
      <c r="A1870" s="2"/>
      <c r="B1870" s="168" t="s">
        <v>217</v>
      </c>
      <c r="C1870" s="168" t="s">
        <v>2135</v>
      </c>
      <c r="D1870" s="229">
        <v>27.5</v>
      </c>
      <c r="E1870" s="229">
        <v>31.0</v>
      </c>
      <c r="F1870" s="230">
        <v>3.0</v>
      </c>
      <c r="G1870" s="232"/>
    </row>
    <row r="1871">
      <c r="A1871" s="2"/>
      <c r="B1871" s="168" t="s">
        <v>271</v>
      </c>
      <c r="C1871" s="168" t="s">
        <v>2136</v>
      </c>
      <c r="D1871" s="229">
        <v>30.5</v>
      </c>
      <c r="E1871" s="229">
        <v>34.0</v>
      </c>
      <c r="F1871" s="230">
        <v>3.0</v>
      </c>
      <c r="G1871" s="232"/>
    </row>
    <row r="1872">
      <c r="A1872" s="2"/>
      <c r="B1872" s="168" t="s">
        <v>296</v>
      </c>
      <c r="C1872" s="168" t="s">
        <v>2137</v>
      </c>
      <c r="D1872" s="229">
        <v>26.5</v>
      </c>
      <c r="E1872" s="229">
        <v>30.0</v>
      </c>
      <c r="F1872" s="230">
        <v>3.0</v>
      </c>
      <c r="G1872" s="232"/>
    </row>
    <row r="1873">
      <c r="A1873" s="2"/>
      <c r="B1873" s="168" t="s">
        <v>430</v>
      </c>
      <c r="C1873" s="168" t="s">
        <v>2138</v>
      </c>
      <c r="D1873" s="229">
        <v>34.5</v>
      </c>
      <c r="E1873" s="229">
        <v>38.0</v>
      </c>
      <c r="F1873" s="230">
        <v>3.0</v>
      </c>
      <c r="G1873" s="232"/>
    </row>
    <row r="1874">
      <c r="A1874" s="2"/>
      <c r="B1874" s="168" t="s">
        <v>337</v>
      </c>
      <c r="C1874" s="168" t="s">
        <v>2139</v>
      </c>
      <c r="D1874" s="229">
        <v>28.5</v>
      </c>
      <c r="E1874" s="229">
        <v>32.0</v>
      </c>
      <c r="F1874" s="230">
        <v>3.0</v>
      </c>
      <c r="G1874" s="232"/>
    </row>
    <row r="1875">
      <c r="A1875" s="2"/>
      <c r="B1875" s="168" t="s">
        <v>296</v>
      </c>
      <c r="C1875" s="168" t="s">
        <v>2140</v>
      </c>
      <c r="D1875" s="229">
        <v>26.5</v>
      </c>
      <c r="E1875" s="229">
        <v>30.0</v>
      </c>
      <c r="F1875" s="230">
        <v>3.0</v>
      </c>
      <c r="G1875" s="232"/>
    </row>
    <row r="1876">
      <c r="A1876" s="2"/>
      <c r="B1876" s="168" t="s">
        <v>368</v>
      </c>
      <c r="C1876" s="168" t="s">
        <v>2141</v>
      </c>
      <c r="D1876" s="229">
        <v>32.5</v>
      </c>
      <c r="E1876" s="229">
        <v>36.0</v>
      </c>
      <c r="F1876" s="230">
        <v>3.0</v>
      </c>
      <c r="G1876" s="232"/>
    </row>
    <row r="1877">
      <c r="A1877" s="2"/>
      <c r="B1877" s="168" t="s">
        <v>269</v>
      </c>
      <c r="C1877" s="168" t="s">
        <v>2142</v>
      </c>
      <c r="D1877" s="229">
        <v>26.5</v>
      </c>
      <c r="E1877" s="229">
        <v>30.0</v>
      </c>
      <c r="F1877" s="230">
        <v>3.0</v>
      </c>
      <c r="G1877" s="232"/>
    </row>
    <row r="1878">
      <c r="A1878" s="2"/>
      <c r="B1878" s="168" t="s">
        <v>255</v>
      </c>
      <c r="C1878" s="168" t="s">
        <v>2143</v>
      </c>
      <c r="D1878" s="229">
        <v>30.5</v>
      </c>
      <c r="E1878" s="229">
        <v>34.0</v>
      </c>
      <c r="F1878" s="230">
        <v>3.0</v>
      </c>
      <c r="G1878" s="232"/>
    </row>
    <row r="1879">
      <c r="A1879" s="2"/>
      <c r="B1879" s="168" t="s">
        <v>230</v>
      </c>
      <c r="C1879" s="168" t="s">
        <v>2144</v>
      </c>
      <c r="D1879" s="229">
        <v>16.5</v>
      </c>
      <c r="E1879" s="229">
        <v>20.0</v>
      </c>
      <c r="F1879" s="230">
        <v>3.0</v>
      </c>
      <c r="G1879" s="232"/>
    </row>
    <row r="1880">
      <c r="A1880" s="2"/>
      <c r="B1880" s="168" t="s">
        <v>241</v>
      </c>
      <c r="C1880" s="168" t="s">
        <v>2145</v>
      </c>
      <c r="D1880" s="229">
        <v>32.5</v>
      </c>
      <c r="E1880" s="229">
        <v>36.0</v>
      </c>
      <c r="F1880" s="230">
        <v>3.0</v>
      </c>
      <c r="G1880" s="232"/>
    </row>
    <row r="1881">
      <c r="A1881" s="2"/>
      <c r="B1881" s="168" t="s">
        <v>285</v>
      </c>
      <c r="C1881" s="168" t="s">
        <v>2146</v>
      </c>
      <c r="D1881" s="229">
        <v>24.5</v>
      </c>
      <c r="E1881" s="229">
        <v>28.0</v>
      </c>
      <c r="F1881" s="230">
        <v>3.0</v>
      </c>
      <c r="G1881" s="232"/>
    </row>
    <row r="1882">
      <c r="A1882" s="2"/>
      <c r="B1882" s="168" t="s">
        <v>236</v>
      </c>
      <c r="C1882" s="168" t="s">
        <v>2147</v>
      </c>
      <c r="D1882" s="229">
        <v>34.5</v>
      </c>
      <c r="E1882" s="229">
        <v>38.0</v>
      </c>
      <c r="F1882" s="230">
        <v>3.0</v>
      </c>
      <c r="G1882" s="232"/>
    </row>
    <row r="1883">
      <c r="A1883" s="2"/>
      <c r="B1883" s="168" t="s">
        <v>257</v>
      </c>
      <c r="C1883" s="168" t="s">
        <v>2148</v>
      </c>
      <c r="D1883" s="229">
        <v>28.5</v>
      </c>
      <c r="E1883" s="229">
        <v>32.0</v>
      </c>
      <c r="F1883" s="230">
        <v>3.0</v>
      </c>
      <c r="G1883" s="232"/>
    </row>
    <row r="1884">
      <c r="A1884" s="2"/>
      <c r="B1884" s="168" t="s">
        <v>255</v>
      </c>
      <c r="C1884" s="168" t="s">
        <v>2149</v>
      </c>
      <c r="D1884" s="229">
        <v>26.5</v>
      </c>
      <c r="E1884" s="229">
        <v>30.0</v>
      </c>
      <c r="F1884" s="230">
        <v>3.0</v>
      </c>
      <c r="G1884" s="232"/>
    </row>
    <row r="1885">
      <c r="A1885" s="2"/>
      <c r="B1885" s="168" t="s">
        <v>288</v>
      </c>
      <c r="C1885" s="168" t="s">
        <v>2150</v>
      </c>
      <c r="D1885" s="229">
        <v>16.5</v>
      </c>
      <c r="E1885" s="229">
        <v>20.0</v>
      </c>
      <c r="F1885" s="230">
        <v>3.0</v>
      </c>
      <c r="G1885" s="232"/>
    </row>
    <row r="1886">
      <c r="A1886" s="2"/>
      <c r="B1886" s="168" t="s">
        <v>330</v>
      </c>
      <c r="C1886" s="168" t="s">
        <v>2151</v>
      </c>
      <c r="D1886" s="229">
        <v>24.5</v>
      </c>
      <c r="E1886" s="229">
        <v>28.0</v>
      </c>
      <c r="F1886" s="230">
        <v>3.0</v>
      </c>
      <c r="G1886" s="232"/>
    </row>
    <row r="1887">
      <c r="A1887" s="2"/>
      <c r="B1887" s="168" t="s">
        <v>269</v>
      </c>
      <c r="C1887" s="168" t="s">
        <v>2152</v>
      </c>
      <c r="D1887" s="229">
        <v>26.5</v>
      </c>
      <c r="E1887" s="229">
        <v>30.0</v>
      </c>
      <c r="F1887" s="230">
        <v>3.0</v>
      </c>
      <c r="G1887" s="232"/>
    </row>
    <row r="1888">
      <c r="A1888" s="2"/>
      <c r="B1888" s="168" t="s">
        <v>290</v>
      </c>
      <c r="C1888" s="168" t="s">
        <v>2153</v>
      </c>
      <c r="D1888" s="229">
        <v>29.5</v>
      </c>
      <c r="E1888" s="229">
        <v>33.0</v>
      </c>
      <c r="F1888" s="230">
        <v>3.0</v>
      </c>
      <c r="G1888" s="232"/>
    </row>
    <row r="1889">
      <c r="A1889" s="2"/>
      <c r="B1889" s="168" t="s">
        <v>296</v>
      </c>
      <c r="C1889" s="168" t="s">
        <v>2154</v>
      </c>
      <c r="D1889" s="229">
        <v>26.5</v>
      </c>
      <c r="E1889" s="229">
        <v>30.0</v>
      </c>
      <c r="F1889" s="230">
        <v>3.0</v>
      </c>
      <c r="G1889" s="232"/>
    </row>
    <row r="1890">
      <c r="A1890" s="2"/>
      <c r="B1890" s="168" t="s">
        <v>215</v>
      </c>
      <c r="C1890" s="168" t="s">
        <v>2155</v>
      </c>
      <c r="D1890" s="229">
        <v>27.5</v>
      </c>
      <c r="E1890" s="229">
        <v>31.0</v>
      </c>
      <c r="F1890" s="230">
        <v>3.0</v>
      </c>
      <c r="G1890" s="232"/>
    </row>
    <row r="1891">
      <c r="A1891" s="2"/>
      <c r="B1891" s="168" t="s">
        <v>290</v>
      </c>
      <c r="C1891" s="168" t="s">
        <v>2156</v>
      </c>
      <c r="D1891" s="229">
        <v>29.5</v>
      </c>
      <c r="E1891" s="229">
        <v>33.0</v>
      </c>
      <c r="F1891" s="230">
        <v>3.0</v>
      </c>
      <c r="G1891" s="232"/>
    </row>
    <row r="1892">
      <c r="A1892" s="2"/>
      <c r="B1892" s="168" t="s">
        <v>1311</v>
      </c>
      <c r="C1892" s="168" t="s">
        <v>2157</v>
      </c>
      <c r="D1892" s="229">
        <v>28.5</v>
      </c>
      <c r="E1892" s="229">
        <v>32.0</v>
      </c>
      <c r="F1892" s="230">
        <v>3.0</v>
      </c>
      <c r="G1892" s="232"/>
    </row>
    <row r="1893">
      <c r="A1893" s="2"/>
      <c r="B1893" s="168" t="s">
        <v>368</v>
      </c>
      <c r="C1893" s="168" t="s">
        <v>2158</v>
      </c>
      <c r="D1893" s="229">
        <v>32.5</v>
      </c>
      <c r="E1893" s="229">
        <v>36.0</v>
      </c>
      <c r="F1893" s="230">
        <v>3.0</v>
      </c>
      <c r="G1893" s="232"/>
    </row>
    <row r="1894">
      <c r="A1894" s="2"/>
      <c r="B1894" s="168" t="s">
        <v>337</v>
      </c>
      <c r="C1894" s="168" t="s">
        <v>2159</v>
      </c>
      <c r="D1894" s="229">
        <v>28.5</v>
      </c>
      <c r="E1894" s="229">
        <v>32.0</v>
      </c>
      <c r="F1894" s="230">
        <v>3.0</v>
      </c>
      <c r="G1894" s="232"/>
    </row>
    <row r="1895">
      <c r="A1895" s="2"/>
      <c r="B1895" s="168" t="s">
        <v>217</v>
      </c>
      <c r="C1895" s="168" t="s">
        <v>2160</v>
      </c>
      <c r="D1895" s="229">
        <v>27.5</v>
      </c>
      <c r="E1895" s="229">
        <v>31.0</v>
      </c>
      <c r="F1895" s="230">
        <v>3.0</v>
      </c>
      <c r="G1895" s="232"/>
    </row>
    <row r="1896">
      <c r="A1896" s="2"/>
      <c r="B1896" s="168" t="s">
        <v>230</v>
      </c>
      <c r="C1896" s="168" t="s">
        <v>2161</v>
      </c>
      <c r="D1896" s="229">
        <v>21.5</v>
      </c>
      <c r="E1896" s="229">
        <v>25.0</v>
      </c>
      <c r="F1896" s="230">
        <v>3.0</v>
      </c>
      <c r="G1896" s="232"/>
    </row>
    <row r="1897">
      <c r="A1897" s="2"/>
      <c r="B1897" s="168" t="s">
        <v>449</v>
      </c>
      <c r="C1897" s="168" t="s">
        <v>2162</v>
      </c>
      <c r="D1897" s="229">
        <v>23.5</v>
      </c>
      <c r="E1897" s="229">
        <v>27.0</v>
      </c>
      <c r="F1897" s="230">
        <v>3.0</v>
      </c>
      <c r="G1897" s="232"/>
    </row>
    <row r="1898">
      <c r="A1898" s="2"/>
      <c r="B1898" s="168" t="s">
        <v>255</v>
      </c>
      <c r="C1898" s="168" t="s">
        <v>2163</v>
      </c>
      <c r="D1898" s="229">
        <v>31.5</v>
      </c>
      <c r="E1898" s="229">
        <v>35.0</v>
      </c>
      <c r="F1898" s="230">
        <v>3.0</v>
      </c>
      <c r="G1898" s="232"/>
    </row>
    <row r="1899">
      <c r="A1899" s="2"/>
      <c r="B1899" s="168" t="s">
        <v>288</v>
      </c>
      <c r="C1899" s="168" t="s">
        <v>2164</v>
      </c>
      <c r="D1899" s="229">
        <v>21.5</v>
      </c>
      <c r="E1899" s="229">
        <v>25.0</v>
      </c>
      <c r="F1899" s="230">
        <v>3.0</v>
      </c>
      <c r="G1899" s="232"/>
    </row>
    <row r="1900">
      <c r="A1900" s="2"/>
      <c r="B1900" s="168" t="s">
        <v>239</v>
      </c>
      <c r="C1900" s="168" t="s">
        <v>2165</v>
      </c>
      <c r="D1900" s="229">
        <v>29.5</v>
      </c>
      <c r="E1900" s="229">
        <v>33.0</v>
      </c>
      <c r="F1900" s="230">
        <v>3.0</v>
      </c>
      <c r="G1900" s="232"/>
    </row>
    <row r="1901">
      <c r="A1901" s="2"/>
      <c r="B1901" s="168" t="s">
        <v>285</v>
      </c>
      <c r="C1901" s="168" t="s">
        <v>2166</v>
      </c>
      <c r="D1901" s="229">
        <v>24.5</v>
      </c>
      <c r="E1901" s="229">
        <v>28.0</v>
      </c>
      <c r="F1901" s="230">
        <v>3.0</v>
      </c>
      <c r="G1901" s="232"/>
    </row>
    <row r="1902">
      <c r="A1902" s="2"/>
      <c r="B1902" s="168" t="s">
        <v>217</v>
      </c>
      <c r="C1902" s="168" t="s">
        <v>2167</v>
      </c>
      <c r="D1902" s="229">
        <v>27.5</v>
      </c>
      <c r="E1902" s="229">
        <v>31.0</v>
      </c>
      <c r="F1902" s="230">
        <v>3.0</v>
      </c>
      <c r="G1902" s="232"/>
    </row>
    <row r="1903">
      <c r="A1903" s="2"/>
      <c r="B1903" s="168" t="s">
        <v>232</v>
      </c>
      <c r="C1903" s="168" t="s">
        <v>2168</v>
      </c>
      <c r="D1903" s="229">
        <v>27.5</v>
      </c>
      <c r="E1903" s="229">
        <v>31.0</v>
      </c>
      <c r="F1903" s="230">
        <v>3.0</v>
      </c>
      <c r="G1903" s="232"/>
    </row>
    <row r="1904">
      <c r="A1904" s="2"/>
      <c r="B1904" s="168" t="s">
        <v>255</v>
      </c>
      <c r="C1904" s="168" t="s">
        <v>2169</v>
      </c>
      <c r="D1904" s="229">
        <v>31.5</v>
      </c>
      <c r="E1904" s="229">
        <v>35.0</v>
      </c>
      <c r="F1904" s="230">
        <v>3.0</v>
      </c>
      <c r="G1904" s="232"/>
    </row>
    <row r="1905">
      <c r="A1905" s="2"/>
      <c r="B1905" s="168" t="s">
        <v>273</v>
      </c>
      <c r="C1905" s="168" t="s">
        <v>2170</v>
      </c>
      <c r="D1905" s="229">
        <v>29.5</v>
      </c>
      <c r="E1905" s="229">
        <v>33.0</v>
      </c>
      <c r="F1905" s="230">
        <v>3.0</v>
      </c>
      <c r="G1905" s="232"/>
    </row>
    <row r="1906">
      <c r="A1906" s="2"/>
      <c r="B1906" s="168" t="s">
        <v>332</v>
      </c>
      <c r="C1906" s="168" t="s">
        <v>2171</v>
      </c>
      <c r="D1906" s="229">
        <v>28.5</v>
      </c>
      <c r="E1906" s="229">
        <v>32.0</v>
      </c>
      <c r="F1906" s="230">
        <v>3.0</v>
      </c>
      <c r="G1906" s="232"/>
    </row>
    <row r="1907">
      <c r="A1907" s="2"/>
      <c r="B1907" s="168" t="s">
        <v>285</v>
      </c>
      <c r="C1907" s="168" t="s">
        <v>2172</v>
      </c>
      <c r="D1907" s="229">
        <v>24.5</v>
      </c>
      <c r="E1907" s="229">
        <v>28.0</v>
      </c>
      <c r="F1907" s="230">
        <v>3.0</v>
      </c>
      <c r="G1907" s="232"/>
    </row>
    <row r="1908">
      <c r="A1908" s="2"/>
      <c r="B1908" s="168" t="s">
        <v>328</v>
      </c>
      <c r="C1908" s="168" t="s">
        <v>2173</v>
      </c>
      <c r="D1908" s="229">
        <v>34.5</v>
      </c>
      <c r="E1908" s="229">
        <v>38.0</v>
      </c>
      <c r="F1908" s="230">
        <v>3.0</v>
      </c>
      <c r="G1908" s="232"/>
    </row>
    <row r="1909">
      <c r="A1909" s="2"/>
      <c r="B1909" s="168" t="s">
        <v>288</v>
      </c>
      <c r="C1909" s="168" t="s">
        <v>2174</v>
      </c>
      <c r="D1909" s="229">
        <v>21.5</v>
      </c>
      <c r="E1909" s="229">
        <v>25.0</v>
      </c>
      <c r="F1909" s="230">
        <v>3.0</v>
      </c>
      <c r="G1909" s="232"/>
    </row>
    <row r="1910">
      <c r="A1910" s="2"/>
      <c r="B1910" s="168" t="s">
        <v>430</v>
      </c>
      <c r="C1910" s="168" t="s">
        <v>2175</v>
      </c>
      <c r="D1910" s="229">
        <v>34.5</v>
      </c>
      <c r="E1910" s="229">
        <v>38.0</v>
      </c>
      <c r="F1910" s="230">
        <v>3.0</v>
      </c>
      <c r="G1910" s="232"/>
    </row>
    <row r="1911">
      <c r="A1911" s="2"/>
      <c r="B1911" s="168" t="s">
        <v>241</v>
      </c>
      <c r="C1911" s="168" t="s">
        <v>2176</v>
      </c>
      <c r="D1911" s="229">
        <v>27.5</v>
      </c>
      <c r="E1911" s="229">
        <v>31.0</v>
      </c>
      <c r="F1911" s="230">
        <v>3.0</v>
      </c>
      <c r="G1911" s="232"/>
    </row>
    <row r="1912">
      <c r="A1912" s="2"/>
      <c r="B1912" s="168" t="s">
        <v>302</v>
      </c>
      <c r="C1912" s="168" t="s">
        <v>2177</v>
      </c>
      <c r="D1912" s="229">
        <v>34.5</v>
      </c>
      <c r="E1912" s="229">
        <v>38.0</v>
      </c>
      <c r="F1912" s="230">
        <v>3.0</v>
      </c>
      <c r="G1912" s="232"/>
    </row>
    <row r="1913">
      <c r="A1913" s="2"/>
      <c r="B1913" s="168" t="s">
        <v>275</v>
      </c>
      <c r="C1913" s="168" t="s">
        <v>2178</v>
      </c>
      <c r="D1913" s="229">
        <v>26.5</v>
      </c>
      <c r="E1913" s="229">
        <v>30.0</v>
      </c>
      <c r="F1913" s="230">
        <v>3.0</v>
      </c>
      <c r="G1913" s="232"/>
    </row>
    <row r="1914">
      <c r="A1914" s="2"/>
      <c r="B1914" s="168" t="s">
        <v>260</v>
      </c>
      <c r="C1914" s="168" t="s">
        <v>2179</v>
      </c>
      <c r="D1914" s="229">
        <v>28.5</v>
      </c>
      <c r="E1914" s="229">
        <v>32.0</v>
      </c>
      <c r="F1914" s="230">
        <v>3.0</v>
      </c>
      <c r="G1914" s="232"/>
    </row>
    <row r="1915">
      <c r="A1915" s="2"/>
      <c r="B1915" s="168" t="s">
        <v>230</v>
      </c>
      <c r="C1915" s="168" t="s">
        <v>2180</v>
      </c>
      <c r="D1915" s="229">
        <v>21.5</v>
      </c>
      <c r="E1915" s="229">
        <v>25.0</v>
      </c>
      <c r="F1915" s="230">
        <v>3.0</v>
      </c>
      <c r="G1915" s="232"/>
    </row>
    <row r="1916">
      <c r="A1916" s="2"/>
      <c r="B1916" s="168" t="s">
        <v>217</v>
      </c>
      <c r="C1916" s="168" t="s">
        <v>2181</v>
      </c>
      <c r="D1916" s="229">
        <v>27.0</v>
      </c>
      <c r="E1916" s="229">
        <v>30.5</v>
      </c>
      <c r="F1916" s="230">
        <v>3.0</v>
      </c>
      <c r="G1916" s="232"/>
    </row>
    <row r="1917">
      <c r="A1917" s="2"/>
      <c r="B1917" s="168" t="s">
        <v>288</v>
      </c>
      <c r="C1917" s="168" t="s">
        <v>2182</v>
      </c>
      <c r="D1917" s="229">
        <v>21.5</v>
      </c>
      <c r="E1917" s="229">
        <v>25.0</v>
      </c>
      <c r="F1917" s="230">
        <v>3.0</v>
      </c>
      <c r="G1917" s="232"/>
    </row>
    <row r="1918">
      <c r="A1918" s="2"/>
      <c r="B1918" s="168" t="s">
        <v>217</v>
      </c>
      <c r="C1918" s="168" t="s">
        <v>2183</v>
      </c>
      <c r="D1918" s="229">
        <v>27.5</v>
      </c>
      <c r="E1918" s="229">
        <v>31.0</v>
      </c>
      <c r="F1918" s="230">
        <v>3.0</v>
      </c>
      <c r="G1918" s="232"/>
    </row>
    <row r="1919">
      <c r="A1919" s="2"/>
      <c r="B1919" s="168" t="s">
        <v>217</v>
      </c>
      <c r="C1919" s="168" t="s">
        <v>2184</v>
      </c>
      <c r="D1919" s="229">
        <v>22.5</v>
      </c>
      <c r="E1919" s="229">
        <v>26.0</v>
      </c>
      <c r="F1919" s="230">
        <v>3.0</v>
      </c>
      <c r="G1919" s="232"/>
    </row>
    <row r="1920">
      <c r="A1920" s="2"/>
      <c r="B1920" s="168" t="s">
        <v>368</v>
      </c>
      <c r="C1920" s="168" t="s">
        <v>2185</v>
      </c>
      <c r="D1920" s="229">
        <v>32.5</v>
      </c>
      <c r="E1920" s="229">
        <v>36.0</v>
      </c>
      <c r="F1920" s="230">
        <v>3.0</v>
      </c>
      <c r="G1920" s="232"/>
    </row>
    <row r="1921">
      <c r="A1921" s="2"/>
      <c r="B1921" s="168" t="s">
        <v>269</v>
      </c>
      <c r="C1921" s="168" t="s">
        <v>2186</v>
      </c>
      <c r="D1921" s="229">
        <v>26.5</v>
      </c>
      <c r="E1921" s="229">
        <v>30.0</v>
      </c>
      <c r="F1921" s="230">
        <v>3.0</v>
      </c>
      <c r="G1921" s="232"/>
    </row>
    <row r="1922">
      <c r="A1922" s="2"/>
      <c r="B1922" s="168" t="s">
        <v>236</v>
      </c>
      <c r="C1922" s="168" t="s">
        <v>2187</v>
      </c>
      <c r="D1922" s="229">
        <v>34.5</v>
      </c>
      <c r="E1922" s="229">
        <v>38.0</v>
      </c>
      <c r="F1922" s="230">
        <v>3.0</v>
      </c>
      <c r="G1922" s="232"/>
    </row>
    <row r="1923">
      <c r="A1923" s="2"/>
      <c r="B1923" s="168" t="s">
        <v>217</v>
      </c>
      <c r="C1923" s="168" t="s">
        <v>2188</v>
      </c>
      <c r="D1923" s="229">
        <v>27.5</v>
      </c>
      <c r="E1923" s="229">
        <v>31.0</v>
      </c>
      <c r="F1923" s="230">
        <v>3.0</v>
      </c>
      <c r="G1923" s="232"/>
    </row>
    <row r="1924">
      <c r="A1924" s="2"/>
      <c r="B1924" s="168" t="s">
        <v>230</v>
      </c>
      <c r="C1924" s="168" t="s">
        <v>2189</v>
      </c>
      <c r="D1924" s="229">
        <v>21.5</v>
      </c>
      <c r="E1924" s="229">
        <v>25.0</v>
      </c>
      <c r="F1924" s="230">
        <v>3.0</v>
      </c>
      <c r="G1924" s="232"/>
    </row>
    <row r="1925">
      <c r="A1925" s="2"/>
      <c r="B1925" s="168" t="s">
        <v>330</v>
      </c>
      <c r="C1925" s="168" t="s">
        <v>2190</v>
      </c>
      <c r="D1925" s="229">
        <v>24.5</v>
      </c>
      <c r="E1925" s="229">
        <v>28.0</v>
      </c>
      <c r="F1925" s="230">
        <v>3.0</v>
      </c>
      <c r="G1925" s="232"/>
    </row>
    <row r="1926">
      <c r="A1926" s="2"/>
      <c r="B1926" s="168" t="s">
        <v>720</v>
      </c>
      <c r="C1926" s="168" t="s">
        <v>2191</v>
      </c>
      <c r="D1926" s="229">
        <v>21.0</v>
      </c>
      <c r="E1926" s="229">
        <v>24.5</v>
      </c>
      <c r="F1926" s="230">
        <v>3.0</v>
      </c>
      <c r="G1926" s="232"/>
    </row>
    <row r="1927">
      <c r="A1927" s="2"/>
      <c r="B1927" s="168" t="s">
        <v>574</v>
      </c>
      <c r="C1927" s="168" t="s">
        <v>2192</v>
      </c>
      <c r="D1927" s="229">
        <v>34.5</v>
      </c>
      <c r="E1927" s="229">
        <v>38.0</v>
      </c>
      <c r="F1927" s="230">
        <v>3.0</v>
      </c>
      <c r="G1927" s="232"/>
    </row>
    <row r="1928">
      <c r="A1928" s="2"/>
      <c r="B1928" s="168" t="s">
        <v>247</v>
      </c>
      <c r="C1928" s="168" t="s">
        <v>2193</v>
      </c>
      <c r="D1928" s="229">
        <v>29.5</v>
      </c>
      <c r="E1928" s="229">
        <v>33.0</v>
      </c>
      <c r="F1928" s="230">
        <v>3.0</v>
      </c>
      <c r="G1928" s="232"/>
    </row>
    <row r="1929">
      <c r="A1929" s="2"/>
      <c r="B1929" s="168" t="s">
        <v>288</v>
      </c>
      <c r="C1929" s="168" t="s">
        <v>2194</v>
      </c>
      <c r="D1929" s="229">
        <v>21.5</v>
      </c>
      <c r="E1929" s="229">
        <v>25.0</v>
      </c>
      <c r="F1929" s="230">
        <v>3.0</v>
      </c>
      <c r="G1929" s="232"/>
    </row>
    <row r="1930">
      <c r="A1930" s="2"/>
      <c r="B1930" s="168" t="s">
        <v>288</v>
      </c>
      <c r="C1930" s="168" t="s">
        <v>2195</v>
      </c>
      <c r="D1930" s="229">
        <v>21.5</v>
      </c>
      <c r="E1930" s="229">
        <v>25.0</v>
      </c>
      <c r="F1930" s="230">
        <v>3.0</v>
      </c>
      <c r="G1930" s="232"/>
    </row>
    <row r="1931">
      <c r="A1931" s="2"/>
      <c r="B1931" s="168" t="s">
        <v>255</v>
      </c>
      <c r="C1931" s="168" t="s">
        <v>2196</v>
      </c>
      <c r="D1931" s="229">
        <v>31.5</v>
      </c>
      <c r="E1931" s="229">
        <v>35.0</v>
      </c>
      <c r="F1931" s="230">
        <v>3.0</v>
      </c>
      <c r="G1931" s="232"/>
    </row>
    <row r="1932">
      <c r="A1932" s="2"/>
      <c r="B1932" s="168" t="s">
        <v>230</v>
      </c>
      <c r="C1932" s="168" t="s">
        <v>2197</v>
      </c>
      <c r="D1932" s="229">
        <v>16.5</v>
      </c>
      <c r="E1932" s="229">
        <v>20.0</v>
      </c>
      <c r="F1932" s="230">
        <v>3.0</v>
      </c>
      <c r="G1932" s="232"/>
    </row>
    <row r="1933">
      <c r="A1933" s="2"/>
      <c r="B1933" s="168" t="s">
        <v>368</v>
      </c>
      <c r="C1933" s="168" t="s">
        <v>2198</v>
      </c>
      <c r="D1933" s="229">
        <v>31.5</v>
      </c>
      <c r="E1933" s="229">
        <v>35.0</v>
      </c>
      <c r="F1933" s="230">
        <v>3.0</v>
      </c>
      <c r="G1933" s="232"/>
    </row>
    <row r="1934">
      <c r="A1934" s="2"/>
      <c r="B1934" s="168" t="s">
        <v>217</v>
      </c>
      <c r="C1934" s="168" t="s">
        <v>2199</v>
      </c>
      <c r="D1934" s="229">
        <v>27.5</v>
      </c>
      <c r="E1934" s="229">
        <v>31.0</v>
      </c>
      <c r="F1934" s="230">
        <v>3.0</v>
      </c>
      <c r="G1934" s="232"/>
    </row>
    <row r="1935">
      <c r="A1935" s="2"/>
      <c r="B1935" s="168" t="s">
        <v>217</v>
      </c>
      <c r="C1935" s="168" t="s">
        <v>2200</v>
      </c>
      <c r="D1935" s="229">
        <v>27.5</v>
      </c>
      <c r="E1935" s="229">
        <v>31.0</v>
      </c>
      <c r="F1935" s="230">
        <v>3.0</v>
      </c>
      <c r="G1935" s="232"/>
    </row>
    <row r="1936">
      <c r="A1936" s="2"/>
      <c r="B1936" s="168" t="s">
        <v>300</v>
      </c>
      <c r="C1936" s="168" t="s">
        <v>2201</v>
      </c>
      <c r="D1936" s="229">
        <v>28.5</v>
      </c>
      <c r="E1936" s="229">
        <v>32.0</v>
      </c>
      <c r="F1936" s="230">
        <v>3.0</v>
      </c>
      <c r="G1936" s="232"/>
    </row>
    <row r="1937">
      <c r="A1937" s="2"/>
      <c r="B1937" s="168" t="s">
        <v>296</v>
      </c>
      <c r="C1937" s="168" t="s">
        <v>2202</v>
      </c>
      <c r="D1937" s="229">
        <v>26.5</v>
      </c>
      <c r="E1937" s="229">
        <v>30.0</v>
      </c>
      <c r="F1937" s="230">
        <v>3.0</v>
      </c>
      <c r="G1937" s="232"/>
    </row>
    <row r="1938">
      <c r="A1938" s="2"/>
      <c r="B1938" s="168" t="s">
        <v>288</v>
      </c>
      <c r="C1938" s="168" t="s">
        <v>2203</v>
      </c>
      <c r="D1938" s="229">
        <v>21.5</v>
      </c>
      <c r="E1938" s="229">
        <v>25.0</v>
      </c>
      <c r="F1938" s="230">
        <v>3.0</v>
      </c>
      <c r="G1938" s="232"/>
    </row>
    <row r="1939">
      <c r="A1939" s="2"/>
      <c r="B1939" s="168" t="s">
        <v>234</v>
      </c>
      <c r="C1939" s="168" t="s">
        <v>2204</v>
      </c>
      <c r="D1939" s="229">
        <v>29.5</v>
      </c>
      <c r="E1939" s="229">
        <v>33.0</v>
      </c>
      <c r="F1939" s="230">
        <v>3.0</v>
      </c>
      <c r="G1939" s="232"/>
    </row>
    <row r="1940">
      <c r="A1940" s="2"/>
      <c r="B1940" s="168" t="s">
        <v>255</v>
      </c>
      <c r="C1940" s="168" t="s">
        <v>2205</v>
      </c>
      <c r="D1940" s="229">
        <v>31.5</v>
      </c>
      <c r="E1940" s="229">
        <v>35.0</v>
      </c>
      <c r="F1940" s="230">
        <v>3.0</v>
      </c>
      <c r="G1940" s="232"/>
    </row>
    <row r="1941">
      <c r="A1941" s="2"/>
      <c r="B1941" s="168" t="s">
        <v>215</v>
      </c>
      <c r="C1941" s="168" t="s">
        <v>2206</v>
      </c>
      <c r="D1941" s="229">
        <v>19.5</v>
      </c>
      <c r="E1941" s="229">
        <v>23.0</v>
      </c>
      <c r="F1941" s="230">
        <v>3.0</v>
      </c>
      <c r="G1941" s="232"/>
    </row>
    <row r="1942">
      <c r="A1942" s="2"/>
      <c r="B1942" s="168" t="s">
        <v>269</v>
      </c>
      <c r="C1942" s="168" t="s">
        <v>2207</v>
      </c>
      <c r="D1942" s="229">
        <v>26.5</v>
      </c>
      <c r="E1942" s="229">
        <v>30.0</v>
      </c>
      <c r="F1942" s="230">
        <v>3.0</v>
      </c>
      <c r="G1942" s="232"/>
    </row>
    <row r="1943">
      <c r="A1943" s="2"/>
      <c r="B1943" s="168" t="s">
        <v>230</v>
      </c>
      <c r="C1943" s="168" t="s">
        <v>2208</v>
      </c>
      <c r="D1943" s="229">
        <v>16.5</v>
      </c>
      <c r="E1943" s="229">
        <v>20.0</v>
      </c>
      <c r="F1943" s="230">
        <v>3.0</v>
      </c>
      <c r="G1943" s="232"/>
    </row>
    <row r="1944">
      <c r="A1944" s="2"/>
      <c r="B1944" s="168" t="s">
        <v>377</v>
      </c>
      <c r="C1944" s="168" t="s">
        <v>2209</v>
      </c>
      <c r="D1944" s="229">
        <v>29.5</v>
      </c>
      <c r="E1944" s="229">
        <v>33.0</v>
      </c>
      <c r="F1944" s="230">
        <v>3.0</v>
      </c>
      <c r="G1944" s="232"/>
    </row>
    <row r="1945">
      <c r="A1945" s="2"/>
      <c r="B1945" s="168" t="s">
        <v>217</v>
      </c>
      <c r="C1945" s="168" t="s">
        <v>2210</v>
      </c>
      <c r="D1945" s="229">
        <v>27.5</v>
      </c>
      <c r="E1945" s="229">
        <v>31.0</v>
      </c>
      <c r="F1945" s="230">
        <v>3.0</v>
      </c>
      <c r="G1945" s="232"/>
    </row>
    <row r="1946">
      <c r="A1946" s="2"/>
      <c r="B1946" s="168" t="s">
        <v>332</v>
      </c>
      <c r="C1946" s="168" t="s">
        <v>2211</v>
      </c>
      <c r="D1946" s="229">
        <v>28.5</v>
      </c>
      <c r="E1946" s="229">
        <v>32.0</v>
      </c>
      <c r="F1946" s="230">
        <v>3.0</v>
      </c>
      <c r="G1946" s="232"/>
    </row>
    <row r="1947">
      <c r="A1947" s="2"/>
      <c r="B1947" s="168" t="s">
        <v>269</v>
      </c>
      <c r="C1947" s="168" t="s">
        <v>2212</v>
      </c>
      <c r="D1947" s="229">
        <v>26.5</v>
      </c>
      <c r="E1947" s="229">
        <v>30.0</v>
      </c>
      <c r="F1947" s="230">
        <v>3.0</v>
      </c>
      <c r="G1947" s="232"/>
    </row>
    <row r="1948">
      <c r="A1948" s="2"/>
      <c r="B1948" s="168" t="s">
        <v>217</v>
      </c>
      <c r="C1948" s="168" t="s">
        <v>2213</v>
      </c>
      <c r="D1948" s="229">
        <v>27.5</v>
      </c>
      <c r="E1948" s="229">
        <v>31.0</v>
      </c>
      <c r="F1948" s="230">
        <v>3.0</v>
      </c>
      <c r="G1948" s="232"/>
    </row>
    <row r="1949">
      <c r="A1949" s="2"/>
      <c r="B1949" s="168" t="s">
        <v>1329</v>
      </c>
      <c r="C1949" s="168" t="s">
        <v>2214</v>
      </c>
      <c r="D1949" s="229">
        <v>26.5</v>
      </c>
      <c r="E1949" s="229">
        <v>30.0</v>
      </c>
      <c r="F1949" s="230">
        <v>3.0</v>
      </c>
      <c r="G1949" s="232"/>
    </row>
    <row r="1950">
      <c r="A1950" s="2"/>
      <c r="B1950" s="168" t="s">
        <v>269</v>
      </c>
      <c r="C1950" s="168" t="s">
        <v>2215</v>
      </c>
      <c r="D1950" s="229">
        <v>21.5</v>
      </c>
      <c r="E1950" s="229">
        <v>25.0</v>
      </c>
      <c r="F1950" s="230">
        <v>3.0</v>
      </c>
      <c r="G1950" s="232"/>
    </row>
    <row r="1951">
      <c r="A1951" s="2"/>
      <c r="B1951" s="168" t="s">
        <v>260</v>
      </c>
      <c r="C1951" s="168" t="s">
        <v>2216</v>
      </c>
      <c r="D1951" s="229">
        <v>28.5</v>
      </c>
      <c r="E1951" s="229">
        <v>32.0</v>
      </c>
      <c r="F1951" s="230">
        <v>3.0</v>
      </c>
      <c r="G1951" s="232"/>
    </row>
    <row r="1952">
      <c r="A1952" s="2"/>
      <c r="B1952" s="168" t="s">
        <v>368</v>
      </c>
      <c r="C1952" s="168" t="s">
        <v>2217</v>
      </c>
      <c r="D1952" s="229">
        <v>32.5</v>
      </c>
      <c r="E1952" s="229">
        <v>36.0</v>
      </c>
      <c r="F1952" s="230">
        <v>3.0</v>
      </c>
      <c r="G1952" s="232"/>
    </row>
    <row r="1953">
      <c r="A1953" s="2"/>
      <c r="B1953" s="168" t="s">
        <v>217</v>
      </c>
      <c r="C1953" s="168" t="s">
        <v>2218</v>
      </c>
      <c r="D1953" s="229">
        <v>27.5</v>
      </c>
      <c r="E1953" s="229">
        <v>31.0</v>
      </c>
      <c r="F1953" s="230">
        <v>3.0</v>
      </c>
      <c r="G1953" s="232"/>
    </row>
    <row r="1954">
      <c r="A1954" s="2"/>
      <c r="B1954" s="168" t="s">
        <v>217</v>
      </c>
      <c r="C1954" s="168" t="s">
        <v>2219</v>
      </c>
      <c r="D1954" s="229">
        <v>22.5</v>
      </c>
      <c r="E1954" s="229">
        <v>26.0</v>
      </c>
      <c r="F1954" s="230">
        <v>3.0</v>
      </c>
      <c r="G1954" s="232"/>
    </row>
    <row r="1955">
      <c r="A1955" s="2"/>
      <c r="B1955" s="168" t="s">
        <v>241</v>
      </c>
      <c r="C1955" s="168" t="s">
        <v>2220</v>
      </c>
      <c r="D1955" s="229">
        <v>32.5</v>
      </c>
      <c r="E1955" s="229">
        <v>36.0</v>
      </c>
      <c r="F1955" s="230">
        <v>3.0</v>
      </c>
      <c r="G1955" s="232"/>
    </row>
    <row r="1956">
      <c r="A1956" s="2"/>
      <c r="B1956" s="168" t="s">
        <v>269</v>
      </c>
      <c r="C1956" s="168" t="s">
        <v>2221</v>
      </c>
      <c r="D1956" s="229">
        <v>26.5</v>
      </c>
      <c r="E1956" s="229">
        <v>30.0</v>
      </c>
      <c r="F1956" s="230">
        <v>3.0</v>
      </c>
      <c r="G1956" s="232"/>
    </row>
    <row r="1957">
      <c r="A1957" s="2"/>
      <c r="B1957" s="168" t="s">
        <v>232</v>
      </c>
      <c r="C1957" s="168" t="s">
        <v>2222</v>
      </c>
      <c r="D1957" s="229">
        <v>32.5</v>
      </c>
      <c r="E1957" s="229">
        <v>36.0</v>
      </c>
      <c r="F1957" s="230">
        <v>3.0</v>
      </c>
      <c r="G1957" s="232"/>
    </row>
    <row r="1958">
      <c r="A1958" s="2"/>
      <c r="B1958" s="168" t="s">
        <v>230</v>
      </c>
      <c r="C1958" s="168" t="s">
        <v>2223</v>
      </c>
      <c r="D1958" s="229">
        <v>21.5</v>
      </c>
      <c r="E1958" s="229">
        <v>25.0</v>
      </c>
      <c r="F1958" s="230">
        <v>3.0</v>
      </c>
      <c r="G1958" s="232"/>
    </row>
    <row r="1959">
      <c r="A1959" s="2"/>
      <c r="B1959" s="168" t="s">
        <v>288</v>
      </c>
      <c r="C1959" s="168" t="s">
        <v>2224</v>
      </c>
      <c r="D1959" s="229">
        <v>21.5</v>
      </c>
      <c r="E1959" s="229">
        <v>25.0</v>
      </c>
      <c r="F1959" s="230">
        <v>3.0</v>
      </c>
      <c r="G1959" s="232"/>
    </row>
    <row r="1960">
      <c r="A1960" s="2"/>
      <c r="B1960" s="168" t="s">
        <v>296</v>
      </c>
      <c r="C1960" s="168" t="s">
        <v>2225</v>
      </c>
      <c r="D1960" s="229">
        <v>26.5</v>
      </c>
      <c r="E1960" s="229">
        <v>30.0</v>
      </c>
      <c r="F1960" s="230">
        <v>3.0</v>
      </c>
      <c r="G1960" s="232"/>
    </row>
    <row r="1961">
      <c r="A1961" s="2"/>
      <c r="B1961" s="168" t="s">
        <v>245</v>
      </c>
      <c r="C1961" s="168" t="s">
        <v>2226</v>
      </c>
      <c r="D1961" s="229">
        <v>29.5</v>
      </c>
      <c r="E1961" s="229">
        <v>33.0</v>
      </c>
      <c r="F1961" s="230">
        <v>3.0</v>
      </c>
      <c r="G1961" s="232"/>
    </row>
    <row r="1962">
      <c r="A1962" s="2"/>
      <c r="B1962" s="168" t="s">
        <v>302</v>
      </c>
      <c r="C1962" s="168" t="s">
        <v>2227</v>
      </c>
      <c r="D1962" s="229">
        <v>34.5</v>
      </c>
      <c r="E1962" s="229">
        <v>38.0</v>
      </c>
      <c r="F1962" s="230">
        <v>3.0</v>
      </c>
      <c r="G1962" s="232"/>
    </row>
    <row r="1963">
      <c r="A1963" s="2"/>
      <c r="B1963" s="168" t="s">
        <v>215</v>
      </c>
      <c r="C1963" s="168" t="s">
        <v>2228</v>
      </c>
      <c r="D1963" s="229">
        <v>29.5</v>
      </c>
      <c r="E1963" s="229">
        <v>33.0</v>
      </c>
      <c r="F1963" s="230">
        <v>3.0</v>
      </c>
      <c r="G1963" s="232"/>
    </row>
    <row r="1964">
      <c r="A1964" s="2"/>
      <c r="B1964" s="168" t="s">
        <v>217</v>
      </c>
      <c r="C1964" s="168" t="s">
        <v>2229</v>
      </c>
      <c r="D1964" s="229">
        <v>27.5</v>
      </c>
      <c r="E1964" s="229">
        <v>31.0</v>
      </c>
      <c r="F1964" s="230">
        <v>3.0</v>
      </c>
      <c r="G1964" s="232"/>
    </row>
    <row r="1965">
      <c r="A1965" s="2"/>
      <c r="B1965" s="168" t="s">
        <v>341</v>
      </c>
      <c r="C1965" s="168" t="s">
        <v>2230</v>
      </c>
      <c r="D1965" s="229">
        <v>29.5</v>
      </c>
      <c r="E1965" s="229">
        <v>29.5</v>
      </c>
      <c r="F1965" s="230">
        <v>3.0</v>
      </c>
      <c r="G1965" s="232"/>
    </row>
    <row r="1966">
      <c r="A1966" s="2"/>
      <c r="B1966" s="168" t="s">
        <v>230</v>
      </c>
      <c r="C1966" s="168" t="s">
        <v>2231</v>
      </c>
      <c r="D1966" s="229">
        <v>16.5</v>
      </c>
      <c r="E1966" s="229">
        <v>20.0</v>
      </c>
      <c r="F1966" s="230">
        <v>3.0</v>
      </c>
      <c r="G1966" s="232"/>
    </row>
    <row r="1967">
      <c r="A1967" s="2"/>
      <c r="B1967" s="168" t="s">
        <v>215</v>
      </c>
      <c r="C1967" s="168" t="s">
        <v>2232</v>
      </c>
      <c r="D1967" s="229">
        <v>27.5</v>
      </c>
      <c r="E1967" s="229">
        <v>31.0</v>
      </c>
      <c r="F1967" s="230">
        <v>3.0</v>
      </c>
      <c r="G1967" s="232"/>
    </row>
    <row r="1968">
      <c r="A1968" s="2"/>
      <c r="B1968" s="168" t="s">
        <v>239</v>
      </c>
      <c r="C1968" s="168" t="s">
        <v>2233</v>
      </c>
      <c r="D1968" s="229">
        <v>29.5</v>
      </c>
      <c r="E1968" s="229">
        <v>33.0</v>
      </c>
      <c r="F1968" s="230">
        <v>3.0</v>
      </c>
      <c r="G1968" s="232"/>
    </row>
    <row r="1969">
      <c r="A1969" s="2"/>
      <c r="B1969" s="168" t="s">
        <v>285</v>
      </c>
      <c r="C1969" s="168" t="s">
        <v>2234</v>
      </c>
      <c r="D1969" s="229">
        <v>24.5</v>
      </c>
      <c r="E1969" s="229">
        <v>28.0</v>
      </c>
      <c r="F1969" s="230">
        <v>3.0</v>
      </c>
      <c r="G1969" s="232"/>
    </row>
    <row r="1970">
      <c r="A1970" s="2"/>
      <c r="B1970" s="168" t="s">
        <v>335</v>
      </c>
      <c r="C1970" s="168" t="s">
        <v>2235</v>
      </c>
      <c r="D1970" s="229">
        <v>34.5</v>
      </c>
      <c r="E1970" s="229">
        <v>38.0</v>
      </c>
      <c r="F1970" s="230">
        <v>3.0</v>
      </c>
      <c r="G1970" s="232"/>
    </row>
    <row r="1971">
      <c r="A1971" s="2"/>
      <c r="B1971" s="168" t="s">
        <v>285</v>
      </c>
      <c r="C1971" s="168" t="s">
        <v>2236</v>
      </c>
      <c r="D1971" s="229">
        <v>24.5</v>
      </c>
      <c r="E1971" s="229">
        <v>28.0</v>
      </c>
      <c r="F1971" s="230">
        <v>3.0</v>
      </c>
      <c r="G1971" s="232"/>
    </row>
    <row r="1972">
      <c r="A1972" s="2"/>
      <c r="B1972" s="168" t="s">
        <v>576</v>
      </c>
      <c r="C1972" s="168" t="s">
        <v>2237</v>
      </c>
      <c r="D1972" s="229">
        <v>24.5</v>
      </c>
      <c r="E1972" s="229">
        <v>28.0</v>
      </c>
      <c r="F1972" s="230">
        <v>3.0</v>
      </c>
      <c r="G1972" s="232"/>
    </row>
    <row r="1973">
      <c r="A1973" s="2"/>
      <c r="B1973" s="168" t="s">
        <v>217</v>
      </c>
      <c r="C1973" s="168" t="s">
        <v>2238</v>
      </c>
      <c r="D1973" s="229">
        <v>27.5</v>
      </c>
      <c r="E1973" s="229">
        <v>31.0</v>
      </c>
      <c r="F1973" s="230">
        <v>3.0</v>
      </c>
      <c r="G1973" s="232"/>
    </row>
    <row r="1974">
      <c r="A1974" s="2"/>
      <c r="B1974" s="168" t="s">
        <v>241</v>
      </c>
      <c r="C1974" s="168" t="s">
        <v>2239</v>
      </c>
      <c r="D1974" s="229">
        <v>32.5</v>
      </c>
      <c r="E1974" s="229">
        <v>36.0</v>
      </c>
      <c r="F1974" s="230">
        <v>3.0</v>
      </c>
      <c r="G1974" s="232"/>
    </row>
    <row r="1975">
      <c r="A1975" s="2"/>
      <c r="B1975" s="168" t="s">
        <v>221</v>
      </c>
      <c r="C1975" s="168" t="s">
        <v>2240</v>
      </c>
      <c r="D1975" s="229">
        <v>27.5</v>
      </c>
      <c r="E1975" s="229">
        <v>31.0</v>
      </c>
      <c r="F1975" s="230">
        <v>3.0</v>
      </c>
      <c r="G1975" s="232"/>
    </row>
    <row r="1976">
      <c r="A1976" s="2"/>
      <c r="B1976" s="168" t="s">
        <v>300</v>
      </c>
      <c r="C1976" s="168" t="s">
        <v>2241</v>
      </c>
      <c r="D1976" s="229">
        <v>23.5</v>
      </c>
      <c r="E1976" s="229">
        <v>27.0</v>
      </c>
      <c r="F1976" s="230">
        <v>3.0</v>
      </c>
      <c r="G1976" s="232"/>
    </row>
    <row r="1977">
      <c r="A1977" s="2"/>
      <c r="B1977" s="168" t="s">
        <v>217</v>
      </c>
      <c r="C1977" s="168" t="s">
        <v>2242</v>
      </c>
      <c r="D1977" s="229">
        <v>27.5</v>
      </c>
      <c r="E1977" s="229">
        <v>31.0</v>
      </c>
      <c r="F1977" s="230">
        <v>3.0</v>
      </c>
      <c r="G1977" s="232"/>
    </row>
    <row r="1978">
      <c r="A1978" s="2"/>
      <c r="B1978" s="168" t="s">
        <v>221</v>
      </c>
      <c r="C1978" s="168" t="s">
        <v>2243</v>
      </c>
      <c r="D1978" s="229">
        <v>22.5</v>
      </c>
      <c r="E1978" s="229">
        <v>26.0</v>
      </c>
      <c r="F1978" s="230">
        <v>3.0</v>
      </c>
      <c r="G1978" s="232"/>
    </row>
    <row r="1979">
      <c r="A1979" s="2"/>
      <c r="B1979" s="168" t="s">
        <v>275</v>
      </c>
      <c r="C1979" s="168" t="s">
        <v>2244</v>
      </c>
      <c r="D1979" s="229">
        <v>26.0</v>
      </c>
      <c r="E1979" s="229">
        <v>29.5</v>
      </c>
      <c r="F1979" s="230">
        <v>3.0</v>
      </c>
      <c r="G1979" s="232"/>
    </row>
    <row r="1980">
      <c r="A1980" s="2"/>
      <c r="B1980" s="168" t="s">
        <v>318</v>
      </c>
      <c r="C1980" s="168" t="s">
        <v>2245</v>
      </c>
      <c r="D1980" s="229">
        <v>25.5</v>
      </c>
      <c r="E1980" s="229">
        <v>29.0</v>
      </c>
      <c r="F1980" s="230">
        <v>3.0</v>
      </c>
      <c r="G1980" s="232"/>
    </row>
    <row r="1981">
      <c r="A1981" s="2"/>
      <c r="B1981" s="168" t="s">
        <v>269</v>
      </c>
      <c r="C1981" s="168" t="s">
        <v>2246</v>
      </c>
      <c r="D1981" s="229">
        <v>26.5</v>
      </c>
      <c r="E1981" s="229">
        <v>30.0</v>
      </c>
      <c r="F1981" s="230">
        <v>3.0</v>
      </c>
      <c r="G1981" s="232"/>
    </row>
    <row r="1982">
      <c r="A1982" s="2"/>
      <c r="B1982" s="168" t="s">
        <v>221</v>
      </c>
      <c r="C1982" s="168" t="s">
        <v>2247</v>
      </c>
      <c r="D1982" s="229">
        <v>27.5</v>
      </c>
      <c r="E1982" s="229">
        <v>31.0</v>
      </c>
      <c r="F1982" s="230">
        <v>3.0</v>
      </c>
      <c r="G1982" s="232"/>
    </row>
    <row r="1983">
      <c r="A1983" s="2"/>
      <c r="B1983" s="168" t="s">
        <v>241</v>
      </c>
      <c r="C1983" s="168" t="s">
        <v>2248</v>
      </c>
      <c r="D1983" s="229">
        <v>32.5</v>
      </c>
      <c r="E1983" s="229">
        <v>36.0</v>
      </c>
      <c r="F1983" s="230">
        <v>3.0</v>
      </c>
      <c r="G1983" s="232"/>
    </row>
    <row r="1984">
      <c r="A1984" s="2"/>
      <c r="B1984" s="168" t="s">
        <v>337</v>
      </c>
      <c r="C1984" s="168" t="s">
        <v>2249</v>
      </c>
      <c r="D1984" s="229">
        <v>28.5</v>
      </c>
      <c r="E1984" s="229">
        <v>32.0</v>
      </c>
      <c r="F1984" s="230">
        <v>3.0</v>
      </c>
      <c r="G1984" s="232"/>
    </row>
    <row r="1985">
      <c r="A1985" s="2"/>
      <c r="B1985" s="168" t="s">
        <v>266</v>
      </c>
      <c r="C1985" s="168" t="s">
        <v>2250</v>
      </c>
      <c r="D1985" s="229">
        <v>33.0</v>
      </c>
      <c r="E1985" s="229">
        <v>33.0</v>
      </c>
      <c r="F1985" s="230">
        <v>3.0</v>
      </c>
      <c r="G1985" s="232"/>
    </row>
    <row r="1986">
      <c r="A1986" s="2"/>
      <c r="B1986" s="168" t="s">
        <v>241</v>
      </c>
      <c r="C1986" s="168" t="s">
        <v>2251</v>
      </c>
      <c r="D1986" s="229">
        <v>32.5</v>
      </c>
      <c r="E1986" s="229">
        <v>36.0</v>
      </c>
      <c r="F1986" s="230">
        <v>3.0</v>
      </c>
      <c r="G1986" s="232"/>
    </row>
    <row r="1987">
      <c r="A1987" s="2"/>
      <c r="B1987" s="168" t="s">
        <v>223</v>
      </c>
      <c r="C1987" s="168" t="s">
        <v>2252</v>
      </c>
      <c r="D1987" s="229">
        <v>26.5</v>
      </c>
      <c r="E1987" s="229">
        <v>30.0</v>
      </c>
      <c r="F1987" s="230">
        <v>3.0</v>
      </c>
      <c r="G1987" s="232"/>
    </row>
    <row r="1988">
      <c r="A1988" s="2"/>
      <c r="B1988" s="168" t="s">
        <v>230</v>
      </c>
      <c r="C1988" s="168" t="s">
        <v>2253</v>
      </c>
      <c r="D1988" s="229">
        <v>16.5</v>
      </c>
      <c r="E1988" s="229">
        <v>20.0</v>
      </c>
      <c r="F1988" s="230">
        <v>3.0</v>
      </c>
      <c r="G1988" s="232"/>
    </row>
    <row r="1989">
      <c r="A1989" s="2"/>
      <c r="B1989" s="168" t="s">
        <v>230</v>
      </c>
      <c r="C1989" s="168" t="s">
        <v>2254</v>
      </c>
      <c r="D1989" s="229">
        <v>21.5</v>
      </c>
      <c r="E1989" s="229">
        <v>25.0</v>
      </c>
      <c r="F1989" s="230">
        <v>3.0</v>
      </c>
      <c r="G1989" s="232"/>
    </row>
    <row r="1990">
      <c r="A1990" s="2"/>
      <c r="B1990" s="168" t="s">
        <v>318</v>
      </c>
      <c r="C1990" s="168" t="s">
        <v>2255</v>
      </c>
      <c r="D1990" s="229">
        <v>25.5</v>
      </c>
      <c r="E1990" s="229">
        <v>29.0</v>
      </c>
      <c r="F1990" s="230">
        <v>3.0</v>
      </c>
      <c r="G1990" s="232"/>
    </row>
    <row r="1991">
      <c r="A1991" s="2"/>
      <c r="B1991" s="168" t="s">
        <v>239</v>
      </c>
      <c r="C1991" s="168" t="s">
        <v>2256</v>
      </c>
      <c r="D1991" s="229">
        <v>29.5</v>
      </c>
      <c r="E1991" s="229">
        <v>33.0</v>
      </c>
      <c r="F1991" s="230">
        <v>3.0</v>
      </c>
      <c r="G1991" s="232"/>
    </row>
    <row r="1992">
      <c r="A1992" s="2"/>
      <c r="B1992" s="168" t="s">
        <v>273</v>
      </c>
      <c r="C1992" s="168" t="s">
        <v>2257</v>
      </c>
      <c r="D1992" s="229">
        <v>24.5</v>
      </c>
      <c r="E1992" s="229">
        <v>28.0</v>
      </c>
      <c r="F1992" s="230">
        <v>3.0</v>
      </c>
      <c r="G1992" s="232"/>
    </row>
    <row r="1993">
      <c r="A1993" s="2"/>
      <c r="B1993" s="168" t="s">
        <v>215</v>
      </c>
      <c r="C1993" s="168" t="s">
        <v>2258</v>
      </c>
      <c r="D1993" s="229">
        <v>25.5</v>
      </c>
      <c r="E1993" s="229">
        <v>29.0</v>
      </c>
      <c r="F1993" s="230">
        <v>3.0</v>
      </c>
      <c r="G1993" s="232"/>
    </row>
    <row r="1994">
      <c r="A1994" s="2"/>
      <c r="B1994" s="168" t="s">
        <v>2259</v>
      </c>
      <c r="C1994" s="168" t="s">
        <v>2260</v>
      </c>
      <c r="D1994" s="229">
        <v>29.5</v>
      </c>
      <c r="E1994" s="229">
        <v>33.0</v>
      </c>
      <c r="F1994" s="230">
        <v>3.0</v>
      </c>
      <c r="G1994" s="232"/>
    </row>
    <row r="1995">
      <c r="A1995" s="2"/>
      <c r="B1995" s="168" t="s">
        <v>269</v>
      </c>
      <c r="C1995" s="168" t="s">
        <v>2261</v>
      </c>
      <c r="D1995" s="229">
        <v>26.5</v>
      </c>
      <c r="E1995" s="229">
        <v>30.0</v>
      </c>
      <c r="F1995" s="230">
        <v>3.0</v>
      </c>
      <c r="G1995" s="232"/>
    </row>
    <row r="1996">
      <c r="A1996" s="2"/>
      <c r="B1996" s="168" t="s">
        <v>427</v>
      </c>
      <c r="C1996" s="168" t="s">
        <v>2262</v>
      </c>
      <c r="D1996" s="229">
        <v>26.5</v>
      </c>
      <c r="E1996" s="229">
        <v>30.0</v>
      </c>
      <c r="F1996" s="230">
        <v>3.0</v>
      </c>
      <c r="G1996" s="232"/>
    </row>
    <row r="1997">
      <c r="A1997" s="2"/>
      <c r="B1997" s="168" t="s">
        <v>245</v>
      </c>
      <c r="C1997" s="168" t="s">
        <v>2263</v>
      </c>
      <c r="D1997" s="229">
        <v>29.5</v>
      </c>
      <c r="E1997" s="229">
        <v>33.0</v>
      </c>
      <c r="F1997" s="230">
        <v>3.0</v>
      </c>
      <c r="G1997" s="232"/>
    </row>
    <row r="1998">
      <c r="A1998" s="2"/>
      <c r="B1998" s="168" t="s">
        <v>341</v>
      </c>
      <c r="C1998" s="168" t="s">
        <v>2264</v>
      </c>
      <c r="D1998" s="229">
        <v>29.5</v>
      </c>
      <c r="E1998" s="229">
        <v>29.5</v>
      </c>
      <c r="F1998" s="230">
        <v>3.0</v>
      </c>
      <c r="G1998" s="232"/>
    </row>
    <row r="1999">
      <c r="A1999" s="2"/>
      <c r="B1999" s="168" t="s">
        <v>269</v>
      </c>
      <c r="C1999" s="168" t="s">
        <v>2265</v>
      </c>
      <c r="D1999" s="229">
        <v>26.0</v>
      </c>
      <c r="E1999" s="229">
        <v>29.5</v>
      </c>
      <c r="F1999" s="230">
        <v>3.0</v>
      </c>
      <c r="G1999" s="232"/>
    </row>
    <row r="2000">
      <c r="A2000" s="2"/>
      <c r="B2000" s="168" t="s">
        <v>438</v>
      </c>
      <c r="C2000" s="168" t="s">
        <v>2266</v>
      </c>
      <c r="D2000" s="229">
        <v>29.5</v>
      </c>
      <c r="E2000" s="229">
        <v>33.0</v>
      </c>
      <c r="F2000" s="230">
        <v>3.0</v>
      </c>
      <c r="G2000" s="232"/>
    </row>
    <row r="2001">
      <c r="A2001" s="2"/>
      <c r="B2001" s="168" t="s">
        <v>243</v>
      </c>
      <c r="C2001" s="168" t="s">
        <v>2267</v>
      </c>
      <c r="D2001" s="229">
        <v>24.5</v>
      </c>
      <c r="E2001" s="229">
        <v>28.0</v>
      </c>
      <c r="F2001" s="230">
        <v>3.0</v>
      </c>
      <c r="G2001" s="232"/>
    </row>
    <row r="2002">
      <c r="A2002" s="2"/>
      <c r="B2002" s="168" t="s">
        <v>375</v>
      </c>
      <c r="C2002" s="168" t="s">
        <v>2268</v>
      </c>
      <c r="D2002" s="229">
        <v>26.5</v>
      </c>
      <c r="E2002" s="229">
        <v>30.0</v>
      </c>
      <c r="F2002" s="230">
        <v>3.0</v>
      </c>
      <c r="G2002" s="232"/>
    </row>
    <row r="2003">
      <c r="A2003" s="2"/>
      <c r="B2003" s="168" t="s">
        <v>332</v>
      </c>
      <c r="C2003" s="168" t="s">
        <v>2269</v>
      </c>
      <c r="D2003" s="229">
        <v>28.5</v>
      </c>
      <c r="E2003" s="229">
        <v>32.0</v>
      </c>
      <c r="F2003" s="230">
        <v>3.0</v>
      </c>
      <c r="G2003" s="232"/>
    </row>
    <row r="2004">
      <c r="A2004" s="2"/>
      <c r="B2004" s="168" t="s">
        <v>269</v>
      </c>
      <c r="C2004" s="168" t="s">
        <v>2270</v>
      </c>
      <c r="D2004" s="229">
        <v>26.5</v>
      </c>
      <c r="E2004" s="229">
        <v>30.0</v>
      </c>
      <c r="F2004" s="230">
        <v>3.0</v>
      </c>
      <c r="G2004" s="232"/>
    </row>
    <row r="2005">
      <c r="A2005" s="2"/>
      <c r="B2005" s="168" t="s">
        <v>257</v>
      </c>
      <c r="C2005" s="168" t="s">
        <v>2271</v>
      </c>
      <c r="D2005" s="229">
        <v>28.5</v>
      </c>
      <c r="E2005" s="229">
        <v>32.0</v>
      </c>
      <c r="F2005" s="230">
        <v>3.0</v>
      </c>
      <c r="G2005" s="232"/>
    </row>
    <row r="2006">
      <c r="A2006" s="2"/>
      <c r="B2006" s="168" t="s">
        <v>337</v>
      </c>
      <c r="C2006" s="168" t="s">
        <v>2272</v>
      </c>
      <c r="D2006" s="229">
        <v>28.5</v>
      </c>
      <c r="E2006" s="229">
        <v>32.0</v>
      </c>
      <c r="F2006" s="230">
        <v>3.0</v>
      </c>
      <c r="G2006" s="232"/>
    </row>
    <row r="2007">
      <c r="A2007" s="2"/>
      <c r="B2007" s="168" t="s">
        <v>260</v>
      </c>
      <c r="C2007" s="168" t="s">
        <v>2273</v>
      </c>
      <c r="D2007" s="229">
        <v>28.5</v>
      </c>
      <c r="E2007" s="229">
        <v>32.0</v>
      </c>
      <c r="F2007" s="230">
        <v>3.0</v>
      </c>
      <c r="G2007" s="232"/>
    </row>
    <row r="2008">
      <c r="A2008" s="2"/>
      <c r="B2008" s="168" t="s">
        <v>535</v>
      </c>
      <c r="C2008" s="168" t="s">
        <v>2274</v>
      </c>
      <c r="D2008" s="229">
        <v>26.5</v>
      </c>
      <c r="E2008" s="229">
        <v>30.0</v>
      </c>
      <c r="F2008" s="230">
        <v>3.0</v>
      </c>
      <c r="G2008" s="232"/>
    </row>
    <row r="2009">
      <c r="A2009" s="2"/>
      <c r="B2009" s="168" t="s">
        <v>217</v>
      </c>
      <c r="C2009" s="168" t="s">
        <v>2275</v>
      </c>
      <c r="D2009" s="229">
        <v>22.5</v>
      </c>
      <c r="E2009" s="229">
        <v>26.0</v>
      </c>
      <c r="F2009" s="230">
        <v>3.0</v>
      </c>
      <c r="G2009" s="232"/>
    </row>
    <row r="2010">
      <c r="A2010" s="2"/>
      <c r="B2010" s="168" t="s">
        <v>288</v>
      </c>
      <c r="C2010" s="168" t="s">
        <v>2276</v>
      </c>
      <c r="D2010" s="229">
        <v>21.5</v>
      </c>
      <c r="E2010" s="229">
        <v>25.0</v>
      </c>
      <c r="F2010" s="230">
        <v>3.0</v>
      </c>
      <c r="G2010" s="232"/>
    </row>
    <row r="2011">
      <c r="A2011" s="2"/>
      <c r="B2011" s="168" t="s">
        <v>239</v>
      </c>
      <c r="C2011" s="168" t="s">
        <v>2277</v>
      </c>
      <c r="D2011" s="229">
        <v>29.5</v>
      </c>
      <c r="E2011" s="229">
        <v>33.0</v>
      </c>
      <c r="F2011" s="230">
        <v>3.0</v>
      </c>
      <c r="G2011" s="232"/>
    </row>
    <row r="2012">
      <c r="A2012" s="2"/>
      <c r="B2012" s="168" t="s">
        <v>1392</v>
      </c>
      <c r="C2012" s="168" t="s">
        <v>2278</v>
      </c>
      <c r="D2012" s="229">
        <v>26.5</v>
      </c>
      <c r="E2012" s="229">
        <v>30.0</v>
      </c>
      <c r="F2012" s="230">
        <v>3.0</v>
      </c>
      <c r="G2012" s="232"/>
    </row>
    <row r="2013">
      <c r="A2013" s="2"/>
      <c r="B2013" s="168" t="s">
        <v>257</v>
      </c>
      <c r="C2013" s="168" t="s">
        <v>2279</v>
      </c>
      <c r="D2013" s="229">
        <v>28.5</v>
      </c>
      <c r="E2013" s="229">
        <v>32.0</v>
      </c>
      <c r="F2013" s="230">
        <v>3.0</v>
      </c>
      <c r="G2013" s="232"/>
    </row>
    <row r="2014">
      <c r="A2014" s="2"/>
      <c r="B2014" s="168" t="s">
        <v>230</v>
      </c>
      <c r="C2014" s="168" t="s">
        <v>2280</v>
      </c>
      <c r="D2014" s="229">
        <v>16.5</v>
      </c>
      <c r="E2014" s="229">
        <v>20.0</v>
      </c>
      <c r="F2014" s="230">
        <v>3.0</v>
      </c>
      <c r="G2014" s="232"/>
    </row>
    <row r="2015">
      <c r="A2015" s="2"/>
      <c r="B2015" s="168" t="s">
        <v>269</v>
      </c>
      <c r="C2015" s="168" t="s">
        <v>2281</v>
      </c>
      <c r="D2015" s="229">
        <v>26.5</v>
      </c>
      <c r="E2015" s="229">
        <v>30.0</v>
      </c>
      <c r="F2015" s="230">
        <v>3.0</v>
      </c>
      <c r="G2015" s="232"/>
    </row>
    <row r="2016">
      <c r="A2016" s="2"/>
      <c r="B2016" s="168" t="s">
        <v>375</v>
      </c>
      <c r="C2016" s="168" t="s">
        <v>2282</v>
      </c>
      <c r="D2016" s="229">
        <v>26.5</v>
      </c>
      <c r="E2016" s="229">
        <v>30.0</v>
      </c>
      <c r="F2016" s="230">
        <v>3.0</v>
      </c>
      <c r="G2016" s="232"/>
    </row>
    <row r="2017">
      <c r="A2017" s="2"/>
      <c r="B2017" s="168" t="s">
        <v>269</v>
      </c>
      <c r="C2017" s="168" t="s">
        <v>2283</v>
      </c>
      <c r="D2017" s="229">
        <v>26.5</v>
      </c>
      <c r="E2017" s="229">
        <v>30.0</v>
      </c>
      <c r="F2017" s="230">
        <v>3.0</v>
      </c>
      <c r="G2017" s="232"/>
    </row>
    <row r="2018">
      <c r="A2018" s="2"/>
      <c r="B2018" s="168" t="s">
        <v>255</v>
      </c>
      <c r="C2018" s="168" t="s">
        <v>2284</v>
      </c>
      <c r="D2018" s="229">
        <v>31.5</v>
      </c>
      <c r="E2018" s="229">
        <v>35.0</v>
      </c>
      <c r="F2018" s="230">
        <v>3.0</v>
      </c>
      <c r="G2018" s="232"/>
    </row>
    <row r="2019">
      <c r="A2019" s="2"/>
      <c r="B2019" s="168" t="s">
        <v>438</v>
      </c>
      <c r="C2019" s="168" t="s">
        <v>2285</v>
      </c>
      <c r="D2019" s="229">
        <v>29.5</v>
      </c>
      <c r="E2019" s="229">
        <v>33.0</v>
      </c>
      <c r="F2019" s="230">
        <v>3.0</v>
      </c>
      <c r="G2019" s="232"/>
    </row>
    <row r="2020">
      <c r="A2020" s="2"/>
      <c r="B2020" s="168" t="s">
        <v>255</v>
      </c>
      <c r="C2020" s="168" t="s">
        <v>2286</v>
      </c>
      <c r="D2020" s="229">
        <v>31.5</v>
      </c>
      <c r="E2020" s="229">
        <v>35.0</v>
      </c>
      <c r="F2020" s="230">
        <v>3.0</v>
      </c>
      <c r="G2020" s="232"/>
    </row>
    <row r="2021">
      <c r="A2021" s="2"/>
      <c r="B2021" s="168" t="s">
        <v>232</v>
      </c>
      <c r="C2021" s="168" t="s">
        <v>2287</v>
      </c>
      <c r="D2021" s="229">
        <v>30.5</v>
      </c>
      <c r="E2021" s="229">
        <v>34.0</v>
      </c>
      <c r="F2021" s="230">
        <v>3.0</v>
      </c>
      <c r="G2021" s="232"/>
    </row>
    <row r="2022">
      <c r="A2022" s="2"/>
      <c r="B2022" s="168" t="s">
        <v>230</v>
      </c>
      <c r="C2022" s="168" t="s">
        <v>2288</v>
      </c>
      <c r="D2022" s="229">
        <v>21.5</v>
      </c>
      <c r="E2022" s="229">
        <v>25.0</v>
      </c>
      <c r="F2022" s="230">
        <v>3.0</v>
      </c>
      <c r="G2022" s="232"/>
    </row>
    <row r="2023">
      <c r="A2023" s="2"/>
      <c r="B2023" s="168" t="s">
        <v>280</v>
      </c>
      <c r="C2023" s="168" t="s">
        <v>2289</v>
      </c>
      <c r="D2023" s="229">
        <v>34.0</v>
      </c>
      <c r="E2023" s="229">
        <v>37.5</v>
      </c>
      <c r="F2023" s="230">
        <v>3.0</v>
      </c>
      <c r="G2023" s="232"/>
    </row>
    <row r="2024">
      <c r="A2024" s="2"/>
      <c r="B2024" s="168" t="s">
        <v>273</v>
      </c>
      <c r="C2024" s="168" t="s">
        <v>2290</v>
      </c>
      <c r="D2024" s="229">
        <v>29.5</v>
      </c>
      <c r="E2024" s="229">
        <v>33.0</v>
      </c>
      <c r="F2024" s="230">
        <v>3.0</v>
      </c>
      <c r="G2024" s="232"/>
    </row>
    <row r="2025">
      <c r="A2025" s="2"/>
      <c r="B2025" s="168" t="s">
        <v>221</v>
      </c>
      <c r="C2025" s="168" t="s">
        <v>2291</v>
      </c>
      <c r="D2025" s="229">
        <v>27.5</v>
      </c>
      <c r="E2025" s="229">
        <v>31.0</v>
      </c>
      <c r="F2025" s="230">
        <v>3.0</v>
      </c>
      <c r="G2025" s="232"/>
    </row>
    <row r="2026">
      <c r="A2026" s="2"/>
      <c r="B2026" s="168" t="s">
        <v>232</v>
      </c>
      <c r="C2026" s="168" t="s">
        <v>2292</v>
      </c>
      <c r="D2026" s="229">
        <v>25.5</v>
      </c>
      <c r="E2026" s="229">
        <v>29.0</v>
      </c>
      <c r="F2026" s="230">
        <v>3.0</v>
      </c>
      <c r="G2026" s="232"/>
    </row>
    <row r="2027">
      <c r="A2027" s="2"/>
      <c r="B2027" s="168" t="s">
        <v>257</v>
      </c>
      <c r="C2027" s="168" t="s">
        <v>2293</v>
      </c>
      <c r="D2027" s="229">
        <v>28.5</v>
      </c>
      <c r="E2027" s="229">
        <v>32.0</v>
      </c>
      <c r="F2027" s="230">
        <v>3.0</v>
      </c>
      <c r="G2027" s="232"/>
    </row>
    <row r="2028">
      <c r="A2028" s="2"/>
      <c r="B2028" s="168" t="s">
        <v>230</v>
      </c>
      <c r="C2028" s="168" t="s">
        <v>2294</v>
      </c>
      <c r="D2028" s="229">
        <v>16.5</v>
      </c>
      <c r="E2028" s="229">
        <v>20.0</v>
      </c>
      <c r="F2028" s="230">
        <v>3.0</v>
      </c>
      <c r="G2028" s="232"/>
    </row>
    <row r="2029">
      <c r="A2029" s="2"/>
      <c r="B2029" s="168" t="s">
        <v>335</v>
      </c>
      <c r="C2029" s="168" t="s">
        <v>2295</v>
      </c>
      <c r="D2029" s="229">
        <v>34.5</v>
      </c>
      <c r="E2029" s="229">
        <v>38.0</v>
      </c>
      <c r="F2029" s="230">
        <v>3.0</v>
      </c>
      <c r="G2029" s="232"/>
    </row>
    <row r="2030">
      <c r="A2030" s="2"/>
      <c r="B2030" s="168" t="s">
        <v>230</v>
      </c>
      <c r="C2030" s="168" t="s">
        <v>2296</v>
      </c>
      <c r="D2030" s="229">
        <v>21.5</v>
      </c>
      <c r="E2030" s="229">
        <v>25.0</v>
      </c>
      <c r="F2030" s="230">
        <v>3.0</v>
      </c>
      <c r="G2030" s="232"/>
    </row>
    <row r="2031">
      <c r="A2031" s="2"/>
      <c r="B2031" s="168" t="s">
        <v>217</v>
      </c>
      <c r="C2031" s="168" t="s">
        <v>2297</v>
      </c>
      <c r="D2031" s="229">
        <v>27.5</v>
      </c>
      <c r="E2031" s="229">
        <v>31.0</v>
      </c>
      <c r="F2031" s="230">
        <v>3.0</v>
      </c>
      <c r="G2031" s="232"/>
    </row>
    <row r="2032">
      <c r="A2032" s="2"/>
      <c r="B2032" s="168" t="s">
        <v>230</v>
      </c>
      <c r="C2032" s="168" t="s">
        <v>2298</v>
      </c>
      <c r="D2032" s="229">
        <v>16.5</v>
      </c>
      <c r="E2032" s="229">
        <v>20.0</v>
      </c>
      <c r="F2032" s="230">
        <v>3.0</v>
      </c>
      <c r="G2032" s="232"/>
    </row>
    <row r="2033">
      <c r="A2033" s="2"/>
      <c r="B2033" s="168" t="s">
        <v>937</v>
      </c>
      <c r="C2033" s="168" t="s">
        <v>2299</v>
      </c>
      <c r="D2033" s="229">
        <v>21.5</v>
      </c>
      <c r="E2033" s="229">
        <v>25.0</v>
      </c>
      <c r="F2033" s="230">
        <v>3.0</v>
      </c>
      <c r="G2033" s="232"/>
    </row>
    <row r="2034">
      <c r="A2034" s="2"/>
      <c r="B2034" s="168" t="s">
        <v>275</v>
      </c>
      <c r="C2034" s="168" t="s">
        <v>2300</v>
      </c>
      <c r="D2034" s="229">
        <v>26.5</v>
      </c>
      <c r="E2034" s="229">
        <v>30.0</v>
      </c>
      <c r="F2034" s="230">
        <v>3.0</v>
      </c>
      <c r="G2034" s="232"/>
    </row>
    <row r="2035">
      <c r="A2035" s="2"/>
      <c r="B2035" s="168" t="s">
        <v>535</v>
      </c>
      <c r="C2035" s="168" t="s">
        <v>2301</v>
      </c>
      <c r="D2035" s="229">
        <v>26.5</v>
      </c>
      <c r="E2035" s="229">
        <v>30.0</v>
      </c>
      <c r="F2035" s="230">
        <v>3.0</v>
      </c>
      <c r="G2035" s="232"/>
    </row>
    <row r="2036">
      <c r="A2036" s="2"/>
      <c r="B2036" s="168" t="s">
        <v>255</v>
      </c>
      <c r="C2036" s="168" t="s">
        <v>2302</v>
      </c>
      <c r="D2036" s="229">
        <v>31.5</v>
      </c>
      <c r="E2036" s="229">
        <v>35.0</v>
      </c>
      <c r="F2036" s="230">
        <v>3.0</v>
      </c>
      <c r="G2036" s="232"/>
    </row>
    <row r="2037">
      <c r="A2037" s="2"/>
      <c r="B2037" s="168" t="s">
        <v>232</v>
      </c>
      <c r="C2037" s="168" t="s">
        <v>2303</v>
      </c>
      <c r="D2037" s="229">
        <v>25.5</v>
      </c>
      <c r="E2037" s="229">
        <v>29.0</v>
      </c>
      <c r="F2037" s="230">
        <v>3.0</v>
      </c>
      <c r="G2037" s="232"/>
    </row>
    <row r="2038">
      <c r="A2038" s="2"/>
      <c r="B2038" s="168" t="s">
        <v>217</v>
      </c>
      <c r="C2038" s="168" t="s">
        <v>2304</v>
      </c>
      <c r="D2038" s="229">
        <v>27.5</v>
      </c>
      <c r="E2038" s="229">
        <v>31.0</v>
      </c>
      <c r="F2038" s="230">
        <v>3.0</v>
      </c>
      <c r="G2038" s="232"/>
    </row>
    <row r="2039">
      <c r="A2039" s="2"/>
      <c r="B2039" s="168" t="s">
        <v>345</v>
      </c>
      <c r="C2039" s="168" t="s">
        <v>2305</v>
      </c>
      <c r="D2039" s="229">
        <v>26.5</v>
      </c>
      <c r="E2039" s="229">
        <v>30.0</v>
      </c>
      <c r="F2039" s="230">
        <v>3.0</v>
      </c>
      <c r="G2039" s="232"/>
    </row>
    <row r="2040">
      <c r="A2040" s="2"/>
      <c r="B2040" s="168" t="s">
        <v>230</v>
      </c>
      <c r="C2040" s="168" t="s">
        <v>2306</v>
      </c>
      <c r="D2040" s="229">
        <v>21.5</v>
      </c>
      <c r="E2040" s="229">
        <v>25.0</v>
      </c>
      <c r="F2040" s="230">
        <v>3.0</v>
      </c>
      <c r="G2040" s="232"/>
    </row>
    <row r="2041">
      <c r="A2041" s="2"/>
      <c r="B2041" s="168" t="s">
        <v>230</v>
      </c>
      <c r="C2041" s="168" t="s">
        <v>2307</v>
      </c>
      <c r="D2041" s="229">
        <v>21.5</v>
      </c>
      <c r="E2041" s="229">
        <v>25.0</v>
      </c>
      <c r="F2041" s="230">
        <v>3.0</v>
      </c>
      <c r="G2041" s="232"/>
    </row>
    <row r="2042">
      <c r="A2042" s="2"/>
      <c r="B2042" s="168" t="s">
        <v>234</v>
      </c>
      <c r="C2042" s="168" t="s">
        <v>2308</v>
      </c>
      <c r="D2042" s="229">
        <v>29.5</v>
      </c>
      <c r="E2042" s="229">
        <v>33.0</v>
      </c>
      <c r="F2042" s="230">
        <v>3.0</v>
      </c>
      <c r="G2042" s="232"/>
    </row>
    <row r="2043">
      <c r="A2043" s="2"/>
      <c r="B2043" s="168" t="s">
        <v>230</v>
      </c>
      <c r="C2043" s="168" t="s">
        <v>2309</v>
      </c>
      <c r="D2043" s="229">
        <v>21.5</v>
      </c>
      <c r="E2043" s="229">
        <v>25.0</v>
      </c>
      <c r="F2043" s="230">
        <v>3.0</v>
      </c>
      <c r="G2043" s="232"/>
    </row>
    <row r="2044">
      <c r="A2044" s="2"/>
      <c r="B2044" s="168" t="s">
        <v>223</v>
      </c>
      <c r="C2044" s="168" t="s">
        <v>2310</v>
      </c>
      <c r="D2044" s="229">
        <v>26.5</v>
      </c>
      <c r="E2044" s="229">
        <v>30.0</v>
      </c>
      <c r="F2044" s="230">
        <v>3.0</v>
      </c>
      <c r="G2044" s="232"/>
    </row>
    <row r="2045">
      <c r="A2045" s="2"/>
      <c r="B2045" s="168" t="s">
        <v>368</v>
      </c>
      <c r="C2045" s="168" t="s">
        <v>2311</v>
      </c>
      <c r="D2045" s="229">
        <v>32.5</v>
      </c>
      <c r="E2045" s="229">
        <v>36.0</v>
      </c>
      <c r="F2045" s="230">
        <v>3.0</v>
      </c>
      <c r="G2045" s="232"/>
    </row>
    <row r="2046">
      <c r="A2046" s="2"/>
      <c r="B2046" s="168" t="s">
        <v>221</v>
      </c>
      <c r="C2046" s="168" t="s">
        <v>2312</v>
      </c>
      <c r="D2046" s="229">
        <v>27.5</v>
      </c>
      <c r="E2046" s="229">
        <v>31.0</v>
      </c>
      <c r="F2046" s="230">
        <v>3.0</v>
      </c>
      <c r="G2046" s="232"/>
    </row>
    <row r="2047">
      <c r="A2047" s="2"/>
      <c r="B2047" s="168" t="s">
        <v>318</v>
      </c>
      <c r="C2047" s="168" t="s">
        <v>2313</v>
      </c>
      <c r="D2047" s="229">
        <v>25.5</v>
      </c>
      <c r="E2047" s="229">
        <v>29.0</v>
      </c>
      <c r="F2047" s="230">
        <v>3.0</v>
      </c>
      <c r="G2047" s="232"/>
    </row>
    <row r="2048">
      <c r="A2048" s="2"/>
      <c r="B2048" s="168" t="s">
        <v>232</v>
      </c>
      <c r="C2048" s="168" t="s">
        <v>2314</v>
      </c>
      <c r="D2048" s="229">
        <v>32.5</v>
      </c>
      <c r="E2048" s="229">
        <v>36.0</v>
      </c>
      <c r="F2048" s="230">
        <v>3.0</v>
      </c>
      <c r="G2048" s="232"/>
    </row>
    <row r="2049">
      <c r="A2049" s="2"/>
      <c r="B2049" s="168" t="s">
        <v>217</v>
      </c>
      <c r="C2049" s="168" t="s">
        <v>2315</v>
      </c>
      <c r="D2049" s="229">
        <v>27.5</v>
      </c>
      <c r="E2049" s="229">
        <v>31.0</v>
      </c>
      <c r="F2049" s="230">
        <v>3.0</v>
      </c>
      <c r="G2049" s="232"/>
    </row>
    <row r="2050">
      <c r="A2050" s="2"/>
      <c r="B2050" s="168" t="s">
        <v>223</v>
      </c>
      <c r="C2050" s="168" t="s">
        <v>2316</v>
      </c>
      <c r="D2050" s="229">
        <v>26.5</v>
      </c>
      <c r="E2050" s="229">
        <v>30.0</v>
      </c>
      <c r="F2050" s="230">
        <v>3.0</v>
      </c>
      <c r="G2050" s="232"/>
    </row>
    <row r="2051">
      <c r="A2051" s="2"/>
      <c r="B2051" s="168" t="s">
        <v>217</v>
      </c>
      <c r="C2051" s="168" t="s">
        <v>2317</v>
      </c>
      <c r="D2051" s="229">
        <v>27.5</v>
      </c>
      <c r="E2051" s="229">
        <v>31.0</v>
      </c>
      <c r="F2051" s="230">
        <v>3.0</v>
      </c>
      <c r="G2051" s="232"/>
    </row>
    <row r="2052">
      <c r="A2052" s="2"/>
      <c r="B2052" s="168" t="s">
        <v>215</v>
      </c>
      <c r="C2052" s="168" t="s">
        <v>2318</v>
      </c>
      <c r="D2052" s="229">
        <v>27.5</v>
      </c>
      <c r="E2052" s="229">
        <v>31.0</v>
      </c>
      <c r="F2052" s="230">
        <v>3.0</v>
      </c>
      <c r="G2052" s="232"/>
    </row>
    <row r="2053">
      <c r="A2053" s="2"/>
      <c r="B2053" s="168" t="s">
        <v>413</v>
      </c>
      <c r="C2053" s="168" t="s">
        <v>2319</v>
      </c>
      <c r="D2053" s="229">
        <v>29.5</v>
      </c>
      <c r="E2053" s="229">
        <v>33.0</v>
      </c>
      <c r="F2053" s="230">
        <v>3.0</v>
      </c>
      <c r="G2053" s="232"/>
    </row>
    <row r="2054">
      <c r="A2054" s="2"/>
      <c r="B2054" s="168" t="s">
        <v>232</v>
      </c>
      <c r="C2054" s="168" t="s">
        <v>2320</v>
      </c>
      <c r="D2054" s="229">
        <v>32.0</v>
      </c>
      <c r="E2054" s="229">
        <v>35.5</v>
      </c>
      <c r="F2054" s="230">
        <v>3.0</v>
      </c>
      <c r="G2054" s="232"/>
    </row>
    <row r="2055">
      <c r="A2055" s="2"/>
      <c r="B2055" s="168" t="s">
        <v>269</v>
      </c>
      <c r="C2055" s="168" t="s">
        <v>2321</v>
      </c>
      <c r="D2055" s="229">
        <v>26.5</v>
      </c>
      <c r="E2055" s="229">
        <v>30.0</v>
      </c>
      <c r="F2055" s="230">
        <v>3.0</v>
      </c>
      <c r="G2055" s="232"/>
    </row>
    <row r="2056">
      <c r="A2056" s="2"/>
      <c r="B2056" s="168" t="s">
        <v>811</v>
      </c>
      <c r="C2056" s="168" t="s">
        <v>2322</v>
      </c>
      <c r="D2056" s="229">
        <v>24.0</v>
      </c>
      <c r="E2056" s="229">
        <v>27.5</v>
      </c>
      <c r="F2056" s="230">
        <v>3.0</v>
      </c>
      <c r="G2056" s="232"/>
    </row>
    <row r="2057">
      <c r="A2057" s="2"/>
      <c r="B2057" s="168" t="s">
        <v>381</v>
      </c>
      <c r="C2057" s="168" t="s">
        <v>2323</v>
      </c>
      <c r="D2057" s="229">
        <v>28.5</v>
      </c>
      <c r="E2057" s="229">
        <v>32.0</v>
      </c>
      <c r="F2057" s="230">
        <v>3.0</v>
      </c>
      <c r="G2057" s="232"/>
    </row>
    <row r="2058">
      <c r="A2058" s="2"/>
      <c r="B2058" s="168" t="s">
        <v>223</v>
      </c>
      <c r="C2058" s="168" t="s">
        <v>2324</v>
      </c>
      <c r="D2058" s="229">
        <v>26.5</v>
      </c>
      <c r="E2058" s="229">
        <v>30.0</v>
      </c>
      <c r="F2058" s="230">
        <v>3.0</v>
      </c>
      <c r="G2058" s="232"/>
    </row>
    <row r="2059">
      <c r="A2059" s="2"/>
      <c r="B2059" s="168" t="s">
        <v>296</v>
      </c>
      <c r="C2059" s="168" t="s">
        <v>2325</v>
      </c>
      <c r="D2059" s="229">
        <v>26.5</v>
      </c>
      <c r="E2059" s="229">
        <v>30.0</v>
      </c>
      <c r="F2059" s="230">
        <v>3.0</v>
      </c>
      <c r="G2059" s="232"/>
    </row>
    <row r="2060">
      <c r="A2060" s="2"/>
      <c r="B2060" s="168" t="s">
        <v>230</v>
      </c>
      <c r="C2060" s="168" t="s">
        <v>2326</v>
      </c>
      <c r="D2060" s="229">
        <v>21.5</v>
      </c>
      <c r="E2060" s="229">
        <v>25.0</v>
      </c>
      <c r="F2060" s="230">
        <v>3.0</v>
      </c>
      <c r="G2060" s="232"/>
    </row>
    <row r="2061">
      <c r="A2061" s="2"/>
      <c r="B2061" s="168" t="s">
        <v>430</v>
      </c>
      <c r="C2061" s="168" t="s">
        <v>2327</v>
      </c>
      <c r="D2061" s="229">
        <v>34.5</v>
      </c>
      <c r="E2061" s="229">
        <v>38.0</v>
      </c>
      <c r="F2061" s="230">
        <v>3.0</v>
      </c>
      <c r="G2061" s="232"/>
    </row>
    <row r="2062">
      <c r="A2062" s="2"/>
      <c r="B2062" s="168" t="s">
        <v>257</v>
      </c>
      <c r="C2062" s="168" t="s">
        <v>2328</v>
      </c>
      <c r="D2062" s="229">
        <v>28.5</v>
      </c>
      <c r="E2062" s="229">
        <v>32.0</v>
      </c>
      <c r="F2062" s="230">
        <v>3.0</v>
      </c>
      <c r="G2062" s="232"/>
    </row>
    <row r="2063">
      <c r="A2063" s="2"/>
      <c r="B2063" s="168" t="s">
        <v>288</v>
      </c>
      <c r="C2063" s="168" t="s">
        <v>2329</v>
      </c>
      <c r="D2063" s="229">
        <v>21.5</v>
      </c>
      <c r="E2063" s="229">
        <v>25.0</v>
      </c>
      <c r="F2063" s="230">
        <v>3.0</v>
      </c>
      <c r="G2063" s="232"/>
    </row>
    <row r="2064">
      <c r="A2064" s="2"/>
      <c r="B2064" s="168" t="s">
        <v>337</v>
      </c>
      <c r="C2064" s="168" t="s">
        <v>2330</v>
      </c>
      <c r="D2064" s="229">
        <v>26.5</v>
      </c>
      <c r="E2064" s="229">
        <v>30.0</v>
      </c>
      <c r="F2064" s="230">
        <v>3.0</v>
      </c>
      <c r="G2064" s="232"/>
    </row>
    <row r="2065">
      <c r="A2065" s="2"/>
      <c r="B2065" s="168" t="s">
        <v>430</v>
      </c>
      <c r="C2065" s="168" t="s">
        <v>2331</v>
      </c>
      <c r="D2065" s="229">
        <v>34.5</v>
      </c>
      <c r="E2065" s="229">
        <v>38.0</v>
      </c>
      <c r="F2065" s="230">
        <v>3.0</v>
      </c>
      <c r="G2065" s="232"/>
    </row>
    <row r="2066">
      <c r="A2066" s="2"/>
      <c r="B2066" s="168" t="s">
        <v>245</v>
      </c>
      <c r="C2066" s="168" t="s">
        <v>2332</v>
      </c>
      <c r="D2066" s="229">
        <v>29.5</v>
      </c>
      <c r="E2066" s="229">
        <v>33.0</v>
      </c>
      <c r="F2066" s="230">
        <v>3.0</v>
      </c>
      <c r="G2066" s="232"/>
    </row>
    <row r="2067">
      <c r="A2067" s="2"/>
      <c r="B2067" s="168" t="s">
        <v>430</v>
      </c>
      <c r="C2067" s="168" t="s">
        <v>2333</v>
      </c>
      <c r="D2067" s="229">
        <v>34.5</v>
      </c>
      <c r="E2067" s="229">
        <v>38.0</v>
      </c>
      <c r="F2067" s="230">
        <v>3.0</v>
      </c>
      <c r="G2067" s="232"/>
    </row>
    <row r="2068">
      <c r="A2068" s="2"/>
      <c r="B2068" s="168" t="s">
        <v>269</v>
      </c>
      <c r="C2068" s="168" t="s">
        <v>2334</v>
      </c>
      <c r="D2068" s="229">
        <v>26.5</v>
      </c>
      <c r="E2068" s="229">
        <v>30.0</v>
      </c>
      <c r="F2068" s="230">
        <v>3.0</v>
      </c>
      <c r="G2068" s="232"/>
    </row>
    <row r="2069">
      <c r="A2069" s="2"/>
      <c r="B2069" s="168" t="s">
        <v>269</v>
      </c>
      <c r="C2069" s="168" t="s">
        <v>2335</v>
      </c>
      <c r="D2069" s="229">
        <v>21.5</v>
      </c>
      <c r="E2069" s="229">
        <v>25.0</v>
      </c>
      <c r="F2069" s="230">
        <v>3.0</v>
      </c>
      <c r="G2069" s="232"/>
    </row>
    <row r="2070">
      <c r="A2070" s="2"/>
      <c r="B2070" s="168" t="s">
        <v>232</v>
      </c>
      <c r="C2070" s="168" t="s">
        <v>2336</v>
      </c>
      <c r="D2070" s="229">
        <v>25.5</v>
      </c>
      <c r="E2070" s="229">
        <v>29.0</v>
      </c>
      <c r="F2070" s="230">
        <v>3.0</v>
      </c>
      <c r="G2070" s="232"/>
    </row>
    <row r="2071">
      <c r="A2071" s="2"/>
      <c r="B2071" s="168" t="s">
        <v>300</v>
      </c>
      <c r="C2071" s="168" t="s">
        <v>2337</v>
      </c>
      <c r="D2071" s="229">
        <v>28.0</v>
      </c>
      <c r="E2071" s="229">
        <v>31.5</v>
      </c>
      <c r="F2071" s="230">
        <v>3.0</v>
      </c>
      <c r="G2071" s="232"/>
    </row>
    <row r="2072">
      <c r="A2072" s="2"/>
      <c r="B2072" s="168" t="s">
        <v>262</v>
      </c>
      <c r="C2072" s="168" t="s">
        <v>2338</v>
      </c>
      <c r="D2072" s="229">
        <v>29.5</v>
      </c>
      <c r="E2072" s="229">
        <v>33.0</v>
      </c>
      <c r="F2072" s="230">
        <v>3.0</v>
      </c>
      <c r="G2072" s="232"/>
    </row>
    <row r="2073">
      <c r="A2073" s="2"/>
      <c r="B2073" s="168" t="s">
        <v>592</v>
      </c>
      <c r="C2073" s="168" t="s">
        <v>2339</v>
      </c>
      <c r="D2073" s="229">
        <v>34.5</v>
      </c>
      <c r="E2073" s="229">
        <v>38.0</v>
      </c>
      <c r="F2073" s="230">
        <v>3.0</v>
      </c>
      <c r="G2073" s="232"/>
    </row>
    <row r="2074">
      <c r="A2074" s="2"/>
      <c r="B2074" s="168" t="s">
        <v>592</v>
      </c>
      <c r="C2074" s="168" t="s">
        <v>2340</v>
      </c>
      <c r="D2074" s="229">
        <v>34.5</v>
      </c>
      <c r="E2074" s="229">
        <v>38.0</v>
      </c>
      <c r="F2074" s="230">
        <v>3.0</v>
      </c>
      <c r="G2074" s="232"/>
    </row>
    <row r="2075">
      <c r="A2075" s="2"/>
      <c r="B2075" s="168" t="s">
        <v>377</v>
      </c>
      <c r="C2075" s="168" t="s">
        <v>2341</v>
      </c>
      <c r="D2075" s="229">
        <v>29.5</v>
      </c>
      <c r="E2075" s="229">
        <v>33.0</v>
      </c>
      <c r="F2075" s="230">
        <v>3.0</v>
      </c>
      <c r="G2075" s="232"/>
    </row>
    <row r="2076">
      <c r="A2076" s="2"/>
      <c r="B2076" s="168" t="s">
        <v>245</v>
      </c>
      <c r="C2076" s="168" t="s">
        <v>2342</v>
      </c>
      <c r="D2076" s="229">
        <v>29.5</v>
      </c>
      <c r="E2076" s="229">
        <v>33.0</v>
      </c>
      <c r="F2076" s="230">
        <v>3.0</v>
      </c>
      <c r="G2076" s="232"/>
    </row>
    <row r="2077">
      <c r="A2077" s="2"/>
      <c r="B2077" s="168" t="s">
        <v>269</v>
      </c>
      <c r="C2077" s="168" t="s">
        <v>2343</v>
      </c>
      <c r="D2077" s="229">
        <v>21.5</v>
      </c>
      <c r="E2077" s="229">
        <v>25.0</v>
      </c>
      <c r="F2077" s="230">
        <v>3.0</v>
      </c>
      <c r="G2077" s="232"/>
    </row>
    <row r="2078">
      <c r="A2078" s="2"/>
      <c r="B2078" s="168" t="s">
        <v>368</v>
      </c>
      <c r="C2078" s="168" t="s">
        <v>2344</v>
      </c>
      <c r="D2078" s="229">
        <v>32.5</v>
      </c>
      <c r="E2078" s="229">
        <v>36.0</v>
      </c>
      <c r="F2078" s="230">
        <v>3.0</v>
      </c>
      <c r="G2078" s="232"/>
    </row>
    <row r="2079">
      <c r="A2079" s="2"/>
      <c r="B2079" s="168" t="s">
        <v>300</v>
      </c>
      <c r="C2079" s="168" t="s">
        <v>2345</v>
      </c>
      <c r="D2079" s="229">
        <v>24.5</v>
      </c>
      <c r="E2079" s="229">
        <v>28.0</v>
      </c>
      <c r="F2079" s="230">
        <v>3.0</v>
      </c>
      <c r="G2079" s="232"/>
    </row>
    <row r="2080">
      <c r="A2080" s="2"/>
      <c r="B2080" s="168" t="s">
        <v>592</v>
      </c>
      <c r="C2080" s="168" t="s">
        <v>2346</v>
      </c>
      <c r="D2080" s="229">
        <v>34.5</v>
      </c>
      <c r="E2080" s="229">
        <v>38.0</v>
      </c>
      <c r="F2080" s="230">
        <v>3.0</v>
      </c>
      <c r="G2080" s="232"/>
    </row>
    <row r="2081">
      <c r="A2081" s="2"/>
      <c r="B2081" s="168" t="s">
        <v>565</v>
      </c>
      <c r="C2081" s="168" t="s">
        <v>2347</v>
      </c>
      <c r="D2081" s="229">
        <v>24.5</v>
      </c>
      <c r="E2081" s="229">
        <v>28.0</v>
      </c>
      <c r="F2081" s="230">
        <v>3.0</v>
      </c>
      <c r="G2081" s="232"/>
    </row>
    <row r="2082">
      <c r="A2082" s="2"/>
      <c r="B2082" s="168" t="s">
        <v>290</v>
      </c>
      <c r="C2082" s="168" t="s">
        <v>2348</v>
      </c>
      <c r="D2082" s="229">
        <v>24.5</v>
      </c>
      <c r="E2082" s="229">
        <v>28.0</v>
      </c>
      <c r="F2082" s="230">
        <v>3.0</v>
      </c>
      <c r="G2082" s="232"/>
    </row>
    <row r="2083">
      <c r="A2083" s="2"/>
      <c r="B2083" s="168" t="s">
        <v>430</v>
      </c>
      <c r="C2083" s="168" t="s">
        <v>2349</v>
      </c>
      <c r="D2083" s="229">
        <v>34.5</v>
      </c>
      <c r="E2083" s="229">
        <v>38.0</v>
      </c>
      <c r="F2083" s="230">
        <v>3.0</v>
      </c>
      <c r="G2083" s="232"/>
    </row>
    <row r="2084">
      <c r="A2084" s="2"/>
      <c r="B2084" s="168" t="s">
        <v>232</v>
      </c>
      <c r="C2084" s="168" t="s">
        <v>2350</v>
      </c>
      <c r="D2084" s="229">
        <v>31.5</v>
      </c>
      <c r="E2084" s="229">
        <v>35.0</v>
      </c>
      <c r="F2084" s="230">
        <v>3.0</v>
      </c>
      <c r="G2084" s="232"/>
    </row>
    <row r="2085">
      <c r="A2085" s="2"/>
      <c r="B2085" s="168" t="s">
        <v>217</v>
      </c>
      <c r="C2085" s="168" t="s">
        <v>2351</v>
      </c>
      <c r="D2085" s="229">
        <v>27.5</v>
      </c>
      <c r="E2085" s="229">
        <v>31.0</v>
      </c>
      <c r="F2085" s="230">
        <v>3.0</v>
      </c>
      <c r="G2085" s="232"/>
    </row>
    <row r="2086">
      <c r="A2086" s="2"/>
      <c r="B2086" s="168" t="s">
        <v>288</v>
      </c>
      <c r="C2086" s="168" t="s">
        <v>2352</v>
      </c>
      <c r="D2086" s="229">
        <v>21.5</v>
      </c>
      <c r="E2086" s="229">
        <v>25.0</v>
      </c>
      <c r="F2086" s="230">
        <v>3.0</v>
      </c>
      <c r="G2086" s="232"/>
    </row>
    <row r="2087">
      <c r="A2087" s="2"/>
      <c r="B2087" s="168" t="s">
        <v>221</v>
      </c>
      <c r="C2087" s="168" t="s">
        <v>2353</v>
      </c>
      <c r="D2087" s="229">
        <v>27.5</v>
      </c>
      <c r="E2087" s="229">
        <v>31.0</v>
      </c>
      <c r="F2087" s="230">
        <v>3.0</v>
      </c>
      <c r="G2087" s="232"/>
    </row>
    <row r="2088">
      <c r="A2088" s="2"/>
      <c r="B2088" s="168" t="s">
        <v>275</v>
      </c>
      <c r="C2088" s="168" t="s">
        <v>2354</v>
      </c>
      <c r="D2088" s="229">
        <v>26.5</v>
      </c>
      <c r="E2088" s="229">
        <v>30.0</v>
      </c>
      <c r="F2088" s="230">
        <v>3.0</v>
      </c>
      <c r="G2088" s="232"/>
    </row>
    <row r="2089">
      <c r="A2089" s="2"/>
      <c r="B2089" s="168" t="s">
        <v>337</v>
      </c>
      <c r="C2089" s="168" t="s">
        <v>2355</v>
      </c>
      <c r="D2089" s="229">
        <v>28.5</v>
      </c>
      <c r="E2089" s="229">
        <v>32.0</v>
      </c>
      <c r="F2089" s="230">
        <v>3.0</v>
      </c>
      <c r="G2089" s="232"/>
    </row>
    <row r="2090">
      <c r="A2090" s="2"/>
      <c r="B2090" s="168" t="s">
        <v>234</v>
      </c>
      <c r="C2090" s="168" t="s">
        <v>2356</v>
      </c>
      <c r="D2090" s="229">
        <v>29.5</v>
      </c>
      <c r="E2090" s="229">
        <v>33.0</v>
      </c>
      <c r="F2090" s="230">
        <v>3.0</v>
      </c>
      <c r="G2090" s="232"/>
    </row>
    <row r="2091">
      <c r="A2091" s="2"/>
      <c r="B2091" s="168" t="s">
        <v>230</v>
      </c>
      <c r="C2091" s="168" t="s">
        <v>2357</v>
      </c>
      <c r="D2091" s="229">
        <v>21.5</v>
      </c>
      <c r="E2091" s="229">
        <v>25.0</v>
      </c>
      <c r="F2091" s="230">
        <v>3.0</v>
      </c>
      <c r="G2091" s="232"/>
    </row>
    <row r="2092">
      <c r="A2092" s="2"/>
      <c r="B2092" s="168" t="s">
        <v>251</v>
      </c>
      <c r="C2092" s="168" t="s">
        <v>2358</v>
      </c>
      <c r="D2092" s="229">
        <v>34.5</v>
      </c>
      <c r="E2092" s="229">
        <v>38.0</v>
      </c>
      <c r="F2092" s="230">
        <v>3.0</v>
      </c>
      <c r="G2092" s="232"/>
    </row>
    <row r="2093">
      <c r="A2093" s="2"/>
      <c r="B2093" s="168" t="s">
        <v>217</v>
      </c>
      <c r="C2093" s="168" t="s">
        <v>2359</v>
      </c>
      <c r="D2093" s="229">
        <v>27.5</v>
      </c>
      <c r="E2093" s="229">
        <v>31.0</v>
      </c>
      <c r="F2093" s="230">
        <v>3.0</v>
      </c>
      <c r="G2093" s="232"/>
    </row>
    <row r="2094">
      <c r="A2094" s="2"/>
      <c r="B2094" s="168" t="s">
        <v>269</v>
      </c>
      <c r="C2094" s="168" t="s">
        <v>2360</v>
      </c>
      <c r="D2094" s="229">
        <v>26.5</v>
      </c>
      <c r="E2094" s="229">
        <v>30.0</v>
      </c>
      <c r="F2094" s="230">
        <v>3.0</v>
      </c>
      <c r="G2094" s="232"/>
    </row>
    <row r="2095">
      <c r="A2095" s="2"/>
      <c r="B2095" s="168" t="s">
        <v>255</v>
      </c>
      <c r="C2095" s="168" t="s">
        <v>2361</v>
      </c>
      <c r="D2095" s="229">
        <v>31.5</v>
      </c>
      <c r="E2095" s="229">
        <v>35.0</v>
      </c>
      <c r="F2095" s="230">
        <v>3.0</v>
      </c>
      <c r="G2095" s="232"/>
    </row>
    <row r="2096">
      <c r="A2096" s="2"/>
      <c r="B2096" s="168" t="s">
        <v>232</v>
      </c>
      <c r="C2096" s="168" t="s">
        <v>2362</v>
      </c>
      <c r="D2096" s="229">
        <v>25.5</v>
      </c>
      <c r="E2096" s="229">
        <v>29.0</v>
      </c>
      <c r="F2096" s="230">
        <v>3.0</v>
      </c>
      <c r="G2096" s="232"/>
    </row>
    <row r="2097">
      <c r="A2097" s="2"/>
      <c r="B2097" s="168" t="s">
        <v>296</v>
      </c>
      <c r="C2097" s="168" t="s">
        <v>2363</v>
      </c>
      <c r="D2097" s="229">
        <v>26.5</v>
      </c>
      <c r="E2097" s="229">
        <v>30.0</v>
      </c>
      <c r="F2097" s="230">
        <v>3.0</v>
      </c>
      <c r="G2097" s="232"/>
    </row>
    <row r="2098">
      <c r="A2098" s="2"/>
      <c r="B2098" s="168" t="s">
        <v>273</v>
      </c>
      <c r="C2098" s="168" t="s">
        <v>2364</v>
      </c>
      <c r="D2098" s="229">
        <v>29.5</v>
      </c>
      <c r="E2098" s="229">
        <v>33.0</v>
      </c>
      <c r="F2098" s="230">
        <v>3.0</v>
      </c>
      <c r="G2098" s="232"/>
    </row>
    <row r="2099">
      <c r="A2099" s="2"/>
      <c r="B2099" s="168" t="s">
        <v>269</v>
      </c>
      <c r="C2099" s="168" t="s">
        <v>2365</v>
      </c>
      <c r="D2099" s="229">
        <v>26.5</v>
      </c>
      <c r="E2099" s="229">
        <v>30.0</v>
      </c>
      <c r="F2099" s="230">
        <v>3.0</v>
      </c>
      <c r="G2099" s="232"/>
    </row>
    <row r="2100">
      <c r="A2100" s="2"/>
      <c r="B2100" s="168" t="s">
        <v>230</v>
      </c>
      <c r="C2100" s="168" t="s">
        <v>2366</v>
      </c>
      <c r="D2100" s="229">
        <v>21.5</v>
      </c>
      <c r="E2100" s="229">
        <v>25.0</v>
      </c>
      <c r="F2100" s="230">
        <v>3.0</v>
      </c>
      <c r="G2100" s="232"/>
    </row>
    <row r="2101">
      <c r="A2101" s="2"/>
      <c r="B2101" s="168" t="s">
        <v>230</v>
      </c>
      <c r="C2101" s="168" t="s">
        <v>2367</v>
      </c>
      <c r="D2101" s="229">
        <v>16.5</v>
      </c>
      <c r="E2101" s="229">
        <v>20.0</v>
      </c>
      <c r="F2101" s="230">
        <v>3.0</v>
      </c>
      <c r="G2101" s="232"/>
    </row>
    <row r="2102">
      <c r="A2102" s="2"/>
      <c r="B2102" s="168" t="s">
        <v>230</v>
      </c>
      <c r="C2102" s="168" t="s">
        <v>2368</v>
      </c>
      <c r="D2102" s="229">
        <v>21.5</v>
      </c>
      <c r="E2102" s="229">
        <v>25.0</v>
      </c>
      <c r="F2102" s="230">
        <v>3.0</v>
      </c>
      <c r="G2102" s="232"/>
    </row>
    <row r="2103">
      <c r="A2103" s="2"/>
      <c r="B2103" s="168" t="s">
        <v>245</v>
      </c>
      <c r="C2103" s="168" t="s">
        <v>2369</v>
      </c>
      <c r="D2103" s="229">
        <v>27.5</v>
      </c>
      <c r="E2103" s="229">
        <v>31.0</v>
      </c>
      <c r="F2103" s="230">
        <v>3.0</v>
      </c>
      <c r="G2103" s="232"/>
    </row>
    <row r="2104">
      <c r="A2104" s="2"/>
      <c r="B2104" s="168" t="s">
        <v>269</v>
      </c>
      <c r="C2104" s="168" t="s">
        <v>2370</v>
      </c>
      <c r="D2104" s="229">
        <v>26.5</v>
      </c>
      <c r="E2104" s="229">
        <v>30.0</v>
      </c>
      <c r="F2104" s="230">
        <v>3.0</v>
      </c>
      <c r="G2104" s="232"/>
    </row>
    <row r="2105">
      <c r="A2105" s="2"/>
      <c r="B2105" s="168" t="s">
        <v>381</v>
      </c>
      <c r="C2105" s="168" t="s">
        <v>2371</v>
      </c>
      <c r="D2105" s="229">
        <v>20.5</v>
      </c>
      <c r="E2105" s="229">
        <v>24.0</v>
      </c>
      <c r="F2105" s="230">
        <v>3.0</v>
      </c>
      <c r="G2105" s="232"/>
    </row>
    <row r="2106">
      <c r="A2106" s="2"/>
      <c r="B2106" s="168" t="s">
        <v>241</v>
      </c>
      <c r="C2106" s="168" t="s">
        <v>2372</v>
      </c>
      <c r="D2106" s="229">
        <v>32.5</v>
      </c>
      <c r="E2106" s="229">
        <v>36.0</v>
      </c>
      <c r="F2106" s="230">
        <v>3.0</v>
      </c>
      <c r="G2106" s="232"/>
    </row>
    <row r="2107">
      <c r="A2107" s="2"/>
      <c r="B2107" s="168" t="s">
        <v>217</v>
      </c>
      <c r="C2107" s="168" t="s">
        <v>2373</v>
      </c>
      <c r="D2107" s="229">
        <v>27.5</v>
      </c>
      <c r="E2107" s="229">
        <v>31.0</v>
      </c>
      <c r="F2107" s="230">
        <v>3.0</v>
      </c>
      <c r="G2107" s="232"/>
    </row>
    <row r="2108">
      <c r="A2108" s="2"/>
      <c r="B2108" s="168" t="s">
        <v>592</v>
      </c>
      <c r="C2108" s="168" t="s">
        <v>2374</v>
      </c>
      <c r="D2108" s="229">
        <v>34.5</v>
      </c>
      <c r="E2108" s="229">
        <v>38.0</v>
      </c>
      <c r="F2108" s="230">
        <v>3.0</v>
      </c>
      <c r="G2108" s="232"/>
    </row>
    <row r="2109">
      <c r="A2109" s="2"/>
      <c r="B2109" s="168" t="s">
        <v>830</v>
      </c>
      <c r="C2109" s="168" t="s">
        <v>2375</v>
      </c>
      <c r="D2109" s="229">
        <v>24.5</v>
      </c>
      <c r="E2109" s="229">
        <v>28.0</v>
      </c>
      <c r="F2109" s="230">
        <v>3.0</v>
      </c>
      <c r="G2109" s="232"/>
    </row>
    <row r="2110">
      <c r="A2110" s="2"/>
      <c r="B2110" s="168" t="s">
        <v>239</v>
      </c>
      <c r="C2110" s="168" t="s">
        <v>2376</v>
      </c>
      <c r="D2110" s="229">
        <v>29.5</v>
      </c>
      <c r="E2110" s="229">
        <v>33.0</v>
      </c>
      <c r="F2110" s="230">
        <v>3.0</v>
      </c>
      <c r="G2110" s="232"/>
    </row>
    <row r="2111">
      <c r="A2111" s="2"/>
      <c r="B2111" s="168" t="s">
        <v>720</v>
      </c>
      <c r="C2111" s="168" t="s">
        <v>2377</v>
      </c>
      <c r="D2111" s="229">
        <v>30.5</v>
      </c>
      <c r="E2111" s="229">
        <v>34.0</v>
      </c>
      <c r="F2111" s="230">
        <v>3.0</v>
      </c>
      <c r="G2111" s="232"/>
    </row>
    <row r="2112">
      <c r="A2112" s="2"/>
      <c r="B2112" s="168" t="s">
        <v>269</v>
      </c>
      <c r="C2112" s="168" t="s">
        <v>2378</v>
      </c>
      <c r="D2112" s="229">
        <v>21.5</v>
      </c>
      <c r="E2112" s="229">
        <v>25.0</v>
      </c>
      <c r="F2112" s="230">
        <v>3.0</v>
      </c>
      <c r="G2112" s="232"/>
    </row>
    <row r="2113">
      <c r="A2113" s="2"/>
      <c r="B2113" s="168" t="s">
        <v>251</v>
      </c>
      <c r="C2113" s="168" t="s">
        <v>2379</v>
      </c>
      <c r="D2113" s="229">
        <v>34.5</v>
      </c>
      <c r="E2113" s="229">
        <v>38.0</v>
      </c>
      <c r="F2113" s="230">
        <v>3.0</v>
      </c>
      <c r="G2113" s="232"/>
    </row>
    <row r="2114">
      <c r="A2114" s="2"/>
      <c r="B2114" s="168" t="s">
        <v>230</v>
      </c>
      <c r="C2114" s="168" t="s">
        <v>2380</v>
      </c>
      <c r="D2114" s="229">
        <v>21.5</v>
      </c>
      <c r="E2114" s="229">
        <v>25.0</v>
      </c>
      <c r="F2114" s="230">
        <v>3.0</v>
      </c>
      <c r="G2114" s="232"/>
    </row>
    <row r="2115">
      <c r="A2115" s="2"/>
      <c r="B2115" s="168" t="s">
        <v>377</v>
      </c>
      <c r="C2115" s="168" t="s">
        <v>2381</v>
      </c>
      <c r="D2115" s="229">
        <v>28.5</v>
      </c>
      <c r="E2115" s="229">
        <v>32.0</v>
      </c>
      <c r="F2115" s="230">
        <v>3.0</v>
      </c>
      <c r="G2115" s="232"/>
    </row>
    <row r="2116">
      <c r="A2116" s="2"/>
      <c r="B2116" s="168" t="s">
        <v>328</v>
      </c>
      <c r="C2116" s="168" t="s">
        <v>2382</v>
      </c>
      <c r="D2116" s="229">
        <v>34.5</v>
      </c>
      <c r="E2116" s="229">
        <v>38.0</v>
      </c>
      <c r="F2116" s="230">
        <v>3.0</v>
      </c>
      <c r="G2116" s="232"/>
    </row>
    <row r="2117">
      <c r="A2117" s="2"/>
      <c r="B2117" s="168" t="s">
        <v>245</v>
      </c>
      <c r="C2117" s="168" t="s">
        <v>2383</v>
      </c>
      <c r="D2117" s="229">
        <v>29.5</v>
      </c>
      <c r="E2117" s="229">
        <v>33.0</v>
      </c>
      <c r="F2117" s="230">
        <v>3.0</v>
      </c>
      <c r="G2117" s="232"/>
    </row>
    <row r="2118">
      <c r="A2118" s="2"/>
      <c r="B2118" s="168" t="s">
        <v>223</v>
      </c>
      <c r="C2118" s="168" t="s">
        <v>2384</v>
      </c>
      <c r="D2118" s="229">
        <v>26.5</v>
      </c>
      <c r="E2118" s="229">
        <v>30.0</v>
      </c>
      <c r="F2118" s="230">
        <v>3.0</v>
      </c>
      <c r="G2118" s="232"/>
    </row>
    <row r="2119">
      <c r="A2119" s="2"/>
      <c r="B2119" s="168" t="s">
        <v>300</v>
      </c>
      <c r="C2119" s="168" t="s">
        <v>2385</v>
      </c>
      <c r="D2119" s="229">
        <v>23.5</v>
      </c>
      <c r="E2119" s="229">
        <v>27.0</v>
      </c>
      <c r="F2119" s="230">
        <v>3.0</v>
      </c>
      <c r="G2119" s="232"/>
    </row>
    <row r="2120">
      <c r="A2120" s="2"/>
      <c r="B2120" s="168" t="s">
        <v>236</v>
      </c>
      <c r="C2120" s="168" t="s">
        <v>2386</v>
      </c>
      <c r="D2120" s="229">
        <v>34.5</v>
      </c>
      <c r="E2120" s="229">
        <v>38.0</v>
      </c>
      <c r="F2120" s="230">
        <v>3.0</v>
      </c>
      <c r="G2120" s="232"/>
    </row>
    <row r="2121">
      <c r="A2121" s="2"/>
      <c r="B2121" s="168" t="s">
        <v>280</v>
      </c>
      <c r="C2121" s="168" t="s">
        <v>2387</v>
      </c>
      <c r="D2121" s="229">
        <v>28.5</v>
      </c>
      <c r="E2121" s="229">
        <v>32.0</v>
      </c>
      <c r="F2121" s="230">
        <v>3.0</v>
      </c>
      <c r="G2121" s="232"/>
    </row>
    <row r="2122">
      <c r="A2122" s="2"/>
      <c r="B2122" s="168" t="s">
        <v>337</v>
      </c>
      <c r="C2122" s="168" t="s">
        <v>2388</v>
      </c>
      <c r="D2122" s="229">
        <v>28.5</v>
      </c>
      <c r="E2122" s="229">
        <v>32.0</v>
      </c>
      <c r="F2122" s="230">
        <v>3.0</v>
      </c>
      <c r="G2122" s="232"/>
    </row>
    <row r="2123">
      <c r="A2123" s="2"/>
      <c r="B2123" s="168" t="s">
        <v>269</v>
      </c>
      <c r="C2123" s="168" t="s">
        <v>2389</v>
      </c>
      <c r="D2123" s="229">
        <v>26.5</v>
      </c>
      <c r="E2123" s="229">
        <v>30.0</v>
      </c>
      <c r="F2123" s="230">
        <v>3.0</v>
      </c>
      <c r="G2123" s="232"/>
    </row>
    <row r="2124">
      <c r="A2124" s="2"/>
      <c r="B2124" s="168" t="s">
        <v>241</v>
      </c>
      <c r="C2124" s="168" t="s">
        <v>2390</v>
      </c>
      <c r="D2124" s="229">
        <v>27.5</v>
      </c>
      <c r="E2124" s="229">
        <v>31.0</v>
      </c>
      <c r="F2124" s="230">
        <v>3.0</v>
      </c>
      <c r="G2124" s="232"/>
    </row>
    <row r="2125">
      <c r="A2125" s="2"/>
      <c r="B2125" s="168" t="s">
        <v>230</v>
      </c>
      <c r="C2125" s="168" t="s">
        <v>2391</v>
      </c>
      <c r="D2125" s="229">
        <v>16.5</v>
      </c>
      <c r="E2125" s="229">
        <v>20.0</v>
      </c>
      <c r="F2125" s="230">
        <v>3.0</v>
      </c>
      <c r="G2125" s="232"/>
    </row>
    <row r="2126">
      <c r="A2126" s="2"/>
      <c r="B2126" s="168" t="s">
        <v>239</v>
      </c>
      <c r="C2126" s="168" t="s">
        <v>2392</v>
      </c>
      <c r="D2126" s="229">
        <v>29.0</v>
      </c>
      <c r="E2126" s="229">
        <v>32.5</v>
      </c>
      <c r="F2126" s="230">
        <v>3.0</v>
      </c>
      <c r="G2126" s="232"/>
    </row>
    <row r="2127">
      <c r="A2127" s="2"/>
      <c r="B2127" s="168" t="s">
        <v>296</v>
      </c>
      <c r="C2127" s="168" t="s">
        <v>2393</v>
      </c>
      <c r="D2127" s="229">
        <v>26.5</v>
      </c>
      <c r="E2127" s="229">
        <v>30.0</v>
      </c>
      <c r="F2127" s="230">
        <v>3.0</v>
      </c>
      <c r="G2127" s="232"/>
    </row>
    <row r="2128">
      <c r="A2128" s="2"/>
      <c r="B2128" s="168" t="s">
        <v>348</v>
      </c>
      <c r="C2128" s="168" t="s">
        <v>2394</v>
      </c>
      <c r="D2128" s="229">
        <v>24.5</v>
      </c>
      <c r="E2128" s="229">
        <v>28.0</v>
      </c>
      <c r="F2128" s="230">
        <v>3.0</v>
      </c>
      <c r="G2128" s="232"/>
    </row>
    <row r="2129">
      <c r="A2129" s="2"/>
      <c r="B2129" s="168" t="s">
        <v>269</v>
      </c>
      <c r="C2129" s="168" t="s">
        <v>2395</v>
      </c>
      <c r="D2129" s="229">
        <v>26.5</v>
      </c>
      <c r="E2129" s="229">
        <v>30.0</v>
      </c>
      <c r="F2129" s="230">
        <v>3.0</v>
      </c>
      <c r="G2129" s="232"/>
    </row>
    <row r="2130">
      <c r="A2130" s="2"/>
      <c r="B2130" s="168" t="s">
        <v>273</v>
      </c>
      <c r="C2130" s="168" t="s">
        <v>2396</v>
      </c>
      <c r="D2130" s="229">
        <v>29.5</v>
      </c>
      <c r="E2130" s="229">
        <v>33.0</v>
      </c>
      <c r="F2130" s="230">
        <v>3.0</v>
      </c>
      <c r="G2130" s="232"/>
    </row>
    <row r="2131">
      <c r="A2131" s="2"/>
      <c r="B2131" s="168" t="s">
        <v>223</v>
      </c>
      <c r="C2131" s="168" t="s">
        <v>2397</v>
      </c>
      <c r="D2131" s="229">
        <v>26.5</v>
      </c>
      <c r="E2131" s="229">
        <v>30.0</v>
      </c>
      <c r="F2131" s="230">
        <v>3.0</v>
      </c>
      <c r="G2131" s="232"/>
    </row>
    <row r="2132">
      <c r="A2132" s="2"/>
      <c r="B2132" s="168" t="s">
        <v>236</v>
      </c>
      <c r="C2132" s="168" t="s">
        <v>2398</v>
      </c>
      <c r="D2132" s="229">
        <v>34.5</v>
      </c>
      <c r="E2132" s="229">
        <v>38.0</v>
      </c>
      <c r="F2132" s="230">
        <v>3.0</v>
      </c>
      <c r="G2132" s="232"/>
    </row>
    <row r="2133">
      <c r="A2133" s="2"/>
      <c r="B2133" s="168" t="s">
        <v>318</v>
      </c>
      <c r="C2133" s="168" t="s">
        <v>2399</v>
      </c>
      <c r="D2133" s="229">
        <v>25.5</v>
      </c>
      <c r="E2133" s="229">
        <v>29.0</v>
      </c>
      <c r="F2133" s="230">
        <v>3.0</v>
      </c>
      <c r="G2133" s="232"/>
    </row>
    <row r="2134">
      <c r="A2134" s="2"/>
      <c r="B2134" s="168" t="s">
        <v>255</v>
      </c>
      <c r="C2134" s="168" t="s">
        <v>2400</v>
      </c>
      <c r="D2134" s="229">
        <v>31.5</v>
      </c>
      <c r="E2134" s="229">
        <v>35.0</v>
      </c>
      <c r="F2134" s="230">
        <v>3.0</v>
      </c>
      <c r="G2134" s="232"/>
    </row>
    <row r="2135">
      <c r="A2135" s="2"/>
      <c r="B2135" s="168" t="s">
        <v>269</v>
      </c>
      <c r="C2135" s="168" t="s">
        <v>2401</v>
      </c>
      <c r="D2135" s="229">
        <v>26.5</v>
      </c>
      <c r="E2135" s="229">
        <v>30.0</v>
      </c>
      <c r="F2135" s="230">
        <v>3.0</v>
      </c>
      <c r="G2135" s="232"/>
    </row>
    <row r="2136">
      <c r="A2136" s="2"/>
      <c r="B2136" s="168" t="s">
        <v>269</v>
      </c>
      <c r="C2136" s="168" t="s">
        <v>2402</v>
      </c>
      <c r="D2136" s="229">
        <v>26.5</v>
      </c>
      <c r="E2136" s="229">
        <v>30.0</v>
      </c>
      <c r="F2136" s="230">
        <v>3.0</v>
      </c>
      <c r="G2136" s="232"/>
    </row>
    <row r="2137">
      <c r="A2137" s="2"/>
      <c r="B2137" s="168" t="s">
        <v>348</v>
      </c>
      <c r="C2137" s="168" t="s">
        <v>348</v>
      </c>
      <c r="D2137" s="229">
        <v>24.5</v>
      </c>
      <c r="E2137" s="229">
        <v>28.0</v>
      </c>
      <c r="F2137" s="230">
        <v>3.0</v>
      </c>
      <c r="G2137" s="232"/>
    </row>
    <row r="2138">
      <c r="A2138" s="2"/>
      <c r="B2138" s="168" t="s">
        <v>255</v>
      </c>
      <c r="C2138" s="168" t="s">
        <v>2403</v>
      </c>
      <c r="D2138" s="229">
        <v>31.5</v>
      </c>
      <c r="E2138" s="229">
        <v>35.0</v>
      </c>
      <c r="F2138" s="230">
        <v>3.0</v>
      </c>
      <c r="G2138" s="232"/>
    </row>
    <row r="2139">
      <c r="A2139" s="2"/>
      <c r="B2139" s="168" t="s">
        <v>318</v>
      </c>
      <c r="C2139" s="168" t="s">
        <v>2404</v>
      </c>
      <c r="D2139" s="229">
        <v>25.5</v>
      </c>
      <c r="E2139" s="229">
        <v>29.0</v>
      </c>
      <c r="F2139" s="230">
        <v>3.0</v>
      </c>
      <c r="G2139" s="232"/>
    </row>
    <row r="2140">
      <c r="A2140" s="2"/>
      <c r="B2140" s="168" t="s">
        <v>811</v>
      </c>
      <c r="C2140" s="168" t="s">
        <v>2405</v>
      </c>
      <c r="D2140" s="229">
        <v>24.5</v>
      </c>
      <c r="E2140" s="229">
        <v>28.0</v>
      </c>
      <c r="F2140" s="230">
        <v>3.0</v>
      </c>
      <c r="G2140" s="232"/>
    </row>
    <row r="2141">
      <c r="A2141" s="2"/>
      <c r="B2141" s="168" t="s">
        <v>269</v>
      </c>
      <c r="C2141" s="168" t="s">
        <v>2406</v>
      </c>
      <c r="D2141" s="229">
        <v>26.5</v>
      </c>
      <c r="E2141" s="229">
        <v>30.0</v>
      </c>
      <c r="F2141" s="230">
        <v>3.0</v>
      </c>
      <c r="G2141" s="232"/>
    </row>
    <row r="2142">
      <c r="A2142" s="2"/>
      <c r="B2142" s="168" t="s">
        <v>236</v>
      </c>
      <c r="C2142" s="168" t="s">
        <v>2407</v>
      </c>
      <c r="D2142" s="229">
        <v>34.5</v>
      </c>
      <c r="E2142" s="229">
        <v>38.0</v>
      </c>
      <c r="F2142" s="230">
        <v>3.0</v>
      </c>
      <c r="G2142" s="232"/>
    </row>
    <row r="2143">
      <c r="A2143" s="2"/>
      <c r="B2143" s="168" t="s">
        <v>273</v>
      </c>
      <c r="C2143" s="168" t="s">
        <v>2408</v>
      </c>
      <c r="D2143" s="229">
        <v>24.5</v>
      </c>
      <c r="E2143" s="229">
        <v>28.0</v>
      </c>
      <c r="F2143" s="230">
        <v>3.0</v>
      </c>
      <c r="G2143" s="232"/>
    </row>
    <row r="2144">
      <c r="A2144" s="2"/>
      <c r="B2144" s="168" t="s">
        <v>221</v>
      </c>
      <c r="C2144" s="168" t="s">
        <v>2409</v>
      </c>
      <c r="D2144" s="229">
        <v>27.5</v>
      </c>
      <c r="E2144" s="229">
        <v>31.0</v>
      </c>
      <c r="F2144" s="230">
        <v>3.0</v>
      </c>
      <c r="G2144" s="232"/>
    </row>
    <row r="2145">
      <c r="A2145" s="2"/>
      <c r="B2145" s="168" t="s">
        <v>269</v>
      </c>
      <c r="C2145" s="168" t="s">
        <v>2410</v>
      </c>
      <c r="D2145" s="229">
        <v>26.5</v>
      </c>
      <c r="E2145" s="229">
        <v>30.0</v>
      </c>
      <c r="F2145" s="230">
        <v>3.0</v>
      </c>
      <c r="G2145" s="232"/>
    </row>
    <row r="2146">
      <c r="A2146" s="2"/>
      <c r="B2146" s="168" t="s">
        <v>245</v>
      </c>
      <c r="C2146" s="168" t="s">
        <v>2411</v>
      </c>
      <c r="D2146" s="229">
        <v>29.5</v>
      </c>
      <c r="E2146" s="229">
        <v>33.0</v>
      </c>
      <c r="F2146" s="230">
        <v>3.0</v>
      </c>
      <c r="G2146" s="232"/>
    </row>
    <row r="2147">
      <c r="A2147" s="2"/>
      <c r="B2147" s="168" t="s">
        <v>215</v>
      </c>
      <c r="C2147" s="168" t="s">
        <v>2412</v>
      </c>
      <c r="D2147" s="229">
        <v>29.5</v>
      </c>
      <c r="E2147" s="229">
        <v>33.0</v>
      </c>
      <c r="F2147" s="230">
        <v>3.0</v>
      </c>
      <c r="G2147" s="232"/>
    </row>
    <row r="2148">
      <c r="A2148" s="2"/>
      <c r="B2148" s="168" t="s">
        <v>296</v>
      </c>
      <c r="C2148" s="168" t="s">
        <v>2413</v>
      </c>
      <c r="D2148" s="229">
        <v>26.5</v>
      </c>
      <c r="E2148" s="229">
        <v>30.0</v>
      </c>
      <c r="F2148" s="230">
        <v>3.0</v>
      </c>
      <c r="G2148" s="232"/>
    </row>
    <row r="2149">
      <c r="A2149" s="2"/>
      <c r="B2149" s="168" t="s">
        <v>241</v>
      </c>
      <c r="C2149" s="168" t="s">
        <v>2414</v>
      </c>
      <c r="D2149" s="229">
        <v>32.5</v>
      </c>
      <c r="E2149" s="229">
        <v>36.0</v>
      </c>
      <c r="F2149" s="230">
        <v>3.0</v>
      </c>
      <c r="G2149" s="232"/>
    </row>
    <row r="2150">
      <c r="A2150" s="2"/>
      <c r="B2150" s="168" t="s">
        <v>223</v>
      </c>
      <c r="C2150" s="168" t="s">
        <v>2415</v>
      </c>
      <c r="D2150" s="229">
        <v>26.5</v>
      </c>
      <c r="E2150" s="229">
        <v>30.0</v>
      </c>
      <c r="F2150" s="230">
        <v>3.0</v>
      </c>
      <c r="G2150" s="232"/>
    </row>
    <row r="2151">
      <c r="A2151" s="2"/>
      <c r="B2151" s="168" t="s">
        <v>2416</v>
      </c>
      <c r="C2151" s="168" t="s">
        <v>2416</v>
      </c>
      <c r="D2151" s="229">
        <v>26.5</v>
      </c>
      <c r="E2151" s="229">
        <v>30.0</v>
      </c>
      <c r="F2151" s="230">
        <v>3.0</v>
      </c>
      <c r="G2151" s="232"/>
    </row>
    <row r="2152">
      <c r="A2152" s="2"/>
      <c r="B2152" s="168" t="s">
        <v>269</v>
      </c>
      <c r="C2152" s="168" t="s">
        <v>2417</v>
      </c>
      <c r="D2152" s="229">
        <v>26.5</v>
      </c>
      <c r="E2152" s="229">
        <v>30.0</v>
      </c>
      <c r="F2152" s="230">
        <v>3.0</v>
      </c>
      <c r="G2152" s="232"/>
    </row>
    <row r="2153">
      <c r="A2153" s="2"/>
      <c r="B2153" s="168" t="s">
        <v>260</v>
      </c>
      <c r="C2153" s="168" t="s">
        <v>2418</v>
      </c>
      <c r="D2153" s="229">
        <v>28.5</v>
      </c>
      <c r="E2153" s="229">
        <v>32.0</v>
      </c>
      <c r="F2153" s="230">
        <v>3.0</v>
      </c>
      <c r="G2153" s="232"/>
    </row>
    <row r="2154">
      <c r="A2154" s="2"/>
      <c r="B2154" s="168" t="s">
        <v>296</v>
      </c>
      <c r="C2154" s="168" t="s">
        <v>2419</v>
      </c>
      <c r="D2154" s="229">
        <v>26.5</v>
      </c>
      <c r="E2154" s="229">
        <v>30.0</v>
      </c>
      <c r="F2154" s="230">
        <v>3.0</v>
      </c>
      <c r="G2154" s="232"/>
    </row>
    <row r="2155">
      <c r="A2155" s="2"/>
      <c r="B2155" s="168" t="s">
        <v>257</v>
      </c>
      <c r="C2155" s="168" t="s">
        <v>2420</v>
      </c>
      <c r="D2155" s="229">
        <v>28.5</v>
      </c>
      <c r="E2155" s="229">
        <v>32.0</v>
      </c>
      <c r="F2155" s="230">
        <v>3.0</v>
      </c>
      <c r="G2155" s="232"/>
    </row>
    <row r="2156">
      <c r="A2156" s="2"/>
      <c r="B2156" s="168" t="s">
        <v>269</v>
      </c>
      <c r="C2156" s="168" t="s">
        <v>2421</v>
      </c>
      <c r="D2156" s="229">
        <v>26.5</v>
      </c>
      <c r="E2156" s="229">
        <v>30.0</v>
      </c>
      <c r="F2156" s="230">
        <v>3.0</v>
      </c>
      <c r="G2156" s="232"/>
    </row>
    <row r="2157">
      <c r="A2157" s="2"/>
      <c r="B2157" s="168" t="s">
        <v>217</v>
      </c>
      <c r="C2157" s="168" t="s">
        <v>2422</v>
      </c>
      <c r="D2157" s="229">
        <v>22.5</v>
      </c>
      <c r="E2157" s="229">
        <v>26.0</v>
      </c>
      <c r="F2157" s="230">
        <v>3.0</v>
      </c>
      <c r="G2157" s="232"/>
    </row>
    <row r="2158">
      <c r="A2158" s="2"/>
      <c r="B2158" s="168" t="s">
        <v>245</v>
      </c>
      <c r="C2158" s="168" t="s">
        <v>2423</v>
      </c>
      <c r="D2158" s="229">
        <v>29.5</v>
      </c>
      <c r="E2158" s="229">
        <v>33.0</v>
      </c>
      <c r="F2158" s="230">
        <v>3.0</v>
      </c>
      <c r="G2158" s="232"/>
    </row>
    <row r="2159">
      <c r="A2159" s="2"/>
      <c r="B2159" s="168" t="s">
        <v>230</v>
      </c>
      <c r="C2159" s="168" t="s">
        <v>2424</v>
      </c>
      <c r="D2159" s="229">
        <v>16.5</v>
      </c>
      <c r="E2159" s="229">
        <v>20.0</v>
      </c>
      <c r="F2159" s="230">
        <v>3.0</v>
      </c>
      <c r="G2159" s="232"/>
    </row>
    <row r="2160">
      <c r="A2160" s="2"/>
      <c r="B2160" s="168" t="s">
        <v>337</v>
      </c>
      <c r="C2160" s="168" t="s">
        <v>2425</v>
      </c>
      <c r="D2160" s="229">
        <v>28.5</v>
      </c>
      <c r="E2160" s="229">
        <v>32.0</v>
      </c>
      <c r="F2160" s="230">
        <v>3.0</v>
      </c>
      <c r="G2160" s="232"/>
    </row>
    <row r="2161">
      <c r="A2161" s="2"/>
      <c r="B2161" s="168" t="s">
        <v>377</v>
      </c>
      <c r="C2161" s="168" t="s">
        <v>2426</v>
      </c>
      <c r="D2161" s="229">
        <v>29.5</v>
      </c>
      <c r="E2161" s="229">
        <v>33.0</v>
      </c>
      <c r="F2161" s="230">
        <v>3.0</v>
      </c>
      <c r="G2161" s="232"/>
    </row>
    <row r="2162">
      <c r="A2162" s="2"/>
      <c r="B2162" s="168" t="s">
        <v>337</v>
      </c>
      <c r="C2162" s="168" t="s">
        <v>2427</v>
      </c>
      <c r="D2162" s="229">
        <v>28.5</v>
      </c>
      <c r="E2162" s="229">
        <v>32.0</v>
      </c>
      <c r="F2162" s="230">
        <v>3.0</v>
      </c>
      <c r="G2162" s="232"/>
    </row>
    <row r="2163">
      <c r="A2163" s="2"/>
      <c r="B2163" s="168" t="s">
        <v>243</v>
      </c>
      <c r="C2163" s="168" t="s">
        <v>2428</v>
      </c>
      <c r="D2163" s="229">
        <v>29.5</v>
      </c>
      <c r="E2163" s="229">
        <v>33.0</v>
      </c>
      <c r="F2163" s="230">
        <v>3.0</v>
      </c>
      <c r="G2163" s="232"/>
    </row>
    <row r="2164">
      <c r="A2164" s="2"/>
      <c r="B2164" s="168" t="s">
        <v>337</v>
      </c>
      <c r="C2164" s="168" t="s">
        <v>2429</v>
      </c>
      <c r="D2164" s="229">
        <v>28.5</v>
      </c>
      <c r="E2164" s="229">
        <v>32.0</v>
      </c>
      <c r="F2164" s="230">
        <v>3.0</v>
      </c>
      <c r="G2164" s="232"/>
    </row>
    <row r="2165">
      <c r="A2165" s="2"/>
      <c r="B2165" s="168" t="s">
        <v>239</v>
      </c>
      <c r="C2165" s="168" t="s">
        <v>2430</v>
      </c>
      <c r="D2165" s="229">
        <v>29.5</v>
      </c>
      <c r="E2165" s="229">
        <v>33.0</v>
      </c>
      <c r="F2165" s="230">
        <v>3.0</v>
      </c>
      <c r="G2165" s="232"/>
    </row>
    <row r="2166">
      <c r="A2166" s="2"/>
      <c r="B2166" s="168" t="s">
        <v>245</v>
      </c>
      <c r="C2166" s="168" t="s">
        <v>2431</v>
      </c>
      <c r="D2166" s="229">
        <v>26.0</v>
      </c>
      <c r="E2166" s="229">
        <v>29.5</v>
      </c>
      <c r="F2166" s="230">
        <v>3.0</v>
      </c>
      <c r="G2166" s="232"/>
    </row>
    <row r="2167">
      <c r="A2167" s="2"/>
      <c r="B2167" s="168" t="s">
        <v>215</v>
      </c>
      <c r="C2167" s="168" t="s">
        <v>2432</v>
      </c>
      <c r="D2167" s="229">
        <v>27.5</v>
      </c>
      <c r="E2167" s="229">
        <v>31.0</v>
      </c>
      <c r="F2167" s="230">
        <v>3.0</v>
      </c>
      <c r="G2167" s="232"/>
    </row>
    <row r="2168">
      <c r="A2168" s="2"/>
      <c r="B2168" s="168" t="s">
        <v>243</v>
      </c>
      <c r="C2168" s="168" t="s">
        <v>2433</v>
      </c>
      <c r="D2168" s="229">
        <v>29.5</v>
      </c>
      <c r="E2168" s="229">
        <v>33.0</v>
      </c>
      <c r="F2168" s="230">
        <v>3.0</v>
      </c>
      <c r="G2168" s="232"/>
    </row>
    <row r="2169">
      <c r="A2169" s="2"/>
      <c r="B2169" s="168" t="s">
        <v>290</v>
      </c>
      <c r="C2169" s="168" t="s">
        <v>2434</v>
      </c>
      <c r="D2169" s="229">
        <v>29.5</v>
      </c>
      <c r="E2169" s="229">
        <v>33.0</v>
      </c>
      <c r="F2169" s="230">
        <v>3.0</v>
      </c>
      <c r="G2169" s="232"/>
    </row>
    <row r="2170">
      <c r="A2170" s="2"/>
      <c r="B2170" s="168" t="s">
        <v>337</v>
      </c>
      <c r="C2170" s="168" t="s">
        <v>2435</v>
      </c>
      <c r="D2170" s="229">
        <v>28.5</v>
      </c>
      <c r="E2170" s="229">
        <v>32.0</v>
      </c>
      <c r="F2170" s="230">
        <v>3.0</v>
      </c>
      <c r="G2170" s="232"/>
    </row>
    <row r="2171">
      <c r="A2171" s="2"/>
      <c r="B2171" s="168" t="s">
        <v>239</v>
      </c>
      <c r="C2171" s="168" t="s">
        <v>2436</v>
      </c>
      <c r="D2171" s="229">
        <v>29.5</v>
      </c>
      <c r="E2171" s="229">
        <v>33.0</v>
      </c>
      <c r="F2171" s="230">
        <v>3.0</v>
      </c>
      <c r="G2171" s="232"/>
    </row>
    <row r="2172">
      <c r="A2172" s="2"/>
      <c r="B2172" s="168" t="s">
        <v>318</v>
      </c>
      <c r="C2172" s="168" t="s">
        <v>2437</v>
      </c>
      <c r="D2172" s="229">
        <v>25.5</v>
      </c>
      <c r="E2172" s="229">
        <v>29.0</v>
      </c>
      <c r="F2172" s="230">
        <v>3.0</v>
      </c>
      <c r="G2172" s="232"/>
    </row>
    <row r="2173">
      <c r="A2173" s="2"/>
      <c r="B2173" s="168" t="s">
        <v>255</v>
      </c>
      <c r="C2173" s="168" t="s">
        <v>2438</v>
      </c>
      <c r="D2173" s="229">
        <v>31.5</v>
      </c>
      <c r="E2173" s="229">
        <v>35.0</v>
      </c>
      <c r="F2173" s="230">
        <v>3.0</v>
      </c>
      <c r="G2173" s="232"/>
    </row>
    <row r="2174">
      <c r="A2174" s="2"/>
      <c r="B2174" s="168" t="s">
        <v>217</v>
      </c>
      <c r="C2174" s="168" t="s">
        <v>2439</v>
      </c>
      <c r="D2174" s="229">
        <v>27.5</v>
      </c>
      <c r="E2174" s="229">
        <v>31.0</v>
      </c>
      <c r="F2174" s="230">
        <v>3.0</v>
      </c>
      <c r="G2174" s="232"/>
    </row>
    <row r="2175">
      <c r="A2175" s="2"/>
      <c r="B2175" s="168" t="s">
        <v>260</v>
      </c>
      <c r="C2175" s="168" t="s">
        <v>2440</v>
      </c>
      <c r="D2175" s="229">
        <v>28.5</v>
      </c>
      <c r="E2175" s="229">
        <v>32.0</v>
      </c>
      <c r="F2175" s="230">
        <v>3.0</v>
      </c>
      <c r="G2175" s="232"/>
    </row>
    <row r="2176">
      <c r="A2176" s="2"/>
      <c r="B2176" s="168" t="s">
        <v>215</v>
      </c>
      <c r="C2176" s="168" t="s">
        <v>2441</v>
      </c>
      <c r="D2176" s="229">
        <v>27.5</v>
      </c>
      <c r="E2176" s="229">
        <v>31.0</v>
      </c>
      <c r="F2176" s="230">
        <v>3.0</v>
      </c>
      <c r="G2176" s="232"/>
    </row>
    <row r="2177">
      <c r="A2177" s="2"/>
      <c r="B2177" s="168" t="s">
        <v>427</v>
      </c>
      <c r="C2177" s="168" t="s">
        <v>2442</v>
      </c>
      <c r="D2177" s="229">
        <v>26.5</v>
      </c>
      <c r="E2177" s="229">
        <v>30.0</v>
      </c>
      <c r="F2177" s="230">
        <v>3.0</v>
      </c>
      <c r="G2177" s="232"/>
    </row>
    <row r="2178">
      <c r="A2178" s="2"/>
      <c r="B2178" s="168" t="s">
        <v>245</v>
      </c>
      <c r="C2178" s="168" t="s">
        <v>2443</v>
      </c>
      <c r="D2178" s="229">
        <v>29.5</v>
      </c>
      <c r="E2178" s="229">
        <v>33.0</v>
      </c>
      <c r="F2178" s="230">
        <v>3.0</v>
      </c>
      <c r="G2178" s="232"/>
    </row>
    <row r="2179">
      <c r="A2179" s="2"/>
      <c r="B2179" s="168" t="s">
        <v>232</v>
      </c>
      <c r="C2179" s="168" t="s">
        <v>2444</v>
      </c>
      <c r="D2179" s="229">
        <v>31.5</v>
      </c>
      <c r="E2179" s="229">
        <v>35.0</v>
      </c>
      <c r="F2179" s="230">
        <v>3.0</v>
      </c>
      <c r="G2179" s="232"/>
    </row>
    <row r="2180">
      <c r="A2180" s="2"/>
      <c r="B2180" s="168" t="s">
        <v>328</v>
      </c>
      <c r="C2180" s="168" t="s">
        <v>2445</v>
      </c>
      <c r="D2180" s="229">
        <v>34.5</v>
      </c>
      <c r="E2180" s="229">
        <v>38.0</v>
      </c>
      <c r="F2180" s="230">
        <v>3.0</v>
      </c>
      <c r="G2180" s="232"/>
    </row>
    <row r="2181">
      <c r="A2181" s="2"/>
      <c r="B2181" s="168" t="s">
        <v>288</v>
      </c>
      <c r="C2181" s="168" t="s">
        <v>2446</v>
      </c>
      <c r="D2181" s="229">
        <v>21.5</v>
      </c>
      <c r="E2181" s="229">
        <v>25.0</v>
      </c>
      <c r="F2181" s="230">
        <v>3.0</v>
      </c>
      <c r="G2181" s="232"/>
    </row>
    <row r="2182">
      <c r="A2182" s="2"/>
      <c r="B2182" s="168" t="s">
        <v>217</v>
      </c>
      <c r="C2182" s="168" t="s">
        <v>2447</v>
      </c>
      <c r="D2182" s="229">
        <v>27.5</v>
      </c>
      <c r="E2182" s="229">
        <v>31.0</v>
      </c>
      <c r="F2182" s="230">
        <v>3.0</v>
      </c>
      <c r="G2182" s="232"/>
    </row>
    <row r="2183">
      <c r="A2183" s="2"/>
      <c r="B2183" s="168" t="s">
        <v>430</v>
      </c>
      <c r="C2183" s="168" t="s">
        <v>2448</v>
      </c>
      <c r="D2183" s="229">
        <v>34.5</v>
      </c>
      <c r="E2183" s="229">
        <v>38.0</v>
      </c>
      <c r="F2183" s="230">
        <v>3.0</v>
      </c>
      <c r="G2183" s="232"/>
    </row>
    <row r="2184">
      <c r="A2184" s="2"/>
      <c r="B2184" s="168" t="s">
        <v>404</v>
      </c>
      <c r="C2184" s="168" t="s">
        <v>2449</v>
      </c>
      <c r="D2184" s="229">
        <v>29.5</v>
      </c>
      <c r="E2184" s="229">
        <v>33.0</v>
      </c>
      <c r="F2184" s="230">
        <v>3.0</v>
      </c>
      <c r="G2184" s="232"/>
    </row>
    <row r="2185">
      <c r="A2185" s="2"/>
      <c r="B2185" s="168" t="s">
        <v>574</v>
      </c>
      <c r="C2185" s="168" t="s">
        <v>2450</v>
      </c>
      <c r="D2185" s="229">
        <v>34.5</v>
      </c>
      <c r="E2185" s="229">
        <v>38.0</v>
      </c>
      <c r="F2185" s="230">
        <v>3.0</v>
      </c>
      <c r="G2185" s="232"/>
    </row>
    <row r="2186">
      <c r="A2186" s="2"/>
      <c r="B2186" s="168" t="s">
        <v>243</v>
      </c>
      <c r="C2186" s="168" t="s">
        <v>2451</v>
      </c>
      <c r="D2186" s="229">
        <v>29.5</v>
      </c>
      <c r="E2186" s="229">
        <v>33.0</v>
      </c>
      <c r="F2186" s="230">
        <v>3.0</v>
      </c>
      <c r="G2186" s="232"/>
    </row>
    <row r="2187">
      <c r="A2187" s="2"/>
      <c r="B2187" s="168" t="s">
        <v>377</v>
      </c>
      <c r="C2187" s="168" t="s">
        <v>2452</v>
      </c>
      <c r="D2187" s="229">
        <v>24.5</v>
      </c>
      <c r="E2187" s="229">
        <v>28.0</v>
      </c>
      <c r="F2187" s="230">
        <v>3.0</v>
      </c>
      <c r="G2187" s="232"/>
    </row>
    <row r="2188">
      <c r="A2188" s="2"/>
      <c r="B2188" s="168" t="s">
        <v>232</v>
      </c>
      <c r="C2188" s="168" t="s">
        <v>2453</v>
      </c>
      <c r="D2188" s="229">
        <v>25.5</v>
      </c>
      <c r="E2188" s="229">
        <v>29.0</v>
      </c>
      <c r="F2188" s="230">
        <v>3.0</v>
      </c>
      <c r="G2188" s="232"/>
    </row>
    <row r="2189">
      <c r="A2189" s="2"/>
      <c r="B2189" s="168" t="s">
        <v>255</v>
      </c>
      <c r="C2189" s="168" t="s">
        <v>2454</v>
      </c>
      <c r="D2189" s="229">
        <v>31.5</v>
      </c>
      <c r="E2189" s="229">
        <v>35.0</v>
      </c>
      <c r="F2189" s="230">
        <v>3.0</v>
      </c>
      <c r="G2189" s="232"/>
    </row>
    <row r="2190">
      <c r="A2190" s="2"/>
      <c r="B2190" s="168" t="s">
        <v>296</v>
      </c>
      <c r="C2190" s="168" t="s">
        <v>2455</v>
      </c>
      <c r="D2190" s="229">
        <v>26.5</v>
      </c>
      <c r="E2190" s="229">
        <v>30.0</v>
      </c>
      <c r="F2190" s="230">
        <v>3.0</v>
      </c>
      <c r="G2190" s="232"/>
    </row>
    <row r="2191">
      <c r="A2191" s="2"/>
      <c r="B2191" s="168" t="s">
        <v>592</v>
      </c>
      <c r="C2191" s="168" t="s">
        <v>2456</v>
      </c>
      <c r="D2191" s="229">
        <v>34.5</v>
      </c>
      <c r="E2191" s="229">
        <v>38.0</v>
      </c>
      <c r="F2191" s="230">
        <v>3.0</v>
      </c>
      <c r="G2191" s="232"/>
    </row>
    <row r="2192">
      <c r="A2192" s="2"/>
      <c r="B2192" s="168" t="s">
        <v>337</v>
      </c>
      <c r="C2192" s="168" t="s">
        <v>2457</v>
      </c>
      <c r="D2192" s="229">
        <v>28.5</v>
      </c>
      <c r="E2192" s="229">
        <v>32.0</v>
      </c>
      <c r="F2192" s="230">
        <v>3.0</v>
      </c>
      <c r="G2192" s="232"/>
    </row>
    <row r="2193">
      <c r="A2193" s="2"/>
      <c r="B2193" s="168" t="s">
        <v>230</v>
      </c>
      <c r="C2193" s="168" t="s">
        <v>2458</v>
      </c>
      <c r="D2193" s="229">
        <v>21.5</v>
      </c>
      <c r="E2193" s="229">
        <v>25.0</v>
      </c>
      <c r="F2193" s="230">
        <v>3.0</v>
      </c>
      <c r="G2193" s="232"/>
    </row>
    <row r="2194">
      <c r="A2194" s="2"/>
      <c r="B2194" s="168" t="s">
        <v>290</v>
      </c>
      <c r="C2194" s="168" t="s">
        <v>2459</v>
      </c>
      <c r="D2194" s="229">
        <v>29.5</v>
      </c>
      <c r="E2194" s="229">
        <v>33.0</v>
      </c>
      <c r="F2194" s="230">
        <v>3.0</v>
      </c>
      <c r="G2194" s="232"/>
    </row>
    <row r="2195">
      <c r="A2195" s="2"/>
      <c r="B2195" s="168" t="s">
        <v>232</v>
      </c>
      <c r="C2195" s="168" t="s">
        <v>2460</v>
      </c>
      <c r="D2195" s="229">
        <v>25.5</v>
      </c>
      <c r="E2195" s="229">
        <v>29.0</v>
      </c>
      <c r="F2195" s="230">
        <v>3.0</v>
      </c>
      <c r="G2195" s="232"/>
    </row>
    <row r="2196">
      <c r="A2196" s="2"/>
      <c r="B2196" s="168" t="s">
        <v>300</v>
      </c>
      <c r="C2196" s="168" t="s">
        <v>2461</v>
      </c>
      <c r="D2196" s="229">
        <v>28.5</v>
      </c>
      <c r="E2196" s="229">
        <v>32.0</v>
      </c>
      <c r="F2196" s="230">
        <v>3.0</v>
      </c>
      <c r="G2196" s="232"/>
    </row>
    <row r="2197">
      <c r="A2197" s="2"/>
      <c r="B2197" s="168" t="s">
        <v>337</v>
      </c>
      <c r="C2197" s="168" t="s">
        <v>2462</v>
      </c>
      <c r="D2197" s="229">
        <v>27.5</v>
      </c>
      <c r="E2197" s="229">
        <v>31.0</v>
      </c>
      <c r="F2197" s="230">
        <v>3.0</v>
      </c>
      <c r="G2197" s="232"/>
    </row>
    <row r="2198">
      <c r="A2198" s="2"/>
      <c r="B2198" s="168" t="s">
        <v>332</v>
      </c>
      <c r="C2198" s="168" t="s">
        <v>2463</v>
      </c>
      <c r="D2198" s="229">
        <v>28.5</v>
      </c>
      <c r="E2198" s="229">
        <v>32.0</v>
      </c>
      <c r="F2198" s="230">
        <v>3.0</v>
      </c>
      <c r="G2198" s="232"/>
    </row>
    <row r="2199">
      <c r="A2199" s="2"/>
      <c r="B2199" s="168" t="s">
        <v>296</v>
      </c>
      <c r="C2199" s="168" t="s">
        <v>2464</v>
      </c>
      <c r="D2199" s="229">
        <v>26.5</v>
      </c>
      <c r="E2199" s="229">
        <v>30.0</v>
      </c>
      <c r="F2199" s="230">
        <v>3.0</v>
      </c>
      <c r="G2199" s="232"/>
    </row>
    <row r="2200">
      <c r="A2200" s="2"/>
      <c r="B2200" s="168" t="s">
        <v>217</v>
      </c>
      <c r="C2200" s="168" t="s">
        <v>2465</v>
      </c>
      <c r="D2200" s="229">
        <v>27.5</v>
      </c>
      <c r="E2200" s="229">
        <v>31.0</v>
      </c>
      <c r="F2200" s="230">
        <v>3.0</v>
      </c>
      <c r="G2200" s="232"/>
    </row>
    <row r="2201">
      <c r="A2201" s="2"/>
      <c r="B2201" s="168" t="s">
        <v>449</v>
      </c>
      <c r="C2201" s="168" t="s">
        <v>2466</v>
      </c>
      <c r="D2201" s="229">
        <v>28.5</v>
      </c>
      <c r="E2201" s="229">
        <v>32.0</v>
      </c>
      <c r="F2201" s="230">
        <v>3.0</v>
      </c>
      <c r="G2201" s="232"/>
    </row>
    <row r="2202">
      <c r="A2202" s="2"/>
      <c r="B2202" s="168" t="s">
        <v>296</v>
      </c>
      <c r="C2202" s="168" t="s">
        <v>2467</v>
      </c>
      <c r="D2202" s="229">
        <v>26.5</v>
      </c>
      <c r="E2202" s="229">
        <v>30.0</v>
      </c>
      <c r="F2202" s="230">
        <v>3.0</v>
      </c>
      <c r="G2202" s="232"/>
    </row>
    <row r="2203">
      <c r="A2203" s="2"/>
      <c r="B2203" s="168" t="s">
        <v>406</v>
      </c>
      <c r="C2203" s="168" t="s">
        <v>2468</v>
      </c>
      <c r="D2203" s="229">
        <v>28.0</v>
      </c>
      <c r="E2203" s="229">
        <v>31.5</v>
      </c>
      <c r="F2203" s="230">
        <v>3.0</v>
      </c>
      <c r="G2203" s="232"/>
    </row>
    <row r="2204">
      <c r="A2204" s="2"/>
      <c r="B2204" s="168" t="s">
        <v>236</v>
      </c>
      <c r="C2204" s="168" t="s">
        <v>2469</v>
      </c>
      <c r="D2204" s="229">
        <v>34.5</v>
      </c>
      <c r="E2204" s="229">
        <v>38.0</v>
      </c>
      <c r="F2204" s="230">
        <v>3.0</v>
      </c>
      <c r="G2204" s="232"/>
    </row>
    <row r="2205">
      <c r="A2205" s="2"/>
      <c r="B2205" s="168" t="s">
        <v>215</v>
      </c>
      <c r="C2205" s="168" t="s">
        <v>2470</v>
      </c>
      <c r="D2205" s="229">
        <v>27.5</v>
      </c>
      <c r="E2205" s="229">
        <v>31.0</v>
      </c>
      <c r="F2205" s="230">
        <v>3.0</v>
      </c>
      <c r="G2205" s="232"/>
    </row>
    <row r="2206">
      <c r="A2206" s="2"/>
      <c r="B2206" s="168" t="s">
        <v>318</v>
      </c>
      <c r="C2206" s="168" t="s">
        <v>2471</v>
      </c>
      <c r="D2206" s="229">
        <v>25.5</v>
      </c>
      <c r="E2206" s="229">
        <v>29.0</v>
      </c>
      <c r="F2206" s="230">
        <v>3.0</v>
      </c>
      <c r="G2206" s="232"/>
    </row>
    <row r="2207">
      <c r="A2207" s="2"/>
      <c r="B2207" s="168" t="s">
        <v>241</v>
      </c>
      <c r="C2207" s="168" t="s">
        <v>2472</v>
      </c>
      <c r="D2207" s="229">
        <v>32.5</v>
      </c>
      <c r="E2207" s="229">
        <v>36.0</v>
      </c>
      <c r="F2207" s="230">
        <v>3.0</v>
      </c>
      <c r="G2207" s="232"/>
    </row>
    <row r="2208">
      <c r="A2208" s="2"/>
      <c r="B2208" s="168" t="s">
        <v>290</v>
      </c>
      <c r="C2208" s="168" t="s">
        <v>2473</v>
      </c>
      <c r="D2208" s="229">
        <v>29.5</v>
      </c>
      <c r="E2208" s="229">
        <v>33.0</v>
      </c>
      <c r="F2208" s="230">
        <v>3.0</v>
      </c>
      <c r="G2208" s="232"/>
    </row>
    <row r="2209">
      <c r="A2209" s="2"/>
      <c r="B2209" s="168" t="s">
        <v>337</v>
      </c>
      <c r="C2209" s="168" t="s">
        <v>2474</v>
      </c>
      <c r="D2209" s="229">
        <v>28.5</v>
      </c>
      <c r="E2209" s="229">
        <v>32.0</v>
      </c>
      <c r="F2209" s="230">
        <v>3.0</v>
      </c>
      <c r="G2209" s="232"/>
    </row>
    <row r="2210">
      <c r="A2210" s="2"/>
      <c r="B2210" s="168" t="s">
        <v>269</v>
      </c>
      <c r="C2210" s="168" t="s">
        <v>2475</v>
      </c>
      <c r="D2210" s="229">
        <v>26.5</v>
      </c>
      <c r="E2210" s="229">
        <v>30.0</v>
      </c>
      <c r="F2210" s="230">
        <v>3.0</v>
      </c>
      <c r="G2210" s="232"/>
    </row>
    <row r="2211">
      <c r="A2211" s="2"/>
      <c r="B2211" s="168" t="s">
        <v>243</v>
      </c>
      <c r="C2211" s="168" t="s">
        <v>2476</v>
      </c>
      <c r="D2211" s="229">
        <v>29.5</v>
      </c>
      <c r="E2211" s="229">
        <v>33.0</v>
      </c>
      <c r="F2211" s="230">
        <v>3.0</v>
      </c>
      <c r="G2211" s="232"/>
    </row>
    <row r="2212">
      <c r="A2212" s="2"/>
      <c r="B2212" s="168" t="s">
        <v>377</v>
      </c>
      <c r="C2212" s="168" t="s">
        <v>2477</v>
      </c>
      <c r="D2212" s="229">
        <v>29.5</v>
      </c>
      <c r="E2212" s="229">
        <v>33.0</v>
      </c>
      <c r="F2212" s="230">
        <v>3.0</v>
      </c>
      <c r="G2212" s="232"/>
    </row>
    <row r="2213">
      <c r="A2213" s="2"/>
      <c r="B2213" s="168" t="s">
        <v>592</v>
      </c>
      <c r="C2213" s="168" t="s">
        <v>2478</v>
      </c>
      <c r="D2213" s="229">
        <v>34.5</v>
      </c>
      <c r="E2213" s="229">
        <v>38.0</v>
      </c>
      <c r="F2213" s="230">
        <v>3.0</v>
      </c>
      <c r="G2213" s="232"/>
    </row>
    <row r="2214">
      <c r="A2214" s="2"/>
      <c r="B2214" s="168" t="s">
        <v>260</v>
      </c>
      <c r="C2214" s="168" t="s">
        <v>2479</v>
      </c>
      <c r="D2214" s="229">
        <v>28.5</v>
      </c>
      <c r="E2214" s="229">
        <v>32.0</v>
      </c>
      <c r="F2214" s="230">
        <v>3.0</v>
      </c>
      <c r="G2214" s="232"/>
    </row>
    <row r="2215">
      <c r="A2215" s="2"/>
      <c r="B2215" s="168" t="s">
        <v>234</v>
      </c>
      <c r="C2215" s="168" t="s">
        <v>2480</v>
      </c>
      <c r="D2215" s="229">
        <v>24.5</v>
      </c>
      <c r="E2215" s="229">
        <v>28.0</v>
      </c>
      <c r="F2215" s="230">
        <v>3.0</v>
      </c>
      <c r="G2215" s="232"/>
    </row>
    <row r="2216">
      <c r="A2216" s="2"/>
      <c r="B2216" s="168" t="s">
        <v>290</v>
      </c>
      <c r="C2216" s="168" t="s">
        <v>2481</v>
      </c>
      <c r="D2216" s="229">
        <v>29.5</v>
      </c>
      <c r="E2216" s="229">
        <v>33.0</v>
      </c>
      <c r="F2216" s="230">
        <v>3.0</v>
      </c>
      <c r="G2216" s="232"/>
    </row>
    <row r="2217">
      <c r="A2217" s="2"/>
      <c r="B2217" s="168" t="s">
        <v>811</v>
      </c>
      <c r="C2217" s="168" t="s">
        <v>2482</v>
      </c>
      <c r="D2217" s="229">
        <v>29.5</v>
      </c>
      <c r="E2217" s="229">
        <v>33.0</v>
      </c>
      <c r="F2217" s="230">
        <v>3.0</v>
      </c>
      <c r="G2217" s="232"/>
    </row>
    <row r="2218">
      <c r="A2218" s="2"/>
      <c r="B2218" s="168" t="s">
        <v>257</v>
      </c>
      <c r="C2218" s="168" t="s">
        <v>2483</v>
      </c>
      <c r="D2218" s="229">
        <v>28.5</v>
      </c>
      <c r="E2218" s="229">
        <v>32.0</v>
      </c>
      <c r="F2218" s="230">
        <v>3.0</v>
      </c>
      <c r="G2218" s="232"/>
    </row>
    <row r="2219">
      <c r="A2219" s="2"/>
      <c r="B2219" s="168" t="s">
        <v>245</v>
      </c>
      <c r="C2219" s="168" t="s">
        <v>2484</v>
      </c>
      <c r="D2219" s="229">
        <v>29.0</v>
      </c>
      <c r="E2219" s="229">
        <v>32.5</v>
      </c>
      <c r="F2219" s="230">
        <v>3.0</v>
      </c>
      <c r="G2219" s="232"/>
    </row>
    <row r="2220">
      <c r="A2220" s="2"/>
      <c r="B2220" s="168" t="s">
        <v>215</v>
      </c>
      <c r="C2220" s="168" t="s">
        <v>2485</v>
      </c>
      <c r="D2220" s="229">
        <v>27.5</v>
      </c>
      <c r="E2220" s="229">
        <v>31.0</v>
      </c>
      <c r="F2220" s="230">
        <v>3.0</v>
      </c>
      <c r="G2220" s="232"/>
    </row>
    <row r="2221">
      <c r="A2221" s="2"/>
      <c r="B2221" s="168" t="s">
        <v>217</v>
      </c>
      <c r="C2221" s="168" t="s">
        <v>2486</v>
      </c>
      <c r="D2221" s="229">
        <v>27.5</v>
      </c>
      <c r="E2221" s="229">
        <v>31.0</v>
      </c>
      <c r="F2221" s="230">
        <v>3.0</v>
      </c>
      <c r="G2221" s="232"/>
    </row>
    <row r="2222">
      <c r="A2222" s="2"/>
      <c r="B2222" s="168" t="s">
        <v>243</v>
      </c>
      <c r="C2222" s="168" t="s">
        <v>2487</v>
      </c>
      <c r="D2222" s="229">
        <v>29.5</v>
      </c>
      <c r="E2222" s="229">
        <v>33.0</v>
      </c>
      <c r="F2222" s="230">
        <v>3.0</v>
      </c>
      <c r="G2222" s="232"/>
    </row>
    <row r="2223">
      <c r="A2223" s="2"/>
      <c r="B2223" s="168" t="s">
        <v>285</v>
      </c>
      <c r="C2223" s="168" t="s">
        <v>2488</v>
      </c>
      <c r="D2223" s="229">
        <v>24.5</v>
      </c>
      <c r="E2223" s="229">
        <v>28.0</v>
      </c>
      <c r="F2223" s="230">
        <v>3.0</v>
      </c>
      <c r="G2223" s="232"/>
    </row>
    <row r="2224">
      <c r="A2224" s="2"/>
      <c r="B2224" s="168" t="s">
        <v>215</v>
      </c>
      <c r="C2224" s="168" t="s">
        <v>2489</v>
      </c>
      <c r="D2224" s="229">
        <v>24.5</v>
      </c>
      <c r="E2224" s="229">
        <v>28.0</v>
      </c>
      <c r="F2224" s="230">
        <v>3.0</v>
      </c>
      <c r="G2224" s="232"/>
    </row>
    <row r="2225">
      <c r="A2225" s="2"/>
      <c r="B2225" s="168" t="s">
        <v>574</v>
      </c>
      <c r="C2225" s="168" t="s">
        <v>2490</v>
      </c>
      <c r="D2225" s="229">
        <v>34.5</v>
      </c>
      <c r="E2225" s="229">
        <v>38.0</v>
      </c>
      <c r="F2225" s="230">
        <v>3.0</v>
      </c>
      <c r="G2225" s="232"/>
    </row>
    <row r="2226">
      <c r="A2226" s="2"/>
      <c r="B2226" s="168" t="s">
        <v>296</v>
      </c>
      <c r="C2226" s="168" t="s">
        <v>2491</v>
      </c>
      <c r="D2226" s="229">
        <v>26.5</v>
      </c>
      <c r="E2226" s="229">
        <v>30.0</v>
      </c>
      <c r="F2226" s="230">
        <v>3.0</v>
      </c>
      <c r="G2226" s="232"/>
    </row>
    <row r="2227">
      <c r="A2227" s="2"/>
      <c r="B2227" s="168" t="s">
        <v>375</v>
      </c>
      <c r="C2227" s="168" t="s">
        <v>2492</v>
      </c>
      <c r="D2227" s="229">
        <v>26.5</v>
      </c>
      <c r="E2227" s="229">
        <v>30.0</v>
      </c>
      <c r="F2227" s="230">
        <v>3.0</v>
      </c>
      <c r="G2227" s="232"/>
    </row>
    <row r="2228">
      <c r="A2228" s="2"/>
      <c r="B2228" s="168" t="s">
        <v>288</v>
      </c>
      <c r="C2228" s="168" t="s">
        <v>2493</v>
      </c>
      <c r="D2228" s="229">
        <v>21.5</v>
      </c>
      <c r="E2228" s="229">
        <v>25.0</v>
      </c>
      <c r="F2228" s="230">
        <v>3.0</v>
      </c>
      <c r="G2228" s="232"/>
    </row>
    <row r="2229">
      <c r="A2229" s="2"/>
      <c r="B2229" s="168" t="s">
        <v>937</v>
      </c>
      <c r="C2229" s="168" t="s">
        <v>2494</v>
      </c>
      <c r="D2229" s="229">
        <v>21.5</v>
      </c>
      <c r="E2229" s="229">
        <v>25.0</v>
      </c>
      <c r="F2229" s="230">
        <v>3.0</v>
      </c>
      <c r="G2229" s="232"/>
    </row>
    <row r="2230">
      <c r="A2230" s="2"/>
      <c r="B2230" s="168" t="s">
        <v>232</v>
      </c>
      <c r="C2230" s="168" t="s">
        <v>2495</v>
      </c>
      <c r="D2230" s="229">
        <v>27.5</v>
      </c>
      <c r="E2230" s="229">
        <v>31.0</v>
      </c>
      <c r="F2230" s="230">
        <v>3.0</v>
      </c>
      <c r="G2230" s="232"/>
    </row>
    <row r="2231">
      <c r="A2231" s="2"/>
      <c r="B2231" s="168" t="s">
        <v>266</v>
      </c>
      <c r="C2231" s="168" t="s">
        <v>2496</v>
      </c>
      <c r="D2231" s="229">
        <v>33.0</v>
      </c>
      <c r="E2231" s="229">
        <v>33.0</v>
      </c>
      <c r="F2231" s="230">
        <v>3.0</v>
      </c>
      <c r="G2231" s="232"/>
    </row>
    <row r="2232">
      <c r="A2232" s="2"/>
      <c r="B2232" s="168" t="s">
        <v>241</v>
      </c>
      <c r="C2232" s="168" t="s">
        <v>2497</v>
      </c>
      <c r="D2232" s="229">
        <v>32.5</v>
      </c>
      <c r="E2232" s="229">
        <v>36.0</v>
      </c>
      <c r="F2232" s="230">
        <v>3.0</v>
      </c>
      <c r="G2232" s="232"/>
    </row>
    <row r="2233">
      <c r="A2233" s="2"/>
      <c r="B2233" s="168" t="s">
        <v>574</v>
      </c>
      <c r="C2233" s="168" t="s">
        <v>2498</v>
      </c>
      <c r="D2233" s="229">
        <v>34.5</v>
      </c>
      <c r="E2233" s="229">
        <v>38.0</v>
      </c>
      <c r="F2233" s="230">
        <v>3.0</v>
      </c>
      <c r="G2233" s="232"/>
    </row>
    <row r="2234">
      <c r="A2234" s="2"/>
      <c r="B2234" s="168" t="s">
        <v>215</v>
      </c>
      <c r="C2234" s="168" t="s">
        <v>2499</v>
      </c>
      <c r="D2234" s="229">
        <v>27.5</v>
      </c>
      <c r="E2234" s="229">
        <v>31.0</v>
      </c>
      <c r="F2234" s="230">
        <v>3.0</v>
      </c>
      <c r="G2234" s="232"/>
    </row>
    <row r="2235">
      <c r="A2235" s="2"/>
      <c r="B2235" s="168" t="s">
        <v>288</v>
      </c>
      <c r="C2235" s="168" t="s">
        <v>2500</v>
      </c>
      <c r="D2235" s="229">
        <v>21.5</v>
      </c>
      <c r="E2235" s="229">
        <v>25.0</v>
      </c>
      <c r="F2235" s="230">
        <v>3.0</v>
      </c>
      <c r="G2235" s="232"/>
    </row>
    <row r="2236">
      <c r="A2236" s="2"/>
      <c r="B2236" s="168" t="s">
        <v>290</v>
      </c>
      <c r="C2236" s="168" t="s">
        <v>2501</v>
      </c>
      <c r="D2236" s="229">
        <v>29.5</v>
      </c>
      <c r="E2236" s="229">
        <v>33.0</v>
      </c>
      <c r="F2236" s="230">
        <v>3.0</v>
      </c>
      <c r="G2236" s="232"/>
    </row>
    <row r="2237">
      <c r="A2237" s="2"/>
      <c r="B2237" s="168" t="s">
        <v>255</v>
      </c>
      <c r="C2237" s="168" t="s">
        <v>2502</v>
      </c>
      <c r="D2237" s="229">
        <v>31.5</v>
      </c>
      <c r="E2237" s="229">
        <v>35.0</v>
      </c>
      <c r="F2237" s="230">
        <v>3.0</v>
      </c>
      <c r="G2237" s="232"/>
    </row>
    <row r="2238">
      <c r="A2238" s="2"/>
      <c r="B2238" s="168" t="s">
        <v>243</v>
      </c>
      <c r="C2238" s="168" t="s">
        <v>2503</v>
      </c>
      <c r="D2238" s="229">
        <v>29.5</v>
      </c>
      <c r="E2238" s="229">
        <v>33.0</v>
      </c>
      <c r="F2238" s="230">
        <v>3.0</v>
      </c>
      <c r="G2238" s="232"/>
    </row>
    <row r="2239">
      <c r="A2239" s="2"/>
      <c r="B2239" s="168" t="s">
        <v>490</v>
      </c>
      <c r="C2239" s="168" t="s">
        <v>2504</v>
      </c>
      <c r="D2239" s="229">
        <v>34.5</v>
      </c>
      <c r="E2239" s="229">
        <v>38.0</v>
      </c>
      <c r="F2239" s="230">
        <v>3.0</v>
      </c>
      <c r="G2239" s="232"/>
    </row>
    <row r="2240">
      <c r="A2240" s="2"/>
      <c r="B2240" s="168" t="s">
        <v>217</v>
      </c>
      <c r="C2240" s="168" t="s">
        <v>2505</v>
      </c>
      <c r="D2240" s="229">
        <v>27.5</v>
      </c>
      <c r="E2240" s="229">
        <v>31.0</v>
      </c>
      <c r="F2240" s="230">
        <v>3.0</v>
      </c>
      <c r="G2240" s="232"/>
    </row>
    <row r="2241">
      <c r="A2241" s="2"/>
      <c r="B2241" s="168" t="s">
        <v>230</v>
      </c>
      <c r="C2241" s="168" t="s">
        <v>2506</v>
      </c>
      <c r="D2241" s="229">
        <v>16.5</v>
      </c>
      <c r="E2241" s="229">
        <v>20.0</v>
      </c>
      <c r="F2241" s="230">
        <v>3.0</v>
      </c>
      <c r="G2241" s="232"/>
    </row>
    <row r="2242">
      <c r="A2242" s="2"/>
      <c r="B2242" s="168" t="s">
        <v>332</v>
      </c>
      <c r="C2242" s="168" t="s">
        <v>2507</v>
      </c>
      <c r="D2242" s="229">
        <v>28.5</v>
      </c>
      <c r="E2242" s="229">
        <v>32.0</v>
      </c>
      <c r="F2242" s="230">
        <v>3.0</v>
      </c>
      <c r="G2242" s="232"/>
    </row>
    <row r="2243">
      <c r="A2243" s="2"/>
      <c r="B2243" s="168" t="s">
        <v>296</v>
      </c>
      <c r="C2243" s="168" t="s">
        <v>2508</v>
      </c>
      <c r="D2243" s="229">
        <v>26.5</v>
      </c>
      <c r="E2243" s="229">
        <v>30.0</v>
      </c>
      <c r="F2243" s="230">
        <v>3.0</v>
      </c>
      <c r="G2243" s="232"/>
    </row>
    <row r="2244">
      <c r="A2244" s="2"/>
      <c r="B2244" s="168" t="s">
        <v>241</v>
      </c>
      <c r="C2244" s="168" t="s">
        <v>2509</v>
      </c>
      <c r="D2244" s="229">
        <v>32.5</v>
      </c>
      <c r="E2244" s="229">
        <v>36.0</v>
      </c>
      <c r="F2244" s="230">
        <v>3.0</v>
      </c>
      <c r="G2244" s="232"/>
    </row>
    <row r="2245">
      <c r="A2245" s="2"/>
      <c r="B2245" s="168" t="s">
        <v>273</v>
      </c>
      <c r="C2245" s="168" t="s">
        <v>2510</v>
      </c>
      <c r="D2245" s="229">
        <v>24.5</v>
      </c>
      <c r="E2245" s="229">
        <v>28.0</v>
      </c>
      <c r="F2245" s="230">
        <v>3.0</v>
      </c>
      <c r="G2245" s="232"/>
    </row>
    <row r="2246">
      <c r="A2246" s="2"/>
      <c r="B2246" s="168" t="s">
        <v>221</v>
      </c>
      <c r="C2246" s="168" t="s">
        <v>2511</v>
      </c>
      <c r="D2246" s="229">
        <v>22.5</v>
      </c>
      <c r="E2246" s="229">
        <v>26.0</v>
      </c>
      <c r="F2246" s="230">
        <v>3.0</v>
      </c>
      <c r="G2246" s="232"/>
    </row>
    <row r="2247">
      <c r="A2247" s="2"/>
      <c r="B2247" s="168" t="s">
        <v>217</v>
      </c>
      <c r="C2247" s="168" t="s">
        <v>2512</v>
      </c>
      <c r="D2247" s="229">
        <v>27.5</v>
      </c>
      <c r="E2247" s="229">
        <v>31.0</v>
      </c>
      <c r="F2247" s="230">
        <v>3.0</v>
      </c>
      <c r="G2247" s="232"/>
    </row>
    <row r="2248">
      <c r="A2248" s="2"/>
      <c r="B2248" s="168" t="s">
        <v>535</v>
      </c>
      <c r="C2248" s="168" t="s">
        <v>2513</v>
      </c>
      <c r="D2248" s="229">
        <v>26.5</v>
      </c>
      <c r="E2248" s="229">
        <v>30.0</v>
      </c>
      <c r="F2248" s="230">
        <v>3.0</v>
      </c>
      <c r="G2248" s="232"/>
    </row>
    <row r="2249">
      <c r="A2249" s="2"/>
      <c r="B2249" s="168" t="s">
        <v>223</v>
      </c>
      <c r="C2249" s="168" t="s">
        <v>2514</v>
      </c>
      <c r="D2249" s="229">
        <v>26.5</v>
      </c>
      <c r="E2249" s="229">
        <v>30.0</v>
      </c>
      <c r="F2249" s="230">
        <v>3.0</v>
      </c>
      <c r="G2249" s="232"/>
    </row>
    <row r="2250">
      <c r="A2250" s="2"/>
      <c r="B2250" s="168" t="s">
        <v>1392</v>
      </c>
      <c r="C2250" s="168" t="s">
        <v>2515</v>
      </c>
      <c r="D2250" s="229">
        <v>26.5</v>
      </c>
      <c r="E2250" s="229">
        <v>30.0</v>
      </c>
      <c r="F2250" s="230">
        <v>3.0</v>
      </c>
      <c r="G2250" s="232"/>
    </row>
    <row r="2251">
      <c r="A2251" s="2"/>
      <c r="B2251" s="168" t="s">
        <v>449</v>
      </c>
      <c r="C2251" s="168" t="s">
        <v>2516</v>
      </c>
      <c r="D2251" s="229">
        <v>28.5</v>
      </c>
      <c r="E2251" s="229">
        <v>32.0</v>
      </c>
      <c r="F2251" s="230">
        <v>3.0</v>
      </c>
      <c r="G2251" s="232"/>
    </row>
    <row r="2252">
      <c r="A2252" s="2"/>
      <c r="B2252" s="168" t="s">
        <v>269</v>
      </c>
      <c r="C2252" s="168" t="s">
        <v>2517</v>
      </c>
      <c r="D2252" s="229">
        <v>26.5</v>
      </c>
      <c r="E2252" s="229">
        <v>30.0</v>
      </c>
      <c r="F2252" s="230">
        <v>3.0</v>
      </c>
      <c r="G2252" s="232"/>
    </row>
    <row r="2253">
      <c r="A2253" s="2"/>
      <c r="B2253" s="168" t="s">
        <v>296</v>
      </c>
      <c r="C2253" s="168" t="s">
        <v>2518</v>
      </c>
      <c r="D2253" s="229">
        <v>26.5</v>
      </c>
      <c r="E2253" s="229">
        <v>30.0</v>
      </c>
      <c r="F2253" s="230">
        <v>3.0</v>
      </c>
      <c r="G2253" s="232"/>
    </row>
    <row r="2254">
      <c r="A2254" s="2"/>
      <c r="B2254" s="168" t="s">
        <v>285</v>
      </c>
      <c r="C2254" s="168" t="s">
        <v>2519</v>
      </c>
      <c r="D2254" s="229">
        <v>24.5</v>
      </c>
      <c r="E2254" s="229">
        <v>28.0</v>
      </c>
      <c r="F2254" s="230">
        <v>3.0</v>
      </c>
      <c r="G2254" s="232"/>
    </row>
    <row r="2255">
      <c r="A2255" s="2"/>
      <c r="B2255" s="168" t="s">
        <v>720</v>
      </c>
      <c r="C2255" s="168" t="s">
        <v>720</v>
      </c>
      <c r="D2255" s="229">
        <v>30.5</v>
      </c>
      <c r="E2255" s="229">
        <v>34.0</v>
      </c>
      <c r="F2255" s="230">
        <v>3.0</v>
      </c>
      <c r="G2255" s="232"/>
    </row>
    <row r="2256">
      <c r="A2256" s="2"/>
      <c r="B2256" s="168" t="s">
        <v>217</v>
      </c>
      <c r="C2256" s="168" t="s">
        <v>2520</v>
      </c>
      <c r="D2256" s="229">
        <v>27.5</v>
      </c>
      <c r="E2256" s="229">
        <v>31.0</v>
      </c>
      <c r="F2256" s="230">
        <v>3.0</v>
      </c>
      <c r="G2256" s="232"/>
    </row>
    <row r="2257">
      <c r="A2257" s="2"/>
      <c r="B2257" s="168" t="s">
        <v>1392</v>
      </c>
      <c r="C2257" s="168" t="s">
        <v>2521</v>
      </c>
      <c r="D2257" s="229">
        <v>26.5</v>
      </c>
      <c r="E2257" s="229">
        <v>30.0</v>
      </c>
      <c r="F2257" s="230">
        <v>3.0</v>
      </c>
      <c r="G2257" s="232"/>
    </row>
    <row r="2258">
      <c r="A2258" s="2"/>
      <c r="B2258" s="168" t="s">
        <v>290</v>
      </c>
      <c r="C2258" s="168" t="s">
        <v>2522</v>
      </c>
      <c r="D2258" s="229">
        <v>29.5</v>
      </c>
      <c r="E2258" s="229">
        <v>33.0</v>
      </c>
      <c r="F2258" s="230">
        <v>3.0</v>
      </c>
      <c r="G2258" s="232"/>
    </row>
    <row r="2259">
      <c r="A2259" s="2"/>
      <c r="B2259" s="168" t="s">
        <v>535</v>
      </c>
      <c r="C2259" s="168" t="s">
        <v>2523</v>
      </c>
      <c r="D2259" s="229">
        <v>26.5</v>
      </c>
      <c r="E2259" s="229">
        <v>30.0</v>
      </c>
      <c r="F2259" s="230">
        <v>3.0</v>
      </c>
      <c r="G2259" s="232"/>
    </row>
    <row r="2260">
      <c r="A2260" s="2"/>
      <c r="B2260" s="168" t="s">
        <v>684</v>
      </c>
      <c r="C2260" s="168" t="s">
        <v>2524</v>
      </c>
      <c r="D2260" s="229">
        <v>25.5</v>
      </c>
      <c r="E2260" s="229">
        <v>29.0</v>
      </c>
      <c r="F2260" s="230">
        <v>3.0</v>
      </c>
      <c r="G2260" s="232"/>
    </row>
    <row r="2261">
      <c r="A2261" s="2"/>
      <c r="B2261" s="168" t="s">
        <v>230</v>
      </c>
      <c r="C2261" s="168" t="s">
        <v>2525</v>
      </c>
      <c r="D2261" s="229">
        <v>21.5</v>
      </c>
      <c r="E2261" s="229">
        <v>25.0</v>
      </c>
      <c r="F2261" s="230">
        <v>3.0</v>
      </c>
      <c r="G2261" s="232"/>
    </row>
    <row r="2262">
      <c r="A2262" s="2"/>
      <c r="B2262" s="168" t="s">
        <v>300</v>
      </c>
      <c r="C2262" s="168" t="s">
        <v>2526</v>
      </c>
      <c r="D2262" s="229">
        <v>28.5</v>
      </c>
      <c r="E2262" s="229">
        <v>32.0</v>
      </c>
      <c r="F2262" s="230">
        <v>3.0</v>
      </c>
      <c r="G2262" s="232"/>
    </row>
    <row r="2263">
      <c r="A2263" s="2"/>
      <c r="B2263" s="168" t="s">
        <v>592</v>
      </c>
      <c r="C2263" s="168" t="s">
        <v>2527</v>
      </c>
      <c r="D2263" s="229">
        <v>34.5</v>
      </c>
      <c r="E2263" s="229">
        <v>38.0</v>
      </c>
      <c r="F2263" s="230">
        <v>3.0</v>
      </c>
      <c r="G2263" s="232"/>
    </row>
    <row r="2264">
      <c r="A2264" s="2"/>
      <c r="B2264" s="168" t="s">
        <v>290</v>
      </c>
      <c r="C2264" s="168" t="s">
        <v>2528</v>
      </c>
      <c r="D2264" s="229">
        <v>29.5</v>
      </c>
      <c r="E2264" s="229">
        <v>33.0</v>
      </c>
      <c r="F2264" s="230">
        <v>3.0</v>
      </c>
      <c r="G2264" s="232"/>
    </row>
    <row r="2265">
      <c r="A2265" s="2"/>
      <c r="B2265" s="168" t="s">
        <v>251</v>
      </c>
      <c r="C2265" s="168" t="s">
        <v>2529</v>
      </c>
      <c r="D2265" s="229">
        <v>34.5</v>
      </c>
      <c r="E2265" s="229">
        <v>38.0</v>
      </c>
      <c r="F2265" s="230">
        <v>3.0</v>
      </c>
      <c r="G2265" s="232"/>
    </row>
    <row r="2266">
      <c r="A2266" s="2"/>
      <c r="B2266" s="168" t="s">
        <v>377</v>
      </c>
      <c r="C2266" s="168" t="s">
        <v>2530</v>
      </c>
      <c r="D2266" s="229">
        <v>29.5</v>
      </c>
      <c r="E2266" s="229">
        <v>33.0</v>
      </c>
      <c r="F2266" s="230">
        <v>3.0</v>
      </c>
      <c r="G2266" s="232"/>
    </row>
    <row r="2267">
      <c r="A2267" s="2"/>
      <c r="B2267" s="168" t="s">
        <v>368</v>
      </c>
      <c r="C2267" s="168" t="s">
        <v>2531</v>
      </c>
      <c r="D2267" s="229">
        <v>32.5</v>
      </c>
      <c r="E2267" s="229">
        <v>36.0</v>
      </c>
      <c r="F2267" s="230">
        <v>3.0</v>
      </c>
      <c r="G2267" s="232"/>
    </row>
    <row r="2268">
      <c r="A2268" s="2"/>
      <c r="B2268" s="168" t="s">
        <v>241</v>
      </c>
      <c r="C2268" s="168" t="s">
        <v>2532</v>
      </c>
      <c r="D2268" s="229">
        <v>32.5</v>
      </c>
      <c r="E2268" s="229">
        <v>36.0</v>
      </c>
      <c r="F2268" s="230">
        <v>3.0</v>
      </c>
      <c r="G2268" s="232"/>
    </row>
    <row r="2269">
      <c r="A2269" s="2"/>
      <c r="B2269" s="168" t="s">
        <v>230</v>
      </c>
      <c r="C2269" s="168" t="s">
        <v>2533</v>
      </c>
      <c r="D2269" s="229">
        <v>21.5</v>
      </c>
      <c r="E2269" s="229">
        <v>25.0</v>
      </c>
      <c r="F2269" s="230">
        <v>3.0</v>
      </c>
      <c r="G2269" s="232"/>
    </row>
    <row r="2270">
      <c r="A2270" s="2"/>
      <c r="B2270" s="168" t="s">
        <v>368</v>
      </c>
      <c r="C2270" s="168" t="s">
        <v>2534</v>
      </c>
      <c r="D2270" s="229">
        <v>32.5</v>
      </c>
      <c r="E2270" s="229">
        <v>36.0</v>
      </c>
      <c r="F2270" s="230">
        <v>3.0</v>
      </c>
      <c r="G2270" s="232"/>
    </row>
    <row r="2271">
      <c r="A2271" s="2"/>
      <c r="B2271" s="168" t="s">
        <v>241</v>
      </c>
      <c r="C2271" s="168" t="s">
        <v>2535</v>
      </c>
      <c r="D2271" s="229">
        <v>30.0</v>
      </c>
      <c r="E2271" s="229">
        <v>33.5</v>
      </c>
      <c r="F2271" s="230">
        <v>3.0</v>
      </c>
      <c r="G2271" s="232"/>
    </row>
    <row r="2272">
      <c r="A2272" s="2"/>
      <c r="B2272" s="168" t="s">
        <v>269</v>
      </c>
      <c r="C2272" s="168" t="s">
        <v>2536</v>
      </c>
      <c r="D2272" s="229">
        <v>26.5</v>
      </c>
      <c r="E2272" s="229">
        <v>30.0</v>
      </c>
      <c r="F2272" s="230">
        <v>3.0</v>
      </c>
      <c r="G2272" s="232"/>
    </row>
    <row r="2273">
      <c r="A2273" s="2"/>
      <c r="B2273" s="168" t="s">
        <v>341</v>
      </c>
      <c r="C2273" s="168" t="s">
        <v>2537</v>
      </c>
      <c r="D2273" s="229">
        <v>29.5</v>
      </c>
      <c r="E2273" s="229">
        <v>29.5</v>
      </c>
      <c r="F2273" s="230">
        <v>3.0</v>
      </c>
      <c r="G2273" s="232"/>
    </row>
    <row r="2274">
      <c r="A2274" s="2"/>
      <c r="B2274" s="168" t="s">
        <v>236</v>
      </c>
      <c r="C2274" s="168" t="s">
        <v>2538</v>
      </c>
      <c r="D2274" s="229">
        <v>34.5</v>
      </c>
      <c r="E2274" s="229">
        <v>38.0</v>
      </c>
      <c r="F2274" s="230">
        <v>3.0</v>
      </c>
      <c r="G2274" s="232"/>
    </row>
    <row r="2275">
      <c r="A2275" s="2"/>
      <c r="B2275" s="168" t="s">
        <v>243</v>
      </c>
      <c r="C2275" s="168" t="s">
        <v>2539</v>
      </c>
      <c r="D2275" s="229">
        <v>29.5</v>
      </c>
      <c r="E2275" s="229">
        <v>33.0</v>
      </c>
      <c r="F2275" s="230">
        <v>3.0</v>
      </c>
      <c r="G2275" s="232"/>
    </row>
    <row r="2276">
      <c r="A2276" s="2"/>
      <c r="B2276" s="168" t="s">
        <v>230</v>
      </c>
      <c r="C2276" s="168" t="s">
        <v>2540</v>
      </c>
      <c r="D2276" s="229">
        <v>21.5</v>
      </c>
      <c r="E2276" s="229">
        <v>25.0</v>
      </c>
      <c r="F2276" s="230">
        <v>3.0</v>
      </c>
      <c r="G2276" s="232"/>
    </row>
    <row r="2277">
      <c r="A2277" s="2"/>
      <c r="B2277" s="168" t="s">
        <v>273</v>
      </c>
      <c r="C2277" s="168" t="s">
        <v>2541</v>
      </c>
      <c r="D2277" s="229">
        <v>24.5</v>
      </c>
      <c r="E2277" s="229">
        <v>28.0</v>
      </c>
      <c r="F2277" s="230">
        <v>3.0</v>
      </c>
      <c r="G2277" s="232"/>
    </row>
    <row r="2278">
      <c r="A2278" s="2"/>
      <c r="B2278" s="168" t="s">
        <v>269</v>
      </c>
      <c r="C2278" s="168" t="s">
        <v>2542</v>
      </c>
      <c r="D2278" s="229">
        <v>26.5</v>
      </c>
      <c r="E2278" s="229">
        <v>30.0</v>
      </c>
      <c r="F2278" s="230">
        <v>3.0</v>
      </c>
      <c r="G2278" s="232"/>
    </row>
    <row r="2279">
      <c r="A2279" s="2"/>
      <c r="B2279" s="168" t="s">
        <v>217</v>
      </c>
      <c r="C2279" s="168" t="s">
        <v>2543</v>
      </c>
      <c r="D2279" s="229">
        <v>22.5</v>
      </c>
      <c r="E2279" s="229">
        <v>26.0</v>
      </c>
      <c r="F2279" s="230">
        <v>3.0</v>
      </c>
      <c r="G2279" s="232"/>
    </row>
    <row r="2280">
      <c r="A2280" s="2"/>
      <c r="B2280" s="168" t="s">
        <v>368</v>
      </c>
      <c r="C2280" s="168" t="s">
        <v>2544</v>
      </c>
      <c r="D2280" s="229">
        <v>32.5</v>
      </c>
      <c r="E2280" s="229">
        <v>36.0</v>
      </c>
      <c r="F2280" s="230">
        <v>3.0</v>
      </c>
      <c r="G2280" s="232"/>
    </row>
    <row r="2281">
      <c r="A2281" s="2"/>
      <c r="B2281" s="168" t="s">
        <v>318</v>
      </c>
      <c r="C2281" s="168" t="s">
        <v>2545</v>
      </c>
      <c r="D2281" s="229">
        <v>25.5</v>
      </c>
      <c r="E2281" s="229">
        <v>29.0</v>
      </c>
      <c r="F2281" s="230">
        <v>3.0</v>
      </c>
      <c r="G2281" s="232"/>
    </row>
    <row r="2282">
      <c r="A2282" s="2"/>
      <c r="B2282" s="168" t="s">
        <v>241</v>
      </c>
      <c r="C2282" s="168" t="s">
        <v>2546</v>
      </c>
      <c r="D2282" s="229">
        <v>32.5</v>
      </c>
      <c r="E2282" s="229">
        <v>36.0</v>
      </c>
      <c r="F2282" s="230">
        <v>3.0</v>
      </c>
      <c r="G2282" s="232"/>
    </row>
    <row r="2283">
      <c r="A2283" s="2"/>
      <c r="B2283" s="168" t="s">
        <v>232</v>
      </c>
      <c r="C2283" s="168" t="s">
        <v>2547</v>
      </c>
      <c r="D2283" s="229">
        <v>31.5</v>
      </c>
      <c r="E2283" s="229">
        <v>35.0</v>
      </c>
      <c r="F2283" s="230">
        <v>3.0</v>
      </c>
      <c r="G2283" s="232"/>
    </row>
    <row r="2284">
      <c r="A2284" s="2"/>
      <c r="B2284" s="168" t="s">
        <v>255</v>
      </c>
      <c r="C2284" s="168" t="s">
        <v>2548</v>
      </c>
      <c r="D2284" s="229">
        <v>31.0</v>
      </c>
      <c r="E2284" s="229">
        <v>34.5</v>
      </c>
      <c r="F2284" s="230">
        <v>3.0</v>
      </c>
      <c r="G2284" s="232"/>
    </row>
    <row r="2285">
      <c r="A2285" s="2"/>
      <c r="B2285" s="168" t="s">
        <v>247</v>
      </c>
      <c r="C2285" s="168" t="s">
        <v>2549</v>
      </c>
      <c r="D2285" s="229">
        <v>29.5</v>
      </c>
      <c r="E2285" s="229">
        <v>33.0</v>
      </c>
      <c r="F2285" s="230">
        <v>3.0</v>
      </c>
      <c r="G2285" s="232"/>
    </row>
    <row r="2286">
      <c r="A2286" s="2"/>
      <c r="B2286" s="168" t="s">
        <v>236</v>
      </c>
      <c r="C2286" s="168" t="s">
        <v>2550</v>
      </c>
      <c r="D2286" s="229">
        <v>34.5</v>
      </c>
      <c r="E2286" s="229">
        <v>38.0</v>
      </c>
      <c r="F2286" s="230">
        <v>3.0</v>
      </c>
      <c r="G2286" s="232"/>
    </row>
    <row r="2287">
      <c r="A2287" s="2"/>
      <c r="B2287" s="168" t="s">
        <v>377</v>
      </c>
      <c r="C2287" s="168" t="s">
        <v>2551</v>
      </c>
      <c r="D2287" s="229">
        <v>29.5</v>
      </c>
      <c r="E2287" s="229">
        <v>33.0</v>
      </c>
      <c r="F2287" s="230">
        <v>3.0</v>
      </c>
      <c r="G2287" s="232"/>
    </row>
    <row r="2288">
      <c r="A2288" s="2"/>
      <c r="B2288" s="168" t="s">
        <v>247</v>
      </c>
      <c r="C2288" s="168" t="s">
        <v>2552</v>
      </c>
      <c r="D2288" s="229">
        <v>29.5</v>
      </c>
      <c r="E2288" s="229">
        <v>33.0</v>
      </c>
      <c r="F2288" s="230">
        <v>3.0</v>
      </c>
      <c r="G2288" s="232"/>
    </row>
    <row r="2289">
      <c r="A2289" s="2"/>
      <c r="B2289" s="168" t="s">
        <v>269</v>
      </c>
      <c r="C2289" s="168" t="s">
        <v>2553</v>
      </c>
      <c r="D2289" s="229">
        <v>26.5</v>
      </c>
      <c r="E2289" s="229">
        <v>30.0</v>
      </c>
      <c r="F2289" s="230">
        <v>3.0</v>
      </c>
      <c r="G2289" s="232"/>
    </row>
    <row r="2290">
      <c r="A2290" s="2"/>
      <c r="B2290" s="168" t="s">
        <v>254</v>
      </c>
      <c r="C2290" s="168" t="s">
        <v>2554</v>
      </c>
      <c r="D2290" s="229">
        <v>26.5</v>
      </c>
      <c r="E2290" s="229">
        <v>30.0</v>
      </c>
      <c r="F2290" s="230">
        <v>3.0</v>
      </c>
      <c r="G2290" s="232"/>
    </row>
    <row r="2291">
      <c r="A2291" s="2"/>
      <c r="B2291" s="168" t="s">
        <v>230</v>
      </c>
      <c r="C2291" s="168" t="s">
        <v>2555</v>
      </c>
      <c r="D2291" s="229">
        <v>16.5</v>
      </c>
      <c r="E2291" s="229">
        <v>20.0</v>
      </c>
      <c r="F2291" s="230">
        <v>3.0</v>
      </c>
      <c r="G2291" s="232"/>
    </row>
    <row r="2292">
      <c r="A2292" s="2"/>
      <c r="B2292" s="168" t="s">
        <v>290</v>
      </c>
      <c r="C2292" s="168" t="s">
        <v>2556</v>
      </c>
      <c r="D2292" s="229">
        <v>29.5</v>
      </c>
      <c r="E2292" s="229">
        <v>33.0</v>
      </c>
      <c r="F2292" s="230">
        <v>3.0</v>
      </c>
      <c r="G2292" s="232"/>
    </row>
    <row r="2293">
      <c r="A2293" s="2"/>
      <c r="B2293" s="168" t="s">
        <v>332</v>
      </c>
      <c r="C2293" s="168" t="s">
        <v>2557</v>
      </c>
      <c r="D2293" s="229">
        <v>23.5</v>
      </c>
      <c r="E2293" s="229">
        <v>27.0</v>
      </c>
      <c r="F2293" s="230">
        <v>3.0</v>
      </c>
      <c r="G2293" s="232"/>
    </row>
    <row r="2294">
      <c r="A2294" s="2"/>
      <c r="B2294" s="168" t="s">
        <v>302</v>
      </c>
      <c r="C2294" s="168" t="s">
        <v>2558</v>
      </c>
      <c r="D2294" s="229">
        <v>34.5</v>
      </c>
      <c r="E2294" s="229">
        <v>38.0</v>
      </c>
      <c r="F2294" s="230">
        <v>3.0</v>
      </c>
      <c r="G2294" s="232"/>
    </row>
    <row r="2295">
      <c r="A2295" s="2"/>
      <c r="B2295" s="168" t="s">
        <v>230</v>
      </c>
      <c r="C2295" s="168" t="s">
        <v>2559</v>
      </c>
      <c r="D2295" s="229">
        <v>16.5</v>
      </c>
      <c r="E2295" s="229">
        <v>20.0</v>
      </c>
      <c r="F2295" s="230">
        <v>3.0</v>
      </c>
      <c r="G2295" s="232"/>
    </row>
    <row r="2296">
      <c r="A2296" s="2"/>
      <c r="B2296" s="168" t="s">
        <v>288</v>
      </c>
      <c r="C2296" s="168" t="s">
        <v>2560</v>
      </c>
      <c r="D2296" s="229">
        <v>21.5</v>
      </c>
      <c r="E2296" s="229">
        <v>25.0</v>
      </c>
      <c r="F2296" s="230">
        <v>3.0</v>
      </c>
      <c r="G2296" s="232"/>
    </row>
    <row r="2297">
      <c r="A2297" s="2"/>
      <c r="B2297" s="168" t="s">
        <v>232</v>
      </c>
      <c r="C2297" s="168" t="s">
        <v>2561</v>
      </c>
      <c r="D2297" s="229">
        <v>27.5</v>
      </c>
      <c r="E2297" s="229">
        <v>31.0</v>
      </c>
      <c r="F2297" s="230">
        <v>3.0</v>
      </c>
      <c r="G2297" s="232"/>
    </row>
    <row r="2298">
      <c r="A2298" s="2"/>
      <c r="B2298" s="168" t="s">
        <v>337</v>
      </c>
      <c r="C2298" s="168" t="s">
        <v>2562</v>
      </c>
      <c r="D2298" s="229">
        <v>28.5</v>
      </c>
      <c r="E2298" s="229">
        <v>32.0</v>
      </c>
      <c r="F2298" s="230">
        <v>3.0</v>
      </c>
      <c r="G2298" s="232"/>
    </row>
    <row r="2299">
      <c r="A2299" s="2"/>
      <c r="B2299" s="168" t="s">
        <v>296</v>
      </c>
      <c r="C2299" s="168" t="s">
        <v>2563</v>
      </c>
      <c r="D2299" s="229">
        <v>26.5</v>
      </c>
      <c r="E2299" s="229">
        <v>30.0</v>
      </c>
      <c r="F2299" s="230">
        <v>3.0</v>
      </c>
      <c r="G2299" s="232"/>
    </row>
    <row r="2300">
      <c r="A2300" s="2"/>
      <c r="B2300" s="168" t="s">
        <v>318</v>
      </c>
      <c r="C2300" s="168" t="s">
        <v>2564</v>
      </c>
      <c r="D2300" s="229">
        <v>25.5</v>
      </c>
      <c r="E2300" s="229">
        <v>29.0</v>
      </c>
      <c r="F2300" s="230">
        <v>3.0</v>
      </c>
      <c r="G2300" s="232"/>
    </row>
    <row r="2301">
      <c r="A2301" s="2"/>
      <c r="B2301" s="168" t="s">
        <v>574</v>
      </c>
      <c r="C2301" s="168" t="s">
        <v>2565</v>
      </c>
      <c r="D2301" s="229">
        <v>34.5</v>
      </c>
      <c r="E2301" s="229">
        <v>38.0</v>
      </c>
      <c r="F2301" s="230">
        <v>3.0</v>
      </c>
      <c r="G2301" s="232"/>
    </row>
    <row r="2302">
      <c r="A2302" s="2"/>
      <c r="B2302" s="168" t="s">
        <v>241</v>
      </c>
      <c r="C2302" s="168" t="s">
        <v>2566</v>
      </c>
      <c r="D2302" s="229">
        <v>27.5</v>
      </c>
      <c r="E2302" s="229">
        <v>31.0</v>
      </c>
      <c r="F2302" s="230">
        <v>3.0</v>
      </c>
      <c r="G2302" s="232"/>
    </row>
    <row r="2303">
      <c r="A2303" s="2"/>
      <c r="B2303" s="168" t="s">
        <v>217</v>
      </c>
      <c r="C2303" s="168" t="s">
        <v>2567</v>
      </c>
      <c r="D2303" s="229">
        <v>27.5</v>
      </c>
      <c r="E2303" s="229">
        <v>31.0</v>
      </c>
      <c r="F2303" s="230">
        <v>3.0</v>
      </c>
      <c r="G2303" s="232"/>
    </row>
    <row r="2304">
      <c r="A2304" s="2"/>
      <c r="B2304" s="168" t="s">
        <v>241</v>
      </c>
      <c r="C2304" s="168" t="s">
        <v>2568</v>
      </c>
      <c r="D2304" s="229">
        <v>32.0</v>
      </c>
      <c r="E2304" s="229">
        <v>35.5</v>
      </c>
      <c r="F2304" s="230">
        <v>3.0</v>
      </c>
      <c r="G2304" s="232"/>
    </row>
    <row r="2305">
      <c r="A2305" s="2"/>
      <c r="B2305" s="168" t="s">
        <v>257</v>
      </c>
      <c r="C2305" s="168" t="s">
        <v>2569</v>
      </c>
      <c r="D2305" s="229">
        <v>28.5</v>
      </c>
      <c r="E2305" s="229">
        <v>32.0</v>
      </c>
      <c r="F2305" s="230">
        <v>3.0</v>
      </c>
      <c r="G2305" s="232"/>
    </row>
    <row r="2306">
      <c r="A2306" s="2"/>
      <c r="B2306" s="168" t="s">
        <v>345</v>
      </c>
      <c r="C2306" s="168" t="s">
        <v>2570</v>
      </c>
      <c r="D2306" s="229">
        <v>21.5</v>
      </c>
      <c r="E2306" s="229">
        <v>25.0</v>
      </c>
      <c r="F2306" s="230">
        <v>3.0</v>
      </c>
      <c r="G2306" s="232"/>
    </row>
    <row r="2307">
      <c r="A2307" s="2"/>
      <c r="B2307" s="168" t="s">
        <v>217</v>
      </c>
      <c r="C2307" s="168" t="s">
        <v>2571</v>
      </c>
      <c r="D2307" s="229">
        <v>27.5</v>
      </c>
      <c r="E2307" s="229">
        <v>31.0</v>
      </c>
      <c r="F2307" s="230">
        <v>3.0</v>
      </c>
      <c r="G2307" s="232"/>
    </row>
    <row r="2308">
      <c r="A2308" s="2"/>
      <c r="B2308" s="168" t="s">
        <v>230</v>
      </c>
      <c r="C2308" s="168" t="s">
        <v>2572</v>
      </c>
      <c r="D2308" s="229">
        <v>21.5</v>
      </c>
      <c r="E2308" s="229">
        <v>25.0</v>
      </c>
      <c r="F2308" s="230">
        <v>3.0</v>
      </c>
      <c r="G2308" s="232"/>
    </row>
    <row r="2309">
      <c r="A2309" s="2"/>
      <c r="B2309" s="168" t="s">
        <v>332</v>
      </c>
      <c r="C2309" s="168" t="s">
        <v>2573</v>
      </c>
      <c r="D2309" s="229">
        <v>28.5</v>
      </c>
      <c r="E2309" s="229">
        <v>32.0</v>
      </c>
      <c r="F2309" s="230">
        <v>3.0</v>
      </c>
      <c r="G2309" s="232"/>
    </row>
    <row r="2310">
      <c r="A2310" s="2"/>
      <c r="B2310" s="168" t="s">
        <v>223</v>
      </c>
      <c r="C2310" s="168" t="s">
        <v>2574</v>
      </c>
      <c r="D2310" s="229">
        <v>26.5</v>
      </c>
      <c r="E2310" s="229">
        <v>30.0</v>
      </c>
      <c r="F2310" s="230">
        <v>3.0</v>
      </c>
      <c r="G2310" s="232"/>
    </row>
    <row r="2311">
      <c r="A2311" s="2"/>
      <c r="B2311" s="168" t="s">
        <v>243</v>
      </c>
      <c r="C2311" s="168" t="s">
        <v>2575</v>
      </c>
      <c r="D2311" s="229">
        <v>29.5</v>
      </c>
      <c r="E2311" s="229">
        <v>33.0</v>
      </c>
      <c r="F2311" s="230">
        <v>3.0</v>
      </c>
      <c r="G2311" s="232"/>
    </row>
    <row r="2312">
      <c r="A2312" s="2"/>
      <c r="B2312" s="168" t="s">
        <v>215</v>
      </c>
      <c r="C2312" s="168" t="s">
        <v>2576</v>
      </c>
      <c r="D2312" s="229">
        <v>27.5</v>
      </c>
      <c r="E2312" s="229">
        <v>31.0</v>
      </c>
      <c r="F2312" s="230">
        <v>3.0</v>
      </c>
      <c r="G2312" s="232"/>
    </row>
    <row r="2313">
      <c r="A2313" s="2"/>
      <c r="B2313" s="168" t="s">
        <v>381</v>
      </c>
      <c r="C2313" s="168" t="s">
        <v>2577</v>
      </c>
      <c r="D2313" s="229">
        <v>28.5</v>
      </c>
      <c r="E2313" s="229">
        <v>32.0</v>
      </c>
      <c r="F2313" s="230">
        <v>3.0</v>
      </c>
      <c r="G2313" s="232"/>
    </row>
    <row r="2314">
      <c r="A2314" s="2"/>
      <c r="B2314" s="168" t="s">
        <v>2578</v>
      </c>
      <c r="C2314" s="168" t="s">
        <v>2578</v>
      </c>
      <c r="D2314" s="229">
        <v>2.5</v>
      </c>
      <c r="E2314" s="229">
        <v>2.5</v>
      </c>
      <c r="F2314" s="230">
        <v>2.5</v>
      </c>
      <c r="G2314" s="232"/>
    </row>
    <row r="2315">
      <c r="A2315" s="2"/>
      <c r="B2315" s="168" t="s">
        <v>217</v>
      </c>
      <c r="C2315" s="168" t="s">
        <v>2579</v>
      </c>
      <c r="D2315" s="229">
        <v>27.5</v>
      </c>
      <c r="E2315" s="229">
        <v>31.0</v>
      </c>
      <c r="F2315" s="230">
        <v>3.0</v>
      </c>
      <c r="G2315" s="232"/>
    </row>
    <row r="2316">
      <c r="A2316" s="2"/>
      <c r="B2316" s="168" t="s">
        <v>368</v>
      </c>
      <c r="C2316" s="168" t="s">
        <v>2580</v>
      </c>
      <c r="D2316" s="229">
        <v>32.5</v>
      </c>
      <c r="E2316" s="229">
        <v>36.0</v>
      </c>
      <c r="F2316" s="230">
        <v>3.0</v>
      </c>
      <c r="G2316" s="232"/>
    </row>
    <row r="2317">
      <c r="A2317" s="2"/>
      <c r="B2317" s="168" t="s">
        <v>269</v>
      </c>
      <c r="C2317" s="168" t="s">
        <v>2581</v>
      </c>
      <c r="D2317" s="229">
        <v>26.5</v>
      </c>
      <c r="E2317" s="229">
        <v>30.0</v>
      </c>
      <c r="F2317" s="230">
        <v>3.0</v>
      </c>
      <c r="G2317" s="232"/>
    </row>
    <row r="2318">
      <c r="A2318" s="2"/>
      <c r="B2318" s="168" t="s">
        <v>232</v>
      </c>
      <c r="C2318" s="168" t="s">
        <v>2582</v>
      </c>
      <c r="D2318" s="229">
        <v>31.5</v>
      </c>
      <c r="E2318" s="229">
        <v>35.0</v>
      </c>
      <c r="F2318" s="230">
        <v>3.0</v>
      </c>
      <c r="G2318" s="232"/>
    </row>
    <row r="2319">
      <c r="A2319" s="2"/>
      <c r="B2319" s="168" t="s">
        <v>565</v>
      </c>
      <c r="C2319" s="168" t="s">
        <v>2583</v>
      </c>
      <c r="D2319" s="229">
        <v>24.5</v>
      </c>
      <c r="E2319" s="229">
        <v>28.0</v>
      </c>
      <c r="F2319" s="230">
        <v>3.0</v>
      </c>
      <c r="G2319" s="232"/>
    </row>
    <row r="2320">
      <c r="A2320" s="2"/>
      <c r="B2320" s="168" t="s">
        <v>565</v>
      </c>
      <c r="C2320" s="168" t="s">
        <v>2584</v>
      </c>
      <c r="D2320" s="229">
        <v>24.5</v>
      </c>
      <c r="E2320" s="229">
        <v>28.0</v>
      </c>
      <c r="F2320" s="230">
        <v>3.0</v>
      </c>
      <c r="G2320" s="232"/>
    </row>
    <row r="2321">
      <c r="A2321" s="2"/>
      <c r="B2321" s="168" t="s">
        <v>217</v>
      </c>
      <c r="C2321" s="168" t="s">
        <v>2585</v>
      </c>
      <c r="D2321" s="229">
        <v>27.5</v>
      </c>
      <c r="E2321" s="229">
        <v>31.0</v>
      </c>
      <c r="F2321" s="230">
        <v>3.0</v>
      </c>
      <c r="G2321" s="232"/>
    </row>
    <row r="2322">
      <c r="A2322" s="2"/>
      <c r="B2322" s="168" t="s">
        <v>269</v>
      </c>
      <c r="C2322" s="168" t="s">
        <v>2586</v>
      </c>
      <c r="D2322" s="229">
        <v>26.5</v>
      </c>
      <c r="E2322" s="229">
        <v>30.0</v>
      </c>
      <c r="F2322" s="230">
        <v>3.0</v>
      </c>
      <c r="G2322" s="232"/>
    </row>
    <row r="2323">
      <c r="A2323" s="2"/>
      <c r="B2323" s="168" t="s">
        <v>269</v>
      </c>
      <c r="C2323" s="168" t="s">
        <v>2587</v>
      </c>
      <c r="D2323" s="229">
        <v>26.5</v>
      </c>
      <c r="E2323" s="229">
        <v>30.0</v>
      </c>
      <c r="F2323" s="230">
        <v>3.0</v>
      </c>
      <c r="G2323" s="232"/>
    </row>
    <row r="2324">
      <c r="A2324" s="2"/>
      <c r="B2324" s="168" t="s">
        <v>217</v>
      </c>
      <c r="C2324" s="168" t="s">
        <v>2588</v>
      </c>
      <c r="D2324" s="229">
        <v>27.5</v>
      </c>
      <c r="E2324" s="229">
        <v>31.0</v>
      </c>
      <c r="F2324" s="230">
        <v>3.0</v>
      </c>
      <c r="G2324" s="232"/>
    </row>
    <row r="2325">
      <c r="A2325" s="2"/>
      <c r="B2325" s="168" t="s">
        <v>269</v>
      </c>
      <c r="C2325" s="168" t="s">
        <v>2589</v>
      </c>
      <c r="D2325" s="229">
        <v>26.5</v>
      </c>
      <c r="E2325" s="229">
        <v>30.0</v>
      </c>
      <c r="F2325" s="230">
        <v>3.0</v>
      </c>
      <c r="G2325" s="232"/>
    </row>
    <row r="2326">
      <c r="A2326" s="2"/>
      <c r="B2326" s="168" t="s">
        <v>335</v>
      </c>
      <c r="C2326" s="168" t="s">
        <v>2590</v>
      </c>
      <c r="D2326" s="229">
        <v>34.5</v>
      </c>
      <c r="E2326" s="229">
        <v>38.0</v>
      </c>
      <c r="F2326" s="230">
        <v>3.0</v>
      </c>
      <c r="G2326" s="232"/>
    </row>
    <row r="2327">
      <c r="A2327" s="2"/>
      <c r="B2327" s="168" t="s">
        <v>430</v>
      </c>
      <c r="C2327" s="168" t="s">
        <v>2591</v>
      </c>
      <c r="D2327" s="229">
        <v>34.5</v>
      </c>
      <c r="E2327" s="229">
        <v>38.0</v>
      </c>
      <c r="F2327" s="230">
        <v>3.0</v>
      </c>
      <c r="G2327" s="232"/>
    </row>
    <row r="2328">
      <c r="A2328" s="2"/>
      <c r="B2328" s="168" t="s">
        <v>269</v>
      </c>
      <c r="C2328" s="168" t="s">
        <v>2592</v>
      </c>
      <c r="D2328" s="229">
        <v>26.5</v>
      </c>
      <c r="E2328" s="229">
        <v>30.0</v>
      </c>
      <c r="F2328" s="230">
        <v>3.0</v>
      </c>
      <c r="G2328" s="232"/>
    </row>
    <row r="2329">
      <c r="A2329" s="2"/>
      <c r="B2329" s="168" t="s">
        <v>223</v>
      </c>
      <c r="C2329" s="168" t="s">
        <v>2593</v>
      </c>
      <c r="D2329" s="229">
        <v>26.5</v>
      </c>
      <c r="E2329" s="229">
        <v>30.0</v>
      </c>
      <c r="F2329" s="230">
        <v>3.0</v>
      </c>
      <c r="G2329" s="232"/>
    </row>
    <row r="2330">
      <c r="A2330" s="2"/>
      <c r="B2330" s="168" t="s">
        <v>269</v>
      </c>
      <c r="C2330" s="168" t="s">
        <v>2594</v>
      </c>
      <c r="D2330" s="229">
        <v>26.5</v>
      </c>
      <c r="E2330" s="229">
        <v>30.0</v>
      </c>
      <c r="F2330" s="230">
        <v>3.0</v>
      </c>
      <c r="G2330" s="232"/>
    </row>
    <row r="2331">
      <c r="A2331" s="2"/>
      <c r="B2331" s="168" t="s">
        <v>1311</v>
      </c>
      <c r="C2331" s="168" t="s">
        <v>2595</v>
      </c>
      <c r="D2331" s="229">
        <v>28.5</v>
      </c>
      <c r="E2331" s="229">
        <v>32.0</v>
      </c>
      <c r="F2331" s="230">
        <v>3.0</v>
      </c>
      <c r="G2331" s="232"/>
    </row>
    <row r="2332">
      <c r="A2332" s="2"/>
      <c r="B2332" s="168" t="s">
        <v>368</v>
      </c>
      <c r="C2332" s="168" t="s">
        <v>2596</v>
      </c>
      <c r="D2332" s="229">
        <v>32.5</v>
      </c>
      <c r="E2332" s="229">
        <v>36.0</v>
      </c>
      <c r="F2332" s="230">
        <v>3.0</v>
      </c>
      <c r="G2332" s="232"/>
    </row>
    <row r="2333">
      <c r="A2333" s="2"/>
      <c r="B2333" s="168" t="s">
        <v>217</v>
      </c>
      <c r="C2333" s="168" t="s">
        <v>2597</v>
      </c>
      <c r="D2333" s="229">
        <v>27.5</v>
      </c>
      <c r="E2333" s="229">
        <v>31.0</v>
      </c>
      <c r="F2333" s="230">
        <v>3.0</v>
      </c>
      <c r="G2333" s="232"/>
    </row>
    <row r="2334">
      <c r="A2334" s="2"/>
      <c r="B2334" s="168" t="s">
        <v>337</v>
      </c>
      <c r="C2334" s="168" t="s">
        <v>2598</v>
      </c>
      <c r="D2334" s="229">
        <v>23.5</v>
      </c>
      <c r="E2334" s="229">
        <v>27.0</v>
      </c>
      <c r="F2334" s="230">
        <v>3.0</v>
      </c>
      <c r="G2334" s="232"/>
    </row>
    <row r="2335">
      <c r="A2335" s="2"/>
      <c r="B2335" s="168" t="s">
        <v>345</v>
      </c>
      <c r="C2335" s="168" t="s">
        <v>2599</v>
      </c>
      <c r="D2335" s="229">
        <v>26.5</v>
      </c>
      <c r="E2335" s="229">
        <v>30.0</v>
      </c>
      <c r="F2335" s="230">
        <v>3.0</v>
      </c>
      <c r="G2335" s="232"/>
    </row>
    <row r="2336">
      <c r="A2336" s="2"/>
      <c r="B2336" s="168" t="s">
        <v>296</v>
      </c>
      <c r="C2336" s="168" t="s">
        <v>2600</v>
      </c>
      <c r="D2336" s="229">
        <v>26.5</v>
      </c>
      <c r="E2336" s="229">
        <v>30.0</v>
      </c>
      <c r="F2336" s="230">
        <v>3.0</v>
      </c>
      <c r="G2336" s="232"/>
    </row>
    <row r="2337">
      <c r="A2337" s="2"/>
      <c r="B2337" s="168" t="s">
        <v>288</v>
      </c>
      <c r="C2337" s="168" t="s">
        <v>2601</v>
      </c>
      <c r="D2337" s="229">
        <v>16.5</v>
      </c>
      <c r="E2337" s="229">
        <v>20.0</v>
      </c>
      <c r="F2337" s="230">
        <v>3.0</v>
      </c>
      <c r="G2337" s="232"/>
    </row>
    <row r="2338">
      <c r="A2338" s="2"/>
      <c r="B2338" s="168" t="s">
        <v>234</v>
      </c>
      <c r="C2338" s="168" t="s">
        <v>2602</v>
      </c>
      <c r="D2338" s="229">
        <v>29.5</v>
      </c>
      <c r="E2338" s="229">
        <v>33.0</v>
      </c>
      <c r="F2338" s="230">
        <v>3.0</v>
      </c>
      <c r="G2338" s="232"/>
    </row>
    <row r="2339">
      <c r="A2339" s="2"/>
      <c r="B2339" s="168" t="s">
        <v>232</v>
      </c>
      <c r="C2339" s="168" t="s">
        <v>2603</v>
      </c>
      <c r="D2339" s="229">
        <v>30.5</v>
      </c>
      <c r="E2339" s="229">
        <v>34.0</v>
      </c>
      <c r="F2339" s="230">
        <v>3.0</v>
      </c>
      <c r="G2339" s="232"/>
    </row>
    <row r="2340">
      <c r="A2340" s="2"/>
      <c r="B2340" s="168" t="s">
        <v>381</v>
      </c>
      <c r="C2340" s="168" t="s">
        <v>2604</v>
      </c>
      <c r="D2340" s="229">
        <v>28.5</v>
      </c>
      <c r="E2340" s="229">
        <v>32.0</v>
      </c>
      <c r="F2340" s="230">
        <v>3.0</v>
      </c>
      <c r="G2340" s="232"/>
    </row>
    <row r="2341">
      <c r="A2341" s="2"/>
      <c r="B2341" s="168" t="s">
        <v>269</v>
      </c>
      <c r="C2341" s="168" t="s">
        <v>2605</v>
      </c>
      <c r="D2341" s="229">
        <v>26.0</v>
      </c>
      <c r="E2341" s="229">
        <v>29.5</v>
      </c>
      <c r="F2341" s="230">
        <v>3.0</v>
      </c>
      <c r="G2341" s="232"/>
    </row>
    <row r="2342">
      <c r="A2342" s="2"/>
      <c r="B2342" s="168" t="s">
        <v>245</v>
      </c>
      <c r="C2342" s="168" t="s">
        <v>2606</v>
      </c>
      <c r="D2342" s="229">
        <v>29.5</v>
      </c>
      <c r="E2342" s="229">
        <v>33.0</v>
      </c>
      <c r="F2342" s="230">
        <v>3.0</v>
      </c>
      <c r="G2342" s="232"/>
    </row>
    <row r="2343">
      <c r="A2343" s="2"/>
      <c r="B2343" s="168" t="s">
        <v>260</v>
      </c>
      <c r="C2343" s="168" t="s">
        <v>2607</v>
      </c>
      <c r="D2343" s="229">
        <v>28.5</v>
      </c>
      <c r="E2343" s="229">
        <v>32.0</v>
      </c>
      <c r="F2343" s="230">
        <v>3.0</v>
      </c>
      <c r="G2343" s="232"/>
    </row>
    <row r="2344">
      <c r="A2344" s="2"/>
      <c r="B2344" s="168" t="s">
        <v>257</v>
      </c>
      <c r="C2344" s="168" t="s">
        <v>2608</v>
      </c>
      <c r="D2344" s="229">
        <v>28.5</v>
      </c>
      <c r="E2344" s="229">
        <v>32.0</v>
      </c>
      <c r="F2344" s="230">
        <v>3.0</v>
      </c>
      <c r="G2344" s="232"/>
    </row>
    <row r="2345">
      <c r="A2345" s="2"/>
      <c r="B2345" s="168" t="s">
        <v>269</v>
      </c>
      <c r="C2345" s="168" t="s">
        <v>2609</v>
      </c>
      <c r="D2345" s="229">
        <v>26.5</v>
      </c>
      <c r="E2345" s="229">
        <v>30.0</v>
      </c>
      <c r="F2345" s="230">
        <v>3.0</v>
      </c>
      <c r="G2345" s="232"/>
    </row>
    <row r="2346">
      <c r="A2346" s="2"/>
      <c r="B2346" s="168" t="s">
        <v>245</v>
      </c>
      <c r="C2346" s="168" t="s">
        <v>2610</v>
      </c>
      <c r="D2346" s="229">
        <v>29.5</v>
      </c>
      <c r="E2346" s="229">
        <v>33.0</v>
      </c>
      <c r="F2346" s="230">
        <v>3.0</v>
      </c>
      <c r="G2346" s="232"/>
    </row>
    <row r="2347">
      <c r="A2347" s="2"/>
      <c r="B2347" s="168" t="s">
        <v>245</v>
      </c>
      <c r="C2347" s="168" t="s">
        <v>2611</v>
      </c>
      <c r="D2347" s="229">
        <v>29.5</v>
      </c>
      <c r="E2347" s="229">
        <v>33.0</v>
      </c>
      <c r="F2347" s="230">
        <v>3.0</v>
      </c>
      <c r="G2347" s="232"/>
    </row>
    <row r="2348">
      <c r="A2348" s="2"/>
      <c r="B2348" s="168" t="s">
        <v>269</v>
      </c>
      <c r="C2348" s="168" t="s">
        <v>2612</v>
      </c>
      <c r="D2348" s="229">
        <v>26.5</v>
      </c>
      <c r="E2348" s="229">
        <v>30.0</v>
      </c>
      <c r="F2348" s="230">
        <v>3.0</v>
      </c>
      <c r="G2348" s="232"/>
    </row>
    <row r="2349">
      <c r="A2349" s="2"/>
      <c r="B2349" s="168" t="s">
        <v>245</v>
      </c>
      <c r="C2349" s="168" t="s">
        <v>2613</v>
      </c>
      <c r="D2349" s="229">
        <v>29.5</v>
      </c>
      <c r="E2349" s="229">
        <v>33.0</v>
      </c>
      <c r="F2349" s="230">
        <v>3.0</v>
      </c>
      <c r="G2349" s="232"/>
    </row>
    <row r="2350">
      <c r="A2350" s="2"/>
      <c r="B2350" s="168" t="s">
        <v>288</v>
      </c>
      <c r="C2350" s="168" t="s">
        <v>2614</v>
      </c>
      <c r="D2350" s="229">
        <v>21.5</v>
      </c>
      <c r="E2350" s="229">
        <v>25.0</v>
      </c>
      <c r="F2350" s="230">
        <v>3.0</v>
      </c>
      <c r="G2350" s="232"/>
    </row>
    <row r="2351">
      <c r="A2351" s="2"/>
      <c r="B2351" s="168" t="s">
        <v>271</v>
      </c>
      <c r="C2351" s="168" t="s">
        <v>2615</v>
      </c>
      <c r="D2351" s="229">
        <v>30.5</v>
      </c>
      <c r="E2351" s="229">
        <v>34.0</v>
      </c>
      <c r="F2351" s="230">
        <v>3.0</v>
      </c>
      <c r="G2351" s="232"/>
    </row>
    <row r="2352">
      <c r="A2352" s="2"/>
      <c r="B2352" s="168" t="s">
        <v>345</v>
      </c>
      <c r="C2352" s="168" t="s">
        <v>2616</v>
      </c>
      <c r="D2352" s="229">
        <v>26.5</v>
      </c>
      <c r="E2352" s="229">
        <v>30.0</v>
      </c>
      <c r="F2352" s="230">
        <v>3.0</v>
      </c>
      <c r="G2352" s="232"/>
    </row>
    <row r="2353">
      <c r="A2353" s="2"/>
      <c r="B2353" s="168" t="s">
        <v>273</v>
      </c>
      <c r="C2353" s="168" t="s">
        <v>2617</v>
      </c>
      <c r="D2353" s="229">
        <v>29.5</v>
      </c>
      <c r="E2353" s="229">
        <v>33.0</v>
      </c>
      <c r="F2353" s="230">
        <v>3.0</v>
      </c>
      <c r="G2353" s="232"/>
    </row>
    <row r="2354">
      <c r="A2354" s="2"/>
      <c r="B2354" s="168" t="s">
        <v>245</v>
      </c>
      <c r="C2354" s="168" t="s">
        <v>2618</v>
      </c>
      <c r="D2354" s="229">
        <v>29.5</v>
      </c>
      <c r="E2354" s="229">
        <v>33.0</v>
      </c>
      <c r="F2354" s="230">
        <v>3.0</v>
      </c>
      <c r="G2354" s="232"/>
    </row>
    <row r="2355">
      <c r="A2355" s="2"/>
      <c r="B2355" s="168" t="s">
        <v>565</v>
      </c>
      <c r="C2355" s="168" t="s">
        <v>2619</v>
      </c>
      <c r="D2355" s="229">
        <v>24.5</v>
      </c>
      <c r="E2355" s="229">
        <v>28.0</v>
      </c>
      <c r="F2355" s="230">
        <v>3.0</v>
      </c>
      <c r="G2355" s="232"/>
    </row>
    <row r="2356">
      <c r="A2356" s="2"/>
      <c r="B2356" s="168" t="s">
        <v>290</v>
      </c>
      <c r="C2356" s="168" t="s">
        <v>2620</v>
      </c>
      <c r="D2356" s="229">
        <v>29.5</v>
      </c>
      <c r="E2356" s="229">
        <v>33.0</v>
      </c>
      <c r="F2356" s="230">
        <v>3.0</v>
      </c>
      <c r="G2356" s="232"/>
    </row>
    <row r="2357">
      <c r="A2357" s="2"/>
      <c r="B2357" s="168" t="s">
        <v>1432</v>
      </c>
      <c r="C2357" s="168" t="s">
        <v>2621</v>
      </c>
      <c r="D2357" s="229">
        <v>26.5</v>
      </c>
      <c r="E2357" s="229">
        <v>30.0</v>
      </c>
      <c r="F2357" s="230">
        <v>3.0</v>
      </c>
      <c r="G2357" s="232"/>
    </row>
    <row r="2358">
      <c r="A2358" s="2"/>
      <c r="B2358" s="168" t="s">
        <v>535</v>
      </c>
      <c r="C2358" s="168" t="s">
        <v>2622</v>
      </c>
      <c r="D2358" s="229">
        <v>26.5</v>
      </c>
      <c r="E2358" s="229">
        <v>30.0</v>
      </c>
      <c r="F2358" s="230">
        <v>3.0</v>
      </c>
      <c r="G2358" s="232"/>
    </row>
    <row r="2359">
      <c r="A2359" s="2"/>
      <c r="B2359" s="168" t="s">
        <v>296</v>
      </c>
      <c r="C2359" s="168" t="s">
        <v>2623</v>
      </c>
      <c r="D2359" s="229">
        <v>26.5</v>
      </c>
      <c r="E2359" s="229">
        <v>30.0</v>
      </c>
      <c r="F2359" s="230">
        <v>3.0</v>
      </c>
      <c r="G2359" s="232"/>
    </row>
    <row r="2360">
      <c r="A2360" s="2"/>
      <c r="B2360" s="168" t="s">
        <v>337</v>
      </c>
      <c r="C2360" s="168" t="s">
        <v>2624</v>
      </c>
      <c r="D2360" s="229">
        <v>28.5</v>
      </c>
      <c r="E2360" s="229">
        <v>32.0</v>
      </c>
      <c r="F2360" s="230">
        <v>3.0</v>
      </c>
      <c r="G2360" s="232"/>
    </row>
    <row r="2361">
      <c r="A2361" s="2"/>
      <c r="B2361" s="168" t="s">
        <v>269</v>
      </c>
      <c r="C2361" s="168" t="s">
        <v>2625</v>
      </c>
      <c r="D2361" s="229">
        <v>26.5</v>
      </c>
      <c r="E2361" s="229">
        <v>30.0</v>
      </c>
      <c r="F2361" s="230">
        <v>3.0</v>
      </c>
      <c r="G2361" s="232"/>
    </row>
    <row r="2362">
      <c r="A2362" s="2"/>
      <c r="B2362" s="168" t="s">
        <v>288</v>
      </c>
      <c r="C2362" s="168" t="s">
        <v>2626</v>
      </c>
      <c r="D2362" s="229">
        <v>21.5</v>
      </c>
      <c r="E2362" s="229">
        <v>25.0</v>
      </c>
      <c r="F2362" s="230">
        <v>3.0</v>
      </c>
      <c r="G2362" s="232"/>
    </row>
    <row r="2363">
      <c r="A2363" s="2"/>
      <c r="B2363" s="168" t="s">
        <v>296</v>
      </c>
      <c r="C2363" s="168" t="s">
        <v>2627</v>
      </c>
      <c r="D2363" s="229">
        <v>21.5</v>
      </c>
      <c r="E2363" s="229">
        <v>25.0</v>
      </c>
      <c r="F2363" s="230">
        <v>3.0</v>
      </c>
      <c r="G2363" s="232"/>
    </row>
    <row r="2364">
      <c r="A2364" s="2"/>
      <c r="B2364" s="168" t="s">
        <v>377</v>
      </c>
      <c r="C2364" s="168" t="s">
        <v>2628</v>
      </c>
      <c r="D2364" s="229">
        <v>24.5</v>
      </c>
      <c r="E2364" s="229">
        <v>28.0</v>
      </c>
      <c r="F2364" s="230">
        <v>3.0</v>
      </c>
      <c r="G2364" s="232"/>
    </row>
    <row r="2365">
      <c r="A2365" s="2"/>
      <c r="B2365" s="168" t="s">
        <v>255</v>
      </c>
      <c r="C2365" s="168" t="s">
        <v>2629</v>
      </c>
      <c r="D2365" s="229">
        <v>31.5</v>
      </c>
      <c r="E2365" s="229">
        <v>35.0</v>
      </c>
      <c r="F2365" s="230">
        <v>3.0</v>
      </c>
      <c r="G2365" s="232"/>
    </row>
    <row r="2366">
      <c r="A2366" s="2"/>
      <c r="B2366" s="168" t="s">
        <v>290</v>
      </c>
      <c r="C2366" s="168" t="s">
        <v>2630</v>
      </c>
      <c r="D2366" s="229">
        <v>29.5</v>
      </c>
      <c r="E2366" s="229">
        <v>33.0</v>
      </c>
      <c r="F2366" s="230">
        <v>3.0</v>
      </c>
      <c r="G2366" s="232"/>
    </row>
    <row r="2367">
      <c r="A2367" s="2"/>
      <c r="B2367" s="168" t="s">
        <v>241</v>
      </c>
      <c r="C2367" s="168" t="s">
        <v>2631</v>
      </c>
      <c r="D2367" s="229">
        <v>31.0</v>
      </c>
      <c r="E2367" s="229">
        <v>34.5</v>
      </c>
      <c r="F2367" s="230">
        <v>3.0</v>
      </c>
      <c r="G2367" s="232"/>
    </row>
    <row r="2368">
      <c r="A2368" s="2"/>
      <c r="B2368" s="168" t="s">
        <v>684</v>
      </c>
      <c r="C2368" s="168" t="s">
        <v>2632</v>
      </c>
      <c r="D2368" s="229">
        <v>25.5</v>
      </c>
      <c r="E2368" s="229">
        <v>29.0</v>
      </c>
      <c r="F2368" s="230">
        <v>3.0</v>
      </c>
      <c r="G2368" s="232"/>
    </row>
    <row r="2369">
      <c r="A2369" s="2"/>
      <c r="B2369" s="168" t="s">
        <v>273</v>
      </c>
      <c r="C2369" s="168" t="s">
        <v>2633</v>
      </c>
      <c r="D2369" s="229">
        <v>24.5</v>
      </c>
      <c r="E2369" s="229">
        <v>28.0</v>
      </c>
      <c r="F2369" s="230">
        <v>3.0</v>
      </c>
      <c r="G2369" s="232"/>
    </row>
    <row r="2370">
      <c r="A2370" s="2"/>
      <c r="B2370" s="168" t="s">
        <v>262</v>
      </c>
      <c r="C2370" s="168" t="s">
        <v>2634</v>
      </c>
      <c r="D2370" s="229">
        <v>29.5</v>
      </c>
      <c r="E2370" s="229">
        <v>33.0</v>
      </c>
      <c r="F2370" s="230">
        <v>3.0</v>
      </c>
      <c r="G2370" s="232"/>
    </row>
    <row r="2371">
      <c r="A2371" s="2"/>
      <c r="B2371" s="168" t="s">
        <v>232</v>
      </c>
      <c r="C2371" s="168" t="s">
        <v>2635</v>
      </c>
      <c r="D2371" s="229">
        <v>27.5</v>
      </c>
      <c r="E2371" s="229">
        <v>31.0</v>
      </c>
      <c r="F2371" s="230">
        <v>3.0</v>
      </c>
      <c r="G2371" s="232"/>
    </row>
    <row r="2372">
      <c r="A2372" s="2"/>
      <c r="B2372" s="168" t="s">
        <v>341</v>
      </c>
      <c r="C2372" s="168" t="s">
        <v>2636</v>
      </c>
      <c r="D2372" s="229">
        <v>29.5</v>
      </c>
      <c r="E2372" s="229">
        <v>29.5</v>
      </c>
      <c r="F2372" s="230">
        <v>3.0</v>
      </c>
      <c r="G2372" s="232"/>
    </row>
    <row r="2373">
      <c r="A2373" s="2"/>
      <c r="B2373" s="168" t="s">
        <v>296</v>
      </c>
      <c r="C2373" s="168" t="s">
        <v>2637</v>
      </c>
      <c r="D2373" s="229">
        <v>26.5</v>
      </c>
      <c r="E2373" s="229">
        <v>30.0</v>
      </c>
      <c r="F2373" s="230">
        <v>3.0</v>
      </c>
      <c r="G2373" s="232"/>
    </row>
    <row r="2374">
      <c r="A2374" s="2"/>
      <c r="B2374" s="168" t="s">
        <v>241</v>
      </c>
      <c r="C2374" s="168" t="s">
        <v>2638</v>
      </c>
      <c r="D2374" s="229">
        <v>32.5</v>
      </c>
      <c r="E2374" s="229">
        <v>36.0</v>
      </c>
      <c r="F2374" s="230">
        <v>3.0</v>
      </c>
      <c r="G2374" s="232"/>
    </row>
    <row r="2375">
      <c r="A2375" s="2"/>
      <c r="B2375" s="168" t="s">
        <v>217</v>
      </c>
      <c r="C2375" s="168" t="s">
        <v>2639</v>
      </c>
      <c r="D2375" s="229">
        <v>27.5</v>
      </c>
      <c r="E2375" s="229">
        <v>31.0</v>
      </c>
      <c r="F2375" s="230">
        <v>3.0</v>
      </c>
      <c r="G2375" s="232"/>
    </row>
    <row r="2376">
      <c r="A2376" s="2"/>
      <c r="B2376" s="168" t="s">
        <v>241</v>
      </c>
      <c r="C2376" s="168" t="s">
        <v>2640</v>
      </c>
      <c r="D2376" s="229">
        <v>32.5</v>
      </c>
      <c r="E2376" s="229">
        <v>36.0</v>
      </c>
      <c r="F2376" s="230">
        <v>3.0</v>
      </c>
      <c r="G2376" s="232"/>
    </row>
    <row r="2377">
      <c r="A2377" s="2"/>
      <c r="B2377" s="168" t="s">
        <v>592</v>
      </c>
      <c r="C2377" s="168" t="s">
        <v>2641</v>
      </c>
      <c r="D2377" s="229">
        <v>34.5</v>
      </c>
      <c r="E2377" s="229">
        <v>38.0</v>
      </c>
      <c r="F2377" s="230">
        <v>3.0</v>
      </c>
      <c r="G2377" s="232"/>
    </row>
    <row r="2378">
      <c r="A2378" s="2"/>
      <c r="B2378" s="168" t="s">
        <v>375</v>
      </c>
      <c r="C2378" s="168" t="s">
        <v>2642</v>
      </c>
      <c r="D2378" s="229">
        <v>26.5</v>
      </c>
      <c r="E2378" s="229">
        <v>30.0</v>
      </c>
      <c r="F2378" s="230">
        <v>3.0</v>
      </c>
      <c r="G2378" s="232"/>
    </row>
    <row r="2379">
      <c r="A2379" s="2"/>
      <c r="B2379" s="168" t="s">
        <v>230</v>
      </c>
      <c r="C2379" s="168" t="s">
        <v>2643</v>
      </c>
      <c r="D2379" s="229">
        <v>21.5</v>
      </c>
      <c r="E2379" s="229">
        <v>25.0</v>
      </c>
      <c r="F2379" s="230">
        <v>3.0</v>
      </c>
      <c r="G2379" s="232"/>
    </row>
    <row r="2380">
      <c r="A2380" s="2"/>
      <c r="B2380" s="168" t="s">
        <v>217</v>
      </c>
      <c r="C2380" s="168" t="s">
        <v>2644</v>
      </c>
      <c r="D2380" s="229">
        <v>27.5</v>
      </c>
      <c r="E2380" s="229">
        <v>31.0</v>
      </c>
      <c r="F2380" s="230">
        <v>3.0</v>
      </c>
      <c r="G2380" s="232"/>
    </row>
    <row r="2381">
      <c r="A2381" s="2"/>
      <c r="B2381" s="168" t="s">
        <v>330</v>
      </c>
      <c r="C2381" s="168" t="s">
        <v>2645</v>
      </c>
      <c r="D2381" s="229">
        <v>24.5</v>
      </c>
      <c r="E2381" s="229">
        <v>28.0</v>
      </c>
      <c r="F2381" s="230">
        <v>3.0</v>
      </c>
      <c r="G2381" s="232"/>
    </row>
    <row r="2382">
      <c r="A2382" s="2"/>
      <c r="B2382" s="168" t="s">
        <v>345</v>
      </c>
      <c r="C2382" s="168" t="s">
        <v>2646</v>
      </c>
      <c r="D2382" s="229">
        <v>26.5</v>
      </c>
      <c r="E2382" s="229">
        <v>30.0</v>
      </c>
      <c r="F2382" s="230">
        <v>3.0</v>
      </c>
      <c r="G2382" s="232"/>
    </row>
    <row r="2383">
      <c r="A2383" s="2"/>
      <c r="B2383" s="168" t="s">
        <v>427</v>
      </c>
      <c r="C2383" s="168" t="s">
        <v>2647</v>
      </c>
      <c r="D2383" s="229">
        <v>26.5</v>
      </c>
      <c r="E2383" s="229">
        <v>30.0</v>
      </c>
      <c r="F2383" s="230">
        <v>3.0</v>
      </c>
      <c r="G2383" s="232"/>
    </row>
    <row r="2384">
      <c r="A2384" s="2"/>
      <c r="B2384" s="168" t="s">
        <v>288</v>
      </c>
      <c r="C2384" s="168" t="s">
        <v>2648</v>
      </c>
      <c r="D2384" s="229">
        <v>16.5</v>
      </c>
      <c r="E2384" s="229">
        <v>20.0</v>
      </c>
      <c r="F2384" s="230">
        <v>3.0</v>
      </c>
      <c r="G2384" s="232"/>
    </row>
    <row r="2385">
      <c r="A2385" s="2"/>
      <c r="B2385" s="168" t="s">
        <v>375</v>
      </c>
      <c r="C2385" s="168" t="s">
        <v>2649</v>
      </c>
      <c r="D2385" s="229">
        <v>26.5</v>
      </c>
      <c r="E2385" s="229">
        <v>30.0</v>
      </c>
      <c r="F2385" s="230">
        <v>3.0</v>
      </c>
      <c r="G2385" s="232"/>
    </row>
    <row r="2386">
      <c r="A2386" s="2"/>
      <c r="B2386" s="168" t="s">
        <v>535</v>
      </c>
      <c r="C2386" s="168" t="s">
        <v>2650</v>
      </c>
      <c r="D2386" s="229">
        <v>26.5</v>
      </c>
      <c r="E2386" s="229">
        <v>30.0</v>
      </c>
      <c r="F2386" s="230">
        <v>3.0</v>
      </c>
      <c r="G2386" s="232"/>
    </row>
    <row r="2387">
      <c r="A2387" s="2"/>
      <c r="B2387" s="168" t="s">
        <v>232</v>
      </c>
      <c r="C2387" s="168" t="s">
        <v>2651</v>
      </c>
      <c r="D2387" s="229">
        <v>26.5</v>
      </c>
      <c r="E2387" s="229">
        <v>30.0</v>
      </c>
      <c r="F2387" s="230">
        <v>3.0</v>
      </c>
      <c r="G2387" s="232"/>
    </row>
    <row r="2388">
      <c r="A2388" s="2"/>
      <c r="B2388" s="168" t="s">
        <v>269</v>
      </c>
      <c r="C2388" s="168" t="s">
        <v>2652</v>
      </c>
      <c r="D2388" s="229">
        <v>26.5</v>
      </c>
      <c r="E2388" s="229">
        <v>30.0</v>
      </c>
      <c r="F2388" s="230">
        <v>3.0</v>
      </c>
      <c r="G2388" s="232"/>
    </row>
    <row r="2389">
      <c r="A2389" s="2"/>
      <c r="B2389" s="168" t="s">
        <v>381</v>
      </c>
      <c r="C2389" s="168" t="s">
        <v>2653</v>
      </c>
      <c r="D2389" s="229">
        <v>28.5</v>
      </c>
      <c r="E2389" s="229">
        <v>32.0</v>
      </c>
      <c r="F2389" s="230">
        <v>3.0</v>
      </c>
      <c r="G2389" s="232"/>
    </row>
    <row r="2390">
      <c r="A2390" s="2"/>
      <c r="B2390" s="168" t="s">
        <v>215</v>
      </c>
      <c r="C2390" s="168" t="s">
        <v>2654</v>
      </c>
      <c r="D2390" s="229">
        <v>29.5</v>
      </c>
      <c r="E2390" s="229">
        <v>33.0</v>
      </c>
      <c r="F2390" s="230">
        <v>3.0</v>
      </c>
      <c r="G2390" s="232"/>
    </row>
    <row r="2391">
      <c r="A2391" s="2"/>
      <c r="B2391" s="168" t="s">
        <v>386</v>
      </c>
      <c r="C2391" s="168" t="s">
        <v>2655</v>
      </c>
      <c r="D2391" s="229">
        <v>34.5</v>
      </c>
      <c r="E2391" s="229">
        <v>38.0</v>
      </c>
      <c r="F2391" s="230">
        <v>3.0</v>
      </c>
      <c r="G2391" s="232"/>
    </row>
    <row r="2392">
      <c r="A2392" s="2"/>
      <c r="B2392" s="168" t="s">
        <v>288</v>
      </c>
      <c r="C2392" s="168" t="s">
        <v>2656</v>
      </c>
      <c r="D2392" s="229">
        <v>16.5</v>
      </c>
      <c r="E2392" s="229">
        <v>20.0</v>
      </c>
      <c r="F2392" s="230">
        <v>3.0</v>
      </c>
      <c r="G2392" s="232"/>
    </row>
    <row r="2393">
      <c r="A2393" s="2"/>
      <c r="B2393" s="168" t="s">
        <v>290</v>
      </c>
      <c r="C2393" s="168" t="s">
        <v>2657</v>
      </c>
      <c r="D2393" s="229">
        <v>24.5</v>
      </c>
      <c r="E2393" s="229">
        <v>28.0</v>
      </c>
      <c r="F2393" s="230">
        <v>3.0</v>
      </c>
      <c r="G2393" s="232"/>
    </row>
    <row r="2394">
      <c r="A2394" s="2"/>
      <c r="B2394" s="168" t="s">
        <v>328</v>
      </c>
      <c r="C2394" s="168" t="s">
        <v>2658</v>
      </c>
      <c r="D2394" s="229">
        <v>34.5</v>
      </c>
      <c r="E2394" s="229">
        <v>38.0</v>
      </c>
      <c r="F2394" s="230">
        <v>3.0</v>
      </c>
      <c r="G2394" s="232"/>
    </row>
    <row r="2395">
      <c r="A2395" s="2"/>
      <c r="B2395" s="168" t="s">
        <v>345</v>
      </c>
      <c r="C2395" s="168" t="s">
        <v>2659</v>
      </c>
      <c r="D2395" s="229">
        <v>26.5</v>
      </c>
      <c r="E2395" s="229">
        <v>30.0</v>
      </c>
      <c r="F2395" s="230">
        <v>3.0</v>
      </c>
      <c r="G2395" s="232"/>
    </row>
    <row r="2396">
      <c r="A2396" s="2"/>
      <c r="B2396" s="168" t="s">
        <v>377</v>
      </c>
      <c r="C2396" s="168" t="s">
        <v>2660</v>
      </c>
      <c r="D2396" s="229">
        <v>29.5</v>
      </c>
      <c r="E2396" s="229">
        <v>33.0</v>
      </c>
      <c r="F2396" s="230">
        <v>3.0</v>
      </c>
      <c r="G2396" s="232"/>
    </row>
    <row r="2397">
      <c r="A2397" s="2"/>
      <c r="B2397" s="168" t="s">
        <v>260</v>
      </c>
      <c r="C2397" s="168" t="s">
        <v>2661</v>
      </c>
      <c r="D2397" s="229">
        <v>28.5</v>
      </c>
      <c r="E2397" s="229">
        <v>32.0</v>
      </c>
      <c r="F2397" s="230">
        <v>3.0</v>
      </c>
      <c r="G2397" s="232"/>
    </row>
    <row r="2398">
      <c r="A2398" s="2"/>
      <c r="B2398" s="168" t="s">
        <v>449</v>
      </c>
      <c r="C2398" s="168" t="s">
        <v>2662</v>
      </c>
      <c r="D2398" s="229">
        <v>23.5</v>
      </c>
      <c r="E2398" s="229">
        <v>27.0</v>
      </c>
      <c r="F2398" s="230">
        <v>3.0</v>
      </c>
      <c r="G2398" s="232"/>
    </row>
    <row r="2399">
      <c r="A2399" s="2"/>
      <c r="B2399" s="168" t="s">
        <v>257</v>
      </c>
      <c r="C2399" s="168" t="s">
        <v>2663</v>
      </c>
      <c r="D2399" s="229">
        <v>28.5</v>
      </c>
      <c r="E2399" s="229">
        <v>32.0</v>
      </c>
      <c r="F2399" s="230">
        <v>3.0</v>
      </c>
      <c r="G2399" s="232"/>
    </row>
    <row r="2400">
      <c r="A2400" s="2"/>
      <c r="B2400" s="168" t="s">
        <v>381</v>
      </c>
      <c r="C2400" s="168" t="s">
        <v>2664</v>
      </c>
      <c r="D2400" s="229">
        <v>28.5</v>
      </c>
      <c r="E2400" s="229">
        <v>32.0</v>
      </c>
      <c r="F2400" s="230">
        <v>3.0</v>
      </c>
      <c r="G2400" s="232"/>
    </row>
    <row r="2401">
      <c r="A2401" s="2"/>
      <c r="B2401" s="168" t="s">
        <v>239</v>
      </c>
      <c r="C2401" s="168" t="s">
        <v>2665</v>
      </c>
      <c r="D2401" s="229">
        <v>29.5</v>
      </c>
      <c r="E2401" s="229">
        <v>33.0</v>
      </c>
      <c r="F2401" s="230">
        <v>3.0</v>
      </c>
      <c r="G2401" s="232"/>
    </row>
    <row r="2402">
      <c r="A2402" s="2"/>
      <c r="B2402" s="168" t="s">
        <v>215</v>
      </c>
      <c r="C2402" s="168" t="s">
        <v>2666</v>
      </c>
      <c r="D2402" s="229">
        <v>29.5</v>
      </c>
      <c r="E2402" s="229">
        <v>33.0</v>
      </c>
      <c r="F2402" s="230">
        <v>3.0</v>
      </c>
      <c r="G2402" s="232"/>
    </row>
    <row r="2403">
      <c r="A2403" s="2"/>
      <c r="B2403" s="168" t="s">
        <v>328</v>
      </c>
      <c r="C2403" s="168" t="s">
        <v>2667</v>
      </c>
      <c r="D2403" s="229">
        <v>34.5</v>
      </c>
      <c r="E2403" s="229">
        <v>38.0</v>
      </c>
      <c r="F2403" s="230">
        <v>3.0</v>
      </c>
      <c r="G2403" s="232"/>
    </row>
    <row r="2404">
      <c r="A2404" s="2"/>
      <c r="B2404" s="168" t="s">
        <v>241</v>
      </c>
      <c r="C2404" s="168" t="s">
        <v>2668</v>
      </c>
      <c r="D2404" s="229">
        <v>30.0</v>
      </c>
      <c r="E2404" s="229">
        <v>33.5</v>
      </c>
      <c r="F2404" s="230">
        <v>3.0</v>
      </c>
      <c r="G2404" s="232"/>
    </row>
    <row r="2405">
      <c r="A2405" s="2"/>
      <c r="B2405" s="168" t="s">
        <v>332</v>
      </c>
      <c r="C2405" s="168" t="s">
        <v>2669</v>
      </c>
      <c r="D2405" s="229">
        <v>28.5</v>
      </c>
      <c r="E2405" s="229">
        <v>32.0</v>
      </c>
      <c r="F2405" s="230">
        <v>3.0</v>
      </c>
      <c r="G2405" s="232"/>
    </row>
    <row r="2406">
      <c r="A2406" s="2"/>
      <c r="B2406" s="168" t="s">
        <v>456</v>
      </c>
      <c r="C2406" s="168" t="s">
        <v>2670</v>
      </c>
      <c r="D2406" s="229">
        <v>21.5</v>
      </c>
      <c r="E2406" s="229">
        <v>25.0</v>
      </c>
      <c r="F2406" s="230">
        <v>3.0</v>
      </c>
      <c r="G2406" s="232"/>
    </row>
    <row r="2407">
      <c r="A2407" s="2"/>
      <c r="B2407" s="168" t="s">
        <v>232</v>
      </c>
      <c r="C2407" s="168" t="s">
        <v>2671</v>
      </c>
      <c r="D2407" s="229">
        <v>25.5</v>
      </c>
      <c r="E2407" s="229">
        <v>29.0</v>
      </c>
      <c r="F2407" s="230">
        <v>3.0</v>
      </c>
      <c r="G2407" s="232"/>
    </row>
    <row r="2408">
      <c r="A2408" s="2"/>
      <c r="B2408" s="168" t="s">
        <v>221</v>
      </c>
      <c r="C2408" s="168" t="s">
        <v>2672</v>
      </c>
      <c r="D2408" s="229">
        <v>22.5</v>
      </c>
      <c r="E2408" s="229">
        <v>26.0</v>
      </c>
      <c r="F2408" s="230">
        <v>3.0</v>
      </c>
      <c r="G2408" s="232"/>
    </row>
    <row r="2409">
      <c r="A2409" s="2"/>
      <c r="B2409" s="168" t="s">
        <v>223</v>
      </c>
      <c r="C2409" s="168" t="s">
        <v>2673</v>
      </c>
      <c r="D2409" s="229">
        <v>26.5</v>
      </c>
      <c r="E2409" s="229">
        <v>30.0</v>
      </c>
      <c r="F2409" s="230">
        <v>3.0</v>
      </c>
      <c r="G2409" s="232"/>
    </row>
    <row r="2410">
      <c r="A2410" s="2"/>
      <c r="B2410" s="168" t="s">
        <v>280</v>
      </c>
      <c r="C2410" s="168" t="s">
        <v>2674</v>
      </c>
      <c r="D2410" s="229">
        <v>28.5</v>
      </c>
      <c r="E2410" s="229">
        <v>32.0</v>
      </c>
      <c r="F2410" s="230">
        <v>3.0</v>
      </c>
      <c r="G2410" s="232"/>
    </row>
    <row r="2411">
      <c r="A2411" s="2"/>
      <c r="B2411" s="168" t="s">
        <v>230</v>
      </c>
      <c r="C2411" s="168" t="s">
        <v>2675</v>
      </c>
      <c r="D2411" s="229">
        <v>21.5</v>
      </c>
      <c r="E2411" s="229">
        <v>25.0</v>
      </c>
      <c r="F2411" s="230">
        <v>3.0</v>
      </c>
      <c r="G2411" s="232"/>
    </row>
    <row r="2412">
      <c r="A2412" s="2"/>
      <c r="B2412" s="168" t="s">
        <v>232</v>
      </c>
      <c r="C2412" s="168" t="s">
        <v>2676</v>
      </c>
      <c r="D2412" s="229">
        <v>32.5</v>
      </c>
      <c r="E2412" s="229">
        <v>36.0</v>
      </c>
      <c r="F2412" s="230">
        <v>3.0</v>
      </c>
      <c r="G2412" s="232"/>
    </row>
    <row r="2413">
      <c r="A2413" s="2"/>
      <c r="B2413" s="168" t="s">
        <v>413</v>
      </c>
      <c r="C2413" s="168" t="s">
        <v>2677</v>
      </c>
      <c r="D2413" s="229">
        <v>29.5</v>
      </c>
      <c r="E2413" s="229">
        <v>33.0</v>
      </c>
      <c r="F2413" s="230">
        <v>3.0</v>
      </c>
      <c r="G2413" s="232"/>
    </row>
    <row r="2414">
      <c r="A2414" s="2"/>
      <c r="B2414" s="168" t="s">
        <v>337</v>
      </c>
      <c r="C2414" s="168" t="s">
        <v>337</v>
      </c>
      <c r="D2414" s="229">
        <v>32.5</v>
      </c>
      <c r="E2414" s="229">
        <v>36.0</v>
      </c>
      <c r="F2414" s="230">
        <v>3.0</v>
      </c>
      <c r="G2414" s="232"/>
    </row>
    <row r="2415">
      <c r="A2415" s="2"/>
      <c r="B2415" s="168" t="s">
        <v>243</v>
      </c>
      <c r="C2415" s="168" t="s">
        <v>2678</v>
      </c>
      <c r="D2415" s="229">
        <v>29.5</v>
      </c>
      <c r="E2415" s="229">
        <v>33.0</v>
      </c>
      <c r="F2415" s="230">
        <v>3.0</v>
      </c>
      <c r="G2415" s="232"/>
    </row>
    <row r="2416">
      <c r="A2416" s="2"/>
      <c r="B2416" s="168" t="s">
        <v>215</v>
      </c>
      <c r="C2416" s="168" t="s">
        <v>2679</v>
      </c>
      <c r="D2416" s="229">
        <v>29.5</v>
      </c>
      <c r="E2416" s="229">
        <v>33.0</v>
      </c>
      <c r="F2416" s="230">
        <v>3.0</v>
      </c>
      <c r="G2416" s="232"/>
    </row>
    <row r="2417">
      <c r="A2417" s="2"/>
      <c r="B2417" s="168" t="s">
        <v>269</v>
      </c>
      <c r="C2417" s="168" t="s">
        <v>2680</v>
      </c>
      <c r="D2417" s="229">
        <v>26.5</v>
      </c>
      <c r="E2417" s="229">
        <v>30.0</v>
      </c>
      <c r="F2417" s="230">
        <v>3.0</v>
      </c>
      <c r="G2417" s="232"/>
    </row>
    <row r="2418">
      <c r="A2418" s="2"/>
      <c r="B2418" s="168" t="s">
        <v>223</v>
      </c>
      <c r="C2418" s="168" t="s">
        <v>2681</v>
      </c>
      <c r="D2418" s="229">
        <v>26.5</v>
      </c>
      <c r="E2418" s="229">
        <v>30.0</v>
      </c>
      <c r="F2418" s="230">
        <v>3.0</v>
      </c>
      <c r="G2418" s="232"/>
    </row>
    <row r="2419">
      <c r="A2419" s="2"/>
      <c r="B2419" s="168" t="s">
        <v>574</v>
      </c>
      <c r="C2419" s="168" t="s">
        <v>2682</v>
      </c>
      <c r="D2419" s="229">
        <v>34.5</v>
      </c>
      <c r="E2419" s="229">
        <v>38.0</v>
      </c>
      <c r="F2419" s="230">
        <v>3.0</v>
      </c>
      <c r="G2419" s="232"/>
    </row>
    <row r="2420">
      <c r="A2420" s="2"/>
      <c r="B2420" s="168" t="s">
        <v>241</v>
      </c>
      <c r="C2420" s="168" t="s">
        <v>2683</v>
      </c>
      <c r="D2420" s="229">
        <v>32.5</v>
      </c>
      <c r="E2420" s="229">
        <v>36.0</v>
      </c>
      <c r="F2420" s="230">
        <v>3.0</v>
      </c>
      <c r="G2420" s="232"/>
    </row>
    <row r="2421">
      <c r="A2421" s="2"/>
      <c r="B2421" s="168" t="s">
        <v>255</v>
      </c>
      <c r="C2421" s="168" t="s">
        <v>2684</v>
      </c>
      <c r="D2421" s="229">
        <v>31.5</v>
      </c>
      <c r="E2421" s="229">
        <v>35.0</v>
      </c>
      <c r="F2421" s="230">
        <v>3.0</v>
      </c>
      <c r="G2421" s="232"/>
    </row>
    <row r="2422">
      <c r="A2422" s="2"/>
      <c r="B2422" s="168" t="s">
        <v>241</v>
      </c>
      <c r="C2422" s="168" t="s">
        <v>2685</v>
      </c>
      <c r="D2422" s="229">
        <v>27.5</v>
      </c>
      <c r="E2422" s="229">
        <v>31.0</v>
      </c>
      <c r="F2422" s="230">
        <v>3.0</v>
      </c>
      <c r="G2422" s="232"/>
    </row>
    <row r="2423">
      <c r="A2423" s="2"/>
      <c r="B2423" s="168" t="s">
        <v>332</v>
      </c>
      <c r="C2423" s="168" t="s">
        <v>2686</v>
      </c>
      <c r="D2423" s="229">
        <v>28.5</v>
      </c>
      <c r="E2423" s="229">
        <v>32.0</v>
      </c>
      <c r="F2423" s="230">
        <v>3.0</v>
      </c>
      <c r="G2423" s="232"/>
    </row>
    <row r="2424">
      <c r="A2424" s="2"/>
      <c r="B2424" s="168" t="s">
        <v>245</v>
      </c>
      <c r="C2424" s="168" t="s">
        <v>2687</v>
      </c>
      <c r="D2424" s="229">
        <v>29.0</v>
      </c>
      <c r="E2424" s="229">
        <v>32.5</v>
      </c>
      <c r="F2424" s="230">
        <v>3.0</v>
      </c>
      <c r="G2424" s="232"/>
    </row>
    <row r="2425">
      <c r="A2425" s="2"/>
      <c r="B2425" s="168" t="s">
        <v>296</v>
      </c>
      <c r="C2425" s="168" t="s">
        <v>2688</v>
      </c>
      <c r="D2425" s="229">
        <v>26.5</v>
      </c>
      <c r="E2425" s="229">
        <v>30.0</v>
      </c>
      <c r="F2425" s="230">
        <v>3.0</v>
      </c>
      <c r="G2425" s="232"/>
    </row>
    <row r="2426">
      <c r="A2426" s="2"/>
      <c r="B2426" s="168" t="s">
        <v>236</v>
      </c>
      <c r="C2426" s="168" t="s">
        <v>2689</v>
      </c>
      <c r="D2426" s="229">
        <v>34.5</v>
      </c>
      <c r="E2426" s="229">
        <v>38.0</v>
      </c>
      <c r="F2426" s="230">
        <v>3.0</v>
      </c>
      <c r="G2426" s="232"/>
    </row>
    <row r="2427">
      <c r="A2427" s="2"/>
      <c r="B2427" s="168" t="s">
        <v>337</v>
      </c>
      <c r="C2427" s="168" t="s">
        <v>2690</v>
      </c>
      <c r="D2427" s="229">
        <v>20.5</v>
      </c>
      <c r="E2427" s="229">
        <v>24.0</v>
      </c>
      <c r="F2427" s="230">
        <v>3.0</v>
      </c>
      <c r="G2427" s="232"/>
    </row>
    <row r="2428">
      <c r="A2428" s="2"/>
      <c r="B2428" s="168" t="s">
        <v>290</v>
      </c>
      <c r="C2428" s="168" t="s">
        <v>2691</v>
      </c>
      <c r="D2428" s="229">
        <v>24.5</v>
      </c>
      <c r="E2428" s="229">
        <v>28.0</v>
      </c>
      <c r="F2428" s="230">
        <v>3.0</v>
      </c>
      <c r="G2428" s="232"/>
    </row>
    <row r="2429">
      <c r="A2429" s="2"/>
      <c r="B2429" s="168" t="s">
        <v>217</v>
      </c>
      <c r="C2429" s="168" t="s">
        <v>2692</v>
      </c>
      <c r="D2429" s="229">
        <v>27.5</v>
      </c>
      <c r="E2429" s="229">
        <v>31.0</v>
      </c>
      <c r="F2429" s="230">
        <v>3.0</v>
      </c>
      <c r="G2429" s="232"/>
    </row>
    <row r="2430">
      <c r="A2430" s="2"/>
      <c r="B2430" s="168" t="s">
        <v>413</v>
      </c>
      <c r="C2430" s="168" t="s">
        <v>2693</v>
      </c>
      <c r="D2430" s="229">
        <v>29.5</v>
      </c>
      <c r="E2430" s="229">
        <v>33.0</v>
      </c>
      <c r="F2430" s="230">
        <v>3.0</v>
      </c>
      <c r="G2430" s="232"/>
    </row>
    <row r="2431">
      <c r="A2431" s="2"/>
      <c r="B2431" s="168" t="s">
        <v>241</v>
      </c>
      <c r="C2431" s="168" t="s">
        <v>2694</v>
      </c>
      <c r="D2431" s="229">
        <v>32.5</v>
      </c>
      <c r="E2431" s="229">
        <v>36.0</v>
      </c>
      <c r="F2431" s="230">
        <v>3.0</v>
      </c>
      <c r="G2431" s="232"/>
    </row>
    <row r="2432">
      <c r="A2432" s="2"/>
      <c r="B2432" s="168" t="s">
        <v>245</v>
      </c>
      <c r="C2432" s="168" t="s">
        <v>2695</v>
      </c>
      <c r="D2432" s="229">
        <v>29.5</v>
      </c>
      <c r="E2432" s="229">
        <v>33.0</v>
      </c>
      <c r="F2432" s="230">
        <v>3.0</v>
      </c>
      <c r="G2432" s="232"/>
    </row>
    <row r="2433">
      <c r="A2433" s="2"/>
      <c r="B2433" s="168" t="s">
        <v>328</v>
      </c>
      <c r="C2433" s="168" t="s">
        <v>2696</v>
      </c>
      <c r="D2433" s="229">
        <v>34.5</v>
      </c>
      <c r="E2433" s="229">
        <v>38.0</v>
      </c>
      <c r="F2433" s="230">
        <v>3.0</v>
      </c>
      <c r="G2433" s="232"/>
    </row>
    <row r="2434">
      <c r="A2434" s="2"/>
      <c r="B2434" s="168" t="s">
        <v>239</v>
      </c>
      <c r="C2434" s="168" t="s">
        <v>2697</v>
      </c>
      <c r="D2434" s="229">
        <v>29.5</v>
      </c>
      <c r="E2434" s="229">
        <v>33.0</v>
      </c>
      <c r="F2434" s="230">
        <v>3.0</v>
      </c>
      <c r="G2434" s="232"/>
    </row>
    <row r="2435">
      <c r="A2435" s="2"/>
      <c r="B2435" s="168" t="s">
        <v>269</v>
      </c>
      <c r="C2435" s="168" t="s">
        <v>2698</v>
      </c>
      <c r="D2435" s="229">
        <v>26.5</v>
      </c>
      <c r="E2435" s="229">
        <v>30.0</v>
      </c>
      <c r="F2435" s="230">
        <v>3.0</v>
      </c>
      <c r="G2435" s="232"/>
    </row>
    <row r="2436">
      <c r="A2436" s="2"/>
      <c r="B2436" s="168" t="s">
        <v>345</v>
      </c>
      <c r="C2436" s="168" t="s">
        <v>2699</v>
      </c>
      <c r="D2436" s="229">
        <v>26.5</v>
      </c>
      <c r="E2436" s="229">
        <v>30.0</v>
      </c>
      <c r="F2436" s="230">
        <v>3.0</v>
      </c>
      <c r="G2436" s="232"/>
    </row>
    <row r="2437">
      <c r="A2437" s="2"/>
      <c r="B2437" s="168" t="s">
        <v>288</v>
      </c>
      <c r="C2437" s="168" t="s">
        <v>2700</v>
      </c>
      <c r="D2437" s="229">
        <v>21.5</v>
      </c>
      <c r="E2437" s="229">
        <v>25.0</v>
      </c>
      <c r="F2437" s="230">
        <v>3.0</v>
      </c>
      <c r="G2437" s="232"/>
    </row>
    <row r="2438">
      <c r="A2438" s="2"/>
      <c r="B2438" s="168" t="s">
        <v>271</v>
      </c>
      <c r="C2438" s="168" t="s">
        <v>2701</v>
      </c>
      <c r="D2438" s="229">
        <v>30.5</v>
      </c>
      <c r="E2438" s="229">
        <v>34.0</v>
      </c>
      <c r="F2438" s="230">
        <v>3.0</v>
      </c>
      <c r="G2438" s="232"/>
    </row>
    <row r="2439">
      <c r="A2439" s="2"/>
      <c r="B2439" s="168" t="s">
        <v>296</v>
      </c>
      <c r="C2439" s="168" t="s">
        <v>2702</v>
      </c>
      <c r="D2439" s="229">
        <v>26.5</v>
      </c>
      <c r="E2439" s="229">
        <v>30.0</v>
      </c>
      <c r="F2439" s="230">
        <v>3.0</v>
      </c>
      <c r="G2439" s="232"/>
    </row>
    <row r="2440">
      <c r="A2440" s="2"/>
      <c r="B2440" s="168" t="s">
        <v>230</v>
      </c>
      <c r="C2440" s="168" t="s">
        <v>2703</v>
      </c>
      <c r="D2440" s="229">
        <v>21.5</v>
      </c>
      <c r="E2440" s="229">
        <v>25.0</v>
      </c>
      <c r="F2440" s="230">
        <v>3.0</v>
      </c>
      <c r="G2440" s="232"/>
    </row>
    <row r="2441">
      <c r="A2441" s="2"/>
      <c r="B2441" s="168" t="s">
        <v>269</v>
      </c>
      <c r="C2441" s="168" t="s">
        <v>2704</v>
      </c>
      <c r="D2441" s="229">
        <v>26.5</v>
      </c>
      <c r="E2441" s="229">
        <v>30.0</v>
      </c>
      <c r="F2441" s="230">
        <v>3.0</v>
      </c>
      <c r="G2441" s="232"/>
    </row>
    <row r="2442">
      <c r="A2442" s="2"/>
      <c r="B2442" s="168" t="s">
        <v>337</v>
      </c>
      <c r="C2442" s="168" t="s">
        <v>2705</v>
      </c>
      <c r="D2442" s="229">
        <v>28.5</v>
      </c>
      <c r="E2442" s="229">
        <v>32.0</v>
      </c>
      <c r="F2442" s="230">
        <v>3.0</v>
      </c>
      <c r="G2442" s="232"/>
    </row>
    <row r="2443">
      <c r="A2443" s="2"/>
      <c r="B2443" s="168" t="s">
        <v>269</v>
      </c>
      <c r="C2443" s="168" t="s">
        <v>2706</v>
      </c>
      <c r="D2443" s="229">
        <v>26.5</v>
      </c>
      <c r="E2443" s="229">
        <v>30.0</v>
      </c>
      <c r="F2443" s="230">
        <v>3.0</v>
      </c>
      <c r="G2443" s="232"/>
    </row>
    <row r="2444">
      <c r="A2444" s="2"/>
      <c r="B2444" s="168" t="s">
        <v>337</v>
      </c>
      <c r="C2444" s="168" t="s">
        <v>2707</v>
      </c>
      <c r="D2444" s="229">
        <v>28.0</v>
      </c>
      <c r="E2444" s="229">
        <v>31.5</v>
      </c>
      <c r="F2444" s="230">
        <v>3.0</v>
      </c>
      <c r="G2444" s="232"/>
    </row>
    <row r="2445">
      <c r="A2445" s="2"/>
      <c r="B2445" s="168" t="s">
        <v>427</v>
      </c>
      <c r="C2445" s="168" t="s">
        <v>2708</v>
      </c>
      <c r="D2445" s="229">
        <v>26.5</v>
      </c>
      <c r="E2445" s="229">
        <v>30.0</v>
      </c>
      <c r="F2445" s="230">
        <v>3.0</v>
      </c>
      <c r="G2445" s="232"/>
    </row>
    <row r="2446">
      <c r="A2446" s="2"/>
      <c r="B2446" s="168" t="s">
        <v>296</v>
      </c>
      <c r="C2446" s="168" t="s">
        <v>2709</v>
      </c>
      <c r="D2446" s="229">
        <v>26.5</v>
      </c>
      <c r="E2446" s="229">
        <v>30.0</v>
      </c>
      <c r="F2446" s="230">
        <v>3.0</v>
      </c>
      <c r="G2446" s="232"/>
    </row>
    <row r="2447">
      <c r="A2447" s="2"/>
      <c r="B2447" s="168" t="s">
        <v>296</v>
      </c>
      <c r="C2447" s="168" t="s">
        <v>2710</v>
      </c>
      <c r="D2447" s="229">
        <v>26.5</v>
      </c>
      <c r="E2447" s="229">
        <v>30.0</v>
      </c>
      <c r="F2447" s="230">
        <v>3.0</v>
      </c>
      <c r="G2447" s="232"/>
    </row>
    <row r="2448">
      <c r="A2448" s="2"/>
      <c r="B2448" s="168" t="s">
        <v>217</v>
      </c>
      <c r="C2448" s="168" t="s">
        <v>2711</v>
      </c>
      <c r="D2448" s="229">
        <v>27.5</v>
      </c>
      <c r="E2448" s="229">
        <v>31.0</v>
      </c>
      <c r="F2448" s="230">
        <v>3.0</v>
      </c>
      <c r="G2448" s="232"/>
    </row>
    <row r="2449">
      <c r="A2449" s="2"/>
      <c r="B2449" s="168" t="s">
        <v>217</v>
      </c>
      <c r="C2449" s="168" t="s">
        <v>2712</v>
      </c>
      <c r="D2449" s="229">
        <v>27.5</v>
      </c>
      <c r="E2449" s="229">
        <v>31.0</v>
      </c>
      <c r="F2449" s="230">
        <v>3.0</v>
      </c>
      <c r="G2449" s="232"/>
    </row>
    <row r="2450">
      <c r="A2450" s="2"/>
      <c r="B2450" s="168" t="s">
        <v>230</v>
      </c>
      <c r="C2450" s="168" t="s">
        <v>2713</v>
      </c>
      <c r="D2450" s="229">
        <v>21.5</v>
      </c>
      <c r="E2450" s="229">
        <v>25.0</v>
      </c>
      <c r="F2450" s="230">
        <v>3.0</v>
      </c>
      <c r="G2450" s="232"/>
    </row>
    <row r="2451">
      <c r="A2451" s="2"/>
      <c r="B2451" s="168" t="s">
        <v>280</v>
      </c>
      <c r="C2451" s="168" t="s">
        <v>2714</v>
      </c>
      <c r="D2451" s="229">
        <v>28.5</v>
      </c>
      <c r="E2451" s="229">
        <v>32.0</v>
      </c>
      <c r="F2451" s="230">
        <v>3.0</v>
      </c>
      <c r="G2451" s="232"/>
    </row>
    <row r="2452">
      <c r="A2452" s="2"/>
      <c r="B2452" s="168" t="s">
        <v>241</v>
      </c>
      <c r="C2452" s="168" t="s">
        <v>2715</v>
      </c>
      <c r="D2452" s="229">
        <v>32.5</v>
      </c>
      <c r="E2452" s="229">
        <v>36.0</v>
      </c>
      <c r="F2452" s="230">
        <v>3.0</v>
      </c>
      <c r="G2452" s="232"/>
    </row>
    <row r="2453">
      <c r="A2453" s="2"/>
      <c r="B2453" s="168" t="s">
        <v>217</v>
      </c>
      <c r="C2453" s="168" t="s">
        <v>2716</v>
      </c>
      <c r="D2453" s="229">
        <v>27.5</v>
      </c>
      <c r="E2453" s="229">
        <v>31.0</v>
      </c>
      <c r="F2453" s="230">
        <v>3.0</v>
      </c>
      <c r="G2453" s="232"/>
    </row>
    <row r="2454">
      <c r="A2454" s="2"/>
      <c r="B2454" s="168" t="s">
        <v>262</v>
      </c>
      <c r="C2454" s="168" t="s">
        <v>2717</v>
      </c>
      <c r="D2454" s="229">
        <v>24.5</v>
      </c>
      <c r="E2454" s="229">
        <v>28.0</v>
      </c>
      <c r="F2454" s="230">
        <v>3.0</v>
      </c>
      <c r="G2454" s="232"/>
    </row>
    <row r="2455">
      <c r="A2455" s="2"/>
      <c r="B2455" s="168" t="s">
        <v>269</v>
      </c>
      <c r="C2455" s="168" t="s">
        <v>2718</v>
      </c>
      <c r="D2455" s="229">
        <v>26.5</v>
      </c>
      <c r="E2455" s="229">
        <v>30.0</v>
      </c>
      <c r="F2455" s="230">
        <v>3.0</v>
      </c>
      <c r="G2455" s="232"/>
    </row>
    <row r="2456">
      <c r="A2456" s="2"/>
      <c r="B2456" s="168" t="s">
        <v>241</v>
      </c>
      <c r="C2456" s="168" t="s">
        <v>2719</v>
      </c>
      <c r="D2456" s="229">
        <v>32.5</v>
      </c>
      <c r="E2456" s="229">
        <v>36.0</v>
      </c>
      <c r="F2456" s="230">
        <v>3.0</v>
      </c>
      <c r="G2456" s="232"/>
    </row>
    <row r="2457">
      <c r="A2457" s="2"/>
      <c r="B2457" s="168" t="s">
        <v>245</v>
      </c>
      <c r="C2457" s="168" t="s">
        <v>2720</v>
      </c>
      <c r="D2457" s="229">
        <v>24.5</v>
      </c>
      <c r="E2457" s="229">
        <v>28.0</v>
      </c>
      <c r="F2457" s="230">
        <v>3.0</v>
      </c>
      <c r="G2457" s="232"/>
    </row>
    <row r="2458">
      <c r="A2458" s="2"/>
      <c r="B2458" s="168" t="s">
        <v>241</v>
      </c>
      <c r="C2458" s="168" t="s">
        <v>2721</v>
      </c>
      <c r="D2458" s="229">
        <v>32.5</v>
      </c>
      <c r="E2458" s="229">
        <v>36.0</v>
      </c>
      <c r="F2458" s="230">
        <v>3.0</v>
      </c>
      <c r="G2458" s="232"/>
    </row>
    <row r="2459">
      <c r="A2459" s="2"/>
      <c r="B2459" s="168" t="s">
        <v>337</v>
      </c>
      <c r="C2459" s="168" t="s">
        <v>2722</v>
      </c>
      <c r="D2459" s="229">
        <v>28.0</v>
      </c>
      <c r="E2459" s="229">
        <v>31.5</v>
      </c>
      <c r="F2459" s="230">
        <v>3.0</v>
      </c>
      <c r="G2459" s="232"/>
    </row>
    <row r="2460">
      <c r="A2460" s="2"/>
      <c r="B2460" s="168" t="s">
        <v>290</v>
      </c>
      <c r="C2460" s="168" t="s">
        <v>2723</v>
      </c>
      <c r="D2460" s="229">
        <v>29.5</v>
      </c>
      <c r="E2460" s="229">
        <v>33.0</v>
      </c>
      <c r="F2460" s="230">
        <v>3.0</v>
      </c>
      <c r="G2460" s="232"/>
    </row>
    <row r="2461">
      <c r="A2461" s="2"/>
      <c r="B2461" s="168" t="s">
        <v>241</v>
      </c>
      <c r="C2461" s="168" t="s">
        <v>2724</v>
      </c>
      <c r="D2461" s="229">
        <v>32.5</v>
      </c>
      <c r="E2461" s="229">
        <v>36.0</v>
      </c>
      <c r="F2461" s="230">
        <v>3.0</v>
      </c>
      <c r="G2461" s="232"/>
    </row>
    <row r="2462">
      <c r="A2462" s="2"/>
      <c r="B2462" s="168" t="s">
        <v>217</v>
      </c>
      <c r="C2462" s="168" t="s">
        <v>2725</v>
      </c>
      <c r="D2462" s="229">
        <v>27.5</v>
      </c>
      <c r="E2462" s="229">
        <v>31.0</v>
      </c>
      <c r="F2462" s="230">
        <v>3.0</v>
      </c>
      <c r="G2462" s="232"/>
    </row>
    <row r="2463">
      <c r="A2463" s="2"/>
      <c r="B2463" s="168" t="s">
        <v>269</v>
      </c>
      <c r="C2463" s="168" t="s">
        <v>2726</v>
      </c>
      <c r="D2463" s="229">
        <v>26.5</v>
      </c>
      <c r="E2463" s="229">
        <v>30.0</v>
      </c>
      <c r="F2463" s="230">
        <v>3.0</v>
      </c>
      <c r="G2463" s="232"/>
    </row>
    <row r="2464">
      <c r="A2464" s="2"/>
      <c r="B2464" s="168" t="s">
        <v>255</v>
      </c>
      <c r="C2464" s="168" t="s">
        <v>2727</v>
      </c>
      <c r="D2464" s="229">
        <v>31.5</v>
      </c>
      <c r="E2464" s="229">
        <v>35.0</v>
      </c>
      <c r="F2464" s="230">
        <v>3.0</v>
      </c>
      <c r="G2464" s="232"/>
    </row>
    <row r="2465">
      <c r="A2465" s="2"/>
      <c r="B2465" s="168" t="s">
        <v>217</v>
      </c>
      <c r="C2465" s="168" t="s">
        <v>2728</v>
      </c>
      <c r="D2465" s="229">
        <v>27.5</v>
      </c>
      <c r="E2465" s="229">
        <v>31.0</v>
      </c>
      <c r="F2465" s="230">
        <v>3.0</v>
      </c>
      <c r="G2465" s="232"/>
    </row>
    <row r="2466">
      <c r="A2466" s="2"/>
      <c r="B2466" s="168" t="s">
        <v>251</v>
      </c>
      <c r="C2466" s="168" t="s">
        <v>2729</v>
      </c>
      <c r="D2466" s="229">
        <v>29.5</v>
      </c>
      <c r="E2466" s="229">
        <v>33.0</v>
      </c>
      <c r="F2466" s="230">
        <v>3.0</v>
      </c>
      <c r="G2466" s="232"/>
    </row>
    <row r="2467">
      <c r="A2467" s="2"/>
      <c r="B2467" s="168" t="s">
        <v>335</v>
      </c>
      <c r="C2467" s="168" t="s">
        <v>2730</v>
      </c>
      <c r="D2467" s="229">
        <v>34.5</v>
      </c>
      <c r="E2467" s="229">
        <v>38.0</v>
      </c>
      <c r="F2467" s="230">
        <v>3.0</v>
      </c>
      <c r="G2467" s="232"/>
    </row>
    <row r="2468">
      <c r="A2468" s="2"/>
      <c r="B2468" s="168" t="s">
        <v>221</v>
      </c>
      <c r="C2468" s="168" t="s">
        <v>2731</v>
      </c>
      <c r="D2468" s="229">
        <v>22.5</v>
      </c>
      <c r="E2468" s="229">
        <v>26.0</v>
      </c>
      <c r="F2468" s="230">
        <v>3.0</v>
      </c>
      <c r="G2468" s="232"/>
    </row>
    <row r="2469">
      <c r="A2469" s="2"/>
      <c r="B2469" s="168" t="s">
        <v>335</v>
      </c>
      <c r="C2469" s="168" t="s">
        <v>2732</v>
      </c>
      <c r="D2469" s="229">
        <v>34.5</v>
      </c>
      <c r="E2469" s="229">
        <v>38.0</v>
      </c>
      <c r="F2469" s="230">
        <v>3.0</v>
      </c>
      <c r="G2469" s="232"/>
    </row>
    <row r="2470">
      <c r="A2470" s="2"/>
      <c r="B2470" s="168" t="s">
        <v>230</v>
      </c>
      <c r="C2470" s="168" t="s">
        <v>2733</v>
      </c>
      <c r="D2470" s="229">
        <v>21.5</v>
      </c>
      <c r="E2470" s="229">
        <v>25.0</v>
      </c>
      <c r="F2470" s="230">
        <v>3.0</v>
      </c>
      <c r="G2470" s="232"/>
    </row>
    <row r="2471">
      <c r="A2471" s="2"/>
      <c r="B2471" s="168" t="s">
        <v>381</v>
      </c>
      <c r="C2471" s="168" t="s">
        <v>2734</v>
      </c>
      <c r="D2471" s="229">
        <v>28.5</v>
      </c>
      <c r="E2471" s="229">
        <v>32.0</v>
      </c>
      <c r="F2471" s="230">
        <v>3.0</v>
      </c>
      <c r="G2471" s="232"/>
    </row>
    <row r="2472">
      <c r="A2472" s="2"/>
      <c r="B2472" s="168" t="s">
        <v>377</v>
      </c>
      <c r="C2472" s="168" t="s">
        <v>2735</v>
      </c>
      <c r="D2472" s="229">
        <v>29.5</v>
      </c>
      <c r="E2472" s="229">
        <v>33.0</v>
      </c>
      <c r="F2472" s="230">
        <v>3.0</v>
      </c>
      <c r="G2472" s="232"/>
    </row>
    <row r="2473">
      <c r="A2473" s="2"/>
      <c r="B2473" s="168" t="s">
        <v>221</v>
      </c>
      <c r="C2473" s="168" t="s">
        <v>2736</v>
      </c>
      <c r="D2473" s="229">
        <v>27.5</v>
      </c>
      <c r="E2473" s="229">
        <v>31.0</v>
      </c>
      <c r="F2473" s="230">
        <v>3.0</v>
      </c>
      <c r="G2473" s="232"/>
    </row>
    <row r="2474">
      <c r="A2474" s="2"/>
      <c r="B2474" s="168" t="s">
        <v>290</v>
      </c>
      <c r="C2474" s="168" t="s">
        <v>2737</v>
      </c>
      <c r="D2474" s="229">
        <v>29.5</v>
      </c>
      <c r="E2474" s="229">
        <v>33.0</v>
      </c>
      <c r="F2474" s="230">
        <v>3.0</v>
      </c>
      <c r="G2474" s="232"/>
    </row>
    <row r="2475">
      <c r="A2475" s="2"/>
      <c r="B2475" s="168" t="s">
        <v>332</v>
      </c>
      <c r="C2475" s="168" t="s">
        <v>2738</v>
      </c>
      <c r="D2475" s="229">
        <v>8.0</v>
      </c>
      <c r="E2475" s="229">
        <v>8.0</v>
      </c>
      <c r="F2475" s="230">
        <v>3.0</v>
      </c>
      <c r="G2475" s="232"/>
    </row>
    <row r="2476">
      <c r="A2476" s="2"/>
      <c r="B2476" s="168" t="s">
        <v>241</v>
      </c>
      <c r="C2476" s="168" t="s">
        <v>2739</v>
      </c>
      <c r="D2476" s="229">
        <v>32.5</v>
      </c>
      <c r="E2476" s="229">
        <v>36.0</v>
      </c>
      <c r="F2476" s="230">
        <v>3.0</v>
      </c>
      <c r="G2476" s="232"/>
    </row>
    <row r="2477">
      <c r="A2477" s="2"/>
      <c r="B2477" s="168" t="s">
        <v>234</v>
      </c>
      <c r="C2477" s="168" t="s">
        <v>2740</v>
      </c>
      <c r="D2477" s="229">
        <v>29.5</v>
      </c>
      <c r="E2477" s="229">
        <v>33.0</v>
      </c>
      <c r="F2477" s="230">
        <v>3.0</v>
      </c>
      <c r="G2477" s="232"/>
    </row>
    <row r="2478">
      <c r="A2478" s="2"/>
      <c r="B2478" s="168" t="s">
        <v>332</v>
      </c>
      <c r="C2478" s="168" t="s">
        <v>2741</v>
      </c>
      <c r="D2478" s="229">
        <v>28.5</v>
      </c>
      <c r="E2478" s="229">
        <v>32.0</v>
      </c>
      <c r="F2478" s="230">
        <v>3.0</v>
      </c>
      <c r="G2478" s="232"/>
    </row>
    <row r="2479">
      <c r="A2479" s="2"/>
      <c r="B2479" s="168" t="s">
        <v>446</v>
      </c>
      <c r="C2479" s="168" t="s">
        <v>2742</v>
      </c>
      <c r="D2479" s="229">
        <v>4.5</v>
      </c>
      <c r="E2479" s="229">
        <v>4.5</v>
      </c>
      <c r="F2479" s="230">
        <v>3.0</v>
      </c>
      <c r="G2479" s="232"/>
    </row>
    <row r="2480">
      <c r="A2480" s="2"/>
      <c r="B2480" s="168" t="s">
        <v>288</v>
      </c>
      <c r="C2480" s="168" t="s">
        <v>2743</v>
      </c>
      <c r="D2480" s="229">
        <v>21.5</v>
      </c>
      <c r="E2480" s="229">
        <v>25.0</v>
      </c>
      <c r="F2480" s="230">
        <v>3.0</v>
      </c>
      <c r="G2480" s="232"/>
    </row>
    <row r="2481">
      <c r="A2481" s="2"/>
      <c r="B2481" s="168" t="s">
        <v>288</v>
      </c>
      <c r="C2481" s="168" t="s">
        <v>2744</v>
      </c>
      <c r="D2481" s="229">
        <v>21.5</v>
      </c>
      <c r="E2481" s="229">
        <v>25.0</v>
      </c>
      <c r="F2481" s="230">
        <v>3.0</v>
      </c>
      <c r="G2481" s="232"/>
    </row>
    <row r="2482">
      <c r="A2482" s="2"/>
      <c r="B2482" s="168" t="s">
        <v>413</v>
      </c>
      <c r="C2482" s="168" t="s">
        <v>2745</v>
      </c>
      <c r="D2482" s="229">
        <v>29.5</v>
      </c>
      <c r="E2482" s="229">
        <v>33.0</v>
      </c>
      <c r="F2482" s="230">
        <v>3.0</v>
      </c>
      <c r="G2482" s="232"/>
    </row>
    <row r="2483">
      <c r="A2483" s="2"/>
      <c r="B2483" s="168" t="s">
        <v>230</v>
      </c>
      <c r="C2483" s="168" t="s">
        <v>2746</v>
      </c>
      <c r="D2483" s="229">
        <v>21.5</v>
      </c>
      <c r="E2483" s="229">
        <v>25.0</v>
      </c>
      <c r="F2483" s="230">
        <v>3.0</v>
      </c>
      <c r="G2483" s="232"/>
    </row>
    <row r="2484">
      <c r="A2484" s="2"/>
      <c r="B2484" s="168" t="s">
        <v>271</v>
      </c>
      <c r="C2484" s="168" t="s">
        <v>2747</v>
      </c>
      <c r="D2484" s="229">
        <v>30.5</v>
      </c>
      <c r="E2484" s="229">
        <v>34.0</v>
      </c>
      <c r="F2484" s="230">
        <v>3.0</v>
      </c>
      <c r="G2484" s="232"/>
    </row>
    <row r="2485">
      <c r="A2485" s="2"/>
      <c r="B2485" s="168" t="s">
        <v>288</v>
      </c>
      <c r="C2485" s="168" t="s">
        <v>2748</v>
      </c>
      <c r="D2485" s="229">
        <v>21.5</v>
      </c>
      <c r="E2485" s="229">
        <v>25.0</v>
      </c>
      <c r="F2485" s="230">
        <v>3.0</v>
      </c>
      <c r="G2485" s="232"/>
    </row>
    <row r="2486">
      <c r="A2486" s="2"/>
      <c r="B2486" s="168" t="s">
        <v>260</v>
      </c>
      <c r="C2486" s="168" t="s">
        <v>2749</v>
      </c>
      <c r="D2486" s="229">
        <v>28.5</v>
      </c>
      <c r="E2486" s="229">
        <v>32.0</v>
      </c>
      <c r="F2486" s="230">
        <v>3.0</v>
      </c>
      <c r="G2486" s="232"/>
    </row>
    <row r="2487">
      <c r="A2487" s="2"/>
      <c r="B2487" s="168" t="s">
        <v>221</v>
      </c>
      <c r="C2487" s="168" t="s">
        <v>2750</v>
      </c>
      <c r="D2487" s="229">
        <v>27.0</v>
      </c>
      <c r="E2487" s="229">
        <v>30.5</v>
      </c>
      <c r="F2487" s="230">
        <v>3.0</v>
      </c>
      <c r="G2487" s="232"/>
    </row>
    <row r="2488">
      <c r="A2488" s="2"/>
      <c r="B2488" s="168" t="s">
        <v>221</v>
      </c>
      <c r="C2488" s="168" t="s">
        <v>2751</v>
      </c>
      <c r="D2488" s="229">
        <v>27.5</v>
      </c>
      <c r="E2488" s="229">
        <v>31.0</v>
      </c>
      <c r="F2488" s="230">
        <v>3.0</v>
      </c>
      <c r="G2488" s="232"/>
    </row>
    <row r="2489">
      <c r="A2489" s="2"/>
      <c r="B2489" s="168" t="s">
        <v>239</v>
      </c>
      <c r="C2489" s="168" t="s">
        <v>2752</v>
      </c>
      <c r="D2489" s="229">
        <v>29.5</v>
      </c>
      <c r="E2489" s="229">
        <v>33.0</v>
      </c>
      <c r="F2489" s="230">
        <v>3.0</v>
      </c>
      <c r="G2489" s="232"/>
    </row>
    <row r="2490">
      <c r="A2490" s="2"/>
      <c r="B2490" s="168" t="s">
        <v>217</v>
      </c>
      <c r="C2490" s="168" t="s">
        <v>2753</v>
      </c>
      <c r="D2490" s="229">
        <v>22.5</v>
      </c>
      <c r="E2490" s="229">
        <v>26.0</v>
      </c>
      <c r="F2490" s="230">
        <v>3.0</v>
      </c>
      <c r="G2490" s="232"/>
    </row>
    <row r="2491">
      <c r="A2491" s="2"/>
      <c r="B2491" s="168" t="s">
        <v>285</v>
      </c>
      <c r="C2491" s="168" t="s">
        <v>2754</v>
      </c>
      <c r="D2491" s="229">
        <v>24.5</v>
      </c>
      <c r="E2491" s="229">
        <v>28.0</v>
      </c>
      <c r="F2491" s="230">
        <v>3.0</v>
      </c>
      <c r="G2491" s="232"/>
    </row>
    <row r="2492">
      <c r="A2492" s="2"/>
      <c r="B2492" s="168" t="s">
        <v>234</v>
      </c>
      <c r="C2492" s="168" t="s">
        <v>2755</v>
      </c>
      <c r="D2492" s="229">
        <v>29.5</v>
      </c>
      <c r="E2492" s="229">
        <v>33.0</v>
      </c>
      <c r="F2492" s="230">
        <v>3.0</v>
      </c>
      <c r="G2492" s="232"/>
    </row>
    <row r="2493">
      <c r="A2493" s="2"/>
      <c r="B2493" s="168" t="s">
        <v>290</v>
      </c>
      <c r="C2493" s="168" t="s">
        <v>2756</v>
      </c>
      <c r="D2493" s="229">
        <v>29.5</v>
      </c>
      <c r="E2493" s="229">
        <v>33.0</v>
      </c>
      <c r="F2493" s="230">
        <v>3.0</v>
      </c>
      <c r="G2493" s="232"/>
    </row>
    <row r="2494">
      <c r="A2494" s="2"/>
      <c r="B2494" s="168" t="s">
        <v>230</v>
      </c>
      <c r="C2494" s="168" t="s">
        <v>2757</v>
      </c>
      <c r="D2494" s="229">
        <v>21.5</v>
      </c>
      <c r="E2494" s="229">
        <v>25.0</v>
      </c>
      <c r="F2494" s="230">
        <v>3.0</v>
      </c>
      <c r="G2494" s="232"/>
    </row>
    <row r="2495">
      <c r="A2495" s="2"/>
      <c r="B2495" s="168" t="s">
        <v>243</v>
      </c>
      <c r="C2495" s="168" t="s">
        <v>2758</v>
      </c>
      <c r="D2495" s="229">
        <v>29.5</v>
      </c>
      <c r="E2495" s="229">
        <v>33.0</v>
      </c>
      <c r="F2495" s="230">
        <v>3.0</v>
      </c>
      <c r="G2495" s="232"/>
    </row>
    <row r="2496">
      <c r="A2496" s="2"/>
      <c r="B2496" s="168" t="s">
        <v>280</v>
      </c>
      <c r="C2496" s="168" t="s">
        <v>2759</v>
      </c>
      <c r="D2496" s="229">
        <v>28.5</v>
      </c>
      <c r="E2496" s="229">
        <v>32.0</v>
      </c>
      <c r="F2496" s="230">
        <v>3.0</v>
      </c>
      <c r="G2496" s="232"/>
    </row>
    <row r="2497">
      <c r="A2497" s="2"/>
      <c r="B2497" s="168" t="s">
        <v>241</v>
      </c>
      <c r="C2497" s="168" t="s">
        <v>2760</v>
      </c>
      <c r="D2497" s="229">
        <v>32.5</v>
      </c>
      <c r="E2497" s="229">
        <v>36.0</v>
      </c>
      <c r="F2497" s="230">
        <v>3.0</v>
      </c>
      <c r="G2497" s="232"/>
    </row>
    <row r="2498">
      <c r="A2498" s="2"/>
      <c r="B2498" s="168" t="s">
        <v>273</v>
      </c>
      <c r="C2498" s="168" t="s">
        <v>2761</v>
      </c>
      <c r="D2498" s="229">
        <v>21.5</v>
      </c>
      <c r="E2498" s="229">
        <v>25.0</v>
      </c>
      <c r="F2498" s="230">
        <v>3.0</v>
      </c>
      <c r="G2498" s="232"/>
    </row>
    <row r="2499">
      <c r="A2499" s="2"/>
      <c r="B2499" s="168" t="s">
        <v>269</v>
      </c>
      <c r="C2499" s="168" t="s">
        <v>2762</v>
      </c>
      <c r="D2499" s="229">
        <v>26.5</v>
      </c>
      <c r="E2499" s="229">
        <v>30.0</v>
      </c>
      <c r="F2499" s="230">
        <v>3.0</v>
      </c>
      <c r="G2499" s="232"/>
    </row>
    <row r="2500">
      <c r="A2500" s="2"/>
      <c r="B2500" s="168" t="s">
        <v>223</v>
      </c>
      <c r="C2500" s="168" t="s">
        <v>2763</v>
      </c>
      <c r="D2500" s="229">
        <v>26.5</v>
      </c>
      <c r="E2500" s="229">
        <v>30.0</v>
      </c>
      <c r="F2500" s="230">
        <v>3.0</v>
      </c>
      <c r="G2500" s="232"/>
    </row>
    <row r="2501">
      <c r="A2501" s="2"/>
      <c r="B2501" s="168" t="s">
        <v>296</v>
      </c>
      <c r="C2501" s="168" t="s">
        <v>2764</v>
      </c>
      <c r="D2501" s="229">
        <v>26.5</v>
      </c>
      <c r="E2501" s="229">
        <v>30.0</v>
      </c>
      <c r="F2501" s="230">
        <v>3.0</v>
      </c>
      <c r="G2501" s="232"/>
    </row>
    <row r="2502">
      <c r="A2502" s="2"/>
      <c r="B2502" s="168" t="s">
        <v>290</v>
      </c>
      <c r="C2502" s="168" t="s">
        <v>2765</v>
      </c>
      <c r="D2502" s="229">
        <v>29.5</v>
      </c>
      <c r="E2502" s="229">
        <v>33.0</v>
      </c>
      <c r="F2502" s="230">
        <v>3.0</v>
      </c>
      <c r="G2502" s="232"/>
    </row>
    <row r="2503">
      <c r="A2503" s="2"/>
      <c r="B2503" s="168" t="s">
        <v>245</v>
      </c>
      <c r="C2503" s="168" t="s">
        <v>2766</v>
      </c>
      <c r="D2503" s="229">
        <v>29.5</v>
      </c>
      <c r="E2503" s="229">
        <v>33.0</v>
      </c>
      <c r="F2503" s="230">
        <v>3.0</v>
      </c>
      <c r="G2503" s="232"/>
    </row>
    <row r="2504">
      <c r="A2504" s="2"/>
      <c r="B2504" s="168" t="s">
        <v>296</v>
      </c>
      <c r="C2504" s="168" t="s">
        <v>2767</v>
      </c>
      <c r="D2504" s="229">
        <v>26.5</v>
      </c>
      <c r="E2504" s="229">
        <v>30.0</v>
      </c>
      <c r="F2504" s="230">
        <v>3.0</v>
      </c>
      <c r="G2504" s="232"/>
    </row>
    <row r="2505">
      <c r="A2505" s="2"/>
      <c r="B2505" s="168" t="s">
        <v>581</v>
      </c>
      <c r="C2505" s="168" t="s">
        <v>2768</v>
      </c>
      <c r="D2505" s="229">
        <v>26.5</v>
      </c>
      <c r="E2505" s="229">
        <v>30.0</v>
      </c>
      <c r="F2505" s="230">
        <v>3.0</v>
      </c>
      <c r="G2505" s="232"/>
    </row>
    <row r="2506">
      <c r="A2506" s="2"/>
      <c r="B2506" s="168" t="s">
        <v>269</v>
      </c>
      <c r="C2506" s="168" t="s">
        <v>2769</v>
      </c>
      <c r="D2506" s="229">
        <v>26.5</v>
      </c>
      <c r="E2506" s="229">
        <v>30.0</v>
      </c>
      <c r="F2506" s="230">
        <v>3.0</v>
      </c>
      <c r="G2506" s="232"/>
    </row>
    <row r="2507">
      <c r="A2507" s="2"/>
      <c r="B2507" s="168" t="s">
        <v>576</v>
      </c>
      <c r="C2507" s="168" t="s">
        <v>2770</v>
      </c>
      <c r="D2507" s="229">
        <v>19.5</v>
      </c>
      <c r="E2507" s="229">
        <v>23.0</v>
      </c>
      <c r="F2507" s="230">
        <v>3.0</v>
      </c>
      <c r="G2507" s="232"/>
    </row>
    <row r="2508">
      <c r="A2508" s="2"/>
      <c r="B2508" s="168" t="s">
        <v>230</v>
      </c>
      <c r="C2508" s="168" t="s">
        <v>2771</v>
      </c>
      <c r="D2508" s="229">
        <v>21.5</v>
      </c>
      <c r="E2508" s="229">
        <v>25.0</v>
      </c>
      <c r="F2508" s="230">
        <v>3.0</v>
      </c>
      <c r="G2508" s="232"/>
    </row>
    <row r="2509">
      <c r="A2509" s="2"/>
      <c r="B2509" s="168" t="s">
        <v>341</v>
      </c>
      <c r="C2509" s="168" t="s">
        <v>2772</v>
      </c>
      <c r="D2509" s="229">
        <v>29.5</v>
      </c>
      <c r="E2509" s="229">
        <v>29.5</v>
      </c>
      <c r="F2509" s="230">
        <v>3.0</v>
      </c>
      <c r="G2509" s="232"/>
    </row>
    <row r="2510">
      <c r="A2510" s="2"/>
      <c r="B2510" s="168" t="s">
        <v>296</v>
      </c>
      <c r="C2510" s="168" t="s">
        <v>2773</v>
      </c>
      <c r="D2510" s="229">
        <v>26.5</v>
      </c>
      <c r="E2510" s="229">
        <v>30.0</v>
      </c>
      <c r="F2510" s="230">
        <v>3.0</v>
      </c>
      <c r="G2510" s="232"/>
    </row>
    <row r="2511">
      <c r="A2511" s="2"/>
      <c r="B2511" s="168" t="s">
        <v>243</v>
      </c>
      <c r="C2511" s="168" t="s">
        <v>2774</v>
      </c>
      <c r="D2511" s="229">
        <v>24.5</v>
      </c>
      <c r="E2511" s="229">
        <v>28.0</v>
      </c>
      <c r="F2511" s="230">
        <v>3.0</v>
      </c>
      <c r="G2511" s="232"/>
    </row>
    <row r="2512">
      <c r="A2512" s="2"/>
      <c r="B2512" s="168" t="s">
        <v>232</v>
      </c>
      <c r="C2512" s="168" t="s">
        <v>2775</v>
      </c>
      <c r="D2512" s="229">
        <v>25.5</v>
      </c>
      <c r="E2512" s="229">
        <v>29.0</v>
      </c>
      <c r="F2512" s="230">
        <v>3.0</v>
      </c>
      <c r="G2512" s="232"/>
    </row>
    <row r="2513">
      <c r="A2513" s="2"/>
      <c r="B2513" s="168" t="s">
        <v>269</v>
      </c>
      <c r="C2513" s="168" t="s">
        <v>2776</v>
      </c>
      <c r="D2513" s="229">
        <v>26.5</v>
      </c>
      <c r="E2513" s="229">
        <v>30.0</v>
      </c>
      <c r="F2513" s="230">
        <v>3.0</v>
      </c>
      <c r="G2513" s="232"/>
    </row>
    <row r="2514">
      <c r="A2514" s="2"/>
      <c r="B2514" s="168" t="s">
        <v>217</v>
      </c>
      <c r="C2514" s="168" t="s">
        <v>2777</v>
      </c>
      <c r="D2514" s="229">
        <v>27.5</v>
      </c>
      <c r="E2514" s="229">
        <v>31.0</v>
      </c>
      <c r="F2514" s="230">
        <v>3.0</v>
      </c>
      <c r="G2514" s="232"/>
    </row>
    <row r="2515">
      <c r="A2515" s="2"/>
      <c r="B2515" s="168" t="s">
        <v>280</v>
      </c>
      <c r="C2515" s="168" t="s">
        <v>2778</v>
      </c>
      <c r="D2515" s="229">
        <v>34.5</v>
      </c>
      <c r="E2515" s="229">
        <v>38.0</v>
      </c>
      <c r="F2515" s="230">
        <v>3.0</v>
      </c>
      <c r="G2515" s="232"/>
    </row>
    <row r="2516">
      <c r="A2516" s="2"/>
      <c r="B2516" s="168" t="s">
        <v>217</v>
      </c>
      <c r="C2516" s="168" t="s">
        <v>2779</v>
      </c>
      <c r="D2516" s="229">
        <v>27.5</v>
      </c>
      <c r="E2516" s="229">
        <v>31.0</v>
      </c>
      <c r="F2516" s="230">
        <v>3.0</v>
      </c>
      <c r="G2516" s="232"/>
    </row>
    <row r="2517">
      <c r="A2517" s="2"/>
      <c r="B2517" s="168" t="s">
        <v>223</v>
      </c>
      <c r="C2517" s="168" t="s">
        <v>2780</v>
      </c>
      <c r="D2517" s="229">
        <v>26.5</v>
      </c>
      <c r="E2517" s="229">
        <v>30.0</v>
      </c>
      <c r="F2517" s="230">
        <v>3.0</v>
      </c>
      <c r="G2517" s="232"/>
    </row>
    <row r="2518">
      <c r="A2518" s="2"/>
      <c r="B2518" s="168" t="s">
        <v>234</v>
      </c>
      <c r="C2518" s="168" t="s">
        <v>2781</v>
      </c>
      <c r="D2518" s="229">
        <v>29.5</v>
      </c>
      <c r="E2518" s="229">
        <v>33.0</v>
      </c>
      <c r="F2518" s="230">
        <v>3.0</v>
      </c>
      <c r="G2518" s="232"/>
    </row>
    <row r="2519">
      <c r="A2519" s="2"/>
      <c r="B2519" s="168" t="s">
        <v>269</v>
      </c>
      <c r="C2519" s="168" t="s">
        <v>2782</v>
      </c>
      <c r="D2519" s="229">
        <v>26.5</v>
      </c>
      <c r="E2519" s="229">
        <v>30.0</v>
      </c>
      <c r="F2519" s="230">
        <v>3.0</v>
      </c>
      <c r="G2519" s="232"/>
    </row>
    <row r="2520">
      <c r="A2520" s="2"/>
      <c r="B2520" s="168" t="s">
        <v>241</v>
      </c>
      <c r="C2520" s="168" t="s">
        <v>2783</v>
      </c>
      <c r="D2520" s="229">
        <v>32.5</v>
      </c>
      <c r="E2520" s="229">
        <v>36.0</v>
      </c>
      <c r="F2520" s="230">
        <v>3.0</v>
      </c>
      <c r="G2520" s="232"/>
    </row>
    <row r="2521">
      <c r="A2521" s="2"/>
      <c r="B2521" s="168" t="s">
        <v>255</v>
      </c>
      <c r="C2521" s="168" t="s">
        <v>2784</v>
      </c>
      <c r="D2521" s="229">
        <v>31.5</v>
      </c>
      <c r="E2521" s="229">
        <v>35.0</v>
      </c>
      <c r="F2521" s="230">
        <v>3.0</v>
      </c>
      <c r="G2521" s="232"/>
    </row>
    <row r="2522">
      <c r="A2522" s="2"/>
      <c r="B2522" s="168" t="s">
        <v>223</v>
      </c>
      <c r="C2522" s="168" t="s">
        <v>2785</v>
      </c>
      <c r="D2522" s="229">
        <v>26.5</v>
      </c>
      <c r="E2522" s="229">
        <v>30.0</v>
      </c>
      <c r="F2522" s="230">
        <v>3.0</v>
      </c>
      <c r="G2522" s="232"/>
    </row>
    <row r="2523">
      <c r="A2523" s="2"/>
      <c r="B2523" s="168" t="s">
        <v>219</v>
      </c>
      <c r="C2523" s="168" t="s">
        <v>2786</v>
      </c>
      <c r="D2523" s="229">
        <v>28.5</v>
      </c>
      <c r="E2523" s="229">
        <v>32.0</v>
      </c>
      <c r="F2523" s="230">
        <v>3.0</v>
      </c>
      <c r="G2523" s="232"/>
    </row>
    <row r="2524">
      <c r="A2524" s="2"/>
      <c r="B2524" s="168" t="s">
        <v>239</v>
      </c>
      <c r="C2524" s="168" t="s">
        <v>2787</v>
      </c>
      <c r="D2524" s="229">
        <v>29.5</v>
      </c>
      <c r="E2524" s="229">
        <v>33.0</v>
      </c>
      <c r="F2524" s="230">
        <v>3.0</v>
      </c>
      <c r="G2524" s="232"/>
    </row>
    <row r="2525">
      <c r="A2525" s="2"/>
      <c r="B2525" s="168" t="s">
        <v>243</v>
      </c>
      <c r="C2525" s="168" t="s">
        <v>2788</v>
      </c>
      <c r="D2525" s="229">
        <v>29.5</v>
      </c>
      <c r="E2525" s="229">
        <v>33.0</v>
      </c>
      <c r="F2525" s="230">
        <v>3.0</v>
      </c>
      <c r="G2525" s="232"/>
    </row>
    <row r="2526">
      <c r="A2526" s="2"/>
      <c r="B2526" s="168" t="s">
        <v>269</v>
      </c>
      <c r="C2526" s="168" t="s">
        <v>2789</v>
      </c>
      <c r="D2526" s="229">
        <v>26.5</v>
      </c>
      <c r="E2526" s="229">
        <v>30.0</v>
      </c>
      <c r="F2526" s="230">
        <v>3.0</v>
      </c>
      <c r="G2526" s="232"/>
    </row>
    <row r="2527">
      <c r="A2527" s="2"/>
      <c r="B2527" s="168" t="s">
        <v>269</v>
      </c>
      <c r="C2527" s="168" t="s">
        <v>2790</v>
      </c>
      <c r="D2527" s="229">
        <v>26.5</v>
      </c>
      <c r="E2527" s="229">
        <v>30.0</v>
      </c>
      <c r="F2527" s="230">
        <v>3.0</v>
      </c>
      <c r="G2527" s="232"/>
    </row>
    <row r="2528">
      <c r="A2528" s="2"/>
      <c r="B2528" s="168" t="s">
        <v>255</v>
      </c>
      <c r="C2528" s="168" t="s">
        <v>2791</v>
      </c>
      <c r="D2528" s="229">
        <v>31.5</v>
      </c>
      <c r="E2528" s="229">
        <v>35.0</v>
      </c>
      <c r="F2528" s="230">
        <v>3.0</v>
      </c>
      <c r="G2528" s="232"/>
    </row>
    <row r="2529">
      <c r="A2529" s="2"/>
      <c r="B2529" s="168" t="s">
        <v>245</v>
      </c>
      <c r="C2529" s="168" t="s">
        <v>2792</v>
      </c>
      <c r="D2529" s="229">
        <v>29.5</v>
      </c>
      <c r="E2529" s="229">
        <v>33.0</v>
      </c>
      <c r="F2529" s="230">
        <v>3.0</v>
      </c>
      <c r="G2529" s="232"/>
    </row>
    <row r="2530">
      <c r="A2530" s="2"/>
      <c r="B2530" s="168" t="s">
        <v>337</v>
      </c>
      <c r="C2530" s="168" t="s">
        <v>2793</v>
      </c>
      <c r="D2530" s="229">
        <v>28.5</v>
      </c>
      <c r="E2530" s="229">
        <v>32.0</v>
      </c>
      <c r="F2530" s="230">
        <v>3.0</v>
      </c>
      <c r="G2530" s="232"/>
    </row>
    <row r="2531">
      <c r="A2531" s="2"/>
      <c r="B2531" s="168" t="s">
        <v>296</v>
      </c>
      <c r="C2531" s="168" t="s">
        <v>2794</v>
      </c>
      <c r="D2531" s="229">
        <v>26.0</v>
      </c>
      <c r="E2531" s="229">
        <v>29.5</v>
      </c>
      <c r="F2531" s="230">
        <v>3.0</v>
      </c>
      <c r="G2531" s="232"/>
    </row>
    <row r="2532">
      <c r="A2532" s="2"/>
      <c r="B2532" s="168" t="s">
        <v>345</v>
      </c>
      <c r="C2532" s="168" t="s">
        <v>2795</v>
      </c>
      <c r="D2532" s="229">
        <v>26.5</v>
      </c>
      <c r="E2532" s="229">
        <v>30.0</v>
      </c>
      <c r="F2532" s="230">
        <v>3.0</v>
      </c>
      <c r="G2532" s="232"/>
    </row>
    <row r="2533">
      <c r="A2533" s="2"/>
      <c r="B2533" s="168" t="s">
        <v>217</v>
      </c>
      <c r="C2533" s="168" t="s">
        <v>2796</v>
      </c>
      <c r="D2533" s="229">
        <v>27.5</v>
      </c>
      <c r="E2533" s="229">
        <v>31.0</v>
      </c>
      <c r="F2533" s="230">
        <v>3.0</v>
      </c>
      <c r="G2533" s="232"/>
    </row>
    <row r="2534">
      <c r="A2534" s="2"/>
      <c r="B2534" s="168" t="s">
        <v>337</v>
      </c>
      <c r="C2534" s="168" t="s">
        <v>2797</v>
      </c>
      <c r="D2534" s="229">
        <v>20.5</v>
      </c>
      <c r="E2534" s="229">
        <v>24.0</v>
      </c>
      <c r="F2534" s="230">
        <v>3.0</v>
      </c>
      <c r="G2534" s="232"/>
    </row>
    <row r="2535">
      <c r="A2535" s="2"/>
      <c r="B2535" s="168" t="s">
        <v>241</v>
      </c>
      <c r="C2535" s="168" t="s">
        <v>2798</v>
      </c>
      <c r="D2535" s="229">
        <v>27.5</v>
      </c>
      <c r="E2535" s="229">
        <v>31.0</v>
      </c>
      <c r="F2535" s="230">
        <v>3.0</v>
      </c>
      <c r="G2535" s="232"/>
    </row>
    <row r="2536">
      <c r="A2536" s="2"/>
      <c r="B2536" s="168" t="s">
        <v>449</v>
      </c>
      <c r="C2536" s="168" t="s">
        <v>2799</v>
      </c>
      <c r="D2536" s="229">
        <v>28.5</v>
      </c>
      <c r="E2536" s="229">
        <v>32.0</v>
      </c>
      <c r="F2536" s="230">
        <v>3.0</v>
      </c>
      <c r="G2536" s="232"/>
    </row>
    <row r="2537">
      <c r="A2537" s="2"/>
      <c r="B2537" s="168" t="s">
        <v>269</v>
      </c>
      <c r="C2537" s="168" t="s">
        <v>2800</v>
      </c>
      <c r="D2537" s="229">
        <v>26.5</v>
      </c>
      <c r="E2537" s="229">
        <v>30.0</v>
      </c>
      <c r="F2537" s="230">
        <v>3.0</v>
      </c>
      <c r="G2537" s="232"/>
    </row>
    <row r="2538">
      <c r="A2538" s="2"/>
      <c r="B2538" s="168" t="s">
        <v>1432</v>
      </c>
      <c r="C2538" s="168" t="s">
        <v>2801</v>
      </c>
      <c r="D2538" s="229">
        <v>26.5</v>
      </c>
      <c r="E2538" s="229">
        <v>30.0</v>
      </c>
      <c r="F2538" s="230">
        <v>3.0</v>
      </c>
      <c r="G2538" s="232"/>
    </row>
    <row r="2539">
      <c r="A2539" s="2"/>
      <c r="B2539" s="168" t="s">
        <v>269</v>
      </c>
      <c r="C2539" s="168" t="s">
        <v>2802</v>
      </c>
      <c r="D2539" s="229">
        <v>26.5</v>
      </c>
      <c r="E2539" s="229">
        <v>30.0</v>
      </c>
      <c r="F2539" s="230">
        <v>3.0</v>
      </c>
      <c r="G2539" s="232"/>
    </row>
    <row r="2540">
      <c r="A2540" s="2"/>
      <c r="B2540" s="168" t="s">
        <v>269</v>
      </c>
      <c r="C2540" s="168" t="s">
        <v>2803</v>
      </c>
      <c r="D2540" s="229">
        <v>26.5</v>
      </c>
      <c r="E2540" s="229">
        <v>30.0</v>
      </c>
      <c r="F2540" s="230">
        <v>3.0</v>
      </c>
      <c r="G2540" s="232"/>
    </row>
    <row r="2541">
      <c r="A2541" s="2"/>
      <c r="B2541" s="168" t="s">
        <v>269</v>
      </c>
      <c r="C2541" s="168" t="s">
        <v>2804</v>
      </c>
      <c r="D2541" s="229">
        <v>26.5</v>
      </c>
      <c r="E2541" s="229">
        <v>30.0</v>
      </c>
      <c r="F2541" s="230">
        <v>3.0</v>
      </c>
      <c r="G2541" s="232"/>
    </row>
    <row r="2542">
      <c r="A2542" s="2"/>
      <c r="B2542" s="168" t="s">
        <v>217</v>
      </c>
      <c r="C2542" s="168" t="s">
        <v>2805</v>
      </c>
      <c r="D2542" s="229">
        <v>27.5</v>
      </c>
      <c r="E2542" s="229">
        <v>31.0</v>
      </c>
      <c r="F2542" s="230">
        <v>3.0</v>
      </c>
      <c r="G2542" s="232"/>
    </row>
    <row r="2543">
      <c r="A2543" s="2"/>
      <c r="B2543" s="168" t="s">
        <v>247</v>
      </c>
      <c r="C2543" s="168" t="s">
        <v>2806</v>
      </c>
      <c r="D2543" s="229">
        <v>29.5</v>
      </c>
      <c r="E2543" s="229">
        <v>33.0</v>
      </c>
      <c r="F2543" s="230">
        <v>3.0</v>
      </c>
      <c r="G2543" s="232"/>
    </row>
    <row r="2544">
      <c r="A2544" s="2"/>
      <c r="B2544" s="168" t="s">
        <v>269</v>
      </c>
      <c r="C2544" s="168" t="s">
        <v>2807</v>
      </c>
      <c r="D2544" s="229">
        <v>26.5</v>
      </c>
      <c r="E2544" s="229">
        <v>30.0</v>
      </c>
      <c r="F2544" s="230">
        <v>3.0</v>
      </c>
      <c r="G2544" s="232"/>
    </row>
    <row r="2545">
      <c r="A2545" s="2"/>
      <c r="B2545" s="168" t="s">
        <v>280</v>
      </c>
      <c r="C2545" s="168" t="s">
        <v>2808</v>
      </c>
      <c r="D2545" s="229">
        <v>33.0</v>
      </c>
      <c r="E2545" s="229">
        <v>36.5</v>
      </c>
      <c r="F2545" s="230">
        <v>3.0</v>
      </c>
      <c r="G2545" s="232"/>
    </row>
    <row r="2546">
      <c r="A2546" s="2"/>
      <c r="B2546" s="168" t="s">
        <v>255</v>
      </c>
      <c r="C2546" s="168" t="s">
        <v>2809</v>
      </c>
      <c r="D2546" s="229">
        <v>31.5</v>
      </c>
      <c r="E2546" s="229">
        <v>35.0</v>
      </c>
      <c r="F2546" s="230">
        <v>3.0</v>
      </c>
      <c r="G2546" s="232"/>
    </row>
    <row r="2547">
      <c r="A2547" s="2"/>
      <c r="B2547" s="168" t="s">
        <v>288</v>
      </c>
      <c r="C2547" s="168" t="s">
        <v>2810</v>
      </c>
      <c r="D2547" s="229">
        <v>21.5</v>
      </c>
      <c r="E2547" s="229">
        <v>25.0</v>
      </c>
      <c r="F2547" s="230">
        <v>3.0</v>
      </c>
      <c r="G2547" s="232"/>
    </row>
    <row r="2548">
      <c r="A2548" s="2"/>
      <c r="B2548" s="168" t="s">
        <v>811</v>
      </c>
      <c r="C2548" s="168" t="s">
        <v>2811</v>
      </c>
      <c r="D2548" s="229">
        <v>24.5</v>
      </c>
      <c r="E2548" s="229">
        <v>28.0</v>
      </c>
      <c r="F2548" s="230">
        <v>3.0</v>
      </c>
      <c r="G2548" s="232"/>
    </row>
    <row r="2549">
      <c r="A2549" s="2"/>
      <c r="B2549" s="168" t="s">
        <v>234</v>
      </c>
      <c r="C2549" s="168" t="s">
        <v>2812</v>
      </c>
      <c r="D2549" s="229">
        <v>29.5</v>
      </c>
      <c r="E2549" s="229">
        <v>33.0</v>
      </c>
      <c r="F2549" s="230">
        <v>3.0</v>
      </c>
      <c r="G2549" s="232"/>
    </row>
    <row r="2550">
      <c r="A2550" s="2"/>
      <c r="B2550" s="168" t="s">
        <v>430</v>
      </c>
      <c r="C2550" s="168" t="s">
        <v>2813</v>
      </c>
      <c r="D2550" s="229">
        <v>34.5</v>
      </c>
      <c r="E2550" s="229">
        <v>38.0</v>
      </c>
      <c r="F2550" s="230">
        <v>3.0</v>
      </c>
      <c r="G2550" s="232"/>
    </row>
    <row r="2551">
      <c r="A2551" s="2"/>
      <c r="B2551" s="168" t="s">
        <v>318</v>
      </c>
      <c r="C2551" s="168" t="s">
        <v>2814</v>
      </c>
      <c r="D2551" s="229">
        <v>25.5</v>
      </c>
      <c r="E2551" s="229">
        <v>29.0</v>
      </c>
      <c r="F2551" s="230">
        <v>3.0</v>
      </c>
      <c r="G2551" s="232"/>
    </row>
    <row r="2552">
      <c r="A2552" s="2"/>
      <c r="B2552" s="168" t="s">
        <v>490</v>
      </c>
      <c r="C2552" s="168" t="s">
        <v>2815</v>
      </c>
      <c r="D2552" s="229">
        <v>34.5</v>
      </c>
      <c r="E2552" s="229">
        <v>38.0</v>
      </c>
      <c r="F2552" s="230">
        <v>3.0</v>
      </c>
      <c r="G2552" s="232"/>
    </row>
    <row r="2553">
      <c r="A2553" s="2"/>
      <c r="B2553" s="168" t="s">
        <v>255</v>
      </c>
      <c r="C2553" s="168" t="s">
        <v>2816</v>
      </c>
      <c r="D2553" s="229">
        <v>31.5</v>
      </c>
      <c r="E2553" s="229">
        <v>35.0</v>
      </c>
      <c r="F2553" s="230">
        <v>3.0</v>
      </c>
      <c r="G2553" s="232"/>
    </row>
    <row r="2554">
      <c r="A2554" s="2"/>
      <c r="B2554" s="168" t="s">
        <v>335</v>
      </c>
      <c r="C2554" s="168" t="s">
        <v>2817</v>
      </c>
      <c r="D2554" s="229">
        <v>34.5</v>
      </c>
      <c r="E2554" s="229">
        <v>38.0</v>
      </c>
      <c r="F2554" s="230">
        <v>3.0</v>
      </c>
      <c r="G2554" s="232"/>
    </row>
    <row r="2555">
      <c r="A2555" s="2"/>
      <c r="B2555" s="168" t="s">
        <v>490</v>
      </c>
      <c r="C2555" s="168" t="s">
        <v>2818</v>
      </c>
      <c r="D2555" s="229">
        <v>34.5</v>
      </c>
      <c r="E2555" s="229">
        <v>38.0</v>
      </c>
      <c r="F2555" s="230">
        <v>3.0</v>
      </c>
      <c r="G2555" s="232"/>
    </row>
    <row r="2556">
      <c r="A2556" s="2"/>
      <c r="B2556" s="168" t="s">
        <v>377</v>
      </c>
      <c r="C2556" s="168" t="s">
        <v>2819</v>
      </c>
      <c r="D2556" s="229">
        <v>29.5</v>
      </c>
      <c r="E2556" s="229">
        <v>33.0</v>
      </c>
      <c r="F2556" s="230">
        <v>3.0</v>
      </c>
      <c r="G2556" s="232"/>
    </row>
    <row r="2557">
      <c r="A2557" s="2"/>
      <c r="B2557" s="168" t="s">
        <v>720</v>
      </c>
      <c r="C2557" s="168" t="s">
        <v>2820</v>
      </c>
      <c r="D2557" s="229">
        <v>25.5</v>
      </c>
      <c r="E2557" s="229">
        <v>29.0</v>
      </c>
      <c r="F2557" s="230">
        <v>3.0</v>
      </c>
      <c r="G2557" s="232"/>
    </row>
    <row r="2558">
      <c r="A2558" s="2"/>
      <c r="B2558" s="168" t="s">
        <v>257</v>
      </c>
      <c r="C2558" s="168" t="s">
        <v>2821</v>
      </c>
      <c r="D2558" s="229">
        <v>28.5</v>
      </c>
      <c r="E2558" s="229">
        <v>32.0</v>
      </c>
      <c r="F2558" s="230">
        <v>3.0</v>
      </c>
      <c r="G2558" s="232"/>
    </row>
    <row r="2559">
      <c r="A2559" s="2"/>
      <c r="B2559" s="168" t="s">
        <v>247</v>
      </c>
      <c r="C2559" s="168" t="s">
        <v>2822</v>
      </c>
      <c r="D2559" s="229">
        <v>29.5</v>
      </c>
      <c r="E2559" s="229">
        <v>33.0</v>
      </c>
      <c r="F2559" s="230">
        <v>3.0</v>
      </c>
      <c r="G2559" s="232"/>
    </row>
    <row r="2560">
      <c r="A2560" s="2"/>
      <c r="B2560" s="168" t="s">
        <v>273</v>
      </c>
      <c r="C2560" s="168" t="s">
        <v>2823</v>
      </c>
      <c r="D2560" s="229">
        <v>29.5</v>
      </c>
      <c r="E2560" s="229">
        <v>33.0</v>
      </c>
      <c r="F2560" s="230">
        <v>3.0</v>
      </c>
      <c r="G2560" s="232"/>
    </row>
    <row r="2561">
      <c r="A2561" s="2"/>
      <c r="B2561" s="168" t="s">
        <v>318</v>
      </c>
      <c r="C2561" s="168" t="s">
        <v>2824</v>
      </c>
      <c r="D2561" s="229">
        <v>25.5</v>
      </c>
      <c r="E2561" s="229">
        <v>29.0</v>
      </c>
      <c r="F2561" s="230">
        <v>3.0</v>
      </c>
      <c r="G2561" s="232"/>
    </row>
    <row r="2562">
      <c r="A2562" s="2"/>
      <c r="B2562" s="168" t="s">
        <v>269</v>
      </c>
      <c r="C2562" s="168" t="s">
        <v>2825</v>
      </c>
      <c r="D2562" s="229">
        <v>26.5</v>
      </c>
      <c r="E2562" s="229">
        <v>30.0</v>
      </c>
      <c r="F2562" s="230">
        <v>3.0</v>
      </c>
      <c r="G2562" s="232"/>
    </row>
    <row r="2563">
      <c r="A2563" s="2"/>
      <c r="B2563" s="168" t="s">
        <v>232</v>
      </c>
      <c r="C2563" s="168" t="s">
        <v>2826</v>
      </c>
      <c r="D2563" s="229">
        <v>25.5</v>
      </c>
      <c r="E2563" s="229">
        <v>29.0</v>
      </c>
      <c r="F2563" s="230">
        <v>3.0</v>
      </c>
      <c r="G2563" s="232"/>
    </row>
    <row r="2564">
      <c r="A2564" s="2"/>
      <c r="B2564" s="168" t="s">
        <v>232</v>
      </c>
      <c r="C2564" s="168" t="s">
        <v>2827</v>
      </c>
      <c r="D2564" s="229">
        <v>25.0</v>
      </c>
      <c r="E2564" s="229">
        <v>28.5</v>
      </c>
      <c r="F2564" s="230">
        <v>3.0</v>
      </c>
      <c r="G2564" s="232"/>
    </row>
    <row r="2565">
      <c r="A2565" s="2"/>
      <c r="B2565" s="168" t="s">
        <v>341</v>
      </c>
      <c r="C2565" s="168" t="s">
        <v>2828</v>
      </c>
      <c r="D2565" s="229">
        <v>29.5</v>
      </c>
      <c r="E2565" s="229">
        <v>29.5</v>
      </c>
      <c r="F2565" s="230">
        <v>3.0</v>
      </c>
      <c r="G2565" s="232"/>
    </row>
    <row r="2566">
      <c r="A2566" s="2"/>
      <c r="B2566" s="168" t="s">
        <v>223</v>
      </c>
      <c r="C2566" s="168" t="s">
        <v>2829</v>
      </c>
      <c r="D2566" s="229">
        <v>26.5</v>
      </c>
      <c r="E2566" s="229">
        <v>30.0</v>
      </c>
      <c r="F2566" s="230">
        <v>3.0</v>
      </c>
      <c r="G2566" s="232"/>
    </row>
    <row r="2567">
      <c r="A2567" s="2"/>
      <c r="B2567" s="168" t="s">
        <v>217</v>
      </c>
      <c r="C2567" s="168" t="s">
        <v>2830</v>
      </c>
      <c r="D2567" s="229">
        <v>27.5</v>
      </c>
      <c r="E2567" s="229">
        <v>31.0</v>
      </c>
      <c r="F2567" s="230">
        <v>3.0</v>
      </c>
      <c r="G2567" s="232"/>
    </row>
    <row r="2568">
      <c r="A2568" s="2"/>
      <c r="B2568" s="168" t="s">
        <v>232</v>
      </c>
      <c r="C2568" s="168" t="s">
        <v>2831</v>
      </c>
      <c r="D2568" s="229">
        <v>25.5</v>
      </c>
      <c r="E2568" s="229">
        <v>29.0</v>
      </c>
      <c r="F2568" s="230">
        <v>3.0</v>
      </c>
      <c r="G2568" s="232"/>
    </row>
    <row r="2569">
      <c r="A2569" s="2"/>
      <c r="B2569" s="168" t="s">
        <v>255</v>
      </c>
      <c r="C2569" s="168" t="s">
        <v>2832</v>
      </c>
      <c r="D2569" s="229">
        <v>31.5</v>
      </c>
      <c r="E2569" s="229">
        <v>35.0</v>
      </c>
      <c r="F2569" s="230">
        <v>3.0</v>
      </c>
      <c r="G2569" s="232"/>
    </row>
    <row r="2570">
      <c r="A2570" s="2"/>
      <c r="B2570" s="168" t="s">
        <v>255</v>
      </c>
      <c r="C2570" s="168" t="s">
        <v>2833</v>
      </c>
      <c r="D2570" s="229">
        <v>31.5</v>
      </c>
      <c r="E2570" s="229">
        <v>35.0</v>
      </c>
      <c r="F2570" s="230">
        <v>3.0</v>
      </c>
      <c r="G2570" s="232"/>
    </row>
    <row r="2571">
      <c r="A2571" s="2"/>
      <c r="B2571" s="168" t="s">
        <v>243</v>
      </c>
      <c r="C2571" s="168" t="s">
        <v>2834</v>
      </c>
      <c r="D2571" s="229">
        <v>29.5</v>
      </c>
      <c r="E2571" s="229">
        <v>33.0</v>
      </c>
      <c r="F2571" s="230">
        <v>3.0</v>
      </c>
      <c r="G2571" s="232"/>
    </row>
    <row r="2572">
      <c r="A2572" s="2"/>
      <c r="B2572" s="168" t="s">
        <v>269</v>
      </c>
      <c r="C2572" s="168" t="s">
        <v>2835</v>
      </c>
      <c r="D2572" s="229">
        <v>26.5</v>
      </c>
      <c r="E2572" s="229">
        <v>30.0</v>
      </c>
      <c r="F2572" s="230">
        <v>3.0</v>
      </c>
      <c r="G2572" s="232"/>
    </row>
    <row r="2573">
      <c r="A2573" s="2"/>
      <c r="B2573" s="168" t="s">
        <v>257</v>
      </c>
      <c r="C2573" s="168" t="s">
        <v>2836</v>
      </c>
      <c r="D2573" s="229">
        <v>23.5</v>
      </c>
      <c r="E2573" s="229">
        <v>27.0</v>
      </c>
      <c r="F2573" s="230">
        <v>3.0</v>
      </c>
      <c r="G2573" s="232"/>
    </row>
    <row r="2574">
      <c r="A2574" s="2"/>
      <c r="B2574" s="168" t="s">
        <v>288</v>
      </c>
      <c r="C2574" s="168" t="s">
        <v>2837</v>
      </c>
      <c r="D2574" s="229">
        <v>21.5</v>
      </c>
      <c r="E2574" s="229">
        <v>25.0</v>
      </c>
      <c r="F2574" s="230">
        <v>3.0</v>
      </c>
      <c r="G2574" s="232"/>
    </row>
    <row r="2575">
      <c r="A2575" s="2"/>
      <c r="B2575" s="168" t="s">
        <v>221</v>
      </c>
      <c r="C2575" s="168" t="s">
        <v>221</v>
      </c>
      <c r="D2575" s="229">
        <v>27.5</v>
      </c>
      <c r="E2575" s="229">
        <v>31.0</v>
      </c>
      <c r="F2575" s="230">
        <v>3.0</v>
      </c>
      <c r="G2575" s="232"/>
    </row>
    <row r="2576">
      <c r="A2576" s="2"/>
      <c r="B2576" s="168" t="s">
        <v>375</v>
      </c>
      <c r="C2576" s="168" t="s">
        <v>2838</v>
      </c>
      <c r="D2576" s="229">
        <v>26.5</v>
      </c>
      <c r="E2576" s="229">
        <v>30.0</v>
      </c>
      <c r="F2576" s="230">
        <v>3.0</v>
      </c>
      <c r="G2576" s="232"/>
    </row>
    <row r="2577">
      <c r="A2577" s="2"/>
      <c r="B2577" s="168" t="s">
        <v>288</v>
      </c>
      <c r="C2577" s="168" t="s">
        <v>2839</v>
      </c>
      <c r="D2577" s="229">
        <v>16.5</v>
      </c>
      <c r="E2577" s="229">
        <v>20.0</v>
      </c>
      <c r="F2577" s="230">
        <v>3.0</v>
      </c>
      <c r="G2577" s="232"/>
    </row>
    <row r="2578">
      <c r="A2578" s="2"/>
      <c r="B2578" s="168" t="s">
        <v>296</v>
      </c>
      <c r="C2578" s="168" t="s">
        <v>2840</v>
      </c>
      <c r="D2578" s="229">
        <v>26.5</v>
      </c>
      <c r="E2578" s="229">
        <v>30.0</v>
      </c>
      <c r="F2578" s="230">
        <v>3.0</v>
      </c>
      <c r="G2578" s="232"/>
    </row>
    <row r="2579">
      <c r="A2579" s="2"/>
      <c r="B2579" s="168" t="s">
        <v>811</v>
      </c>
      <c r="C2579" s="168" t="s">
        <v>2841</v>
      </c>
      <c r="D2579" s="229">
        <v>29.5</v>
      </c>
      <c r="E2579" s="229">
        <v>33.0</v>
      </c>
      <c r="F2579" s="230">
        <v>3.0</v>
      </c>
      <c r="G2579" s="232"/>
    </row>
    <row r="2580">
      <c r="A2580" s="2"/>
      <c r="B2580" s="168" t="s">
        <v>337</v>
      </c>
      <c r="C2580" s="168" t="s">
        <v>2842</v>
      </c>
      <c r="D2580" s="229">
        <v>28.5</v>
      </c>
      <c r="E2580" s="229">
        <v>32.0</v>
      </c>
      <c r="F2580" s="230">
        <v>3.0</v>
      </c>
      <c r="G2580" s="232"/>
    </row>
    <row r="2581">
      <c r="A2581" s="2"/>
      <c r="B2581" s="168" t="s">
        <v>232</v>
      </c>
      <c r="C2581" s="168" t="s">
        <v>2843</v>
      </c>
      <c r="D2581" s="229">
        <v>25.5</v>
      </c>
      <c r="E2581" s="229">
        <v>29.0</v>
      </c>
      <c r="F2581" s="230">
        <v>3.0</v>
      </c>
      <c r="G2581" s="232"/>
    </row>
    <row r="2582">
      <c r="A2582" s="2"/>
      <c r="B2582" s="168" t="s">
        <v>269</v>
      </c>
      <c r="C2582" s="168" t="s">
        <v>2844</v>
      </c>
      <c r="D2582" s="229">
        <v>26.5</v>
      </c>
      <c r="E2582" s="229">
        <v>30.0</v>
      </c>
      <c r="F2582" s="230">
        <v>3.0</v>
      </c>
      <c r="G2582" s="232"/>
    </row>
    <row r="2583">
      <c r="A2583" s="2"/>
      <c r="B2583" s="168" t="s">
        <v>269</v>
      </c>
      <c r="C2583" s="168" t="s">
        <v>2845</v>
      </c>
      <c r="D2583" s="229">
        <v>26.5</v>
      </c>
      <c r="E2583" s="229">
        <v>30.0</v>
      </c>
      <c r="F2583" s="230">
        <v>3.0</v>
      </c>
      <c r="G2583" s="232"/>
    </row>
    <row r="2584">
      <c r="A2584" s="2"/>
      <c r="B2584" s="168" t="s">
        <v>375</v>
      </c>
      <c r="C2584" s="168" t="s">
        <v>2846</v>
      </c>
      <c r="D2584" s="229">
        <v>26.5</v>
      </c>
      <c r="E2584" s="229">
        <v>30.0</v>
      </c>
      <c r="F2584" s="230">
        <v>3.0</v>
      </c>
      <c r="G2584" s="232"/>
    </row>
    <row r="2585">
      <c r="A2585" s="2"/>
      <c r="B2585" s="168" t="s">
        <v>255</v>
      </c>
      <c r="C2585" s="168" t="s">
        <v>2847</v>
      </c>
      <c r="D2585" s="229">
        <v>31.5</v>
      </c>
      <c r="E2585" s="229">
        <v>35.0</v>
      </c>
      <c r="F2585" s="230">
        <v>3.0</v>
      </c>
      <c r="G2585" s="232"/>
    </row>
    <row r="2586">
      <c r="A2586" s="2"/>
      <c r="B2586" s="168" t="s">
        <v>290</v>
      </c>
      <c r="C2586" s="168" t="s">
        <v>2848</v>
      </c>
      <c r="D2586" s="229">
        <v>29.5</v>
      </c>
      <c r="E2586" s="229">
        <v>33.0</v>
      </c>
      <c r="F2586" s="230">
        <v>3.0</v>
      </c>
      <c r="G2586" s="232"/>
    </row>
    <row r="2587">
      <c r="A2587" s="2"/>
      <c r="B2587" s="168" t="s">
        <v>290</v>
      </c>
      <c r="C2587" s="168" t="s">
        <v>2849</v>
      </c>
      <c r="D2587" s="229">
        <v>29.5</v>
      </c>
      <c r="E2587" s="229">
        <v>33.0</v>
      </c>
      <c r="F2587" s="230">
        <v>3.0</v>
      </c>
      <c r="G2587" s="232"/>
    </row>
    <row r="2588">
      <c r="A2588" s="2"/>
      <c r="B2588" s="168" t="s">
        <v>592</v>
      </c>
      <c r="C2588" s="168" t="s">
        <v>2850</v>
      </c>
      <c r="D2588" s="229">
        <v>34.5</v>
      </c>
      <c r="E2588" s="229">
        <v>38.0</v>
      </c>
      <c r="F2588" s="230">
        <v>3.0</v>
      </c>
      <c r="G2588" s="232"/>
    </row>
    <row r="2589">
      <c r="A2589" s="2"/>
      <c r="B2589" s="168" t="s">
        <v>290</v>
      </c>
      <c r="C2589" s="168" t="s">
        <v>2851</v>
      </c>
      <c r="D2589" s="229">
        <v>29.5</v>
      </c>
      <c r="E2589" s="229">
        <v>33.0</v>
      </c>
      <c r="F2589" s="230">
        <v>3.0</v>
      </c>
      <c r="G2589" s="232"/>
    </row>
    <row r="2590">
      <c r="A2590" s="2"/>
      <c r="B2590" s="168" t="s">
        <v>251</v>
      </c>
      <c r="C2590" s="168" t="s">
        <v>251</v>
      </c>
      <c r="D2590" s="229">
        <v>34.5</v>
      </c>
      <c r="E2590" s="229">
        <v>38.0</v>
      </c>
      <c r="F2590" s="230">
        <v>3.0</v>
      </c>
      <c r="G2590" s="232"/>
    </row>
    <row r="2591">
      <c r="A2591" s="2"/>
      <c r="B2591" s="168" t="s">
        <v>217</v>
      </c>
      <c r="C2591" s="168" t="s">
        <v>2852</v>
      </c>
      <c r="D2591" s="229">
        <v>27.5</v>
      </c>
      <c r="E2591" s="229">
        <v>31.0</v>
      </c>
      <c r="F2591" s="230">
        <v>3.0</v>
      </c>
      <c r="G2591" s="232"/>
    </row>
    <row r="2592">
      <c r="A2592" s="2"/>
      <c r="B2592" s="168" t="s">
        <v>377</v>
      </c>
      <c r="C2592" s="168" t="s">
        <v>2853</v>
      </c>
      <c r="D2592" s="229">
        <v>29.5</v>
      </c>
      <c r="E2592" s="229">
        <v>33.0</v>
      </c>
      <c r="F2592" s="230">
        <v>3.0</v>
      </c>
      <c r="G2592" s="232"/>
    </row>
    <row r="2593">
      <c r="A2593" s="2"/>
      <c r="B2593" s="168" t="s">
        <v>217</v>
      </c>
      <c r="C2593" s="168" t="s">
        <v>2854</v>
      </c>
      <c r="D2593" s="229">
        <v>27.5</v>
      </c>
      <c r="E2593" s="229">
        <v>31.0</v>
      </c>
      <c r="F2593" s="230">
        <v>3.0</v>
      </c>
      <c r="G2593" s="232"/>
    </row>
    <row r="2594">
      <c r="A2594" s="2"/>
      <c r="B2594" s="168" t="s">
        <v>290</v>
      </c>
      <c r="C2594" s="168" t="s">
        <v>2855</v>
      </c>
      <c r="D2594" s="229">
        <v>29.5</v>
      </c>
      <c r="E2594" s="229">
        <v>33.0</v>
      </c>
      <c r="F2594" s="230">
        <v>3.0</v>
      </c>
      <c r="G2594" s="232"/>
    </row>
    <row r="2595">
      <c r="A2595" s="2"/>
      <c r="B2595" s="168" t="s">
        <v>230</v>
      </c>
      <c r="C2595" s="168" t="s">
        <v>2856</v>
      </c>
      <c r="D2595" s="229">
        <v>21.5</v>
      </c>
      <c r="E2595" s="229">
        <v>25.0</v>
      </c>
      <c r="F2595" s="230">
        <v>3.0</v>
      </c>
      <c r="G2595" s="232"/>
    </row>
    <row r="2596">
      <c r="A2596" s="2"/>
      <c r="B2596" s="168" t="s">
        <v>335</v>
      </c>
      <c r="C2596" s="168" t="s">
        <v>2857</v>
      </c>
      <c r="D2596" s="229">
        <v>34.5</v>
      </c>
      <c r="E2596" s="229">
        <v>38.0</v>
      </c>
      <c r="F2596" s="230">
        <v>3.0</v>
      </c>
      <c r="G2596" s="232"/>
    </row>
    <row r="2597">
      <c r="A2597" s="2"/>
      <c r="B2597" s="168" t="s">
        <v>337</v>
      </c>
      <c r="C2597" s="168" t="s">
        <v>2858</v>
      </c>
      <c r="D2597" s="229">
        <v>28.5</v>
      </c>
      <c r="E2597" s="229">
        <v>32.0</v>
      </c>
      <c r="F2597" s="230">
        <v>3.0</v>
      </c>
      <c r="G2597" s="232"/>
    </row>
    <row r="2598">
      <c r="A2598" s="2"/>
      <c r="B2598" s="168" t="s">
        <v>217</v>
      </c>
      <c r="C2598" s="168" t="s">
        <v>2859</v>
      </c>
      <c r="D2598" s="229">
        <v>27.5</v>
      </c>
      <c r="E2598" s="229">
        <v>31.0</v>
      </c>
      <c r="F2598" s="230">
        <v>3.0</v>
      </c>
      <c r="G2598" s="232"/>
    </row>
    <row r="2599">
      <c r="A2599" s="2"/>
      <c r="B2599" s="168" t="s">
        <v>413</v>
      </c>
      <c r="C2599" s="168" t="s">
        <v>2860</v>
      </c>
      <c r="D2599" s="229">
        <v>29.5</v>
      </c>
      <c r="E2599" s="229">
        <v>33.0</v>
      </c>
      <c r="F2599" s="230">
        <v>3.0</v>
      </c>
      <c r="G2599" s="232"/>
    </row>
    <row r="2600">
      <c r="A2600" s="2"/>
      <c r="B2600" s="168" t="s">
        <v>245</v>
      </c>
      <c r="C2600" s="168" t="s">
        <v>2861</v>
      </c>
      <c r="D2600" s="229">
        <v>29.0</v>
      </c>
      <c r="E2600" s="229">
        <v>32.5</v>
      </c>
      <c r="F2600" s="230">
        <v>3.0</v>
      </c>
      <c r="G2600" s="232"/>
    </row>
    <row r="2601">
      <c r="A2601" s="2"/>
      <c r="B2601" s="168" t="s">
        <v>427</v>
      </c>
      <c r="C2601" s="168" t="s">
        <v>2862</v>
      </c>
      <c r="D2601" s="229">
        <v>26.5</v>
      </c>
      <c r="E2601" s="229">
        <v>30.0</v>
      </c>
      <c r="F2601" s="230">
        <v>3.0</v>
      </c>
      <c r="G2601" s="232"/>
    </row>
    <row r="2602">
      <c r="A2602" s="2"/>
      <c r="B2602" s="168" t="s">
        <v>381</v>
      </c>
      <c r="C2602" s="168" t="s">
        <v>2863</v>
      </c>
      <c r="D2602" s="229">
        <v>28.5</v>
      </c>
      <c r="E2602" s="229">
        <v>32.0</v>
      </c>
      <c r="F2602" s="230">
        <v>3.0</v>
      </c>
      <c r="G2602" s="232"/>
    </row>
    <row r="2603">
      <c r="A2603" s="2"/>
      <c r="B2603" s="168" t="s">
        <v>290</v>
      </c>
      <c r="C2603" s="168" t="s">
        <v>2864</v>
      </c>
      <c r="D2603" s="229">
        <v>29.5</v>
      </c>
      <c r="E2603" s="229">
        <v>33.0</v>
      </c>
      <c r="F2603" s="230">
        <v>3.0</v>
      </c>
      <c r="G2603" s="232"/>
    </row>
    <row r="2604">
      <c r="A2604" s="2"/>
      <c r="B2604" s="168" t="s">
        <v>381</v>
      </c>
      <c r="C2604" s="168" t="s">
        <v>2865</v>
      </c>
      <c r="D2604" s="229">
        <v>28.5</v>
      </c>
      <c r="E2604" s="229">
        <v>32.0</v>
      </c>
      <c r="F2604" s="230">
        <v>3.0</v>
      </c>
      <c r="G2604" s="232"/>
    </row>
    <row r="2605">
      <c r="A2605" s="2"/>
      <c r="B2605" s="168" t="s">
        <v>241</v>
      </c>
      <c r="C2605" s="168" t="s">
        <v>2866</v>
      </c>
      <c r="D2605" s="229">
        <v>32.5</v>
      </c>
      <c r="E2605" s="229">
        <v>36.0</v>
      </c>
      <c r="F2605" s="230">
        <v>3.0</v>
      </c>
      <c r="G2605" s="232"/>
    </row>
    <row r="2606">
      <c r="A2606" s="2"/>
      <c r="B2606" s="168" t="s">
        <v>230</v>
      </c>
      <c r="C2606" s="168" t="s">
        <v>2867</v>
      </c>
      <c r="D2606" s="229">
        <v>21.5</v>
      </c>
      <c r="E2606" s="229">
        <v>25.0</v>
      </c>
      <c r="F2606" s="230">
        <v>3.0</v>
      </c>
      <c r="G2606" s="232"/>
    </row>
    <row r="2607">
      <c r="A2607" s="2"/>
      <c r="B2607" s="168" t="s">
        <v>288</v>
      </c>
      <c r="C2607" s="168" t="s">
        <v>2868</v>
      </c>
      <c r="D2607" s="229">
        <v>21.5</v>
      </c>
      <c r="E2607" s="229">
        <v>25.0</v>
      </c>
      <c r="F2607" s="230">
        <v>3.0</v>
      </c>
      <c r="G2607" s="232"/>
    </row>
    <row r="2608">
      <c r="A2608" s="2"/>
      <c r="B2608" s="168" t="s">
        <v>230</v>
      </c>
      <c r="C2608" s="168" t="s">
        <v>2869</v>
      </c>
      <c r="D2608" s="229">
        <v>21.5</v>
      </c>
      <c r="E2608" s="229">
        <v>25.0</v>
      </c>
      <c r="F2608" s="230">
        <v>3.0</v>
      </c>
      <c r="G2608" s="232"/>
    </row>
    <row r="2609">
      <c r="A2609" s="2"/>
      <c r="B2609" s="168" t="s">
        <v>249</v>
      </c>
      <c r="C2609" s="168" t="s">
        <v>2870</v>
      </c>
      <c r="D2609" s="229">
        <v>3.0</v>
      </c>
      <c r="E2609" s="229">
        <v>3.0</v>
      </c>
      <c r="F2609" s="230">
        <v>3.0</v>
      </c>
      <c r="G2609" s="232"/>
    </row>
    <row r="2610">
      <c r="A2610" s="2"/>
      <c r="B2610" s="168" t="s">
        <v>217</v>
      </c>
      <c r="C2610" s="168" t="s">
        <v>2871</v>
      </c>
      <c r="D2610" s="229">
        <v>27.5</v>
      </c>
      <c r="E2610" s="229">
        <v>31.0</v>
      </c>
      <c r="F2610" s="230">
        <v>3.0</v>
      </c>
      <c r="G2610" s="232"/>
    </row>
    <row r="2611">
      <c r="A2611" s="2"/>
      <c r="B2611" s="168" t="s">
        <v>288</v>
      </c>
      <c r="C2611" s="168" t="s">
        <v>2872</v>
      </c>
      <c r="D2611" s="229">
        <v>21.5</v>
      </c>
      <c r="E2611" s="229">
        <v>25.0</v>
      </c>
      <c r="F2611" s="230">
        <v>3.0</v>
      </c>
      <c r="G2611" s="232"/>
    </row>
    <row r="2612">
      <c r="A2612" s="2"/>
      <c r="B2612" s="168" t="s">
        <v>288</v>
      </c>
      <c r="C2612" s="168" t="s">
        <v>2873</v>
      </c>
      <c r="D2612" s="229">
        <v>21.5</v>
      </c>
      <c r="E2612" s="229">
        <v>25.0</v>
      </c>
      <c r="F2612" s="230">
        <v>3.0</v>
      </c>
      <c r="G2612" s="232"/>
    </row>
    <row r="2613">
      <c r="A2613" s="2"/>
      <c r="B2613" s="168" t="s">
        <v>232</v>
      </c>
      <c r="C2613" s="168" t="s">
        <v>2874</v>
      </c>
      <c r="D2613" s="229">
        <v>30.5</v>
      </c>
      <c r="E2613" s="229">
        <v>34.0</v>
      </c>
      <c r="F2613" s="230">
        <v>3.0</v>
      </c>
      <c r="G2613" s="232"/>
    </row>
    <row r="2614">
      <c r="A2614" s="2"/>
      <c r="B2614" s="168" t="s">
        <v>328</v>
      </c>
      <c r="C2614" s="168" t="s">
        <v>2875</v>
      </c>
      <c r="D2614" s="229">
        <v>34.5</v>
      </c>
      <c r="E2614" s="229">
        <v>38.0</v>
      </c>
      <c r="F2614" s="230">
        <v>3.0</v>
      </c>
      <c r="G2614" s="232"/>
    </row>
    <row r="2615">
      <c r="A2615" s="2"/>
      <c r="B2615" s="168" t="s">
        <v>413</v>
      </c>
      <c r="C2615" s="168" t="s">
        <v>2876</v>
      </c>
      <c r="D2615" s="229">
        <v>29.5</v>
      </c>
      <c r="E2615" s="229">
        <v>33.0</v>
      </c>
      <c r="F2615" s="230">
        <v>3.0</v>
      </c>
      <c r="G2615" s="232"/>
    </row>
    <row r="2616">
      <c r="A2616" s="2"/>
      <c r="B2616" s="168" t="s">
        <v>239</v>
      </c>
      <c r="C2616" s="168" t="s">
        <v>2877</v>
      </c>
      <c r="D2616" s="229">
        <v>29.5</v>
      </c>
      <c r="E2616" s="229">
        <v>33.0</v>
      </c>
      <c r="F2616" s="230">
        <v>3.0</v>
      </c>
      <c r="G2616" s="232"/>
    </row>
    <row r="2617">
      <c r="A2617" s="2"/>
      <c r="B2617" s="168" t="s">
        <v>296</v>
      </c>
      <c r="C2617" s="168" t="s">
        <v>2878</v>
      </c>
      <c r="D2617" s="229">
        <v>26.5</v>
      </c>
      <c r="E2617" s="229">
        <v>30.0</v>
      </c>
      <c r="F2617" s="230">
        <v>3.0</v>
      </c>
      <c r="G2617" s="232"/>
    </row>
    <row r="2618">
      <c r="A2618" s="2"/>
      <c r="B2618" s="168" t="s">
        <v>269</v>
      </c>
      <c r="C2618" s="168" t="s">
        <v>2879</v>
      </c>
      <c r="D2618" s="229">
        <v>21.5</v>
      </c>
      <c r="E2618" s="229">
        <v>25.0</v>
      </c>
      <c r="F2618" s="230">
        <v>3.0</v>
      </c>
      <c r="G2618" s="232"/>
    </row>
    <row r="2619">
      <c r="A2619" s="2"/>
      <c r="B2619" s="168" t="s">
        <v>269</v>
      </c>
      <c r="C2619" s="168" t="s">
        <v>2880</v>
      </c>
      <c r="D2619" s="229">
        <v>26.5</v>
      </c>
      <c r="E2619" s="229">
        <v>30.0</v>
      </c>
      <c r="F2619" s="230">
        <v>3.0</v>
      </c>
      <c r="G2619" s="232"/>
    </row>
    <row r="2620">
      <c r="A2620" s="2"/>
      <c r="B2620" s="168" t="s">
        <v>254</v>
      </c>
      <c r="C2620" s="168" t="s">
        <v>2881</v>
      </c>
      <c r="D2620" s="229">
        <v>26.5</v>
      </c>
      <c r="E2620" s="229">
        <v>30.0</v>
      </c>
      <c r="F2620" s="230">
        <v>3.0</v>
      </c>
      <c r="G2620" s="232"/>
    </row>
    <row r="2621">
      <c r="A2621" s="2"/>
      <c r="B2621" s="168" t="s">
        <v>243</v>
      </c>
      <c r="C2621" s="168" t="s">
        <v>2882</v>
      </c>
      <c r="D2621" s="229">
        <v>29.5</v>
      </c>
      <c r="E2621" s="229">
        <v>33.0</v>
      </c>
      <c r="F2621" s="230">
        <v>3.0</v>
      </c>
      <c r="G2621" s="232"/>
    </row>
    <row r="2622">
      <c r="A2622" s="2"/>
      <c r="B2622" s="168" t="s">
        <v>337</v>
      </c>
      <c r="C2622" s="168" t="s">
        <v>2883</v>
      </c>
      <c r="D2622" s="229">
        <v>20.5</v>
      </c>
      <c r="E2622" s="229">
        <v>24.0</v>
      </c>
      <c r="F2622" s="230">
        <v>3.0</v>
      </c>
      <c r="G2622" s="232"/>
    </row>
    <row r="2623">
      <c r="A2623" s="2"/>
      <c r="B2623" s="168" t="s">
        <v>241</v>
      </c>
      <c r="C2623" s="168" t="s">
        <v>2884</v>
      </c>
      <c r="D2623" s="229">
        <v>29.5</v>
      </c>
      <c r="E2623" s="229">
        <v>33.0</v>
      </c>
      <c r="F2623" s="230">
        <v>3.0</v>
      </c>
      <c r="G2623" s="232"/>
    </row>
    <row r="2624">
      <c r="A2624" s="2"/>
      <c r="B2624" s="168" t="s">
        <v>273</v>
      </c>
      <c r="C2624" s="168" t="s">
        <v>2885</v>
      </c>
      <c r="D2624" s="229">
        <v>29.5</v>
      </c>
      <c r="E2624" s="229">
        <v>33.0</v>
      </c>
      <c r="F2624" s="230">
        <v>3.0</v>
      </c>
      <c r="G2624" s="232"/>
    </row>
    <row r="2625">
      <c r="A2625" s="2"/>
      <c r="B2625" s="168" t="s">
        <v>217</v>
      </c>
      <c r="C2625" s="168" t="s">
        <v>2886</v>
      </c>
      <c r="D2625" s="229">
        <v>27.5</v>
      </c>
      <c r="E2625" s="229">
        <v>31.0</v>
      </c>
      <c r="F2625" s="230">
        <v>3.0</v>
      </c>
      <c r="G2625" s="232"/>
    </row>
    <row r="2626">
      <c r="A2626" s="2"/>
      <c r="B2626" s="168" t="s">
        <v>288</v>
      </c>
      <c r="C2626" s="168" t="s">
        <v>2887</v>
      </c>
      <c r="D2626" s="229">
        <v>21.5</v>
      </c>
      <c r="E2626" s="229">
        <v>25.0</v>
      </c>
      <c r="F2626" s="230">
        <v>3.0</v>
      </c>
      <c r="G2626" s="232"/>
    </row>
    <row r="2627">
      <c r="A2627" s="2"/>
      <c r="B2627" s="168" t="s">
        <v>215</v>
      </c>
      <c r="C2627" s="168" t="s">
        <v>2888</v>
      </c>
      <c r="D2627" s="229">
        <v>27.5</v>
      </c>
      <c r="E2627" s="229">
        <v>31.0</v>
      </c>
      <c r="F2627" s="230">
        <v>3.0</v>
      </c>
      <c r="G2627" s="232"/>
    </row>
    <row r="2628">
      <c r="A2628" s="2"/>
      <c r="B2628" s="168" t="s">
        <v>490</v>
      </c>
      <c r="C2628" s="168" t="s">
        <v>2889</v>
      </c>
      <c r="D2628" s="229">
        <v>34.5</v>
      </c>
      <c r="E2628" s="229">
        <v>38.0</v>
      </c>
      <c r="F2628" s="230">
        <v>3.0</v>
      </c>
      <c r="G2628" s="232"/>
    </row>
    <row r="2629">
      <c r="A2629" s="2"/>
      <c r="B2629" s="168" t="s">
        <v>247</v>
      </c>
      <c r="C2629" s="168" t="s">
        <v>2890</v>
      </c>
      <c r="D2629" s="229">
        <v>29.5</v>
      </c>
      <c r="E2629" s="229">
        <v>33.0</v>
      </c>
      <c r="F2629" s="230">
        <v>3.0</v>
      </c>
      <c r="G2629" s="232"/>
    </row>
    <row r="2630">
      <c r="A2630" s="2"/>
      <c r="B2630" s="168" t="s">
        <v>337</v>
      </c>
      <c r="C2630" s="168" t="s">
        <v>2891</v>
      </c>
      <c r="D2630" s="229">
        <v>28.5</v>
      </c>
      <c r="E2630" s="229">
        <v>32.0</v>
      </c>
      <c r="F2630" s="230">
        <v>3.0</v>
      </c>
      <c r="G2630" s="232"/>
    </row>
    <row r="2631">
      <c r="A2631" s="2"/>
      <c r="B2631" s="168" t="s">
        <v>296</v>
      </c>
      <c r="C2631" s="168" t="s">
        <v>2892</v>
      </c>
      <c r="D2631" s="229">
        <v>26.5</v>
      </c>
      <c r="E2631" s="229">
        <v>30.0</v>
      </c>
      <c r="F2631" s="230">
        <v>3.0</v>
      </c>
      <c r="G2631" s="232"/>
    </row>
    <row r="2632">
      <c r="A2632" s="2"/>
      <c r="B2632" s="168" t="s">
        <v>328</v>
      </c>
      <c r="C2632" s="168" t="s">
        <v>2893</v>
      </c>
      <c r="D2632" s="229">
        <v>34.5</v>
      </c>
      <c r="E2632" s="229">
        <v>38.0</v>
      </c>
      <c r="F2632" s="230">
        <v>3.0</v>
      </c>
      <c r="G2632" s="232"/>
    </row>
    <row r="2633">
      <c r="A2633" s="2"/>
      <c r="B2633" s="168" t="s">
        <v>219</v>
      </c>
      <c r="C2633" s="168" t="s">
        <v>2894</v>
      </c>
      <c r="D2633" s="229">
        <v>28.5</v>
      </c>
      <c r="E2633" s="229">
        <v>32.0</v>
      </c>
      <c r="F2633" s="230">
        <v>3.0</v>
      </c>
      <c r="G2633" s="232"/>
    </row>
    <row r="2634">
      <c r="A2634" s="2"/>
      <c r="B2634" s="168" t="s">
        <v>217</v>
      </c>
      <c r="C2634" s="168" t="s">
        <v>2895</v>
      </c>
      <c r="D2634" s="229">
        <v>27.5</v>
      </c>
      <c r="E2634" s="229">
        <v>31.0</v>
      </c>
      <c r="F2634" s="230">
        <v>3.0</v>
      </c>
      <c r="G2634" s="232"/>
    </row>
    <row r="2635">
      <c r="A2635" s="2"/>
      <c r="B2635" s="168" t="s">
        <v>335</v>
      </c>
      <c r="C2635" s="168" t="s">
        <v>2896</v>
      </c>
      <c r="D2635" s="229">
        <v>34.5</v>
      </c>
      <c r="E2635" s="229">
        <v>38.0</v>
      </c>
      <c r="F2635" s="230">
        <v>3.0</v>
      </c>
      <c r="G2635" s="232"/>
    </row>
    <row r="2636">
      <c r="A2636" s="2"/>
      <c r="B2636" s="168" t="s">
        <v>310</v>
      </c>
      <c r="C2636" s="168" t="s">
        <v>2897</v>
      </c>
      <c r="D2636" s="229">
        <v>34.5</v>
      </c>
      <c r="E2636" s="229">
        <v>38.0</v>
      </c>
      <c r="F2636" s="230">
        <v>3.0</v>
      </c>
      <c r="G2636" s="232"/>
    </row>
    <row r="2637">
      <c r="A2637" s="2"/>
      <c r="B2637" s="168" t="s">
        <v>332</v>
      </c>
      <c r="C2637" s="168" t="s">
        <v>2898</v>
      </c>
      <c r="D2637" s="229">
        <v>28.5</v>
      </c>
      <c r="E2637" s="229">
        <v>32.0</v>
      </c>
      <c r="F2637" s="230">
        <v>3.0</v>
      </c>
      <c r="G2637" s="232"/>
    </row>
    <row r="2638">
      <c r="A2638" s="2"/>
      <c r="B2638" s="168" t="s">
        <v>217</v>
      </c>
      <c r="C2638" s="168" t="s">
        <v>2899</v>
      </c>
      <c r="D2638" s="229">
        <v>22.5</v>
      </c>
      <c r="E2638" s="229">
        <v>26.0</v>
      </c>
      <c r="F2638" s="230">
        <v>3.0</v>
      </c>
      <c r="G2638" s="232"/>
    </row>
    <row r="2639">
      <c r="A2639" s="2"/>
      <c r="B2639" s="168" t="s">
        <v>332</v>
      </c>
      <c r="C2639" s="168" t="s">
        <v>2900</v>
      </c>
      <c r="D2639" s="229">
        <v>28.5</v>
      </c>
      <c r="E2639" s="229">
        <v>32.0</v>
      </c>
      <c r="F2639" s="230">
        <v>3.0</v>
      </c>
      <c r="G2639" s="232"/>
    </row>
    <row r="2640">
      <c r="A2640" s="2"/>
      <c r="B2640" s="168" t="s">
        <v>230</v>
      </c>
      <c r="C2640" s="168" t="s">
        <v>2901</v>
      </c>
      <c r="D2640" s="229">
        <v>21.5</v>
      </c>
      <c r="E2640" s="229">
        <v>25.0</v>
      </c>
      <c r="F2640" s="230">
        <v>3.0</v>
      </c>
      <c r="G2640" s="232"/>
    </row>
    <row r="2641">
      <c r="A2641" s="2"/>
      <c r="B2641" s="168" t="s">
        <v>275</v>
      </c>
      <c r="C2641" s="168" t="s">
        <v>2902</v>
      </c>
      <c r="D2641" s="229">
        <v>26.5</v>
      </c>
      <c r="E2641" s="229">
        <v>30.0</v>
      </c>
      <c r="F2641" s="230">
        <v>3.0</v>
      </c>
      <c r="G2641" s="232"/>
    </row>
    <row r="2642">
      <c r="A2642" s="2"/>
      <c r="B2642" s="168" t="s">
        <v>257</v>
      </c>
      <c r="C2642" s="168" t="s">
        <v>2903</v>
      </c>
      <c r="D2642" s="229">
        <v>28.5</v>
      </c>
      <c r="E2642" s="229">
        <v>32.0</v>
      </c>
      <c r="F2642" s="230">
        <v>3.0</v>
      </c>
      <c r="G2642" s="232"/>
    </row>
    <row r="2643">
      <c r="A2643" s="2"/>
      <c r="B2643" s="168" t="s">
        <v>332</v>
      </c>
      <c r="C2643" s="168" t="s">
        <v>2904</v>
      </c>
      <c r="D2643" s="229">
        <v>28.5</v>
      </c>
      <c r="E2643" s="229">
        <v>32.0</v>
      </c>
      <c r="F2643" s="230">
        <v>3.0</v>
      </c>
      <c r="G2643" s="232"/>
    </row>
    <row r="2644">
      <c r="A2644" s="2"/>
      <c r="B2644" s="168" t="s">
        <v>241</v>
      </c>
      <c r="C2644" s="168" t="s">
        <v>2905</v>
      </c>
      <c r="D2644" s="229">
        <v>27.5</v>
      </c>
      <c r="E2644" s="229">
        <v>31.0</v>
      </c>
      <c r="F2644" s="230">
        <v>3.0</v>
      </c>
      <c r="G2644" s="232"/>
    </row>
    <row r="2645">
      <c r="A2645" s="2"/>
      <c r="B2645" s="168" t="s">
        <v>269</v>
      </c>
      <c r="C2645" s="168" t="s">
        <v>2906</v>
      </c>
      <c r="D2645" s="229">
        <v>26.5</v>
      </c>
      <c r="E2645" s="229">
        <v>30.0</v>
      </c>
      <c r="F2645" s="230">
        <v>3.0</v>
      </c>
      <c r="G2645" s="232"/>
    </row>
    <row r="2646">
      <c r="A2646" s="2"/>
      <c r="B2646" s="168" t="s">
        <v>438</v>
      </c>
      <c r="C2646" s="168" t="s">
        <v>2907</v>
      </c>
      <c r="D2646" s="229">
        <v>29.5</v>
      </c>
      <c r="E2646" s="229">
        <v>33.0</v>
      </c>
      <c r="F2646" s="230">
        <v>3.0</v>
      </c>
      <c r="G2646" s="232"/>
    </row>
    <row r="2647">
      <c r="A2647" s="2"/>
      <c r="B2647" s="168" t="s">
        <v>720</v>
      </c>
      <c r="C2647" s="168" t="s">
        <v>2908</v>
      </c>
      <c r="D2647" s="229">
        <v>30.0</v>
      </c>
      <c r="E2647" s="229">
        <v>33.5</v>
      </c>
      <c r="F2647" s="230">
        <v>3.0</v>
      </c>
      <c r="G2647" s="232"/>
    </row>
    <row r="2648">
      <c r="A2648" s="2"/>
      <c r="B2648" s="168" t="s">
        <v>234</v>
      </c>
      <c r="C2648" s="168" t="s">
        <v>2909</v>
      </c>
      <c r="D2648" s="229">
        <v>29.5</v>
      </c>
      <c r="E2648" s="229">
        <v>33.0</v>
      </c>
      <c r="F2648" s="230">
        <v>3.0</v>
      </c>
      <c r="G2648" s="232"/>
    </row>
    <row r="2649">
      <c r="A2649" s="2"/>
      <c r="B2649" s="168" t="s">
        <v>245</v>
      </c>
      <c r="C2649" s="168" t="s">
        <v>2910</v>
      </c>
      <c r="D2649" s="229">
        <v>27.5</v>
      </c>
      <c r="E2649" s="229">
        <v>31.0</v>
      </c>
      <c r="F2649" s="230">
        <v>3.0</v>
      </c>
      <c r="G2649" s="232"/>
    </row>
    <row r="2650">
      <c r="A2650" s="2"/>
      <c r="B2650" s="168" t="s">
        <v>269</v>
      </c>
      <c r="C2650" s="168" t="s">
        <v>2911</v>
      </c>
      <c r="D2650" s="229">
        <v>26.5</v>
      </c>
      <c r="E2650" s="229">
        <v>30.0</v>
      </c>
      <c r="F2650" s="230">
        <v>3.0</v>
      </c>
      <c r="G2650" s="232"/>
    </row>
    <row r="2651">
      <c r="A2651" s="2"/>
      <c r="B2651" s="168" t="s">
        <v>254</v>
      </c>
      <c r="C2651" s="168" t="s">
        <v>2912</v>
      </c>
      <c r="D2651" s="229">
        <v>26.5</v>
      </c>
      <c r="E2651" s="229">
        <v>30.0</v>
      </c>
      <c r="F2651" s="230">
        <v>3.0</v>
      </c>
      <c r="G2651" s="232"/>
    </row>
    <row r="2652">
      <c r="A2652" s="2"/>
      <c r="B2652" s="168" t="s">
        <v>241</v>
      </c>
      <c r="C2652" s="168" t="s">
        <v>2913</v>
      </c>
      <c r="D2652" s="229">
        <v>29.0</v>
      </c>
      <c r="E2652" s="229">
        <v>32.5</v>
      </c>
      <c r="F2652" s="230">
        <v>3.0</v>
      </c>
      <c r="G2652" s="232"/>
    </row>
    <row r="2653">
      <c r="A2653" s="2"/>
      <c r="B2653" s="168" t="s">
        <v>332</v>
      </c>
      <c r="C2653" s="168" t="s">
        <v>2914</v>
      </c>
      <c r="D2653" s="229">
        <v>3.0</v>
      </c>
      <c r="E2653" s="229">
        <v>3.0</v>
      </c>
      <c r="F2653" s="230">
        <v>3.0</v>
      </c>
      <c r="G2653" s="232"/>
    </row>
    <row r="2654">
      <c r="A2654" s="2"/>
      <c r="B2654" s="168" t="s">
        <v>337</v>
      </c>
      <c r="C2654" s="168" t="s">
        <v>2915</v>
      </c>
      <c r="D2654" s="229">
        <v>28.5</v>
      </c>
      <c r="E2654" s="229">
        <v>32.0</v>
      </c>
      <c r="F2654" s="230">
        <v>3.0</v>
      </c>
      <c r="G2654" s="232"/>
    </row>
    <row r="2655">
      <c r="A2655" s="2"/>
      <c r="B2655" s="168" t="s">
        <v>215</v>
      </c>
      <c r="C2655" s="168" t="s">
        <v>2916</v>
      </c>
      <c r="D2655" s="229">
        <v>27.5</v>
      </c>
      <c r="E2655" s="229">
        <v>31.0</v>
      </c>
      <c r="F2655" s="230">
        <v>3.0</v>
      </c>
      <c r="G2655" s="232"/>
    </row>
    <row r="2656">
      <c r="A2656" s="2"/>
      <c r="B2656" s="168" t="s">
        <v>273</v>
      </c>
      <c r="C2656" s="168" t="s">
        <v>2917</v>
      </c>
      <c r="D2656" s="229">
        <v>29.5</v>
      </c>
      <c r="E2656" s="229">
        <v>33.0</v>
      </c>
      <c r="F2656" s="230">
        <v>3.0</v>
      </c>
      <c r="G2656" s="232"/>
    </row>
    <row r="2657">
      <c r="A2657" s="2"/>
      <c r="B2657" s="168" t="s">
        <v>341</v>
      </c>
      <c r="C2657" s="168" t="s">
        <v>2918</v>
      </c>
      <c r="D2657" s="229">
        <v>29.5</v>
      </c>
      <c r="E2657" s="229">
        <v>29.5</v>
      </c>
      <c r="F2657" s="230">
        <v>3.0</v>
      </c>
      <c r="G2657" s="232"/>
    </row>
    <row r="2658">
      <c r="A2658" s="2"/>
      <c r="B2658" s="168" t="s">
        <v>221</v>
      </c>
      <c r="C2658" s="168" t="s">
        <v>2919</v>
      </c>
      <c r="D2658" s="229">
        <v>27.0</v>
      </c>
      <c r="E2658" s="229">
        <v>30.5</v>
      </c>
      <c r="F2658" s="230">
        <v>3.0</v>
      </c>
      <c r="G2658" s="232"/>
    </row>
    <row r="2659">
      <c r="A2659" s="2"/>
      <c r="B2659" s="168" t="s">
        <v>937</v>
      </c>
      <c r="C2659" s="168" t="s">
        <v>2920</v>
      </c>
      <c r="D2659" s="229">
        <v>21.5</v>
      </c>
      <c r="E2659" s="229">
        <v>25.0</v>
      </c>
      <c r="F2659" s="230">
        <v>3.0</v>
      </c>
      <c r="G2659" s="232"/>
    </row>
    <row r="2660">
      <c r="A2660" s="2"/>
      <c r="B2660" s="168" t="s">
        <v>271</v>
      </c>
      <c r="C2660" s="168" t="s">
        <v>2921</v>
      </c>
      <c r="D2660" s="229">
        <v>31.5</v>
      </c>
      <c r="E2660" s="229">
        <v>35.0</v>
      </c>
      <c r="F2660" s="230">
        <v>3.0</v>
      </c>
      <c r="G2660" s="232"/>
    </row>
    <row r="2661">
      <c r="A2661" s="2"/>
      <c r="B2661" s="168" t="s">
        <v>215</v>
      </c>
      <c r="C2661" s="168" t="s">
        <v>2922</v>
      </c>
      <c r="D2661" s="229">
        <v>29.5</v>
      </c>
      <c r="E2661" s="229">
        <v>33.0</v>
      </c>
      <c r="F2661" s="230">
        <v>3.0</v>
      </c>
      <c r="G2661" s="232"/>
    </row>
    <row r="2662">
      <c r="A2662" s="2"/>
      <c r="B2662" s="168" t="s">
        <v>328</v>
      </c>
      <c r="C2662" s="168" t="s">
        <v>2923</v>
      </c>
      <c r="D2662" s="229">
        <v>34.5</v>
      </c>
      <c r="E2662" s="229">
        <v>38.0</v>
      </c>
      <c r="F2662" s="230">
        <v>3.0</v>
      </c>
      <c r="G2662" s="232"/>
    </row>
    <row r="2663">
      <c r="A2663" s="2"/>
      <c r="B2663" s="168" t="s">
        <v>273</v>
      </c>
      <c r="C2663" s="168" t="s">
        <v>2924</v>
      </c>
      <c r="D2663" s="229">
        <v>24.5</v>
      </c>
      <c r="E2663" s="229">
        <v>28.0</v>
      </c>
      <c r="F2663" s="230">
        <v>3.0</v>
      </c>
      <c r="G2663" s="232"/>
    </row>
    <row r="2664">
      <c r="A2664" s="2"/>
      <c r="B2664" s="168" t="s">
        <v>328</v>
      </c>
      <c r="C2664" s="168" t="s">
        <v>2925</v>
      </c>
      <c r="D2664" s="229">
        <v>34.5</v>
      </c>
      <c r="E2664" s="229">
        <v>38.0</v>
      </c>
      <c r="F2664" s="230">
        <v>3.0</v>
      </c>
      <c r="G2664" s="232"/>
    </row>
    <row r="2665">
      <c r="A2665" s="2"/>
      <c r="B2665" s="168" t="s">
        <v>239</v>
      </c>
      <c r="C2665" s="168" t="s">
        <v>2926</v>
      </c>
      <c r="D2665" s="229">
        <v>29.5</v>
      </c>
      <c r="E2665" s="229">
        <v>33.0</v>
      </c>
      <c r="F2665" s="230">
        <v>3.0</v>
      </c>
      <c r="G2665" s="232"/>
    </row>
    <row r="2666">
      <c r="A2666" s="2"/>
      <c r="B2666" s="168" t="s">
        <v>337</v>
      </c>
      <c r="C2666" s="168" t="s">
        <v>2927</v>
      </c>
      <c r="D2666" s="229">
        <v>20.5</v>
      </c>
      <c r="E2666" s="229">
        <v>24.0</v>
      </c>
      <c r="F2666" s="230">
        <v>3.0</v>
      </c>
      <c r="G2666" s="232"/>
    </row>
    <row r="2667">
      <c r="A2667" s="2"/>
      <c r="B2667" s="168" t="s">
        <v>318</v>
      </c>
      <c r="C2667" s="168" t="s">
        <v>2928</v>
      </c>
      <c r="D2667" s="229">
        <v>25.5</v>
      </c>
      <c r="E2667" s="229">
        <v>29.0</v>
      </c>
      <c r="F2667" s="230">
        <v>3.0</v>
      </c>
      <c r="G2667" s="232"/>
    </row>
    <row r="2668">
      <c r="A2668" s="2"/>
      <c r="B2668" s="168" t="s">
        <v>230</v>
      </c>
      <c r="C2668" s="168" t="s">
        <v>2929</v>
      </c>
      <c r="D2668" s="229">
        <v>21.5</v>
      </c>
      <c r="E2668" s="229">
        <v>25.0</v>
      </c>
      <c r="F2668" s="230">
        <v>3.0</v>
      </c>
      <c r="G2668" s="232"/>
    </row>
    <row r="2669">
      <c r="A2669" s="2"/>
      <c r="B2669" s="168" t="s">
        <v>245</v>
      </c>
      <c r="C2669" s="168" t="s">
        <v>2930</v>
      </c>
      <c r="D2669" s="229">
        <v>29.5</v>
      </c>
      <c r="E2669" s="229">
        <v>33.0</v>
      </c>
      <c r="F2669" s="230">
        <v>3.0</v>
      </c>
      <c r="G2669" s="232"/>
    </row>
    <row r="2670">
      <c r="A2670" s="2"/>
      <c r="B2670" s="168" t="s">
        <v>375</v>
      </c>
      <c r="C2670" s="168" t="s">
        <v>2931</v>
      </c>
      <c r="D2670" s="229">
        <v>26.5</v>
      </c>
      <c r="E2670" s="229">
        <v>30.0</v>
      </c>
      <c r="F2670" s="230">
        <v>3.0</v>
      </c>
      <c r="G2670" s="232"/>
    </row>
    <row r="2671">
      <c r="A2671" s="2"/>
      <c r="B2671" s="168" t="s">
        <v>302</v>
      </c>
      <c r="C2671" s="168" t="s">
        <v>2932</v>
      </c>
      <c r="D2671" s="229">
        <v>34.5</v>
      </c>
      <c r="E2671" s="229">
        <v>38.0</v>
      </c>
      <c r="F2671" s="230">
        <v>3.0</v>
      </c>
      <c r="G2671" s="232"/>
    </row>
    <row r="2672">
      <c r="A2672" s="2"/>
      <c r="B2672" s="168" t="s">
        <v>217</v>
      </c>
      <c r="C2672" s="168" t="s">
        <v>2933</v>
      </c>
      <c r="D2672" s="229">
        <v>27.5</v>
      </c>
      <c r="E2672" s="229">
        <v>31.0</v>
      </c>
      <c r="F2672" s="230">
        <v>3.0</v>
      </c>
      <c r="G2672" s="232"/>
    </row>
    <row r="2673">
      <c r="A2673" s="2"/>
      <c r="B2673" s="168" t="s">
        <v>239</v>
      </c>
      <c r="C2673" s="168" t="s">
        <v>2934</v>
      </c>
      <c r="D2673" s="229">
        <v>29.5</v>
      </c>
      <c r="E2673" s="229">
        <v>33.0</v>
      </c>
      <c r="F2673" s="230">
        <v>3.0</v>
      </c>
      <c r="G2673" s="232"/>
    </row>
    <row r="2674">
      <c r="A2674" s="2"/>
      <c r="B2674" s="168" t="s">
        <v>269</v>
      </c>
      <c r="C2674" s="168" t="s">
        <v>2935</v>
      </c>
      <c r="D2674" s="229">
        <v>26.5</v>
      </c>
      <c r="E2674" s="229">
        <v>30.0</v>
      </c>
      <c r="F2674" s="230">
        <v>3.0</v>
      </c>
      <c r="G2674" s="232"/>
    </row>
    <row r="2675">
      <c r="A2675" s="2"/>
      <c r="B2675" s="168" t="s">
        <v>337</v>
      </c>
      <c r="C2675" s="168" t="s">
        <v>2936</v>
      </c>
      <c r="D2675" s="229">
        <v>28.5</v>
      </c>
      <c r="E2675" s="229">
        <v>32.0</v>
      </c>
      <c r="F2675" s="230">
        <v>3.0</v>
      </c>
      <c r="G2675" s="232"/>
    </row>
    <row r="2676">
      <c r="A2676" s="2"/>
      <c r="B2676" s="168" t="s">
        <v>269</v>
      </c>
      <c r="C2676" s="168" t="s">
        <v>2937</v>
      </c>
      <c r="D2676" s="229">
        <v>26.5</v>
      </c>
      <c r="E2676" s="229">
        <v>30.0</v>
      </c>
      <c r="F2676" s="230">
        <v>3.0</v>
      </c>
      <c r="G2676" s="232"/>
    </row>
    <row r="2677">
      <c r="A2677" s="2"/>
      <c r="B2677" s="168" t="s">
        <v>269</v>
      </c>
      <c r="C2677" s="168" t="s">
        <v>2938</v>
      </c>
      <c r="D2677" s="229">
        <v>26.5</v>
      </c>
      <c r="E2677" s="229">
        <v>30.0</v>
      </c>
      <c r="F2677" s="230">
        <v>3.0</v>
      </c>
      <c r="G2677" s="232"/>
    </row>
    <row r="2678">
      <c r="A2678" s="2"/>
      <c r="B2678" s="168" t="s">
        <v>255</v>
      </c>
      <c r="C2678" s="168" t="s">
        <v>2939</v>
      </c>
      <c r="D2678" s="229">
        <v>30.0</v>
      </c>
      <c r="E2678" s="229">
        <v>33.5</v>
      </c>
      <c r="F2678" s="230">
        <v>3.0</v>
      </c>
      <c r="G2678" s="232"/>
    </row>
    <row r="2679">
      <c r="A2679" s="2"/>
      <c r="B2679" s="168" t="s">
        <v>239</v>
      </c>
      <c r="C2679" s="168" t="s">
        <v>2940</v>
      </c>
      <c r="D2679" s="229">
        <v>29.5</v>
      </c>
      <c r="E2679" s="229">
        <v>33.0</v>
      </c>
      <c r="F2679" s="230">
        <v>3.0</v>
      </c>
      <c r="G2679" s="232"/>
    </row>
    <row r="2680">
      <c r="A2680" s="2"/>
      <c r="B2680" s="168" t="s">
        <v>337</v>
      </c>
      <c r="C2680" s="168" t="s">
        <v>2941</v>
      </c>
      <c r="D2680" s="229">
        <v>28.5</v>
      </c>
      <c r="E2680" s="229">
        <v>32.0</v>
      </c>
      <c r="F2680" s="230">
        <v>3.0</v>
      </c>
      <c r="G2680" s="232"/>
    </row>
    <row r="2681">
      <c r="A2681" s="2"/>
      <c r="B2681" s="168" t="s">
        <v>318</v>
      </c>
      <c r="C2681" s="168" t="s">
        <v>2942</v>
      </c>
      <c r="D2681" s="229">
        <v>25.5</v>
      </c>
      <c r="E2681" s="229">
        <v>29.0</v>
      </c>
      <c r="F2681" s="230">
        <v>3.0</v>
      </c>
      <c r="G2681" s="232"/>
    </row>
    <row r="2682">
      <c r="A2682" s="2"/>
      <c r="B2682" s="168" t="s">
        <v>215</v>
      </c>
      <c r="C2682" s="168" t="s">
        <v>2943</v>
      </c>
      <c r="D2682" s="229">
        <v>27.5</v>
      </c>
      <c r="E2682" s="229">
        <v>31.0</v>
      </c>
      <c r="F2682" s="230">
        <v>3.0</v>
      </c>
      <c r="G2682" s="232"/>
    </row>
    <row r="2683">
      <c r="A2683" s="2"/>
      <c r="B2683" s="168" t="s">
        <v>232</v>
      </c>
      <c r="C2683" s="168" t="s">
        <v>2944</v>
      </c>
      <c r="D2683" s="229">
        <v>25.5</v>
      </c>
      <c r="E2683" s="229">
        <v>29.0</v>
      </c>
      <c r="F2683" s="230">
        <v>3.0</v>
      </c>
      <c r="G2683" s="232"/>
    </row>
    <row r="2684">
      <c r="A2684" s="2"/>
      <c r="B2684" s="168" t="s">
        <v>232</v>
      </c>
      <c r="C2684" s="168" t="s">
        <v>2945</v>
      </c>
      <c r="D2684" s="229">
        <v>27.5</v>
      </c>
      <c r="E2684" s="229">
        <v>31.0</v>
      </c>
      <c r="F2684" s="230">
        <v>3.0</v>
      </c>
      <c r="G2684" s="232"/>
    </row>
    <row r="2685">
      <c r="A2685" s="2"/>
      <c r="B2685" s="168" t="s">
        <v>296</v>
      </c>
      <c r="C2685" s="168" t="s">
        <v>2946</v>
      </c>
      <c r="D2685" s="229">
        <v>26.5</v>
      </c>
      <c r="E2685" s="229">
        <v>30.0</v>
      </c>
      <c r="F2685" s="230">
        <v>3.0</v>
      </c>
      <c r="G2685" s="232"/>
    </row>
    <row r="2686">
      <c r="A2686" s="2"/>
      <c r="B2686" s="168" t="s">
        <v>430</v>
      </c>
      <c r="C2686" s="168" t="s">
        <v>2947</v>
      </c>
      <c r="D2686" s="229">
        <v>34.5</v>
      </c>
      <c r="E2686" s="229">
        <v>38.0</v>
      </c>
      <c r="F2686" s="230">
        <v>3.0</v>
      </c>
      <c r="G2686" s="232"/>
    </row>
    <row r="2687">
      <c r="A2687" s="2"/>
      <c r="B2687" s="168" t="s">
        <v>217</v>
      </c>
      <c r="C2687" s="168" t="s">
        <v>2948</v>
      </c>
      <c r="D2687" s="229">
        <v>27.5</v>
      </c>
      <c r="E2687" s="229">
        <v>31.0</v>
      </c>
      <c r="F2687" s="230">
        <v>3.0</v>
      </c>
      <c r="G2687" s="232"/>
    </row>
    <row r="2688">
      <c r="A2688" s="2"/>
      <c r="B2688" s="168" t="s">
        <v>271</v>
      </c>
      <c r="C2688" s="168" t="s">
        <v>2949</v>
      </c>
      <c r="D2688" s="229">
        <v>31.0</v>
      </c>
      <c r="E2688" s="229">
        <v>34.5</v>
      </c>
      <c r="F2688" s="230">
        <v>3.0</v>
      </c>
      <c r="G2688" s="232"/>
    </row>
    <row r="2689">
      <c r="A2689" s="2"/>
      <c r="B2689" s="168" t="s">
        <v>223</v>
      </c>
      <c r="C2689" s="168" t="s">
        <v>2950</v>
      </c>
      <c r="D2689" s="229">
        <v>26.5</v>
      </c>
      <c r="E2689" s="229">
        <v>30.0</v>
      </c>
      <c r="F2689" s="230">
        <v>3.0</v>
      </c>
      <c r="G2689" s="232"/>
    </row>
    <row r="2690">
      <c r="A2690" s="2"/>
      <c r="B2690" s="168" t="s">
        <v>368</v>
      </c>
      <c r="C2690" s="168" t="s">
        <v>2951</v>
      </c>
      <c r="D2690" s="229">
        <v>32.5</v>
      </c>
      <c r="E2690" s="229">
        <v>36.0</v>
      </c>
      <c r="F2690" s="230">
        <v>3.0</v>
      </c>
      <c r="G2690" s="232"/>
    </row>
    <row r="2691">
      <c r="A2691" s="2"/>
      <c r="B2691" s="168" t="s">
        <v>328</v>
      </c>
      <c r="C2691" s="168" t="s">
        <v>2952</v>
      </c>
      <c r="D2691" s="229">
        <v>34.5</v>
      </c>
      <c r="E2691" s="229">
        <v>38.0</v>
      </c>
      <c r="F2691" s="230">
        <v>3.0</v>
      </c>
      <c r="G2691" s="232"/>
    </row>
    <row r="2692">
      <c r="A2692" s="2"/>
      <c r="B2692" s="168" t="s">
        <v>290</v>
      </c>
      <c r="C2692" s="168" t="s">
        <v>2953</v>
      </c>
      <c r="D2692" s="229">
        <v>29.5</v>
      </c>
      <c r="E2692" s="229">
        <v>33.0</v>
      </c>
      <c r="F2692" s="230">
        <v>3.0</v>
      </c>
      <c r="G2692" s="232"/>
    </row>
    <row r="2693">
      <c r="A2693" s="2"/>
      <c r="B2693" s="168" t="s">
        <v>215</v>
      </c>
      <c r="C2693" s="168" t="s">
        <v>2954</v>
      </c>
      <c r="D2693" s="229">
        <v>27.5</v>
      </c>
      <c r="E2693" s="229">
        <v>31.0</v>
      </c>
      <c r="F2693" s="230">
        <v>3.0</v>
      </c>
      <c r="G2693" s="232"/>
    </row>
    <row r="2694">
      <c r="A2694" s="2"/>
      <c r="B2694" s="168" t="s">
        <v>234</v>
      </c>
      <c r="C2694" s="168" t="s">
        <v>2955</v>
      </c>
      <c r="D2694" s="229">
        <v>24.5</v>
      </c>
      <c r="E2694" s="229">
        <v>28.0</v>
      </c>
      <c r="F2694" s="230">
        <v>3.0</v>
      </c>
      <c r="G2694" s="232"/>
    </row>
    <row r="2695">
      <c r="A2695" s="2"/>
      <c r="B2695" s="168" t="s">
        <v>330</v>
      </c>
      <c r="C2695" s="168" t="s">
        <v>2956</v>
      </c>
      <c r="D2695" s="229">
        <v>24.5</v>
      </c>
      <c r="E2695" s="229">
        <v>28.0</v>
      </c>
      <c r="F2695" s="230">
        <v>3.0</v>
      </c>
      <c r="G2695" s="232"/>
    </row>
    <row r="2696">
      <c r="A2696" s="2"/>
      <c r="B2696" s="168" t="s">
        <v>223</v>
      </c>
      <c r="C2696" s="168" t="s">
        <v>2957</v>
      </c>
      <c r="D2696" s="229">
        <v>21.5</v>
      </c>
      <c r="E2696" s="229">
        <v>25.0</v>
      </c>
      <c r="F2696" s="230">
        <v>3.0</v>
      </c>
      <c r="G2696" s="232"/>
    </row>
    <row r="2697">
      <c r="A2697" s="2"/>
      <c r="B2697" s="168" t="s">
        <v>269</v>
      </c>
      <c r="C2697" s="168" t="s">
        <v>2958</v>
      </c>
      <c r="D2697" s="229">
        <v>26.5</v>
      </c>
      <c r="E2697" s="229">
        <v>30.0</v>
      </c>
      <c r="F2697" s="230">
        <v>3.0</v>
      </c>
      <c r="G2697" s="232"/>
    </row>
    <row r="2698">
      <c r="A2698" s="2"/>
      <c r="B2698" s="168" t="s">
        <v>413</v>
      </c>
      <c r="C2698" s="168" t="s">
        <v>2959</v>
      </c>
      <c r="D2698" s="229">
        <v>29.5</v>
      </c>
      <c r="E2698" s="229">
        <v>33.0</v>
      </c>
      <c r="F2698" s="230">
        <v>3.0</v>
      </c>
      <c r="G2698" s="232"/>
    </row>
    <row r="2699">
      <c r="A2699" s="2"/>
      <c r="B2699" s="168" t="s">
        <v>490</v>
      </c>
      <c r="C2699" s="168" t="s">
        <v>2960</v>
      </c>
      <c r="D2699" s="229">
        <v>34.5</v>
      </c>
      <c r="E2699" s="229">
        <v>38.0</v>
      </c>
      <c r="F2699" s="230">
        <v>3.0</v>
      </c>
      <c r="G2699" s="232"/>
    </row>
    <row r="2700">
      <c r="A2700" s="2"/>
      <c r="B2700" s="168" t="s">
        <v>381</v>
      </c>
      <c r="C2700" s="168" t="s">
        <v>2961</v>
      </c>
      <c r="D2700" s="229">
        <v>28.5</v>
      </c>
      <c r="E2700" s="229">
        <v>32.0</v>
      </c>
      <c r="F2700" s="230">
        <v>3.0</v>
      </c>
      <c r="G2700" s="232"/>
    </row>
    <row r="2701">
      <c r="A2701" s="2"/>
      <c r="B2701" s="168" t="s">
        <v>217</v>
      </c>
      <c r="C2701" s="168" t="s">
        <v>2962</v>
      </c>
      <c r="D2701" s="229">
        <v>27.5</v>
      </c>
      <c r="E2701" s="229">
        <v>31.0</v>
      </c>
      <c r="F2701" s="230">
        <v>3.0</v>
      </c>
      <c r="G2701" s="232"/>
    </row>
    <row r="2702">
      <c r="A2702" s="2"/>
      <c r="B2702" s="168" t="s">
        <v>217</v>
      </c>
      <c r="C2702" s="168" t="s">
        <v>2963</v>
      </c>
      <c r="D2702" s="229">
        <v>27.5</v>
      </c>
      <c r="E2702" s="229">
        <v>31.0</v>
      </c>
      <c r="F2702" s="230">
        <v>3.0</v>
      </c>
      <c r="G2702" s="232"/>
    </row>
    <row r="2703">
      <c r="A2703" s="2"/>
      <c r="B2703" s="168" t="s">
        <v>288</v>
      </c>
      <c r="C2703" s="168" t="s">
        <v>2964</v>
      </c>
      <c r="D2703" s="229">
        <v>21.5</v>
      </c>
      <c r="E2703" s="229">
        <v>25.0</v>
      </c>
      <c r="F2703" s="230">
        <v>3.0</v>
      </c>
      <c r="G2703" s="232"/>
    </row>
    <row r="2704">
      <c r="A2704" s="2"/>
      <c r="B2704" s="168" t="s">
        <v>215</v>
      </c>
      <c r="C2704" s="168" t="s">
        <v>2965</v>
      </c>
      <c r="D2704" s="229">
        <v>27.5</v>
      </c>
      <c r="E2704" s="229">
        <v>31.0</v>
      </c>
      <c r="F2704" s="230">
        <v>3.0</v>
      </c>
      <c r="G2704" s="232"/>
    </row>
    <row r="2705">
      <c r="A2705" s="2"/>
      <c r="B2705" s="168" t="s">
        <v>260</v>
      </c>
      <c r="C2705" s="168" t="s">
        <v>2966</v>
      </c>
      <c r="D2705" s="229">
        <v>28.5</v>
      </c>
      <c r="E2705" s="229">
        <v>32.0</v>
      </c>
      <c r="F2705" s="230">
        <v>3.0</v>
      </c>
      <c r="G2705" s="232"/>
    </row>
    <row r="2706">
      <c r="A2706" s="2"/>
      <c r="B2706" s="168" t="s">
        <v>273</v>
      </c>
      <c r="C2706" s="168" t="s">
        <v>2967</v>
      </c>
      <c r="D2706" s="229">
        <v>29.5</v>
      </c>
      <c r="E2706" s="229">
        <v>33.0</v>
      </c>
      <c r="F2706" s="230">
        <v>3.0</v>
      </c>
      <c r="G2706" s="232"/>
    </row>
    <row r="2707">
      <c r="A2707" s="2"/>
      <c r="B2707" s="168" t="s">
        <v>288</v>
      </c>
      <c r="C2707" s="168" t="s">
        <v>2968</v>
      </c>
      <c r="D2707" s="229">
        <v>21.5</v>
      </c>
      <c r="E2707" s="229">
        <v>25.0</v>
      </c>
      <c r="F2707" s="230">
        <v>3.0</v>
      </c>
      <c r="G2707" s="232"/>
    </row>
    <row r="2708">
      <c r="A2708" s="2"/>
      <c r="B2708" s="168" t="s">
        <v>232</v>
      </c>
      <c r="C2708" s="168" t="s">
        <v>2969</v>
      </c>
      <c r="D2708" s="229">
        <v>31.5</v>
      </c>
      <c r="E2708" s="229">
        <v>35.0</v>
      </c>
      <c r="F2708" s="230">
        <v>3.0</v>
      </c>
      <c r="G2708" s="232"/>
    </row>
    <row r="2709">
      <c r="A2709" s="2"/>
      <c r="B2709" s="168" t="s">
        <v>288</v>
      </c>
      <c r="C2709" s="168" t="s">
        <v>2970</v>
      </c>
      <c r="D2709" s="229">
        <v>21.5</v>
      </c>
      <c r="E2709" s="229">
        <v>25.0</v>
      </c>
      <c r="F2709" s="230">
        <v>3.0</v>
      </c>
      <c r="G2709" s="232"/>
    </row>
    <row r="2710">
      <c r="A2710" s="2"/>
      <c r="B2710" s="168" t="s">
        <v>241</v>
      </c>
      <c r="C2710" s="168" t="s">
        <v>2971</v>
      </c>
      <c r="D2710" s="229">
        <v>32.5</v>
      </c>
      <c r="E2710" s="229">
        <v>36.0</v>
      </c>
      <c r="F2710" s="230">
        <v>3.0</v>
      </c>
      <c r="G2710" s="232"/>
    </row>
    <row r="2711">
      <c r="A2711" s="2"/>
      <c r="B2711" s="168" t="s">
        <v>243</v>
      </c>
      <c r="C2711" s="168" t="s">
        <v>2972</v>
      </c>
      <c r="D2711" s="229">
        <v>29.5</v>
      </c>
      <c r="E2711" s="229">
        <v>33.0</v>
      </c>
      <c r="F2711" s="230">
        <v>3.0</v>
      </c>
      <c r="G2711" s="232"/>
    </row>
    <row r="2712">
      <c r="A2712" s="2"/>
      <c r="B2712" s="168" t="s">
        <v>254</v>
      </c>
      <c r="C2712" s="168" t="s">
        <v>2973</v>
      </c>
      <c r="D2712" s="229">
        <v>26.5</v>
      </c>
      <c r="E2712" s="229">
        <v>30.0</v>
      </c>
      <c r="F2712" s="230">
        <v>3.0</v>
      </c>
      <c r="G2712" s="232"/>
    </row>
    <row r="2713">
      <c r="A2713" s="2"/>
      <c r="B2713" s="168" t="s">
        <v>574</v>
      </c>
      <c r="C2713" s="168" t="s">
        <v>2974</v>
      </c>
      <c r="D2713" s="229">
        <v>34.5</v>
      </c>
      <c r="E2713" s="229">
        <v>38.0</v>
      </c>
      <c r="F2713" s="230">
        <v>3.0</v>
      </c>
      <c r="G2713" s="232"/>
    </row>
    <row r="2714">
      <c r="A2714" s="2"/>
      <c r="B2714" s="168" t="s">
        <v>217</v>
      </c>
      <c r="C2714" s="168" t="s">
        <v>2975</v>
      </c>
      <c r="D2714" s="229">
        <v>27.5</v>
      </c>
      <c r="E2714" s="229">
        <v>31.0</v>
      </c>
      <c r="F2714" s="230">
        <v>3.0</v>
      </c>
      <c r="G2714" s="232"/>
    </row>
    <row r="2715">
      <c r="A2715" s="2"/>
      <c r="B2715" s="168" t="s">
        <v>245</v>
      </c>
      <c r="C2715" s="168" t="s">
        <v>2976</v>
      </c>
      <c r="D2715" s="229">
        <v>29.5</v>
      </c>
      <c r="E2715" s="229">
        <v>33.0</v>
      </c>
      <c r="F2715" s="230">
        <v>3.0</v>
      </c>
      <c r="G2715" s="232"/>
    </row>
    <row r="2716">
      <c r="A2716" s="2"/>
      <c r="B2716" s="168" t="s">
        <v>232</v>
      </c>
      <c r="C2716" s="168" t="s">
        <v>2977</v>
      </c>
      <c r="D2716" s="229">
        <v>31.5</v>
      </c>
      <c r="E2716" s="229">
        <v>35.0</v>
      </c>
      <c r="F2716" s="230">
        <v>3.0</v>
      </c>
      <c r="G2716" s="232"/>
    </row>
    <row r="2717">
      <c r="A2717" s="2"/>
      <c r="B2717" s="168" t="s">
        <v>232</v>
      </c>
      <c r="C2717" s="168" t="s">
        <v>2978</v>
      </c>
      <c r="D2717" s="229">
        <v>31.5</v>
      </c>
      <c r="E2717" s="229">
        <v>35.0</v>
      </c>
      <c r="F2717" s="230">
        <v>3.0</v>
      </c>
      <c r="G2717" s="232"/>
    </row>
    <row r="2718">
      <c r="A2718" s="2"/>
      <c r="B2718" s="168" t="s">
        <v>300</v>
      </c>
      <c r="C2718" s="168" t="s">
        <v>2979</v>
      </c>
      <c r="D2718" s="229">
        <v>28.5</v>
      </c>
      <c r="E2718" s="229">
        <v>32.0</v>
      </c>
      <c r="F2718" s="230">
        <v>3.0</v>
      </c>
      <c r="G2718" s="232"/>
    </row>
    <row r="2719">
      <c r="A2719" s="2"/>
      <c r="B2719" s="168" t="s">
        <v>221</v>
      </c>
      <c r="C2719" s="168" t="s">
        <v>2980</v>
      </c>
      <c r="D2719" s="229">
        <v>27.5</v>
      </c>
      <c r="E2719" s="229">
        <v>31.0</v>
      </c>
      <c r="F2719" s="230">
        <v>3.0</v>
      </c>
      <c r="G2719" s="232"/>
    </row>
    <row r="2720">
      <c r="A2720" s="2"/>
      <c r="B2720" s="168" t="s">
        <v>215</v>
      </c>
      <c r="C2720" s="168" t="s">
        <v>2981</v>
      </c>
      <c r="D2720" s="229">
        <v>27.5</v>
      </c>
      <c r="E2720" s="229">
        <v>31.0</v>
      </c>
      <c r="F2720" s="230">
        <v>3.0</v>
      </c>
      <c r="G2720" s="232"/>
    </row>
    <row r="2721">
      <c r="A2721" s="2"/>
      <c r="B2721" s="168" t="s">
        <v>255</v>
      </c>
      <c r="C2721" s="168" t="s">
        <v>2982</v>
      </c>
      <c r="D2721" s="229">
        <v>31.5</v>
      </c>
      <c r="E2721" s="229">
        <v>35.0</v>
      </c>
      <c r="F2721" s="230">
        <v>3.0</v>
      </c>
      <c r="G2721" s="232"/>
    </row>
    <row r="2722">
      <c r="A2722" s="2"/>
      <c r="B2722" s="168" t="s">
        <v>269</v>
      </c>
      <c r="C2722" s="168" t="s">
        <v>2983</v>
      </c>
      <c r="D2722" s="229">
        <v>26.5</v>
      </c>
      <c r="E2722" s="229">
        <v>30.0</v>
      </c>
      <c r="F2722" s="230">
        <v>3.0</v>
      </c>
      <c r="G2722" s="232"/>
    </row>
    <row r="2723">
      <c r="A2723" s="2"/>
      <c r="B2723" s="168" t="s">
        <v>215</v>
      </c>
      <c r="C2723" s="168" t="s">
        <v>2984</v>
      </c>
      <c r="D2723" s="229">
        <v>29.5</v>
      </c>
      <c r="E2723" s="229">
        <v>33.0</v>
      </c>
      <c r="F2723" s="230">
        <v>3.0</v>
      </c>
      <c r="G2723" s="232"/>
    </row>
    <row r="2724">
      <c r="A2724" s="2"/>
      <c r="B2724" s="168" t="s">
        <v>243</v>
      </c>
      <c r="C2724" s="168" t="s">
        <v>2985</v>
      </c>
      <c r="D2724" s="229">
        <v>29.5</v>
      </c>
      <c r="E2724" s="229">
        <v>33.0</v>
      </c>
      <c r="F2724" s="230">
        <v>3.0</v>
      </c>
      <c r="G2724" s="232"/>
    </row>
    <row r="2725">
      <c r="A2725" s="2"/>
      <c r="B2725" s="168" t="s">
        <v>269</v>
      </c>
      <c r="C2725" s="168" t="s">
        <v>2986</v>
      </c>
      <c r="D2725" s="229">
        <v>26.5</v>
      </c>
      <c r="E2725" s="229">
        <v>30.0</v>
      </c>
      <c r="F2725" s="230">
        <v>3.0</v>
      </c>
      <c r="G2725" s="232"/>
    </row>
    <row r="2726">
      <c r="A2726" s="2"/>
      <c r="B2726" s="168" t="s">
        <v>223</v>
      </c>
      <c r="C2726" s="168" t="s">
        <v>2987</v>
      </c>
      <c r="D2726" s="229">
        <v>26.5</v>
      </c>
      <c r="E2726" s="229">
        <v>30.0</v>
      </c>
      <c r="F2726" s="230">
        <v>3.0</v>
      </c>
      <c r="G2726" s="232"/>
    </row>
    <row r="2727">
      <c r="A2727" s="2"/>
      <c r="B2727" s="168" t="s">
        <v>257</v>
      </c>
      <c r="C2727" s="168" t="s">
        <v>2988</v>
      </c>
      <c r="D2727" s="229">
        <v>28.5</v>
      </c>
      <c r="E2727" s="229">
        <v>32.0</v>
      </c>
      <c r="F2727" s="230">
        <v>3.0</v>
      </c>
      <c r="G2727" s="232"/>
    </row>
    <row r="2728">
      <c r="A2728" s="2"/>
      <c r="B2728" s="168" t="s">
        <v>223</v>
      </c>
      <c r="C2728" s="168" t="s">
        <v>2989</v>
      </c>
      <c r="D2728" s="229">
        <v>26.5</v>
      </c>
      <c r="E2728" s="229">
        <v>30.0</v>
      </c>
      <c r="F2728" s="230">
        <v>3.0</v>
      </c>
      <c r="G2728" s="232"/>
    </row>
    <row r="2729">
      <c r="A2729" s="2"/>
      <c r="B2729" s="168" t="s">
        <v>230</v>
      </c>
      <c r="C2729" s="168" t="s">
        <v>2990</v>
      </c>
      <c r="D2729" s="229">
        <v>16.5</v>
      </c>
      <c r="E2729" s="229">
        <v>20.0</v>
      </c>
      <c r="F2729" s="230">
        <v>3.0</v>
      </c>
      <c r="G2729" s="232"/>
    </row>
    <row r="2730">
      <c r="A2730" s="2"/>
      <c r="B2730" s="168" t="s">
        <v>221</v>
      </c>
      <c r="C2730" s="168" t="s">
        <v>2991</v>
      </c>
      <c r="D2730" s="229">
        <v>27.5</v>
      </c>
      <c r="E2730" s="229">
        <v>31.0</v>
      </c>
      <c r="F2730" s="230">
        <v>3.0</v>
      </c>
      <c r="G2730" s="232"/>
    </row>
    <row r="2731">
      <c r="A2731" s="2"/>
      <c r="B2731" s="168" t="s">
        <v>241</v>
      </c>
      <c r="C2731" s="168" t="s">
        <v>2992</v>
      </c>
      <c r="D2731" s="229">
        <v>32.5</v>
      </c>
      <c r="E2731" s="229">
        <v>36.0</v>
      </c>
      <c r="F2731" s="230">
        <v>3.0</v>
      </c>
      <c r="G2731" s="232"/>
    </row>
    <row r="2732">
      <c r="A2732" s="2"/>
      <c r="B2732" s="168" t="s">
        <v>280</v>
      </c>
      <c r="C2732" s="168" t="s">
        <v>2993</v>
      </c>
      <c r="D2732" s="229">
        <v>28.5</v>
      </c>
      <c r="E2732" s="229">
        <v>32.0</v>
      </c>
      <c r="F2732" s="230">
        <v>3.0</v>
      </c>
      <c r="G2732" s="232"/>
    </row>
    <row r="2733">
      <c r="A2733" s="2"/>
      <c r="B2733" s="168" t="s">
        <v>332</v>
      </c>
      <c r="C2733" s="168" t="s">
        <v>2994</v>
      </c>
      <c r="D2733" s="229">
        <v>28.5</v>
      </c>
      <c r="E2733" s="229">
        <v>32.0</v>
      </c>
      <c r="F2733" s="230">
        <v>3.0</v>
      </c>
      <c r="G2733" s="232"/>
    </row>
    <row r="2734">
      <c r="A2734" s="2"/>
      <c r="B2734" s="168" t="s">
        <v>413</v>
      </c>
      <c r="C2734" s="168" t="s">
        <v>2995</v>
      </c>
      <c r="D2734" s="229">
        <v>29.5</v>
      </c>
      <c r="E2734" s="229">
        <v>33.0</v>
      </c>
      <c r="F2734" s="230">
        <v>3.0</v>
      </c>
      <c r="G2734" s="232"/>
    </row>
    <row r="2735">
      <c r="A2735" s="2"/>
      <c r="B2735" s="168" t="s">
        <v>255</v>
      </c>
      <c r="C2735" s="168" t="s">
        <v>2996</v>
      </c>
      <c r="D2735" s="229">
        <v>31.5</v>
      </c>
      <c r="E2735" s="229">
        <v>35.0</v>
      </c>
      <c r="F2735" s="230">
        <v>3.0</v>
      </c>
      <c r="G2735" s="232"/>
    </row>
    <row r="2736">
      <c r="A2736" s="2"/>
      <c r="B2736" s="168" t="s">
        <v>215</v>
      </c>
      <c r="C2736" s="168" t="s">
        <v>2997</v>
      </c>
      <c r="D2736" s="229">
        <v>28.5</v>
      </c>
      <c r="E2736" s="229">
        <v>32.0</v>
      </c>
      <c r="F2736" s="230">
        <v>3.0</v>
      </c>
      <c r="G2736" s="232"/>
    </row>
    <row r="2737">
      <c r="A2737" s="2"/>
      <c r="B2737" s="168" t="s">
        <v>255</v>
      </c>
      <c r="C2737" s="168" t="s">
        <v>2998</v>
      </c>
      <c r="D2737" s="229">
        <v>31.5</v>
      </c>
      <c r="E2737" s="229">
        <v>35.0</v>
      </c>
      <c r="F2737" s="230">
        <v>3.0</v>
      </c>
      <c r="G2737" s="232"/>
    </row>
    <row r="2738">
      <c r="A2738" s="2"/>
      <c r="B2738" s="168" t="s">
        <v>241</v>
      </c>
      <c r="C2738" s="168" t="s">
        <v>2999</v>
      </c>
      <c r="D2738" s="229">
        <v>32.5</v>
      </c>
      <c r="E2738" s="229">
        <v>36.0</v>
      </c>
      <c r="F2738" s="230">
        <v>3.0</v>
      </c>
      <c r="G2738" s="232"/>
    </row>
    <row r="2739">
      <c r="A2739" s="2"/>
      <c r="B2739" s="168" t="s">
        <v>269</v>
      </c>
      <c r="C2739" s="168" t="s">
        <v>3000</v>
      </c>
      <c r="D2739" s="229">
        <v>26.5</v>
      </c>
      <c r="E2739" s="229">
        <v>30.0</v>
      </c>
      <c r="F2739" s="230">
        <v>3.0</v>
      </c>
      <c r="G2739" s="232"/>
    </row>
    <row r="2740">
      <c r="A2740" s="2"/>
      <c r="B2740" s="168" t="s">
        <v>234</v>
      </c>
      <c r="C2740" s="168" t="s">
        <v>3001</v>
      </c>
      <c r="D2740" s="229">
        <v>24.5</v>
      </c>
      <c r="E2740" s="229">
        <v>28.0</v>
      </c>
      <c r="F2740" s="230">
        <v>3.0</v>
      </c>
      <c r="G2740" s="232"/>
    </row>
    <row r="2741">
      <c r="A2741" s="2"/>
      <c r="B2741" s="168" t="s">
        <v>285</v>
      </c>
      <c r="C2741" s="168" t="s">
        <v>3002</v>
      </c>
      <c r="D2741" s="229">
        <v>24.5</v>
      </c>
      <c r="E2741" s="229">
        <v>28.0</v>
      </c>
      <c r="F2741" s="230">
        <v>3.0</v>
      </c>
      <c r="G2741" s="232"/>
    </row>
    <row r="2742">
      <c r="A2742" s="2"/>
      <c r="B2742" s="168" t="s">
        <v>255</v>
      </c>
      <c r="C2742" s="168" t="s">
        <v>3003</v>
      </c>
      <c r="D2742" s="229">
        <v>26.5</v>
      </c>
      <c r="E2742" s="229">
        <v>30.0</v>
      </c>
      <c r="F2742" s="230">
        <v>3.0</v>
      </c>
      <c r="G2742" s="232"/>
    </row>
    <row r="2743">
      <c r="A2743" s="2"/>
      <c r="B2743" s="168" t="s">
        <v>241</v>
      </c>
      <c r="C2743" s="168" t="s">
        <v>3004</v>
      </c>
      <c r="D2743" s="229">
        <v>32.5</v>
      </c>
      <c r="E2743" s="229">
        <v>36.0</v>
      </c>
      <c r="F2743" s="230">
        <v>3.0</v>
      </c>
      <c r="G2743" s="232"/>
    </row>
    <row r="2744">
      <c r="A2744" s="2"/>
      <c r="B2744" s="168" t="s">
        <v>257</v>
      </c>
      <c r="C2744" s="168" t="s">
        <v>3005</v>
      </c>
      <c r="D2744" s="229">
        <v>28.5</v>
      </c>
      <c r="E2744" s="229">
        <v>32.0</v>
      </c>
      <c r="F2744" s="230">
        <v>3.0</v>
      </c>
      <c r="G2744" s="232"/>
    </row>
    <row r="2745">
      <c r="A2745" s="2"/>
      <c r="B2745" s="168" t="s">
        <v>345</v>
      </c>
      <c r="C2745" s="168" t="s">
        <v>3006</v>
      </c>
      <c r="D2745" s="229">
        <v>26.5</v>
      </c>
      <c r="E2745" s="229">
        <v>30.0</v>
      </c>
      <c r="F2745" s="230">
        <v>3.0</v>
      </c>
      <c r="G2745" s="232"/>
    </row>
    <row r="2746">
      <c r="A2746" s="2"/>
      <c r="B2746" s="168" t="s">
        <v>830</v>
      </c>
      <c r="C2746" s="168" t="s">
        <v>3007</v>
      </c>
      <c r="D2746" s="229">
        <v>24.5</v>
      </c>
      <c r="E2746" s="229">
        <v>28.0</v>
      </c>
      <c r="F2746" s="230">
        <v>3.0</v>
      </c>
      <c r="G2746" s="232"/>
    </row>
    <row r="2747">
      <c r="A2747" s="2"/>
      <c r="B2747" s="168" t="s">
        <v>239</v>
      </c>
      <c r="C2747" s="168" t="s">
        <v>3008</v>
      </c>
      <c r="D2747" s="229">
        <v>24.5</v>
      </c>
      <c r="E2747" s="229">
        <v>28.0</v>
      </c>
      <c r="F2747" s="230">
        <v>3.0</v>
      </c>
      <c r="G2747" s="232"/>
    </row>
    <row r="2748">
      <c r="A2748" s="2"/>
      <c r="B2748" s="168" t="s">
        <v>318</v>
      </c>
      <c r="C2748" s="168" t="s">
        <v>3009</v>
      </c>
      <c r="D2748" s="229">
        <v>25.5</v>
      </c>
      <c r="E2748" s="229">
        <v>29.0</v>
      </c>
      <c r="F2748" s="230">
        <v>3.0</v>
      </c>
      <c r="G2748" s="232"/>
    </row>
    <row r="2749">
      <c r="A2749" s="2"/>
      <c r="B2749" s="168" t="s">
        <v>217</v>
      </c>
      <c r="C2749" s="168" t="s">
        <v>3010</v>
      </c>
      <c r="D2749" s="229">
        <v>22.5</v>
      </c>
      <c r="E2749" s="229">
        <v>26.0</v>
      </c>
      <c r="F2749" s="230">
        <v>3.0</v>
      </c>
      <c r="G2749" s="232"/>
    </row>
    <row r="2750">
      <c r="A2750" s="2"/>
      <c r="B2750" s="168" t="s">
        <v>223</v>
      </c>
      <c r="C2750" s="168" t="s">
        <v>3011</v>
      </c>
      <c r="D2750" s="229">
        <v>26.5</v>
      </c>
      <c r="E2750" s="229">
        <v>30.0</v>
      </c>
      <c r="F2750" s="230">
        <v>3.0</v>
      </c>
      <c r="G2750" s="232"/>
    </row>
    <row r="2751">
      <c r="A2751" s="2"/>
      <c r="B2751" s="168" t="s">
        <v>245</v>
      </c>
      <c r="C2751" s="168" t="s">
        <v>3012</v>
      </c>
      <c r="D2751" s="229">
        <v>29.5</v>
      </c>
      <c r="E2751" s="229">
        <v>33.0</v>
      </c>
      <c r="F2751" s="230">
        <v>3.0</v>
      </c>
      <c r="G2751" s="232"/>
    </row>
    <row r="2752">
      <c r="A2752" s="2"/>
      <c r="B2752" s="168" t="s">
        <v>234</v>
      </c>
      <c r="C2752" s="168" t="s">
        <v>3013</v>
      </c>
      <c r="D2752" s="229">
        <v>29.5</v>
      </c>
      <c r="E2752" s="229">
        <v>33.0</v>
      </c>
      <c r="F2752" s="230">
        <v>3.0</v>
      </c>
      <c r="G2752" s="232"/>
    </row>
    <row r="2753">
      <c r="A2753" s="2"/>
      <c r="B2753" s="168" t="s">
        <v>269</v>
      </c>
      <c r="C2753" s="168" t="s">
        <v>3014</v>
      </c>
      <c r="D2753" s="229">
        <v>26.5</v>
      </c>
      <c r="E2753" s="229">
        <v>30.0</v>
      </c>
      <c r="F2753" s="230">
        <v>3.0</v>
      </c>
      <c r="G2753" s="232"/>
    </row>
    <row r="2754">
      <c r="A2754" s="2"/>
      <c r="B2754" s="168" t="s">
        <v>221</v>
      </c>
      <c r="C2754" s="168" t="s">
        <v>3015</v>
      </c>
      <c r="D2754" s="229">
        <v>27.5</v>
      </c>
      <c r="E2754" s="229">
        <v>31.0</v>
      </c>
      <c r="F2754" s="230">
        <v>3.0</v>
      </c>
      <c r="G2754" s="232"/>
    </row>
    <row r="2755">
      <c r="A2755" s="2"/>
      <c r="B2755" s="168" t="s">
        <v>345</v>
      </c>
      <c r="C2755" s="168" t="s">
        <v>3016</v>
      </c>
      <c r="D2755" s="229">
        <v>26.5</v>
      </c>
      <c r="E2755" s="229">
        <v>30.0</v>
      </c>
      <c r="F2755" s="230">
        <v>3.0</v>
      </c>
      <c r="G2755" s="232"/>
    </row>
    <row r="2756">
      <c r="A2756" s="2"/>
      <c r="B2756" s="168" t="s">
        <v>232</v>
      </c>
      <c r="C2756" s="168" t="s">
        <v>3017</v>
      </c>
      <c r="D2756" s="229">
        <v>27.5</v>
      </c>
      <c r="E2756" s="229">
        <v>31.0</v>
      </c>
      <c r="F2756" s="230">
        <v>3.0</v>
      </c>
      <c r="G2756" s="232"/>
    </row>
    <row r="2757">
      <c r="A2757" s="2"/>
      <c r="B2757" s="168" t="s">
        <v>230</v>
      </c>
      <c r="C2757" s="168" t="s">
        <v>3018</v>
      </c>
      <c r="D2757" s="229">
        <v>21.5</v>
      </c>
      <c r="E2757" s="229">
        <v>25.0</v>
      </c>
      <c r="F2757" s="230">
        <v>3.0</v>
      </c>
      <c r="G2757" s="232"/>
    </row>
    <row r="2758">
      <c r="A2758" s="2"/>
      <c r="B2758" s="168" t="s">
        <v>285</v>
      </c>
      <c r="C2758" s="168" t="s">
        <v>3019</v>
      </c>
      <c r="D2758" s="229">
        <v>24.5</v>
      </c>
      <c r="E2758" s="229">
        <v>28.0</v>
      </c>
      <c r="F2758" s="230">
        <v>3.0</v>
      </c>
      <c r="G2758" s="232"/>
    </row>
    <row r="2759">
      <c r="A2759" s="2"/>
      <c r="B2759" s="168" t="s">
        <v>241</v>
      </c>
      <c r="C2759" s="168" t="s">
        <v>3020</v>
      </c>
      <c r="D2759" s="229">
        <v>32.5</v>
      </c>
      <c r="E2759" s="229">
        <v>36.0</v>
      </c>
      <c r="F2759" s="230">
        <v>3.0</v>
      </c>
      <c r="G2759" s="232"/>
    </row>
    <row r="2760">
      <c r="A2760" s="2"/>
      <c r="B2760" s="168" t="s">
        <v>280</v>
      </c>
      <c r="C2760" s="168" t="s">
        <v>3021</v>
      </c>
      <c r="D2760" s="229">
        <v>34.5</v>
      </c>
      <c r="E2760" s="229">
        <v>38.0</v>
      </c>
      <c r="F2760" s="230">
        <v>3.0</v>
      </c>
      <c r="G2760" s="232"/>
    </row>
    <row r="2761">
      <c r="A2761" s="2"/>
      <c r="B2761" s="168" t="s">
        <v>386</v>
      </c>
      <c r="C2761" s="168" t="s">
        <v>3022</v>
      </c>
      <c r="D2761" s="229">
        <v>34.5</v>
      </c>
      <c r="E2761" s="229">
        <v>38.0</v>
      </c>
      <c r="F2761" s="230">
        <v>3.0</v>
      </c>
      <c r="G2761" s="232"/>
    </row>
    <row r="2762">
      <c r="A2762" s="2"/>
      <c r="B2762" s="168" t="s">
        <v>230</v>
      </c>
      <c r="C2762" s="168" t="s">
        <v>3023</v>
      </c>
      <c r="D2762" s="229">
        <v>16.5</v>
      </c>
      <c r="E2762" s="229">
        <v>20.0</v>
      </c>
      <c r="F2762" s="230">
        <v>3.0</v>
      </c>
      <c r="G2762" s="232"/>
    </row>
    <row r="2763">
      <c r="A2763" s="2"/>
      <c r="B2763" s="168" t="s">
        <v>234</v>
      </c>
      <c r="C2763" s="168" t="s">
        <v>3024</v>
      </c>
      <c r="D2763" s="229">
        <v>24.5</v>
      </c>
      <c r="E2763" s="229">
        <v>28.0</v>
      </c>
      <c r="F2763" s="230">
        <v>3.0</v>
      </c>
      <c r="G2763" s="232"/>
    </row>
    <row r="2764">
      <c r="A2764" s="2"/>
      <c r="B2764" s="168" t="s">
        <v>375</v>
      </c>
      <c r="C2764" s="168" t="s">
        <v>3025</v>
      </c>
      <c r="D2764" s="229">
        <v>26.5</v>
      </c>
      <c r="E2764" s="229">
        <v>30.0</v>
      </c>
      <c r="F2764" s="230">
        <v>3.0</v>
      </c>
      <c r="G2764" s="232"/>
    </row>
    <row r="2765">
      <c r="A2765" s="2"/>
      <c r="B2765" s="168" t="s">
        <v>332</v>
      </c>
      <c r="C2765" s="168" t="s">
        <v>3026</v>
      </c>
      <c r="D2765" s="229">
        <v>28.5</v>
      </c>
      <c r="E2765" s="229">
        <v>32.0</v>
      </c>
      <c r="F2765" s="230">
        <v>3.0</v>
      </c>
      <c r="G2765" s="232"/>
    </row>
    <row r="2766">
      <c r="A2766" s="2"/>
      <c r="B2766" s="168" t="s">
        <v>337</v>
      </c>
      <c r="C2766" s="168" t="s">
        <v>3027</v>
      </c>
      <c r="D2766" s="229">
        <v>28.5</v>
      </c>
      <c r="E2766" s="229">
        <v>32.0</v>
      </c>
      <c r="F2766" s="230">
        <v>3.0</v>
      </c>
      <c r="G2766" s="232"/>
    </row>
    <row r="2767">
      <c r="A2767" s="2"/>
      <c r="B2767" s="168" t="s">
        <v>223</v>
      </c>
      <c r="C2767" s="168" t="s">
        <v>3028</v>
      </c>
      <c r="D2767" s="229">
        <v>26.5</v>
      </c>
      <c r="E2767" s="229">
        <v>30.0</v>
      </c>
      <c r="F2767" s="230">
        <v>3.0</v>
      </c>
      <c r="G2767" s="232"/>
    </row>
    <row r="2768">
      <c r="A2768" s="2"/>
      <c r="B2768" s="168" t="s">
        <v>368</v>
      </c>
      <c r="C2768" s="168" t="s">
        <v>3029</v>
      </c>
      <c r="D2768" s="229">
        <v>32.5</v>
      </c>
      <c r="E2768" s="229">
        <v>36.0</v>
      </c>
      <c r="F2768" s="230">
        <v>3.0</v>
      </c>
      <c r="G2768" s="232"/>
    </row>
    <row r="2769">
      <c r="A2769" s="2"/>
      <c r="B2769" s="168" t="s">
        <v>230</v>
      </c>
      <c r="C2769" s="168" t="s">
        <v>3030</v>
      </c>
      <c r="D2769" s="229">
        <v>21.5</v>
      </c>
      <c r="E2769" s="229">
        <v>25.0</v>
      </c>
      <c r="F2769" s="230">
        <v>3.0</v>
      </c>
      <c r="G2769" s="232"/>
    </row>
    <row r="2770">
      <c r="A2770" s="2"/>
      <c r="B2770" s="168" t="s">
        <v>241</v>
      </c>
      <c r="C2770" s="168" t="s">
        <v>3031</v>
      </c>
      <c r="D2770" s="229">
        <v>32.5</v>
      </c>
      <c r="E2770" s="229">
        <v>36.0</v>
      </c>
      <c r="F2770" s="230">
        <v>3.0</v>
      </c>
      <c r="G2770" s="232"/>
    </row>
    <row r="2771">
      <c r="A2771" s="2"/>
      <c r="B2771" s="168" t="s">
        <v>290</v>
      </c>
      <c r="C2771" s="168" t="s">
        <v>3032</v>
      </c>
      <c r="D2771" s="229">
        <v>29.5</v>
      </c>
      <c r="E2771" s="229">
        <v>33.0</v>
      </c>
      <c r="F2771" s="230">
        <v>3.0</v>
      </c>
      <c r="G2771" s="232"/>
    </row>
    <row r="2772">
      <c r="A2772" s="2"/>
      <c r="B2772" s="168" t="s">
        <v>223</v>
      </c>
      <c r="C2772" s="168" t="s">
        <v>3033</v>
      </c>
      <c r="D2772" s="229">
        <v>26.5</v>
      </c>
      <c r="E2772" s="229">
        <v>30.0</v>
      </c>
      <c r="F2772" s="230">
        <v>3.0</v>
      </c>
      <c r="G2772" s="232"/>
    </row>
    <row r="2773">
      <c r="A2773" s="2"/>
      <c r="B2773" s="168" t="s">
        <v>337</v>
      </c>
      <c r="C2773" s="168" t="s">
        <v>3034</v>
      </c>
      <c r="D2773" s="229">
        <v>28.5</v>
      </c>
      <c r="E2773" s="229">
        <v>32.0</v>
      </c>
      <c r="F2773" s="230">
        <v>3.0</v>
      </c>
      <c r="G2773" s="232"/>
    </row>
    <row r="2774">
      <c r="A2774" s="2"/>
      <c r="B2774" s="168" t="s">
        <v>290</v>
      </c>
      <c r="C2774" s="168" t="s">
        <v>3035</v>
      </c>
      <c r="D2774" s="229">
        <v>29.5</v>
      </c>
      <c r="E2774" s="229">
        <v>33.0</v>
      </c>
      <c r="F2774" s="230">
        <v>3.0</v>
      </c>
      <c r="G2774" s="232"/>
    </row>
    <row r="2775">
      <c r="A2775" s="2"/>
      <c r="B2775" s="168" t="s">
        <v>381</v>
      </c>
      <c r="C2775" s="168" t="s">
        <v>3036</v>
      </c>
      <c r="D2775" s="229">
        <v>20.5</v>
      </c>
      <c r="E2775" s="229">
        <v>24.0</v>
      </c>
      <c r="F2775" s="230">
        <v>3.0</v>
      </c>
      <c r="G2775" s="232"/>
    </row>
    <row r="2776">
      <c r="A2776" s="2"/>
      <c r="B2776" s="168" t="s">
        <v>257</v>
      </c>
      <c r="C2776" s="168" t="s">
        <v>3037</v>
      </c>
      <c r="D2776" s="229">
        <v>28.5</v>
      </c>
      <c r="E2776" s="229">
        <v>32.0</v>
      </c>
      <c r="F2776" s="230">
        <v>3.0</v>
      </c>
      <c r="G2776" s="232"/>
    </row>
    <row r="2777">
      <c r="A2777" s="2"/>
      <c r="B2777" s="168" t="s">
        <v>413</v>
      </c>
      <c r="C2777" s="168" t="s">
        <v>3038</v>
      </c>
      <c r="D2777" s="229">
        <v>29.5</v>
      </c>
      <c r="E2777" s="229">
        <v>33.0</v>
      </c>
      <c r="F2777" s="230">
        <v>3.0</v>
      </c>
      <c r="G2777" s="232"/>
    </row>
    <row r="2778">
      <c r="A2778" s="2"/>
      <c r="B2778" s="168" t="s">
        <v>217</v>
      </c>
      <c r="C2778" s="168" t="s">
        <v>3039</v>
      </c>
      <c r="D2778" s="229">
        <v>27.5</v>
      </c>
      <c r="E2778" s="229">
        <v>31.0</v>
      </c>
      <c r="F2778" s="230">
        <v>3.0</v>
      </c>
      <c r="G2778" s="232"/>
    </row>
    <row r="2779">
      <c r="A2779" s="2"/>
      <c r="B2779" s="168" t="s">
        <v>377</v>
      </c>
      <c r="C2779" s="168" t="s">
        <v>3040</v>
      </c>
      <c r="D2779" s="229">
        <v>29.5</v>
      </c>
      <c r="E2779" s="229">
        <v>33.0</v>
      </c>
      <c r="F2779" s="230">
        <v>3.0</v>
      </c>
      <c r="G2779" s="232"/>
    </row>
    <row r="2780">
      <c r="A2780" s="2"/>
      <c r="B2780" s="168" t="s">
        <v>684</v>
      </c>
      <c r="C2780" s="168" t="s">
        <v>684</v>
      </c>
      <c r="D2780" s="229">
        <v>25.5</v>
      </c>
      <c r="E2780" s="229">
        <v>29.0</v>
      </c>
      <c r="F2780" s="230">
        <v>3.0</v>
      </c>
      <c r="G2780" s="232"/>
    </row>
    <row r="2781">
      <c r="A2781" s="2"/>
      <c r="B2781" s="168" t="s">
        <v>217</v>
      </c>
      <c r="C2781" s="168" t="s">
        <v>3041</v>
      </c>
      <c r="D2781" s="229">
        <v>27.0</v>
      </c>
      <c r="E2781" s="229">
        <v>30.5</v>
      </c>
      <c r="F2781" s="230">
        <v>3.0</v>
      </c>
      <c r="G2781" s="232"/>
    </row>
    <row r="2782">
      <c r="A2782" s="2"/>
      <c r="B2782" s="168" t="s">
        <v>337</v>
      </c>
      <c r="C2782" s="168" t="s">
        <v>3042</v>
      </c>
      <c r="D2782" s="229">
        <v>28.5</v>
      </c>
      <c r="E2782" s="229">
        <v>32.0</v>
      </c>
      <c r="F2782" s="230">
        <v>3.0</v>
      </c>
      <c r="G2782" s="232"/>
    </row>
    <row r="2783">
      <c r="A2783" s="2"/>
      <c r="B2783" s="168" t="s">
        <v>241</v>
      </c>
      <c r="C2783" s="168" t="s">
        <v>3043</v>
      </c>
      <c r="D2783" s="229">
        <v>27.5</v>
      </c>
      <c r="E2783" s="229">
        <v>31.0</v>
      </c>
      <c r="F2783" s="230">
        <v>3.0</v>
      </c>
      <c r="G2783" s="232"/>
    </row>
    <row r="2784">
      <c r="A2784" s="2"/>
      <c r="B2784" s="168" t="s">
        <v>255</v>
      </c>
      <c r="C2784" s="168" t="s">
        <v>3044</v>
      </c>
      <c r="D2784" s="229">
        <v>31.5</v>
      </c>
      <c r="E2784" s="229">
        <v>35.0</v>
      </c>
      <c r="F2784" s="230">
        <v>3.0</v>
      </c>
      <c r="G2784" s="232"/>
    </row>
    <row r="2785">
      <c r="A2785" s="2"/>
      <c r="B2785" s="168" t="s">
        <v>446</v>
      </c>
      <c r="C2785" s="168" t="s">
        <v>3045</v>
      </c>
      <c r="D2785" s="229">
        <v>4.5</v>
      </c>
      <c r="E2785" s="229">
        <v>4.5</v>
      </c>
      <c r="F2785" s="230">
        <v>3.0</v>
      </c>
      <c r="G2785" s="232"/>
    </row>
    <row r="2786">
      <c r="A2786" s="2"/>
      <c r="B2786" s="168" t="s">
        <v>251</v>
      </c>
      <c r="C2786" s="168" t="s">
        <v>3046</v>
      </c>
      <c r="D2786" s="229">
        <v>34.5</v>
      </c>
      <c r="E2786" s="229">
        <v>38.0</v>
      </c>
      <c r="F2786" s="230">
        <v>3.0</v>
      </c>
      <c r="G2786" s="232"/>
    </row>
    <row r="2787">
      <c r="A2787" s="2"/>
      <c r="B2787" s="168" t="s">
        <v>377</v>
      </c>
      <c r="C2787" s="168" t="s">
        <v>3047</v>
      </c>
      <c r="D2787" s="229">
        <v>29.5</v>
      </c>
      <c r="E2787" s="229">
        <v>33.0</v>
      </c>
      <c r="F2787" s="230">
        <v>3.0</v>
      </c>
      <c r="G2787" s="232"/>
    </row>
    <row r="2788">
      <c r="A2788" s="2"/>
      <c r="B2788" s="168" t="s">
        <v>232</v>
      </c>
      <c r="C2788" s="168" t="s">
        <v>3048</v>
      </c>
      <c r="D2788" s="229">
        <v>25.5</v>
      </c>
      <c r="E2788" s="229">
        <v>29.0</v>
      </c>
      <c r="F2788" s="230">
        <v>3.0</v>
      </c>
      <c r="G2788" s="232"/>
    </row>
    <row r="2789">
      <c r="A2789" s="2"/>
      <c r="B2789" s="168" t="s">
        <v>254</v>
      </c>
      <c r="C2789" s="168" t="s">
        <v>3049</v>
      </c>
      <c r="D2789" s="229">
        <v>26.5</v>
      </c>
      <c r="E2789" s="229">
        <v>30.0</v>
      </c>
      <c r="F2789" s="230">
        <v>3.0</v>
      </c>
      <c r="G2789" s="232"/>
    </row>
    <row r="2790">
      <c r="A2790" s="2"/>
      <c r="B2790" s="168" t="s">
        <v>245</v>
      </c>
      <c r="C2790" s="168" t="s">
        <v>3050</v>
      </c>
      <c r="D2790" s="229">
        <v>29.5</v>
      </c>
      <c r="E2790" s="229">
        <v>33.0</v>
      </c>
      <c r="F2790" s="230">
        <v>3.0</v>
      </c>
      <c r="G2790" s="232"/>
    </row>
    <row r="2791">
      <c r="A2791" s="2"/>
      <c r="B2791" s="168" t="s">
        <v>255</v>
      </c>
      <c r="C2791" s="168" t="s">
        <v>3051</v>
      </c>
      <c r="D2791" s="229">
        <v>31.5</v>
      </c>
      <c r="E2791" s="229">
        <v>35.0</v>
      </c>
      <c r="F2791" s="230">
        <v>3.0</v>
      </c>
      <c r="G2791" s="232"/>
    </row>
    <row r="2792">
      <c r="A2792" s="2"/>
      <c r="B2792" s="168" t="s">
        <v>245</v>
      </c>
      <c r="C2792" s="168" t="s">
        <v>3052</v>
      </c>
      <c r="D2792" s="229">
        <v>29.5</v>
      </c>
      <c r="E2792" s="229">
        <v>33.0</v>
      </c>
      <c r="F2792" s="230">
        <v>3.0</v>
      </c>
      <c r="G2792" s="232"/>
    </row>
    <row r="2793">
      <c r="A2793" s="2"/>
      <c r="B2793" s="168" t="s">
        <v>684</v>
      </c>
      <c r="C2793" s="168" t="s">
        <v>3053</v>
      </c>
      <c r="D2793" s="229">
        <v>25.5</v>
      </c>
      <c r="E2793" s="229">
        <v>29.0</v>
      </c>
      <c r="F2793" s="230">
        <v>3.0</v>
      </c>
      <c r="G2793" s="232"/>
    </row>
    <row r="2794">
      <c r="A2794" s="2"/>
      <c r="B2794" s="168" t="s">
        <v>288</v>
      </c>
      <c r="C2794" s="168" t="s">
        <v>3054</v>
      </c>
      <c r="D2794" s="229">
        <v>21.5</v>
      </c>
      <c r="E2794" s="229">
        <v>25.0</v>
      </c>
      <c r="F2794" s="230">
        <v>3.0</v>
      </c>
      <c r="G2794" s="232"/>
    </row>
    <row r="2795">
      <c r="A2795" s="2"/>
      <c r="B2795" s="168" t="s">
        <v>217</v>
      </c>
      <c r="C2795" s="168" t="s">
        <v>3055</v>
      </c>
      <c r="D2795" s="229">
        <v>27.5</v>
      </c>
      <c r="E2795" s="229">
        <v>31.0</v>
      </c>
      <c r="F2795" s="230">
        <v>3.0</v>
      </c>
      <c r="G2795" s="232"/>
    </row>
    <row r="2796">
      <c r="A2796" s="2"/>
      <c r="B2796" s="168" t="s">
        <v>223</v>
      </c>
      <c r="C2796" s="168" t="s">
        <v>3056</v>
      </c>
      <c r="D2796" s="229">
        <v>26.5</v>
      </c>
      <c r="E2796" s="229">
        <v>30.0</v>
      </c>
      <c r="F2796" s="230">
        <v>3.0</v>
      </c>
      <c r="G2796" s="232"/>
    </row>
    <row r="2797">
      <c r="A2797" s="2"/>
      <c r="B2797" s="168" t="s">
        <v>217</v>
      </c>
      <c r="C2797" s="168" t="s">
        <v>3057</v>
      </c>
      <c r="D2797" s="229">
        <v>27.5</v>
      </c>
      <c r="E2797" s="229">
        <v>31.0</v>
      </c>
      <c r="F2797" s="230">
        <v>3.0</v>
      </c>
      <c r="G2797" s="232"/>
    </row>
    <row r="2798">
      <c r="A2798" s="2"/>
      <c r="B2798" s="168" t="s">
        <v>255</v>
      </c>
      <c r="C2798" s="168" t="s">
        <v>3058</v>
      </c>
      <c r="D2798" s="229">
        <v>31.5</v>
      </c>
      <c r="E2798" s="229">
        <v>35.0</v>
      </c>
      <c r="F2798" s="230">
        <v>3.0</v>
      </c>
      <c r="G2798" s="232"/>
    </row>
    <row r="2799">
      <c r="A2799" s="2"/>
      <c r="B2799" s="168" t="s">
        <v>937</v>
      </c>
      <c r="C2799" s="168" t="s">
        <v>3059</v>
      </c>
      <c r="D2799" s="229">
        <v>21.5</v>
      </c>
      <c r="E2799" s="229">
        <v>25.0</v>
      </c>
      <c r="F2799" s="230">
        <v>3.0</v>
      </c>
      <c r="G2799" s="232"/>
    </row>
    <row r="2800">
      <c r="A2800" s="2"/>
      <c r="B2800" s="168" t="s">
        <v>221</v>
      </c>
      <c r="C2800" s="168" t="s">
        <v>3060</v>
      </c>
      <c r="D2800" s="229">
        <v>27.5</v>
      </c>
      <c r="E2800" s="229">
        <v>31.0</v>
      </c>
      <c r="F2800" s="230">
        <v>3.0</v>
      </c>
      <c r="G2800" s="232"/>
    </row>
    <row r="2801">
      <c r="A2801" s="2"/>
      <c r="B2801" s="168" t="s">
        <v>592</v>
      </c>
      <c r="C2801" s="168" t="s">
        <v>3061</v>
      </c>
      <c r="D2801" s="229">
        <v>34.5</v>
      </c>
      <c r="E2801" s="229">
        <v>38.0</v>
      </c>
      <c r="F2801" s="230">
        <v>3.0</v>
      </c>
      <c r="G2801" s="232"/>
    </row>
    <row r="2802">
      <c r="A2802" s="2"/>
      <c r="B2802" s="168" t="s">
        <v>288</v>
      </c>
      <c r="C2802" s="168" t="s">
        <v>3062</v>
      </c>
      <c r="D2802" s="229">
        <v>21.5</v>
      </c>
      <c r="E2802" s="229">
        <v>25.0</v>
      </c>
      <c r="F2802" s="230">
        <v>3.0</v>
      </c>
      <c r="G2802" s="232"/>
    </row>
    <row r="2803">
      <c r="A2803" s="2"/>
      <c r="B2803" s="168" t="s">
        <v>230</v>
      </c>
      <c r="C2803" s="168" t="s">
        <v>3063</v>
      </c>
      <c r="D2803" s="229">
        <v>21.5</v>
      </c>
      <c r="E2803" s="229">
        <v>25.0</v>
      </c>
      <c r="F2803" s="230">
        <v>3.0</v>
      </c>
      <c r="G2803" s="232"/>
    </row>
    <row r="2804">
      <c r="A2804" s="2"/>
      <c r="B2804" s="168" t="s">
        <v>234</v>
      </c>
      <c r="C2804" s="168" t="s">
        <v>3064</v>
      </c>
      <c r="D2804" s="229">
        <v>29.5</v>
      </c>
      <c r="E2804" s="229">
        <v>33.0</v>
      </c>
      <c r="F2804" s="230">
        <v>3.0</v>
      </c>
      <c r="G2804" s="232"/>
    </row>
    <row r="2805">
      <c r="A2805" s="2"/>
      <c r="B2805" s="168" t="s">
        <v>251</v>
      </c>
      <c r="C2805" s="168" t="s">
        <v>3065</v>
      </c>
      <c r="D2805" s="229">
        <v>34.5</v>
      </c>
      <c r="E2805" s="229">
        <v>38.0</v>
      </c>
      <c r="F2805" s="230">
        <v>3.0</v>
      </c>
      <c r="G2805" s="232"/>
    </row>
    <row r="2806">
      <c r="A2806" s="2"/>
      <c r="B2806" s="168" t="s">
        <v>223</v>
      </c>
      <c r="C2806" s="168" t="s">
        <v>3066</v>
      </c>
      <c r="D2806" s="229">
        <v>26.5</v>
      </c>
      <c r="E2806" s="229">
        <v>30.0</v>
      </c>
      <c r="F2806" s="230">
        <v>3.0</v>
      </c>
      <c r="G2806" s="232"/>
    </row>
    <row r="2807">
      <c r="A2807" s="2"/>
      <c r="B2807" s="168" t="s">
        <v>288</v>
      </c>
      <c r="C2807" s="168" t="s">
        <v>3067</v>
      </c>
      <c r="D2807" s="229">
        <v>21.5</v>
      </c>
      <c r="E2807" s="229">
        <v>25.0</v>
      </c>
      <c r="F2807" s="230">
        <v>3.0</v>
      </c>
      <c r="G2807" s="232"/>
    </row>
    <row r="2808">
      <c r="A2808" s="2"/>
      <c r="B2808" s="168" t="s">
        <v>269</v>
      </c>
      <c r="C2808" s="168" t="s">
        <v>3068</v>
      </c>
      <c r="D2808" s="229">
        <v>26.5</v>
      </c>
      <c r="E2808" s="229">
        <v>30.0</v>
      </c>
      <c r="F2808" s="230">
        <v>3.0</v>
      </c>
      <c r="G2808" s="232"/>
    </row>
    <row r="2809">
      <c r="A2809" s="2"/>
      <c r="B2809" s="168" t="s">
        <v>217</v>
      </c>
      <c r="C2809" s="168" t="s">
        <v>3069</v>
      </c>
      <c r="D2809" s="229">
        <v>27.5</v>
      </c>
      <c r="E2809" s="229">
        <v>31.0</v>
      </c>
      <c r="F2809" s="230">
        <v>3.0</v>
      </c>
      <c r="G2809" s="232"/>
    </row>
    <row r="2810">
      <c r="A2810" s="2"/>
      <c r="B2810" s="168" t="s">
        <v>266</v>
      </c>
      <c r="C2810" s="168" t="s">
        <v>3070</v>
      </c>
      <c r="D2810" s="229">
        <v>33.0</v>
      </c>
      <c r="E2810" s="229">
        <v>33.0</v>
      </c>
      <c r="F2810" s="230">
        <v>3.0</v>
      </c>
      <c r="G2810" s="232"/>
    </row>
    <row r="2811">
      <c r="A2811" s="2"/>
      <c r="B2811" s="168" t="s">
        <v>241</v>
      </c>
      <c r="C2811" s="168" t="s">
        <v>3071</v>
      </c>
      <c r="D2811" s="229">
        <v>32.0</v>
      </c>
      <c r="E2811" s="229">
        <v>35.5</v>
      </c>
      <c r="F2811" s="230">
        <v>3.0</v>
      </c>
      <c r="G2811" s="232"/>
    </row>
    <row r="2812">
      <c r="A2812" s="2"/>
      <c r="B2812" s="168" t="s">
        <v>294</v>
      </c>
      <c r="C2812" s="168" t="s">
        <v>3072</v>
      </c>
      <c r="D2812" s="229">
        <v>19.5</v>
      </c>
      <c r="E2812" s="229">
        <v>19.5</v>
      </c>
      <c r="F2812" s="230">
        <v>3.0</v>
      </c>
      <c r="G2812" s="232"/>
    </row>
    <row r="2813">
      <c r="A2813" s="2"/>
      <c r="B2813" s="168" t="s">
        <v>232</v>
      </c>
      <c r="C2813" s="168" t="s">
        <v>3073</v>
      </c>
      <c r="D2813" s="229">
        <v>31.5</v>
      </c>
      <c r="E2813" s="229">
        <v>35.0</v>
      </c>
      <c r="F2813" s="230">
        <v>3.0</v>
      </c>
      <c r="G2813" s="232"/>
    </row>
    <row r="2814">
      <c r="A2814" s="2"/>
      <c r="B2814" s="168" t="s">
        <v>296</v>
      </c>
      <c r="C2814" s="168" t="s">
        <v>3074</v>
      </c>
      <c r="D2814" s="229">
        <v>26.5</v>
      </c>
      <c r="E2814" s="229">
        <v>30.0</v>
      </c>
      <c r="F2814" s="230">
        <v>3.0</v>
      </c>
      <c r="G2814" s="232"/>
    </row>
    <row r="2815">
      <c r="A2815" s="2"/>
      <c r="B2815" s="168" t="s">
        <v>386</v>
      </c>
      <c r="C2815" s="168" t="s">
        <v>3075</v>
      </c>
      <c r="D2815" s="229">
        <v>34.5</v>
      </c>
      <c r="E2815" s="229">
        <v>38.0</v>
      </c>
      <c r="F2815" s="230">
        <v>3.0</v>
      </c>
      <c r="G2815" s="232"/>
    </row>
    <row r="2816">
      <c r="A2816" s="2"/>
      <c r="B2816" s="168" t="s">
        <v>290</v>
      </c>
      <c r="C2816" s="168" t="s">
        <v>3076</v>
      </c>
      <c r="D2816" s="229">
        <v>29.5</v>
      </c>
      <c r="E2816" s="229">
        <v>33.0</v>
      </c>
      <c r="F2816" s="230">
        <v>3.0</v>
      </c>
      <c r="G2816" s="232"/>
    </row>
    <row r="2817">
      <c r="A2817" s="2"/>
      <c r="B2817" s="168" t="s">
        <v>438</v>
      </c>
      <c r="C2817" s="168" t="s">
        <v>3077</v>
      </c>
      <c r="D2817" s="229">
        <v>29.5</v>
      </c>
      <c r="E2817" s="229">
        <v>33.0</v>
      </c>
      <c r="F2817" s="230">
        <v>3.0</v>
      </c>
      <c r="G2817" s="232"/>
    </row>
    <row r="2818">
      <c r="A2818" s="2"/>
      <c r="B2818" s="168" t="s">
        <v>341</v>
      </c>
      <c r="C2818" s="168" t="s">
        <v>3078</v>
      </c>
      <c r="D2818" s="229">
        <v>24.5</v>
      </c>
      <c r="E2818" s="229">
        <v>24.5</v>
      </c>
      <c r="F2818" s="230">
        <v>3.0</v>
      </c>
      <c r="G2818" s="232"/>
    </row>
    <row r="2819">
      <c r="A2819" s="2"/>
      <c r="B2819" s="168" t="s">
        <v>217</v>
      </c>
      <c r="C2819" s="168" t="s">
        <v>3079</v>
      </c>
      <c r="D2819" s="229">
        <v>27.5</v>
      </c>
      <c r="E2819" s="229">
        <v>31.0</v>
      </c>
      <c r="F2819" s="230">
        <v>3.0</v>
      </c>
      <c r="G2819" s="232"/>
    </row>
    <row r="2820">
      <c r="A2820" s="2"/>
      <c r="B2820" s="168" t="s">
        <v>337</v>
      </c>
      <c r="C2820" s="168" t="s">
        <v>3080</v>
      </c>
      <c r="D2820" s="229">
        <v>28.5</v>
      </c>
      <c r="E2820" s="229">
        <v>32.0</v>
      </c>
      <c r="F2820" s="230">
        <v>3.0</v>
      </c>
      <c r="G2820" s="232"/>
    </row>
    <row r="2821">
      <c r="A2821" s="2"/>
      <c r="B2821" s="168" t="s">
        <v>230</v>
      </c>
      <c r="C2821" s="168" t="s">
        <v>3081</v>
      </c>
      <c r="D2821" s="229">
        <v>16.5</v>
      </c>
      <c r="E2821" s="229">
        <v>20.0</v>
      </c>
      <c r="F2821" s="230">
        <v>3.0</v>
      </c>
      <c r="G2821" s="232"/>
    </row>
    <row r="2822">
      <c r="A2822" s="2"/>
      <c r="B2822" s="168" t="s">
        <v>239</v>
      </c>
      <c r="C2822" s="168" t="s">
        <v>3082</v>
      </c>
      <c r="D2822" s="229">
        <v>29.5</v>
      </c>
      <c r="E2822" s="229">
        <v>33.0</v>
      </c>
      <c r="F2822" s="230">
        <v>3.0</v>
      </c>
      <c r="G2822" s="232"/>
    </row>
    <row r="2823">
      <c r="A2823" s="2"/>
      <c r="B2823" s="168" t="s">
        <v>269</v>
      </c>
      <c r="C2823" s="168" t="s">
        <v>3083</v>
      </c>
      <c r="D2823" s="229">
        <v>26.5</v>
      </c>
      <c r="E2823" s="229">
        <v>30.0</v>
      </c>
      <c r="F2823" s="230">
        <v>3.0</v>
      </c>
      <c r="G2823" s="232"/>
    </row>
    <row r="2824">
      <c r="A2824" s="2"/>
      <c r="B2824" s="168" t="s">
        <v>241</v>
      </c>
      <c r="C2824" s="168" t="s">
        <v>3084</v>
      </c>
      <c r="D2824" s="229">
        <v>32.5</v>
      </c>
      <c r="E2824" s="229">
        <v>36.0</v>
      </c>
      <c r="F2824" s="230">
        <v>3.0</v>
      </c>
      <c r="G2824" s="232"/>
    </row>
    <row r="2825">
      <c r="A2825" s="2"/>
      <c r="B2825" s="168" t="s">
        <v>348</v>
      </c>
      <c r="C2825" s="168" t="s">
        <v>3085</v>
      </c>
      <c r="D2825" s="229">
        <v>24.5</v>
      </c>
      <c r="E2825" s="229">
        <v>28.0</v>
      </c>
      <c r="F2825" s="230">
        <v>3.0</v>
      </c>
      <c r="G2825" s="232"/>
    </row>
    <row r="2826">
      <c r="A2826" s="2"/>
      <c r="B2826" s="168" t="s">
        <v>255</v>
      </c>
      <c r="C2826" s="168" t="s">
        <v>3086</v>
      </c>
      <c r="D2826" s="229">
        <v>31.5</v>
      </c>
      <c r="E2826" s="229">
        <v>35.0</v>
      </c>
      <c r="F2826" s="230">
        <v>3.0</v>
      </c>
      <c r="G2826" s="232"/>
    </row>
    <row r="2827">
      <c r="A2827" s="2"/>
      <c r="B2827" s="168" t="s">
        <v>243</v>
      </c>
      <c r="C2827" s="168" t="s">
        <v>3087</v>
      </c>
      <c r="D2827" s="229">
        <v>29.5</v>
      </c>
      <c r="E2827" s="229">
        <v>33.0</v>
      </c>
      <c r="F2827" s="230">
        <v>3.0</v>
      </c>
      <c r="G2827" s="232"/>
    </row>
    <row r="2828">
      <c r="A2828" s="2"/>
      <c r="B2828" s="168" t="s">
        <v>221</v>
      </c>
      <c r="C2828" s="168" t="s">
        <v>3088</v>
      </c>
      <c r="D2828" s="229">
        <v>27.5</v>
      </c>
      <c r="E2828" s="229">
        <v>31.0</v>
      </c>
      <c r="F2828" s="230">
        <v>3.0</v>
      </c>
      <c r="G2828" s="232"/>
    </row>
    <row r="2829">
      <c r="A2829" s="2"/>
      <c r="B2829" s="168" t="s">
        <v>269</v>
      </c>
      <c r="C2829" s="168" t="s">
        <v>3089</v>
      </c>
      <c r="D2829" s="229">
        <v>26.5</v>
      </c>
      <c r="E2829" s="229">
        <v>30.0</v>
      </c>
      <c r="F2829" s="230">
        <v>3.0</v>
      </c>
      <c r="G2829" s="232"/>
    </row>
    <row r="2830">
      <c r="A2830" s="2"/>
      <c r="B2830" s="168" t="s">
        <v>223</v>
      </c>
      <c r="C2830" s="168" t="s">
        <v>3090</v>
      </c>
      <c r="D2830" s="229">
        <v>26.5</v>
      </c>
      <c r="E2830" s="229">
        <v>30.0</v>
      </c>
      <c r="F2830" s="230">
        <v>3.0</v>
      </c>
      <c r="G2830" s="232"/>
    </row>
    <row r="2831">
      <c r="A2831" s="2"/>
      <c r="B2831" s="168" t="s">
        <v>241</v>
      </c>
      <c r="C2831" s="168" t="s">
        <v>3091</v>
      </c>
      <c r="D2831" s="229">
        <v>32.0</v>
      </c>
      <c r="E2831" s="229">
        <v>35.5</v>
      </c>
      <c r="F2831" s="230">
        <v>3.0</v>
      </c>
      <c r="G2831" s="232"/>
    </row>
    <row r="2832">
      <c r="A2832" s="2"/>
      <c r="B2832" s="168" t="s">
        <v>290</v>
      </c>
      <c r="C2832" s="168" t="s">
        <v>3092</v>
      </c>
      <c r="D2832" s="229">
        <v>29.5</v>
      </c>
      <c r="E2832" s="229">
        <v>33.0</v>
      </c>
      <c r="F2832" s="230">
        <v>3.0</v>
      </c>
      <c r="G2832" s="232"/>
    </row>
    <row r="2833">
      <c r="A2833" s="2"/>
      <c r="B2833" s="168" t="s">
        <v>262</v>
      </c>
      <c r="C2833" s="168" t="s">
        <v>3093</v>
      </c>
      <c r="D2833" s="229">
        <v>24.5</v>
      </c>
      <c r="E2833" s="229">
        <v>28.0</v>
      </c>
      <c r="F2833" s="230">
        <v>3.0</v>
      </c>
      <c r="G2833" s="232"/>
    </row>
    <row r="2834">
      <c r="A2834" s="2"/>
      <c r="B2834" s="168" t="s">
        <v>275</v>
      </c>
      <c r="C2834" s="168" t="s">
        <v>3094</v>
      </c>
      <c r="D2834" s="229">
        <v>26.5</v>
      </c>
      <c r="E2834" s="229">
        <v>30.0</v>
      </c>
      <c r="F2834" s="230">
        <v>3.0</v>
      </c>
      <c r="G2834" s="232"/>
    </row>
    <row r="2835">
      <c r="A2835" s="2"/>
      <c r="B2835" s="168" t="s">
        <v>275</v>
      </c>
      <c r="C2835" s="168" t="s">
        <v>3095</v>
      </c>
      <c r="D2835" s="229">
        <v>26.5</v>
      </c>
      <c r="E2835" s="229">
        <v>30.0</v>
      </c>
      <c r="F2835" s="230">
        <v>3.0</v>
      </c>
      <c r="G2835" s="232"/>
    </row>
    <row r="2836">
      <c r="A2836" s="2"/>
      <c r="B2836" s="168" t="s">
        <v>234</v>
      </c>
      <c r="C2836" s="168" t="s">
        <v>3096</v>
      </c>
      <c r="D2836" s="229">
        <v>24.5</v>
      </c>
      <c r="E2836" s="229">
        <v>28.0</v>
      </c>
      <c r="F2836" s="230">
        <v>3.0</v>
      </c>
      <c r="G2836" s="232"/>
    </row>
    <row r="2837">
      <c r="A2837" s="2"/>
      <c r="B2837" s="168" t="s">
        <v>221</v>
      </c>
      <c r="C2837" s="168" t="s">
        <v>3097</v>
      </c>
      <c r="D2837" s="229">
        <v>27.5</v>
      </c>
      <c r="E2837" s="229">
        <v>31.0</v>
      </c>
      <c r="F2837" s="230">
        <v>3.0</v>
      </c>
      <c r="G2837" s="232"/>
    </row>
    <row r="2838">
      <c r="A2838" s="2"/>
      <c r="B2838" s="168" t="s">
        <v>230</v>
      </c>
      <c r="C2838" s="168" t="s">
        <v>3098</v>
      </c>
      <c r="D2838" s="229">
        <v>21.5</v>
      </c>
      <c r="E2838" s="229">
        <v>25.0</v>
      </c>
      <c r="F2838" s="230">
        <v>3.0</v>
      </c>
      <c r="G2838" s="232"/>
    </row>
    <row r="2839">
      <c r="A2839" s="2"/>
      <c r="B2839" s="168" t="s">
        <v>328</v>
      </c>
      <c r="C2839" s="168" t="s">
        <v>3099</v>
      </c>
      <c r="D2839" s="229">
        <v>34.5</v>
      </c>
      <c r="E2839" s="229">
        <v>38.0</v>
      </c>
      <c r="F2839" s="230">
        <v>3.0</v>
      </c>
      <c r="G2839" s="232"/>
    </row>
    <row r="2840">
      <c r="A2840" s="2"/>
      <c r="B2840" s="168" t="s">
        <v>255</v>
      </c>
      <c r="C2840" s="168" t="s">
        <v>3100</v>
      </c>
      <c r="D2840" s="229">
        <v>31.5</v>
      </c>
      <c r="E2840" s="229">
        <v>35.0</v>
      </c>
      <c r="F2840" s="230">
        <v>3.0</v>
      </c>
      <c r="G2840" s="232"/>
    </row>
    <row r="2841">
      <c r="A2841" s="2"/>
      <c r="B2841" s="168" t="s">
        <v>288</v>
      </c>
      <c r="C2841" s="168" t="s">
        <v>3101</v>
      </c>
      <c r="D2841" s="229">
        <v>21.5</v>
      </c>
      <c r="E2841" s="229">
        <v>25.0</v>
      </c>
      <c r="F2841" s="230">
        <v>3.0</v>
      </c>
      <c r="G2841" s="232"/>
    </row>
    <row r="2842">
      <c r="A2842" s="2"/>
      <c r="B2842" s="168" t="s">
        <v>273</v>
      </c>
      <c r="C2842" s="168" t="s">
        <v>3102</v>
      </c>
      <c r="D2842" s="229">
        <v>29.5</v>
      </c>
      <c r="E2842" s="229">
        <v>33.0</v>
      </c>
      <c r="F2842" s="230">
        <v>3.0</v>
      </c>
      <c r="G2842" s="232"/>
    </row>
    <row r="2843">
      <c r="A2843" s="2"/>
      <c r="B2843" s="168" t="s">
        <v>232</v>
      </c>
      <c r="C2843" s="168" t="s">
        <v>3103</v>
      </c>
      <c r="D2843" s="229">
        <v>25.5</v>
      </c>
      <c r="E2843" s="229">
        <v>29.0</v>
      </c>
      <c r="F2843" s="230">
        <v>3.0</v>
      </c>
      <c r="G2843" s="232"/>
    </row>
    <row r="2844">
      <c r="A2844" s="2"/>
      <c r="B2844" s="168" t="s">
        <v>273</v>
      </c>
      <c r="C2844" s="168" t="s">
        <v>3104</v>
      </c>
      <c r="D2844" s="229">
        <v>28.5</v>
      </c>
      <c r="E2844" s="229">
        <v>32.0</v>
      </c>
      <c r="F2844" s="230">
        <v>3.0</v>
      </c>
      <c r="G2844" s="232"/>
    </row>
    <row r="2845">
      <c r="A2845" s="2"/>
      <c r="B2845" s="168" t="s">
        <v>615</v>
      </c>
      <c r="C2845" s="168" t="s">
        <v>3105</v>
      </c>
      <c r="D2845" s="229">
        <v>24.5</v>
      </c>
      <c r="E2845" s="229">
        <v>28.0</v>
      </c>
      <c r="F2845" s="230">
        <v>3.0</v>
      </c>
      <c r="G2845" s="232"/>
    </row>
    <row r="2846">
      <c r="A2846" s="2"/>
      <c r="B2846" s="168" t="s">
        <v>1432</v>
      </c>
      <c r="C2846" s="168" t="s">
        <v>3106</v>
      </c>
      <c r="D2846" s="229">
        <v>26.5</v>
      </c>
      <c r="E2846" s="229">
        <v>30.0</v>
      </c>
      <c r="F2846" s="230">
        <v>3.0</v>
      </c>
      <c r="G2846" s="232"/>
    </row>
    <row r="2847">
      <c r="A2847" s="2"/>
      <c r="B2847" s="168" t="s">
        <v>230</v>
      </c>
      <c r="C2847" s="168" t="s">
        <v>3107</v>
      </c>
      <c r="D2847" s="229">
        <v>21.5</v>
      </c>
      <c r="E2847" s="229">
        <v>25.0</v>
      </c>
      <c r="F2847" s="230">
        <v>3.0</v>
      </c>
      <c r="G2847" s="232"/>
    </row>
    <row r="2848">
      <c r="A2848" s="2"/>
      <c r="B2848" s="168" t="s">
        <v>255</v>
      </c>
      <c r="C2848" s="168" t="s">
        <v>3108</v>
      </c>
      <c r="D2848" s="229">
        <v>31.5</v>
      </c>
      <c r="E2848" s="229">
        <v>35.0</v>
      </c>
      <c r="F2848" s="230">
        <v>3.0</v>
      </c>
      <c r="G2848" s="232"/>
    </row>
    <row r="2849">
      <c r="A2849" s="2"/>
      <c r="B2849" s="168" t="s">
        <v>438</v>
      </c>
      <c r="C2849" s="168" t="s">
        <v>3109</v>
      </c>
      <c r="D2849" s="229">
        <v>29.5</v>
      </c>
      <c r="E2849" s="229">
        <v>33.0</v>
      </c>
      <c r="F2849" s="230">
        <v>3.0</v>
      </c>
      <c r="G2849" s="232"/>
    </row>
    <row r="2850">
      <c r="A2850" s="2"/>
      <c r="B2850" s="168" t="s">
        <v>290</v>
      </c>
      <c r="C2850" s="168" t="s">
        <v>3110</v>
      </c>
      <c r="D2850" s="229">
        <v>29.5</v>
      </c>
      <c r="E2850" s="229">
        <v>33.0</v>
      </c>
      <c r="F2850" s="230">
        <v>3.0</v>
      </c>
      <c r="G2850" s="232"/>
    </row>
    <row r="2851">
      <c r="A2851" s="2"/>
      <c r="B2851" s="168" t="s">
        <v>565</v>
      </c>
      <c r="C2851" s="168" t="s">
        <v>3111</v>
      </c>
      <c r="D2851" s="229">
        <v>24.5</v>
      </c>
      <c r="E2851" s="229">
        <v>28.0</v>
      </c>
      <c r="F2851" s="230">
        <v>3.0</v>
      </c>
      <c r="G2851" s="232"/>
    </row>
    <row r="2852">
      <c r="A2852" s="2"/>
      <c r="B2852" s="168" t="s">
        <v>290</v>
      </c>
      <c r="C2852" s="168" t="s">
        <v>3112</v>
      </c>
      <c r="D2852" s="229">
        <v>29.5</v>
      </c>
      <c r="E2852" s="229">
        <v>33.0</v>
      </c>
      <c r="F2852" s="230">
        <v>3.0</v>
      </c>
      <c r="G2852" s="232"/>
    </row>
    <row r="2853">
      <c r="A2853" s="2"/>
      <c r="B2853" s="168" t="s">
        <v>232</v>
      </c>
      <c r="C2853" s="168" t="s">
        <v>3113</v>
      </c>
      <c r="D2853" s="229">
        <v>25.0</v>
      </c>
      <c r="E2853" s="229">
        <v>28.5</v>
      </c>
      <c r="F2853" s="230">
        <v>3.0</v>
      </c>
      <c r="G2853" s="232"/>
    </row>
    <row r="2854">
      <c r="A2854" s="2"/>
      <c r="B2854" s="168" t="s">
        <v>217</v>
      </c>
      <c r="C2854" s="168" t="s">
        <v>3114</v>
      </c>
      <c r="D2854" s="229">
        <v>27.5</v>
      </c>
      <c r="E2854" s="229">
        <v>31.0</v>
      </c>
      <c r="F2854" s="230">
        <v>3.0</v>
      </c>
      <c r="G2854" s="232"/>
    </row>
    <row r="2855">
      <c r="A2855" s="2"/>
      <c r="B2855" s="168" t="s">
        <v>241</v>
      </c>
      <c r="C2855" s="168" t="s">
        <v>3115</v>
      </c>
      <c r="D2855" s="229">
        <v>32.5</v>
      </c>
      <c r="E2855" s="229">
        <v>36.0</v>
      </c>
      <c r="F2855" s="230">
        <v>3.0</v>
      </c>
      <c r="G2855" s="232"/>
    </row>
    <row r="2856">
      <c r="A2856" s="2"/>
      <c r="B2856" s="168" t="s">
        <v>221</v>
      </c>
      <c r="C2856" s="168" t="s">
        <v>3116</v>
      </c>
      <c r="D2856" s="229">
        <v>27.5</v>
      </c>
      <c r="E2856" s="229">
        <v>31.0</v>
      </c>
      <c r="F2856" s="230">
        <v>3.0</v>
      </c>
      <c r="G2856" s="232"/>
    </row>
    <row r="2857">
      <c r="A2857" s="2"/>
      <c r="B2857" s="168" t="s">
        <v>217</v>
      </c>
      <c r="C2857" s="168" t="s">
        <v>3117</v>
      </c>
      <c r="D2857" s="229">
        <v>22.5</v>
      </c>
      <c r="E2857" s="229">
        <v>26.0</v>
      </c>
      <c r="F2857" s="230">
        <v>3.0</v>
      </c>
      <c r="G2857" s="232"/>
    </row>
    <row r="2858">
      <c r="A2858" s="2"/>
      <c r="B2858" s="168" t="s">
        <v>318</v>
      </c>
      <c r="C2858" s="168" t="s">
        <v>3118</v>
      </c>
      <c r="D2858" s="229">
        <v>25.5</v>
      </c>
      <c r="E2858" s="229">
        <v>29.0</v>
      </c>
      <c r="F2858" s="230">
        <v>3.0</v>
      </c>
      <c r="G2858" s="232"/>
    </row>
    <row r="2859">
      <c r="A2859" s="2"/>
      <c r="B2859" s="168" t="s">
        <v>345</v>
      </c>
      <c r="C2859" s="168" t="s">
        <v>3119</v>
      </c>
      <c r="D2859" s="229">
        <v>26.5</v>
      </c>
      <c r="E2859" s="229">
        <v>30.0</v>
      </c>
      <c r="F2859" s="230">
        <v>3.0</v>
      </c>
      <c r="G2859" s="232"/>
    </row>
    <row r="2860">
      <c r="A2860" s="2"/>
      <c r="B2860" s="168" t="s">
        <v>247</v>
      </c>
      <c r="C2860" s="168" t="s">
        <v>3120</v>
      </c>
      <c r="D2860" s="229">
        <v>29.5</v>
      </c>
      <c r="E2860" s="229">
        <v>33.0</v>
      </c>
      <c r="F2860" s="230">
        <v>3.0</v>
      </c>
      <c r="G2860" s="232"/>
    </row>
    <row r="2861">
      <c r="A2861" s="2"/>
      <c r="B2861" s="168" t="s">
        <v>266</v>
      </c>
      <c r="C2861" s="168" t="s">
        <v>3121</v>
      </c>
      <c r="D2861" s="229">
        <v>33.0</v>
      </c>
      <c r="E2861" s="229">
        <v>33.0</v>
      </c>
      <c r="F2861" s="230">
        <v>3.0</v>
      </c>
      <c r="G2861" s="232"/>
    </row>
    <row r="2862">
      <c r="A2862" s="2"/>
      <c r="B2862" s="168" t="s">
        <v>232</v>
      </c>
      <c r="C2862" s="168" t="s">
        <v>3122</v>
      </c>
      <c r="D2862" s="229">
        <v>25.5</v>
      </c>
      <c r="E2862" s="229">
        <v>29.0</v>
      </c>
      <c r="F2862" s="230">
        <v>3.0</v>
      </c>
      <c r="G2862" s="232"/>
    </row>
    <row r="2863">
      <c r="A2863" s="2"/>
      <c r="B2863" s="168" t="s">
        <v>241</v>
      </c>
      <c r="C2863" s="168" t="s">
        <v>3123</v>
      </c>
      <c r="D2863" s="229">
        <v>27.5</v>
      </c>
      <c r="E2863" s="229">
        <v>31.0</v>
      </c>
      <c r="F2863" s="230">
        <v>3.0</v>
      </c>
      <c r="G2863" s="232"/>
    </row>
    <row r="2864">
      <c r="A2864" s="2"/>
      <c r="B2864" s="168" t="s">
        <v>241</v>
      </c>
      <c r="C2864" s="168" t="s">
        <v>3124</v>
      </c>
      <c r="D2864" s="229">
        <v>27.5</v>
      </c>
      <c r="E2864" s="229">
        <v>31.0</v>
      </c>
      <c r="F2864" s="230">
        <v>3.0</v>
      </c>
      <c r="G2864" s="232"/>
    </row>
    <row r="2865">
      <c r="A2865" s="2"/>
      <c r="B2865" s="168" t="s">
        <v>318</v>
      </c>
      <c r="C2865" s="168" t="s">
        <v>3125</v>
      </c>
      <c r="D2865" s="229">
        <v>25.5</v>
      </c>
      <c r="E2865" s="229">
        <v>29.0</v>
      </c>
      <c r="F2865" s="230">
        <v>3.0</v>
      </c>
      <c r="G2865" s="232"/>
    </row>
    <row r="2866">
      <c r="A2866" s="2"/>
      <c r="B2866" s="168" t="s">
        <v>310</v>
      </c>
      <c r="C2866" s="168" t="s">
        <v>3126</v>
      </c>
      <c r="D2866" s="229">
        <v>34.5</v>
      </c>
      <c r="E2866" s="229">
        <v>38.0</v>
      </c>
      <c r="F2866" s="230">
        <v>3.0</v>
      </c>
      <c r="G2866" s="232"/>
    </row>
    <row r="2867">
      <c r="A2867" s="2"/>
      <c r="B2867" s="168" t="s">
        <v>249</v>
      </c>
      <c r="C2867" s="168" t="s">
        <v>3127</v>
      </c>
      <c r="D2867" s="229">
        <v>3.0</v>
      </c>
      <c r="E2867" s="229">
        <v>3.0</v>
      </c>
      <c r="F2867" s="230">
        <v>3.0</v>
      </c>
      <c r="G2867" s="232"/>
    </row>
    <row r="2868">
      <c r="A2868" s="2"/>
      <c r="B2868" s="168" t="s">
        <v>215</v>
      </c>
      <c r="C2868" s="168" t="s">
        <v>3128</v>
      </c>
      <c r="D2868" s="229">
        <v>27.5</v>
      </c>
      <c r="E2868" s="229">
        <v>31.0</v>
      </c>
      <c r="F2868" s="230">
        <v>3.0</v>
      </c>
      <c r="G2868" s="232"/>
    </row>
    <row r="2869">
      <c r="A2869" s="2"/>
      <c r="B2869" s="168" t="s">
        <v>337</v>
      </c>
      <c r="C2869" s="168" t="s">
        <v>3129</v>
      </c>
      <c r="D2869" s="229">
        <v>28.5</v>
      </c>
      <c r="E2869" s="229">
        <v>32.0</v>
      </c>
      <c r="F2869" s="230">
        <v>3.0</v>
      </c>
      <c r="G2869" s="232"/>
    </row>
    <row r="2870">
      <c r="A2870" s="2"/>
      <c r="B2870" s="168" t="s">
        <v>337</v>
      </c>
      <c r="C2870" s="168" t="s">
        <v>3130</v>
      </c>
      <c r="D2870" s="229">
        <v>24.0</v>
      </c>
      <c r="E2870" s="229">
        <v>27.5</v>
      </c>
      <c r="F2870" s="230">
        <v>3.0</v>
      </c>
      <c r="G2870" s="232"/>
    </row>
    <row r="2871">
      <c r="A2871" s="2"/>
      <c r="B2871" s="168" t="s">
        <v>255</v>
      </c>
      <c r="C2871" s="168" t="s">
        <v>3131</v>
      </c>
      <c r="D2871" s="229">
        <v>31.5</v>
      </c>
      <c r="E2871" s="229">
        <v>35.0</v>
      </c>
      <c r="F2871" s="230">
        <v>3.0</v>
      </c>
      <c r="G2871" s="232"/>
    </row>
    <row r="2872">
      <c r="A2872" s="2"/>
      <c r="B2872" s="168" t="s">
        <v>273</v>
      </c>
      <c r="C2872" s="168" t="s">
        <v>3132</v>
      </c>
      <c r="D2872" s="229">
        <v>29.5</v>
      </c>
      <c r="E2872" s="229">
        <v>33.0</v>
      </c>
      <c r="F2872" s="230">
        <v>3.0</v>
      </c>
      <c r="G2872" s="232"/>
    </row>
    <row r="2873">
      <c r="A2873" s="2"/>
      <c r="B2873" s="168" t="s">
        <v>381</v>
      </c>
      <c r="C2873" s="168" t="s">
        <v>3133</v>
      </c>
      <c r="D2873" s="229">
        <v>28.5</v>
      </c>
      <c r="E2873" s="229">
        <v>32.0</v>
      </c>
      <c r="F2873" s="230">
        <v>3.0</v>
      </c>
      <c r="G2873" s="232"/>
    </row>
    <row r="2874">
      <c r="A2874" s="2"/>
      <c r="B2874" s="168" t="s">
        <v>302</v>
      </c>
      <c r="C2874" s="168" t="s">
        <v>3134</v>
      </c>
      <c r="D2874" s="229">
        <v>34.5</v>
      </c>
      <c r="E2874" s="229">
        <v>38.0</v>
      </c>
      <c r="F2874" s="230">
        <v>3.0</v>
      </c>
      <c r="G2874" s="232"/>
    </row>
    <row r="2875">
      <c r="A2875" s="2"/>
      <c r="B2875" s="168" t="s">
        <v>381</v>
      </c>
      <c r="C2875" s="168" t="s">
        <v>3135</v>
      </c>
      <c r="D2875" s="229">
        <v>28.5</v>
      </c>
      <c r="E2875" s="229">
        <v>32.0</v>
      </c>
      <c r="F2875" s="230">
        <v>3.0</v>
      </c>
      <c r="G2875" s="232"/>
    </row>
    <row r="2876">
      <c r="A2876" s="2"/>
      <c r="B2876" s="168" t="s">
        <v>247</v>
      </c>
      <c r="C2876" s="168" t="s">
        <v>3136</v>
      </c>
      <c r="D2876" s="229">
        <v>29.5</v>
      </c>
      <c r="E2876" s="229">
        <v>33.0</v>
      </c>
      <c r="F2876" s="230">
        <v>3.0</v>
      </c>
      <c r="G2876" s="232"/>
    </row>
    <row r="2877">
      <c r="A2877" s="2"/>
      <c r="B2877" s="168" t="s">
        <v>234</v>
      </c>
      <c r="C2877" s="168" t="s">
        <v>3137</v>
      </c>
      <c r="D2877" s="229">
        <v>29.5</v>
      </c>
      <c r="E2877" s="229">
        <v>33.0</v>
      </c>
      <c r="F2877" s="230">
        <v>3.0</v>
      </c>
      <c r="G2877" s="232"/>
    </row>
    <row r="2878">
      <c r="A2878" s="2"/>
      <c r="B2878" s="168" t="s">
        <v>381</v>
      </c>
      <c r="C2878" s="168" t="s">
        <v>3138</v>
      </c>
      <c r="D2878" s="229">
        <v>28.5</v>
      </c>
      <c r="E2878" s="229">
        <v>32.0</v>
      </c>
      <c r="F2878" s="230">
        <v>3.0</v>
      </c>
      <c r="G2878" s="232"/>
    </row>
    <row r="2879">
      <c r="A2879" s="2"/>
      <c r="B2879" s="168" t="s">
        <v>381</v>
      </c>
      <c r="C2879" s="168" t="s">
        <v>3139</v>
      </c>
      <c r="D2879" s="229">
        <v>28.5</v>
      </c>
      <c r="E2879" s="229">
        <v>32.0</v>
      </c>
      <c r="F2879" s="230">
        <v>3.0</v>
      </c>
      <c r="G2879" s="232"/>
    </row>
    <row r="2880">
      <c r="A2880" s="2"/>
      <c r="B2880" s="168" t="s">
        <v>217</v>
      </c>
      <c r="C2880" s="168" t="s">
        <v>3140</v>
      </c>
      <c r="D2880" s="229">
        <v>27.5</v>
      </c>
      <c r="E2880" s="229">
        <v>31.0</v>
      </c>
      <c r="F2880" s="230">
        <v>3.0</v>
      </c>
      <c r="G2880" s="232"/>
    </row>
    <row r="2881">
      <c r="A2881" s="2"/>
      <c r="B2881" s="168" t="s">
        <v>290</v>
      </c>
      <c r="C2881" s="168" t="s">
        <v>3141</v>
      </c>
      <c r="D2881" s="229">
        <v>29.5</v>
      </c>
      <c r="E2881" s="229">
        <v>33.0</v>
      </c>
      <c r="F2881" s="230">
        <v>3.0</v>
      </c>
      <c r="G2881" s="232"/>
    </row>
    <row r="2882">
      <c r="A2882" s="2"/>
      <c r="B2882" s="168" t="s">
        <v>217</v>
      </c>
      <c r="C2882" s="168" t="s">
        <v>3142</v>
      </c>
      <c r="D2882" s="229">
        <v>27.0</v>
      </c>
      <c r="E2882" s="229">
        <v>30.5</v>
      </c>
      <c r="F2882" s="230">
        <v>3.0</v>
      </c>
      <c r="G2882" s="232"/>
    </row>
    <row r="2883">
      <c r="A2883" s="2"/>
      <c r="B2883" s="168" t="s">
        <v>215</v>
      </c>
      <c r="C2883" s="168" t="s">
        <v>3143</v>
      </c>
      <c r="D2883" s="229">
        <v>29.5</v>
      </c>
      <c r="E2883" s="229">
        <v>33.0</v>
      </c>
      <c r="F2883" s="230">
        <v>3.0</v>
      </c>
      <c r="G2883" s="232"/>
    </row>
    <row r="2884">
      <c r="A2884" s="2"/>
      <c r="B2884" s="168" t="s">
        <v>288</v>
      </c>
      <c r="C2884" s="168" t="s">
        <v>3144</v>
      </c>
      <c r="D2884" s="229">
        <v>21.5</v>
      </c>
      <c r="E2884" s="229">
        <v>25.0</v>
      </c>
      <c r="F2884" s="230">
        <v>3.0</v>
      </c>
      <c r="G2884" s="232"/>
    </row>
    <row r="2885">
      <c r="A2885" s="2"/>
      <c r="B2885" s="168" t="s">
        <v>300</v>
      </c>
      <c r="C2885" s="168" t="s">
        <v>3145</v>
      </c>
      <c r="D2885" s="229">
        <v>28.5</v>
      </c>
      <c r="E2885" s="229">
        <v>32.0</v>
      </c>
      <c r="F2885" s="230">
        <v>3.0</v>
      </c>
      <c r="G2885" s="232"/>
    </row>
    <row r="2886">
      <c r="A2886" s="2"/>
      <c r="B2886" s="168" t="s">
        <v>296</v>
      </c>
      <c r="C2886" s="168" t="s">
        <v>3146</v>
      </c>
      <c r="D2886" s="229">
        <v>26.5</v>
      </c>
      <c r="E2886" s="229">
        <v>30.0</v>
      </c>
      <c r="F2886" s="230">
        <v>3.0</v>
      </c>
      <c r="G2886" s="232"/>
    </row>
    <row r="2887">
      <c r="A2887" s="2"/>
      <c r="B2887" s="168" t="s">
        <v>381</v>
      </c>
      <c r="C2887" s="168" t="s">
        <v>3147</v>
      </c>
      <c r="D2887" s="229">
        <v>27.5</v>
      </c>
      <c r="E2887" s="229">
        <v>31.0</v>
      </c>
      <c r="F2887" s="230">
        <v>3.0</v>
      </c>
      <c r="G2887" s="232"/>
    </row>
    <row r="2888">
      <c r="A2888" s="2"/>
      <c r="B2888" s="168" t="s">
        <v>217</v>
      </c>
      <c r="C2888" s="168" t="s">
        <v>3148</v>
      </c>
      <c r="D2888" s="229">
        <v>27.5</v>
      </c>
      <c r="E2888" s="229">
        <v>31.0</v>
      </c>
      <c r="F2888" s="230">
        <v>3.0</v>
      </c>
      <c r="G2888" s="232"/>
    </row>
    <row r="2889">
      <c r="A2889" s="2"/>
      <c r="B2889" s="168" t="s">
        <v>239</v>
      </c>
      <c r="C2889" s="168" t="s">
        <v>3149</v>
      </c>
      <c r="D2889" s="229">
        <v>29.5</v>
      </c>
      <c r="E2889" s="229">
        <v>33.0</v>
      </c>
      <c r="F2889" s="230">
        <v>3.0</v>
      </c>
      <c r="G2889" s="232"/>
    </row>
    <row r="2890">
      <c r="A2890" s="2"/>
      <c r="B2890" s="168" t="s">
        <v>245</v>
      </c>
      <c r="C2890" s="168" t="s">
        <v>3150</v>
      </c>
      <c r="D2890" s="229">
        <v>29.5</v>
      </c>
      <c r="E2890" s="229">
        <v>33.0</v>
      </c>
      <c r="F2890" s="230">
        <v>3.0</v>
      </c>
      <c r="G2890" s="232"/>
    </row>
    <row r="2891">
      <c r="A2891" s="2"/>
      <c r="B2891" s="168" t="s">
        <v>241</v>
      </c>
      <c r="C2891" s="168" t="s">
        <v>3151</v>
      </c>
      <c r="D2891" s="229">
        <v>27.5</v>
      </c>
      <c r="E2891" s="229">
        <v>31.0</v>
      </c>
      <c r="F2891" s="230">
        <v>3.0</v>
      </c>
      <c r="G2891" s="232"/>
    </row>
    <row r="2892">
      <c r="A2892" s="2"/>
      <c r="B2892" s="168" t="s">
        <v>257</v>
      </c>
      <c r="C2892" s="168" t="s">
        <v>3152</v>
      </c>
      <c r="D2892" s="229">
        <v>28.5</v>
      </c>
      <c r="E2892" s="229">
        <v>32.0</v>
      </c>
      <c r="F2892" s="230">
        <v>3.0</v>
      </c>
      <c r="G2892" s="232"/>
    </row>
    <row r="2893">
      <c r="A2893" s="2"/>
      <c r="B2893" s="168" t="s">
        <v>217</v>
      </c>
      <c r="C2893" s="168" t="s">
        <v>3153</v>
      </c>
      <c r="D2893" s="229">
        <v>27.5</v>
      </c>
      <c r="E2893" s="229">
        <v>31.0</v>
      </c>
      <c r="F2893" s="230">
        <v>3.0</v>
      </c>
      <c r="G2893" s="232"/>
    </row>
    <row r="2894">
      <c r="A2894" s="2"/>
      <c r="B2894" s="168" t="s">
        <v>221</v>
      </c>
      <c r="C2894" s="168" t="s">
        <v>3154</v>
      </c>
      <c r="D2894" s="229">
        <v>27.5</v>
      </c>
      <c r="E2894" s="229">
        <v>31.0</v>
      </c>
      <c r="F2894" s="230">
        <v>3.0</v>
      </c>
      <c r="G2894" s="232"/>
    </row>
    <row r="2895">
      <c r="A2895" s="2"/>
      <c r="B2895" s="168" t="s">
        <v>217</v>
      </c>
      <c r="C2895" s="168" t="s">
        <v>3155</v>
      </c>
      <c r="D2895" s="229">
        <v>27.5</v>
      </c>
      <c r="E2895" s="229">
        <v>31.0</v>
      </c>
      <c r="F2895" s="230">
        <v>3.0</v>
      </c>
      <c r="G2895" s="232"/>
    </row>
    <row r="2896">
      <c r="A2896" s="2"/>
      <c r="B2896" s="168" t="s">
        <v>288</v>
      </c>
      <c r="C2896" s="168" t="s">
        <v>3156</v>
      </c>
      <c r="D2896" s="229">
        <v>21.5</v>
      </c>
      <c r="E2896" s="229">
        <v>25.0</v>
      </c>
      <c r="F2896" s="230">
        <v>3.0</v>
      </c>
      <c r="G2896" s="232"/>
    </row>
    <row r="2897">
      <c r="A2897" s="2"/>
      <c r="B2897" s="168" t="s">
        <v>300</v>
      </c>
      <c r="C2897" s="168" t="s">
        <v>3157</v>
      </c>
      <c r="D2897" s="229">
        <v>28.5</v>
      </c>
      <c r="E2897" s="229">
        <v>32.0</v>
      </c>
      <c r="F2897" s="230">
        <v>3.0</v>
      </c>
      <c r="G2897" s="232"/>
    </row>
    <row r="2898">
      <c r="A2898" s="2"/>
      <c r="B2898" s="168" t="s">
        <v>241</v>
      </c>
      <c r="C2898" s="168" t="s">
        <v>3158</v>
      </c>
      <c r="D2898" s="229">
        <v>32.5</v>
      </c>
      <c r="E2898" s="229">
        <v>36.0</v>
      </c>
      <c r="F2898" s="230">
        <v>3.0</v>
      </c>
      <c r="G2898" s="232"/>
    </row>
    <row r="2899">
      <c r="A2899" s="2"/>
      <c r="B2899" s="168" t="s">
        <v>232</v>
      </c>
      <c r="C2899" s="168" t="s">
        <v>3159</v>
      </c>
      <c r="D2899" s="229">
        <v>25.5</v>
      </c>
      <c r="E2899" s="229">
        <v>29.0</v>
      </c>
      <c r="F2899" s="230">
        <v>3.0</v>
      </c>
      <c r="G2899" s="232"/>
    </row>
    <row r="2900">
      <c r="A2900" s="2"/>
      <c r="B2900" s="168" t="s">
        <v>217</v>
      </c>
      <c r="C2900" s="168" t="s">
        <v>3160</v>
      </c>
      <c r="D2900" s="229">
        <v>27.5</v>
      </c>
      <c r="E2900" s="229">
        <v>31.0</v>
      </c>
      <c r="F2900" s="230">
        <v>3.0</v>
      </c>
      <c r="G2900" s="232"/>
    </row>
    <row r="2901">
      <c r="A2901" s="2"/>
      <c r="B2901" s="168" t="s">
        <v>215</v>
      </c>
      <c r="C2901" s="168" t="s">
        <v>3161</v>
      </c>
      <c r="D2901" s="229">
        <v>27.5</v>
      </c>
      <c r="E2901" s="229">
        <v>31.0</v>
      </c>
      <c r="F2901" s="230">
        <v>3.0</v>
      </c>
      <c r="G2901" s="232"/>
    </row>
    <row r="2902">
      <c r="A2902" s="2"/>
      <c r="B2902" s="168" t="s">
        <v>215</v>
      </c>
      <c r="C2902" s="168" t="s">
        <v>3162</v>
      </c>
      <c r="D2902" s="229">
        <v>19.5</v>
      </c>
      <c r="E2902" s="229">
        <v>23.0</v>
      </c>
      <c r="F2902" s="230">
        <v>3.0</v>
      </c>
      <c r="G2902" s="232"/>
    </row>
    <row r="2903">
      <c r="A2903" s="2"/>
      <c r="B2903" s="168" t="s">
        <v>438</v>
      </c>
      <c r="C2903" s="168" t="s">
        <v>3163</v>
      </c>
      <c r="D2903" s="229">
        <v>29.5</v>
      </c>
      <c r="E2903" s="229">
        <v>33.0</v>
      </c>
      <c r="F2903" s="230">
        <v>3.0</v>
      </c>
      <c r="G2903" s="232"/>
    </row>
    <row r="2904">
      <c r="A2904" s="2"/>
      <c r="B2904" s="168" t="s">
        <v>449</v>
      </c>
      <c r="C2904" s="168" t="s">
        <v>3164</v>
      </c>
      <c r="D2904" s="229">
        <v>28.5</v>
      </c>
      <c r="E2904" s="229">
        <v>32.0</v>
      </c>
      <c r="F2904" s="230">
        <v>3.0</v>
      </c>
      <c r="G2904" s="232"/>
    </row>
    <row r="2905">
      <c r="A2905" s="2"/>
      <c r="B2905" s="168" t="s">
        <v>232</v>
      </c>
      <c r="C2905" s="168" t="s">
        <v>3165</v>
      </c>
      <c r="D2905" s="229">
        <v>27.5</v>
      </c>
      <c r="E2905" s="229">
        <v>31.0</v>
      </c>
      <c r="F2905" s="230">
        <v>3.0</v>
      </c>
      <c r="G2905" s="232"/>
    </row>
    <row r="2906">
      <c r="A2906" s="2"/>
      <c r="B2906" s="168" t="s">
        <v>592</v>
      </c>
      <c r="C2906" s="168" t="s">
        <v>3166</v>
      </c>
      <c r="D2906" s="229">
        <v>34.5</v>
      </c>
      <c r="E2906" s="229">
        <v>38.0</v>
      </c>
      <c r="F2906" s="230">
        <v>3.0</v>
      </c>
      <c r="G2906" s="232"/>
    </row>
    <row r="2907">
      <c r="A2907" s="2"/>
      <c r="B2907" s="168" t="s">
        <v>232</v>
      </c>
      <c r="C2907" s="168" t="s">
        <v>3167</v>
      </c>
      <c r="D2907" s="229">
        <v>31.5</v>
      </c>
      <c r="E2907" s="229">
        <v>35.0</v>
      </c>
      <c r="F2907" s="230">
        <v>3.0</v>
      </c>
      <c r="G2907" s="232"/>
    </row>
    <row r="2908">
      <c r="A2908" s="2"/>
      <c r="B2908" s="168" t="s">
        <v>337</v>
      </c>
      <c r="C2908" s="168" t="s">
        <v>3168</v>
      </c>
      <c r="D2908" s="229">
        <v>28.5</v>
      </c>
      <c r="E2908" s="229">
        <v>32.0</v>
      </c>
      <c r="F2908" s="230">
        <v>3.0</v>
      </c>
      <c r="G2908" s="232"/>
    </row>
    <row r="2909">
      <c r="A2909" s="2"/>
      <c r="B2909" s="168" t="s">
        <v>269</v>
      </c>
      <c r="C2909" s="168" t="s">
        <v>3169</v>
      </c>
      <c r="D2909" s="229">
        <v>26.5</v>
      </c>
      <c r="E2909" s="229">
        <v>30.0</v>
      </c>
      <c r="F2909" s="230">
        <v>3.0</v>
      </c>
      <c r="G2909" s="232"/>
    </row>
    <row r="2910">
      <c r="A2910" s="2"/>
      <c r="B2910" s="168" t="s">
        <v>296</v>
      </c>
      <c r="C2910" s="168" t="s">
        <v>3170</v>
      </c>
      <c r="D2910" s="229">
        <v>26.5</v>
      </c>
      <c r="E2910" s="229">
        <v>30.0</v>
      </c>
      <c r="F2910" s="230">
        <v>3.0</v>
      </c>
      <c r="G2910" s="232"/>
    </row>
    <row r="2911">
      <c r="A2911" s="2"/>
      <c r="B2911" s="168" t="s">
        <v>243</v>
      </c>
      <c r="C2911" s="168" t="s">
        <v>3171</v>
      </c>
      <c r="D2911" s="229">
        <v>29.5</v>
      </c>
      <c r="E2911" s="229">
        <v>33.0</v>
      </c>
      <c r="F2911" s="230">
        <v>3.0</v>
      </c>
      <c r="G2911" s="232"/>
    </row>
    <row r="2912">
      <c r="A2912" s="2"/>
      <c r="B2912" s="168" t="s">
        <v>255</v>
      </c>
      <c r="C2912" s="168" t="s">
        <v>3172</v>
      </c>
      <c r="D2912" s="229">
        <v>31.5</v>
      </c>
      <c r="E2912" s="229">
        <v>35.0</v>
      </c>
      <c r="F2912" s="230">
        <v>3.0</v>
      </c>
      <c r="G2912" s="232"/>
    </row>
    <row r="2913">
      <c r="A2913" s="2"/>
      <c r="B2913" s="168" t="s">
        <v>318</v>
      </c>
      <c r="C2913" s="168" t="s">
        <v>3173</v>
      </c>
      <c r="D2913" s="229">
        <v>25.5</v>
      </c>
      <c r="E2913" s="229">
        <v>29.0</v>
      </c>
      <c r="F2913" s="230">
        <v>3.0</v>
      </c>
      <c r="G2913" s="232"/>
    </row>
    <row r="2914">
      <c r="A2914" s="2"/>
      <c r="B2914" s="168" t="s">
        <v>535</v>
      </c>
      <c r="C2914" s="168" t="s">
        <v>3174</v>
      </c>
      <c r="D2914" s="229">
        <v>26.5</v>
      </c>
      <c r="E2914" s="229">
        <v>30.0</v>
      </c>
      <c r="F2914" s="230">
        <v>3.0</v>
      </c>
      <c r="G2914" s="232"/>
    </row>
    <row r="2915">
      <c r="A2915" s="2"/>
      <c r="B2915" s="168" t="s">
        <v>230</v>
      </c>
      <c r="C2915" s="168" t="s">
        <v>3175</v>
      </c>
      <c r="D2915" s="229">
        <v>21.5</v>
      </c>
      <c r="E2915" s="229">
        <v>25.0</v>
      </c>
      <c r="F2915" s="230">
        <v>3.0</v>
      </c>
      <c r="G2915" s="232"/>
    </row>
    <row r="2916">
      <c r="A2916" s="2"/>
      <c r="B2916" s="168" t="s">
        <v>413</v>
      </c>
      <c r="C2916" s="168" t="s">
        <v>3176</v>
      </c>
      <c r="D2916" s="229">
        <v>29.5</v>
      </c>
      <c r="E2916" s="229">
        <v>33.0</v>
      </c>
      <c r="F2916" s="230">
        <v>3.0</v>
      </c>
      <c r="G2916" s="232"/>
    </row>
    <row r="2917">
      <c r="A2917" s="2"/>
      <c r="B2917" s="168" t="s">
        <v>337</v>
      </c>
      <c r="C2917" s="168" t="s">
        <v>3177</v>
      </c>
      <c r="D2917" s="229">
        <v>28.5</v>
      </c>
      <c r="E2917" s="229">
        <v>32.0</v>
      </c>
      <c r="F2917" s="230">
        <v>3.0</v>
      </c>
      <c r="G2917" s="232"/>
    </row>
    <row r="2918">
      <c r="A2918" s="2"/>
      <c r="B2918" s="168" t="s">
        <v>271</v>
      </c>
      <c r="C2918" s="168" t="s">
        <v>3178</v>
      </c>
      <c r="D2918" s="229">
        <v>31.5</v>
      </c>
      <c r="E2918" s="229">
        <v>35.0</v>
      </c>
      <c r="F2918" s="230">
        <v>3.0</v>
      </c>
      <c r="G2918" s="232"/>
    </row>
    <row r="2919">
      <c r="A2919" s="2"/>
      <c r="B2919" s="168" t="s">
        <v>290</v>
      </c>
      <c r="C2919" s="168" t="s">
        <v>3179</v>
      </c>
      <c r="D2919" s="229">
        <v>29.5</v>
      </c>
      <c r="E2919" s="229">
        <v>33.0</v>
      </c>
      <c r="F2919" s="230">
        <v>3.0</v>
      </c>
      <c r="G2919" s="232"/>
    </row>
    <row r="2920">
      <c r="A2920" s="2"/>
      <c r="B2920" s="168" t="s">
        <v>271</v>
      </c>
      <c r="C2920" s="168" t="s">
        <v>3180</v>
      </c>
      <c r="D2920" s="229">
        <v>28.5</v>
      </c>
      <c r="E2920" s="229">
        <v>32.0</v>
      </c>
      <c r="F2920" s="230">
        <v>3.0</v>
      </c>
      <c r="G2920" s="232"/>
    </row>
    <row r="2921">
      <c r="A2921" s="2"/>
      <c r="B2921" s="168" t="s">
        <v>269</v>
      </c>
      <c r="C2921" s="168" t="s">
        <v>3181</v>
      </c>
      <c r="D2921" s="229">
        <v>26.5</v>
      </c>
      <c r="E2921" s="229">
        <v>30.0</v>
      </c>
      <c r="F2921" s="230">
        <v>3.0</v>
      </c>
      <c r="G2921" s="232"/>
    </row>
    <row r="2922">
      <c r="A2922" s="2"/>
      <c r="B2922" s="168" t="s">
        <v>337</v>
      </c>
      <c r="C2922" s="168" t="s">
        <v>3182</v>
      </c>
      <c r="D2922" s="229">
        <v>26.0</v>
      </c>
      <c r="E2922" s="229">
        <v>29.5</v>
      </c>
      <c r="F2922" s="230">
        <v>3.0</v>
      </c>
      <c r="G2922" s="232"/>
    </row>
    <row r="2923">
      <c r="A2923" s="2"/>
      <c r="B2923" s="168" t="s">
        <v>592</v>
      </c>
      <c r="C2923" s="168" t="s">
        <v>3183</v>
      </c>
      <c r="D2923" s="229">
        <v>34.5</v>
      </c>
      <c r="E2923" s="229">
        <v>38.0</v>
      </c>
      <c r="F2923" s="230">
        <v>3.0</v>
      </c>
      <c r="G2923" s="232"/>
    </row>
    <row r="2924">
      <c r="A2924" s="2"/>
      <c r="B2924" s="168" t="s">
        <v>269</v>
      </c>
      <c r="C2924" s="168" t="s">
        <v>3184</v>
      </c>
      <c r="D2924" s="229">
        <v>26.5</v>
      </c>
      <c r="E2924" s="229">
        <v>30.0</v>
      </c>
      <c r="F2924" s="230">
        <v>3.0</v>
      </c>
      <c r="G2924" s="232"/>
    </row>
    <row r="2925">
      <c r="A2925" s="2"/>
      <c r="B2925" s="168" t="s">
        <v>430</v>
      </c>
      <c r="C2925" s="168" t="s">
        <v>3185</v>
      </c>
      <c r="D2925" s="229">
        <v>29.5</v>
      </c>
      <c r="E2925" s="229">
        <v>33.0</v>
      </c>
      <c r="F2925" s="230">
        <v>3.0</v>
      </c>
      <c r="G2925" s="232"/>
    </row>
    <row r="2926">
      <c r="A2926" s="2"/>
      <c r="B2926" s="168" t="s">
        <v>219</v>
      </c>
      <c r="C2926" s="168" t="s">
        <v>3186</v>
      </c>
      <c r="D2926" s="229">
        <v>28.5</v>
      </c>
      <c r="E2926" s="229">
        <v>32.0</v>
      </c>
      <c r="F2926" s="230">
        <v>3.0</v>
      </c>
      <c r="G2926" s="232"/>
    </row>
    <row r="2927">
      <c r="A2927" s="2"/>
      <c r="B2927" s="168" t="s">
        <v>245</v>
      </c>
      <c r="C2927" s="168" t="s">
        <v>3187</v>
      </c>
      <c r="D2927" s="229">
        <v>27.5</v>
      </c>
      <c r="E2927" s="229">
        <v>31.0</v>
      </c>
      <c r="F2927" s="230">
        <v>3.0</v>
      </c>
      <c r="G2927" s="232"/>
    </row>
    <row r="2928">
      <c r="A2928" s="2"/>
      <c r="B2928" s="168" t="s">
        <v>318</v>
      </c>
      <c r="C2928" s="168" t="s">
        <v>3188</v>
      </c>
      <c r="D2928" s="229">
        <v>25.5</v>
      </c>
      <c r="E2928" s="229">
        <v>29.0</v>
      </c>
      <c r="F2928" s="230">
        <v>3.0</v>
      </c>
      <c r="G2928" s="232"/>
    </row>
    <row r="2929">
      <c r="A2929" s="2"/>
      <c r="B2929" s="168" t="s">
        <v>215</v>
      </c>
      <c r="C2929" s="168" t="s">
        <v>3189</v>
      </c>
      <c r="D2929" s="229">
        <v>27.5</v>
      </c>
      <c r="E2929" s="229">
        <v>31.0</v>
      </c>
      <c r="F2929" s="230">
        <v>3.0</v>
      </c>
      <c r="G2929" s="232"/>
    </row>
    <row r="2930">
      <c r="A2930" s="2"/>
      <c r="B2930" s="168" t="s">
        <v>464</v>
      </c>
      <c r="C2930" s="168" t="s">
        <v>3190</v>
      </c>
      <c r="D2930" s="229">
        <v>0.5</v>
      </c>
      <c r="E2930" s="229">
        <v>0.5</v>
      </c>
      <c r="F2930" s="230">
        <v>0.5</v>
      </c>
      <c r="G2930" s="232"/>
    </row>
    <row r="2931">
      <c r="A2931" s="2"/>
      <c r="B2931" s="168" t="s">
        <v>430</v>
      </c>
      <c r="C2931" s="168" t="s">
        <v>3191</v>
      </c>
      <c r="D2931" s="229">
        <v>34.5</v>
      </c>
      <c r="E2931" s="229">
        <v>38.0</v>
      </c>
      <c r="F2931" s="230">
        <v>3.0</v>
      </c>
      <c r="G2931" s="232"/>
    </row>
    <row r="2932">
      <c r="A2932" s="2"/>
      <c r="B2932" s="168" t="s">
        <v>260</v>
      </c>
      <c r="C2932" s="168" t="s">
        <v>3192</v>
      </c>
      <c r="D2932" s="229">
        <v>28.5</v>
      </c>
      <c r="E2932" s="229">
        <v>32.0</v>
      </c>
      <c r="F2932" s="230">
        <v>3.0</v>
      </c>
      <c r="G2932" s="232"/>
    </row>
    <row r="2933">
      <c r="A2933" s="2"/>
      <c r="B2933" s="168" t="s">
        <v>230</v>
      </c>
      <c r="C2933" s="168" t="s">
        <v>3193</v>
      </c>
      <c r="D2933" s="229">
        <v>21.5</v>
      </c>
      <c r="E2933" s="229">
        <v>25.0</v>
      </c>
      <c r="F2933" s="230">
        <v>3.0</v>
      </c>
      <c r="G2933" s="232"/>
    </row>
    <row r="2934">
      <c r="A2934" s="2"/>
      <c r="B2934" s="168" t="s">
        <v>282</v>
      </c>
      <c r="C2934" s="168" t="s">
        <v>3194</v>
      </c>
      <c r="D2934" s="229">
        <v>34.5</v>
      </c>
      <c r="E2934" s="229">
        <v>38.0</v>
      </c>
      <c r="F2934" s="230">
        <v>3.0</v>
      </c>
      <c r="G2934" s="232"/>
    </row>
    <row r="2935">
      <c r="A2935" s="2"/>
      <c r="B2935" s="168" t="s">
        <v>269</v>
      </c>
      <c r="C2935" s="168" t="s">
        <v>3195</v>
      </c>
      <c r="D2935" s="229">
        <v>21.5</v>
      </c>
      <c r="E2935" s="229">
        <v>25.0</v>
      </c>
      <c r="F2935" s="230">
        <v>3.0</v>
      </c>
      <c r="G2935" s="232"/>
    </row>
    <row r="2936">
      <c r="A2936" s="2"/>
      <c r="B2936" s="168" t="s">
        <v>269</v>
      </c>
      <c r="C2936" s="168" t="s">
        <v>3196</v>
      </c>
      <c r="D2936" s="229">
        <v>26.5</v>
      </c>
      <c r="E2936" s="229">
        <v>30.0</v>
      </c>
      <c r="F2936" s="230">
        <v>3.0</v>
      </c>
      <c r="G2936" s="232"/>
    </row>
    <row r="2937">
      <c r="A2937" s="2"/>
      <c r="B2937" s="168" t="s">
        <v>269</v>
      </c>
      <c r="C2937" s="168" t="s">
        <v>3197</v>
      </c>
      <c r="D2937" s="229">
        <v>26.5</v>
      </c>
      <c r="E2937" s="229">
        <v>30.0</v>
      </c>
      <c r="F2937" s="230">
        <v>3.0</v>
      </c>
      <c r="G2937" s="232"/>
    </row>
    <row r="2938">
      <c r="A2938" s="2"/>
      <c r="B2938" s="168" t="s">
        <v>337</v>
      </c>
      <c r="C2938" s="168" t="s">
        <v>3198</v>
      </c>
      <c r="D2938" s="229">
        <v>20.5</v>
      </c>
      <c r="E2938" s="229">
        <v>24.0</v>
      </c>
      <c r="F2938" s="230">
        <v>3.0</v>
      </c>
      <c r="G2938" s="232"/>
    </row>
    <row r="2939">
      <c r="A2939" s="2"/>
      <c r="B2939" s="168" t="s">
        <v>241</v>
      </c>
      <c r="C2939" s="168" t="s">
        <v>3199</v>
      </c>
      <c r="D2939" s="229">
        <v>32.5</v>
      </c>
      <c r="E2939" s="229">
        <v>36.0</v>
      </c>
      <c r="F2939" s="230">
        <v>3.0</v>
      </c>
      <c r="G2939" s="232"/>
    </row>
    <row r="2940">
      <c r="A2940" s="2"/>
      <c r="B2940" s="168" t="s">
        <v>269</v>
      </c>
      <c r="C2940" s="168" t="s">
        <v>3200</v>
      </c>
      <c r="D2940" s="229">
        <v>26.5</v>
      </c>
      <c r="E2940" s="229">
        <v>30.0</v>
      </c>
      <c r="F2940" s="230">
        <v>3.0</v>
      </c>
      <c r="G2940" s="232"/>
    </row>
    <row r="2941">
      <c r="A2941" s="2"/>
      <c r="B2941" s="168" t="s">
        <v>290</v>
      </c>
      <c r="C2941" s="168" t="s">
        <v>3201</v>
      </c>
      <c r="D2941" s="229">
        <v>24.5</v>
      </c>
      <c r="E2941" s="229">
        <v>28.0</v>
      </c>
      <c r="F2941" s="230">
        <v>3.0</v>
      </c>
      <c r="G2941" s="232"/>
    </row>
    <row r="2942">
      <c r="A2942" s="2"/>
      <c r="B2942" s="168" t="s">
        <v>275</v>
      </c>
      <c r="C2942" s="168" t="s">
        <v>3202</v>
      </c>
      <c r="D2942" s="229">
        <v>26.5</v>
      </c>
      <c r="E2942" s="229">
        <v>30.0</v>
      </c>
      <c r="F2942" s="230">
        <v>3.0</v>
      </c>
      <c r="G2942" s="232"/>
    </row>
    <row r="2943">
      <c r="A2943" s="2"/>
      <c r="B2943" s="168" t="s">
        <v>255</v>
      </c>
      <c r="C2943" s="168" t="s">
        <v>3203</v>
      </c>
      <c r="D2943" s="229">
        <v>26.5</v>
      </c>
      <c r="E2943" s="229">
        <v>30.0</v>
      </c>
      <c r="F2943" s="230">
        <v>3.0</v>
      </c>
      <c r="G2943" s="232"/>
    </row>
    <row r="2944">
      <c r="A2944" s="2"/>
      <c r="B2944" s="168" t="s">
        <v>535</v>
      </c>
      <c r="C2944" s="168" t="s">
        <v>3204</v>
      </c>
      <c r="D2944" s="229">
        <v>26.5</v>
      </c>
      <c r="E2944" s="229">
        <v>30.0</v>
      </c>
      <c r="F2944" s="230">
        <v>3.0</v>
      </c>
      <c r="G2944" s="232"/>
    </row>
    <row r="2945">
      <c r="A2945" s="2"/>
      <c r="B2945" s="168" t="s">
        <v>290</v>
      </c>
      <c r="C2945" s="168" t="s">
        <v>3205</v>
      </c>
      <c r="D2945" s="229">
        <v>29.5</v>
      </c>
      <c r="E2945" s="229">
        <v>33.0</v>
      </c>
      <c r="F2945" s="230">
        <v>3.0</v>
      </c>
      <c r="G2945" s="232"/>
    </row>
    <row r="2946">
      <c r="A2946" s="2"/>
      <c r="B2946" s="168" t="s">
        <v>215</v>
      </c>
      <c r="C2946" s="168" t="s">
        <v>3206</v>
      </c>
      <c r="D2946" s="229">
        <v>19.5</v>
      </c>
      <c r="E2946" s="229">
        <v>23.0</v>
      </c>
      <c r="F2946" s="230">
        <v>3.0</v>
      </c>
      <c r="G2946" s="232"/>
    </row>
    <row r="2947">
      <c r="A2947" s="2"/>
      <c r="B2947" s="168" t="s">
        <v>430</v>
      </c>
      <c r="C2947" s="168" t="s">
        <v>3207</v>
      </c>
      <c r="D2947" s="229">
        <v>34.5</v>
      </c>
      <c r="E2947" s="229">
        <v>38.0</v>
      </c>
      <c r="F2947" s="230">
        <v>3.0</v>
      </c>
      <c r="G2947" s="232"/>
    </row>
    <row r="2948">
      <c r="A2948" s="2"/>
      <c r="B2948" s="168" t="s">
        <v>285</v>
      </c>
      <c r="C2948" s="168" t="s">
        <v>3208</v>
      </c>
      <c r="D2948" s="229">
        <v>24.5</v>
      </c>
      <c r="E2948" s="229">
        <v>28.0</v>
      </c>
      <c r="F2948" s="230">
        <v>3.0</v>
      </c>
      <c r="G2948" s="232"/>
    </row>
    <row r="2949">
      <c r="A2949" s="2"/>
      <c r="B2949" s="168" t="s">
        <v>232</v>
      </c>
      <c r="C2949" s="168" t="s">
        <v>3209</v>
      </c>
      <c r="D2949" s="229">
        <v>25.5</v>
      </c>
      <c r="E2949" s="229">
        <v>29.0</v>
      </c>
      <c r="F2949" s="230">
        <v>3.0</v>
      </c>
      <c r="G2949" s="232"/>
    </row>
    <row r="2950">
      <c r="A2950" s="2"/>
      <c r="B2950" s="168" t="s">
        <v>449</v>
      </c>
      <c r="C2950" s="168" t="s">
        <v>3210</v>
      </c>
      <c r="D2950" s="229">
        <v>28.5</v>
      </c>
      <c r="E2950" s="229">
        <v>32.0</v>
      </c>
      <c r="F2950" s="230">
        <v>3.0</v>
      </c>
      <c r="G2950" s="232"/>
    </row>
    <row r="2951">
      <c r="A2951" s="2"/>
      <c r="B2951" s="168" t="s">
        <v>341</v>
      </c>
      <c r="C2951" s="168" t="s">
        <v>3211</v>
      </c>
      <c r="D2951" s="229">
        <v>29.5</v>
      </c>
      <c r="E2951" s="229">
        <v>29.5</v>
      </c>
      <c r="F2951" s="230">
        <v>3.0</v>
      </c>
      <c r="G2951" s="232"/>
    </row>
    <row r="2952">
      <c r="A2952" s="2"/>
      <c r="B2952" s="168" t="s">
        <v>221</v>
      </c>
      <c r="C2952" s="168" t="s">
        <v>3212</v>
      </c>
      <c r="D2952" s="229">
        <v>22.5</v>
      </c>
      <c r="E2952" s="229">
        <v>26.0</v>
      </c>
      <c r="F2952" s="230">
        <v>3.0</v>
      </c>
      <c r="G2952" s="232"/>
    </row>
    <row r="2953">
      <c r="A2953" s="2"/>
      <c r="B2953" s="168" t="s">
        <v>255</v>
      </c>
      <c r="C2953" s="168" t="s">
        <v>3213</v>
      </c>
      <c r="D2953" s="229">
        <v>31.5</v>
      </c>
      <c r="E2953" s="229">
        <v>35.0</v>
      </c>
      <c r="F2953" s="230">
        <v>3.0</v>
      </c>
      <c r="G2953" s="232"/>
    </row>
    <row r="2954">
      <c r="A2954" s="2"/>
      <c r="B2954" s="168" t="s">
        <v>241</v>
      </c>
      <c r="C2954" s="168" t="s">
        <v>3214</v>
      </c>
      <c r="D2954" s="229">
        <v>32.5</v>
      </c>
      <c r="E2954" s="229">
        <v>36.0</v>
      </c>
      <c r="F2954" s="230">
        <v>3.0</v>
      </c>
      <c r="G2954" s="232"/>
    </row>
    <row r="2955">
      <c r="A2955" s="2"/>
      <c r="B2955" s="168" t="s">
        <v>288</v>
      </c>
      <c r="C2955" s="168" t="s">
        <v>3215</v>
      </c>
      <c r="D2955" s="229">
        <v>21.5</v>
      </c>
      <c r="E2955" s="229">
        <v>25.0</v>
      </c>
      <c r="F2955" s="230">
        <v>3.0</v>
      </c>
      <c r="G2955" s="232"/>
    </row>
    <row r="2956">
      <c r="A2956" s="2"/>
      <c r="B2956" s="168" t="s">
        <v>257</v>
      </c>
      <c r="C2956" s="168" t="s">
        <v>3216</v>
      </c>
      <c r="D2956" s="229">
        <v>28.5</v>
      </c>
      <c r="E2956" s="229">
        <v>32.0</v>
      </c>
      <c r="F2956" s="230">
        <v>3.0</v>
      </c>
      <c r="G2956" s="232"/>
    </row>
    <row r="2957">
      <c r="A2957" s="2"/>
      <c r="B2957" s="168" t="s">
        <v>348</v>
      </c>
      <c r="C2957" s="168" t="s">
        <v>3217</v>
      </c>
      <c r="D2957" s="229">
        <v>19.5</v>
      </c>
      <c r="E2957" s="229">
        <v>23.0</v>
      </c>
      <c r="F2957" s="230">
        <v>3.0</v>
      </c>
      <c r="G2957" s="232"/>
    </row>
    <row r="2958">
      <c r="A2958" s="2"/>
      <c r="B2958" s="168" t="s">
        <v>232</v>
      </c>
      <c r="C2958" s="168" t="s">
        <v>3218</v>
      </c>
      <c r="D2958" s="229">
        <v>25.0</v>
      </c>
      <c r="E2958" s="229">
        <v>28.5</v>
      </c>
      <c r="F2958" s="230">
        <v>3.0</v>
      </c>
      <c r="G2958" s="232"/>
    </row>
    <row r="2959">
      <c r="A2959" s="2"/>
      <c r="B2959" s="168" t="s">
        <v>456</v>
      </c>
      <c r="C2959" s="168" t="s">
        <v>3219</v>
      </c>
      <c r="D2959" s="229">
        <v>21.5</v>
      </c>
      <c r="E2959" s="229">
        <v>25.0</v>
      </c>
      <c r="F2959" s="230">
        <v>3.0</v>
      </c>
      <c r="G2959" s="232"/>
    </row>
    <row r="2960">
      <c r="A2960" s="2"/>
      <c r="B2960" s="168" t="s">
        <v>215</v>
      </c>
      <c r="C2960" s="168" t="s">
        <v>3220</v>
      </c>
      <c r="D2960" s="229">
        <v>28.5</v>
      </c>
      <c r="E2960" s="229">
        <v>32.0</v>
      </c>
      <c r="F2960" s="230">
        <v>3.0</v>
      </c>
      <c r="G2960" s="232"/>
    </row>
    <row r="2961">
      <c r="A2961" s="2"/>
      <c r="B2961" s="168" t="s">
        <v>386</v>
      </c>
      <c r="C2961" s="168" t="s">
        <v>3221</v>
      </c>
      <c r="D2961" s="229">
        <v>34.5</v>
      </c>
      <c r="E2961" s="229">
        <v>38.0</v>
      </c>
      <c r="F2961" s="230">
        <v>3.0</v>
      </c>
      <c r="G2961" s="232"/>
    </row>
    <row r="2962">
      <c r="A2962" s="2"/>
      <c r="B2962" s="168" t="s">
        <v>232</v>
      </c>
      <c r="C2962" s="168" t="s">
        <v>3222</v>
      </c>
      <c r="D2962" s="229">
        <v>27.5</v>
      </c>
      <c r="E2962" s="229">
        <v>31.0</v>
      </c>
      <c r="F2962" s="230">
        <v>3.0</v>
      </c>
      <c r="G2962" s="232"/>
    </row>
    <row r="2963">
      <c r="A2963" s="2"/>
      <c r="B2963" s="168" t="s">
        <v>241</v>
      </c>
      <c r="C2963" s="168" t="s">
        <v>3223</v>
      </c>
      <c r="D2963" s="229">
        <v>32.5</v>
      </c>
      <c r="E2963" s="229">
        <v>36.0</v>
      </c>
      <c r="F2963" s="230">
        <v>3.0</v>
      </c>
      <c r="G2963" s="232"/>
    </row>
    <row r="2964">
      <c r="A2964" s="2"/>
      <c r="B2964" s="168" t="s">
        <v>273</v>
      </c>
      <c r="C2964" s="168" t="s">
        <v>3224</v>
      </c>
      <c r="D2964" s="229">
        <v>29.5</v>
      </c>
      <c r="E2964" s="229">
        <v>33.0</v>
      </c>
      <c r="F2964" s="230">
        <v>3.0</v>
      </c>
      <c r="G2964" s="232"/>
    </row>
    <row r="2965">
      <c r="A2965" s="2"/>
      <c r="B2965" s="168" t="s">
        <v>255</v>
      </c>
      <c r="C2965" s="168" t="s">
        <v>3225</v>
      </c>
      <c r="D2965" s="229">
        <v>31.5</v>
      </c>
      <c r="E2965" s="229">
        <v>35.0</v>
      </c>
      <c r="F2965" s="230">
        <v>3.0</v>
      </c>
      <c r="G2965" s="232"/>
    </row>
    <row r="2966">
      <c r="A2966" s="2"/>
      <c r="B2966" s="168" t="s">
        <v>260</v>
      </c>
      <c r="C2966" s="168" t="s">
        <v>3226</v>
      </c>
      <c r="D2966" s="229">
        <v>28.5</v>
      </c>
      <c r="E2966" s="229">
        <v>32.0</v>
      </c>
      <c r="F2966" s="230">
        <v>3.0</v>
      </c>
      <c r="G2966" s="232"/>
    </row>
    <row r="2967">
      <c r="A2967" s="2"/>
      <c r="B2967" s="168" t="s">
        <v>217</v>
      </c>
      <c r="C2967" s="168" t="s">
        <v>3227</v>
      </c>
      <c r="D2967" s="229">
        <v>27.5</v>
      </c>
      <c r="E2967" s="229">
        <v>31.0</v>
      </c>
      <c r="F2967" s="230">
        <v>3.0</v>
      </c>
      <c r="G2967" s="232"/>
    </row>
    <row r="2968">
      <c r="A2968" s="2"/>
      <c r="B2968" s="168" t="s">
        <v>332</v>
      </c>
      <c r="C2968" s="168" t="s">
        <v>3228</v>
      </c>
      <c r="D2968" s="229">
        <v>28.5</v>
      </c>
      <c r="E2968" s="229">
        <v>32.0</v>
      </c>
      <c r="F2968" s="230">
        <v>3.0</v>
      </c>
      <c r="G2968" s="232"/>
    </row>
    <row r="2969">
      <c r="A2969" s="2"/>
      <c r="B2969" s="168" t="s">
        <v>381</v>
      </c>
      <c r="C2969" s="168" t="s">
        <v>3229</v>
      </c>
      <c r="D2969" s="229">
        <v>28.0</v>
      </c>
      <c r="E2969" s="229">
        <v>31.5</v>
      </c>
      <c r="F2969" s="230">
        <v>3.0</v>
      </c>
      <c r="G2969" s="232"/>
    </row>
    <row r="2970">
      <c r="A2970" s="2"/>
      <c r="B2970" s="168" t="s">
        <v>381</v>
      </c>
      <c r="C2970" s="168" t="s">
        <v>3230</v>
      </c>
      <c r="D2970" s="229">
        <v>28.5</v>
      </c>
      <c r="E2970" s="229">
        <v>32.0</v>
      </c>
      <c r="F2970" s="230">
        <v>3.0</v>
      </c>
      <c r="G2970" s="232"/>
    </row>
    <row r="2971">
      <c r="A2971" s="2"/>
      <c r="B2971" s="168" t="s">
        <v>273</v>
      </c>
      <c r="C2971" s="168" t="s">
        <v>3231</v>
      </c>
      <c r="D2971" s="229">
        <v>29.5</v>
      </c>
      <c r="E2971" s="229">
        <v>33.0</v>
      </c>
      <c r="F2971" s="230">
        <v>3.0</v>
      </c>
      <c r="G2971" s="232"/>
    </row>
    <row r="2972">
      <c r="A2972" s="2"/>
      <c r="B2972" s="168" t="s">
        <v>830</v>
      </c>
      <c r="C2972" s="168" t="s">
        <v>3232</v>
      </c>
      <c r="D2972" s="229">
        <v>24.5</v>
      </c>
      <c r="E2972" s="229">
        <v>28.0</v>
      </c>
      <c r="F2972" s="230">
        <v>3.0</v>
      </c>
      <c r="G2972" s="232"/>
    </row>
    <row r="2973">
      <c r="A2973" s="2"/>
      <c r="B2973" s="168" t="s">
        <v>1311</v>
      </c>
      <c r="C2973" s="168" t="s">
        <v>3233</v>
      </c>
      <c r="D2973" s="229">
        <v>28.5</v>
      </c>
      <c r="E2973" s="229">
        <v>32.0</v>
      </c>
      <c r="F2973" s="230">
        <v>3.0</v>
      </c>
      <c r="G2973" s="232"/>
    </row>
    <row r="2974">
      <c r="A2974" s="2"/>
      <c r="B2974" s="168" t="s">
        <v>230</v>
      </c>
      <c r="C2974" s="168" t="s">
        <v>3234</v>
      </c>
      <c r="D2974" s="229">
        <v>21.5</v>
      </c>
      <c r="E2974" s="229">
        <v>25.0</v>
      </c>
      <c r="F2974" s="230">
        <v>3.0</v>
      </c>
      <c r="G2974" s="232"/>
    </row>
    <row r="2975">
      <c r="A2975" s="2"/>
      <c r="B2975" s="168" t="s">
        <v>332</v>
      </c>
      <c r="C2975" s="168" t="s">
        <v>3235</v>
      </c>
      <c r="D2975" s="229">
        <v>28.5</v>
      </c>
      <c r="E2975" s="229">
        <v>32.0</v>
      </c>
      <c r="F2975" s="230">
        <v>3.0</v>
      </c>
      <c r="G2975" s="232"/>
    </row>
    <row r="2976">
      <c r="A2976" s="2"/>
      <c r="B2976" s="168" t="s">
        <v>368</v>
      </c>
      <c r="C2976" s="168" t="s">
        <v>3236</v>
      </c>
      <c r="D2976" s="229">
        <v>32.5</v>
      </c>
      <c r="E2976" s="229">
        <v>36.0</v>
      </c>
      <c r="F2976" s="230">
        <v>3.0</v>
      </c>
      <c r="G2976" s="232"/>
    </row>
    <row r="2977">
      <c r="A2977" s="2"/>
      <c r="B2977" s="168" t="s">
        <v>269</v>
      </c>
      <c r="C2977" s="168" t="s">
        <v>3237</v>
      </c>
      <c r="D2977" s="229">
        <v>26.5</v>
      </c>
      <c r="E2977" s="229">
        <v>30.0</v>
      </c>
      <c r="F2977" s="230">
        <v>3.0</v>
      </c>
      <c r="G2977" s="232"/>
    </row>
    <row r="2978">
      <c r="A2978" s="2"/>
      <c r="B2978" s="168" t="s">
        <v>535</v>
      </c>
      <c r="C2978" s="168" t="s">
        <v>3238</v>
      </c>
      <c r="D2978" s="229">
        <v>26.5</v>
      </c>
      <c r="E2978" s="229">
        <v>30.0</v>
      </c>
      <c r="F2978" s="230">
        <v>3.0</v>
      </c>
      <c r="G2978" s="232"/>
    </row>
    <row r="2979">
      <c r="A2979" s="2"/>
      <c r="B2979" s="168" t="s">
        <v>269</v>
      </c>
      <c r="C2979" s="168" t="s">
        <v>3239</v>
      </c>
      <c r="D2979" s="229">
        <v>21.5</v>
      </c>
      <c r="E2979" s="229">
        <v>25.0</v>
      </c>
      <c r="F2979" s="230">
        <v>3.0</v>
      </c>
      <c r="G2979" s="232"/>
    </row>
    <row r="2980">
      <c r="A2980" s="2"/>
      <c r="B2980" s="168" t="s">
        <v>290</v>
      </c>
      <c r="C2980" s="168" t="s">
        <v>3240</v>
      </c>
      <c r="D2980" s="229">
        <v>29.5</v>
      </c>
      <c r="E2980" s="229">
        <v>33.0</v>
      </c>
      <c r="F2980" s="230">
        <v>3.0</v>
      </c>
      <c r="G2980" s="232"/>
    </row>
    <row r="2981">
      <c r="A2981" s="2"/>
      <c r="B2981" s="168" t="s">
        <v>335</v>
      </c>
      <c r="C2981" s="168" t="s">
        <v>3241</v>
      </c>
      <c r="D2981" s="229">
        <v>34.5</v>
      </c>
      <c r="E2981" s="229">
        <v>38.0</v>
      </c>
      <c r="F2981" s="230">
        <v>3.0</v>
      </c>
      <c r="G2981" s="232"/>
    </row>
    <row r="2982">
      <c r="A2982" s="2"/>
      <c r="B2982" s="168" t="s">
        <v>260</v>
      </c>
      <c r="C2982" s="168" t="s">
        <v>3242</v>
      </c>
      <c r="D2982" s="229">
        <v>28.5</v>
      </c>
      <c r="E2982" s="229">
        <v>32.0</v>
      </c>
      <c r="F2982" s="230">
        <v>3.0</v>
      </c>
      <c r="G2982" s="232"/>
    </row>
    <row r="2983">
      <c r="A2983" s="2"/>
      <c r="B2983" s="168" t="s">
        <v>273</v>
      </c>
      <c r="C2983" s="168" t="s">
        <v>3243</v>
      </c>
      <c r="D2983" s="229">
        <v>29.5</v>
      </c>
      <c r="E2983" s="229">
        <v>33.0</v>
      </c>
      <c r="F2983" s="230">
        <v>3.0</v>
      </c>
      <c r="G2983" s="232"/>
    </row>
    <row r="2984">
      <c r="A2984" s="2"/>
      <c r="B2984" s="168" t="s">
        <v>241</v>
      </c>
      <c r="C2984" s="168" t="s">
        <v>3244</v>
      </c>
      <c r="D2984" s="229">
        <v>32.5</v>
      </c>
      <c r="E2984" s="229">
        <v>36.0</v>
      </c>
      <c r="F2984" s="230">
        <v>3.0</v>
      </c>
      <c r="G2984" s="232"/>
    </row>
    <row r="2985">
      <c r="A2985" s="2"/>
      <c r="B2985" s="168" t="s">
        <v>266</v>
      </c>
      <c r="C2985" s="168" t="s">
        <v>3245</v>
      </c>
      <c r="D2985" s="229">
        <v>33.0</v>
      </c>
      <c r="E2985" s="229">
        <v>33.0</v>
      </c>
      <c r="F2985" s="230">
        <v>3.0</v>
      </c>
      <c r="G2985" s="232"/>
    </row>
    <row r="2986">
      <c r="A2986" s="2"/>
      <c r="B2986" s="168" t="s">
        <v>217</v>
      </c>
      <c r="C2986" s="168" t="s">
        <v>3246</v>
      </c>
      <c r="D2986" s="229">
        <v>22.5</v>
      </c>
      <c r="E2986" s="229">
        <v>26.0</v>
      </c>
      <c r="F2986" s="230">
        <v>3.0</v>
      </c>
      <c r="G2986" s="232"/>
    </row>
    <row r="2987">
      <c r="A2987" s="2"/>
      <c r="B2987" s="168" t="s">
        <v>345</v>
      </c>
      <c r="C2987" s="168" t="s">
        <v>3247</v>
      </c>
      <c r="D2987" s="229">
        <v>21.5</v>
      </c>
      <c r="E2987" s="229">
        <v>25.0</v>
      </c>
      <c r="F2987" s="230">
        <v>3.0</v>
      </c>
      <c r="G2987" s="232"/>
    </row>
    <row r="2988">
      <c r="A2988" s="2"/>
      <c r="B2988" s="168" t="s">
        <v>282</v>
      </c>
      <c r="C2988" s="168" t="s">
        <v>3248</v>
      </c>
      <c r="D2988" s="229">
        <v>34.5</v>
      </c>
      <c r="E2988" s="229">
        <v>38.0</v>
      </c>
      <c r="F2988" s="230">
        <v>3.0</v>
      </c>
      <c r="G2988" s="232"/>
    </row>
    <row r="2989">
      <c r="A2989" s="2"/>
      <c r="B2989" s="168" t="s">
        <v>230</v>
      </c>
      <c r="C2989" s="168" t="s">
        <v>3249</v>
      </c>
      <c r="D2989" s="229">
        <v>21.5</v>
      </c>
      <c r="E2989" s="229">
        <v>25.0</v>
      </c>
      <c r="F2989" s="230">
        <v>3.0</v>
      </c>
      <c r="G2989" s="232"/>
    </row>
    <row r="2990">
      <c r="A2990" s="2"/>
      <c r="B2990" s="168" t="s">
        <v>217</v>
      </c>
      <c r="C2990" s="168" t="s">
        <v>3250</v>
      </c>
      <c r="D2990" s="229">
        <v>27.5</v>
      </c>
      <c r="E2990" s="229">
        <v>31.0</v>
      </c>
      <c r="F2990" s="230">
        <v>3.0</v>
      </c>
      <c r="G2990" s="232"/>
    </row>
    <row r="2991">
      <c r="A2991" s="2"/>
      <c r="B2991" s="168" t="s">
        <v>811</v>
      </c>
      <c r="C2991" s="168" t="s">
        <v>3251</v>
      </c>
      <c r="D2991" s="229">
        <v>29.5</v>
      </c>
      <c r="E2991" s="229">
        <v>33.0</v>
      </c>
      <c r="F2991" s="230">
        <v>3.0</v>
      </c>
      <c r="G2991" s="232"/>
    </row>
    <row r="2992">
      <c r="A2992" s="2"/>
      <c r="B2992" s="168" t="s">
        <v>290</v>
      </c>
      <c r="C2992" s="168" t="s">
        <v>3252</v>
      </c>
      <c r="D2992" s="229">
        <v>29.5</v>
      </c>
      <c r="E2992" s="229">
        <v>33.0</v>
      </c>
      <c r="F2992" s="230">
        <v>3.0</v>
      </c>
      <c r="G2992" s="232"/>
    </row>
    <row r="2993">
      <c r="A2993" s="2"/>
      <c r="B2993" s="168" t="s">
        <v>217</v>
      </c>
      <c r="C2993" s="168" t="s">
        <v>3253</v>
      </c>
      <c r="D2993" s="229">
        <v>22.5</v>
      </c>
      <c r="E2993" s="229">
        <v>26.0</v>
      </c>
      <c r="F2993" s="230">
        <v>3.0</v>
      </c>
      <c r="G2993" s="232"/>
    </row>
    <row r="2994">
      <c r="A2994" s="2"/>
      <c r="B2994" s="168" t="s">
        <v>269</v>
      </c>
      <c r="C2994" s="168" t="s">
        <v>3254</v>
      </c>
      <c r="D2994" s="229">
        <v>26.5</v>
      </c>
      <c r="E2994" s="229">
        <v>30.0</v>
      </c>
      <c r="F2994" s="230">
        <v>3.0</v>
      </c>
      <c r="G2994" s="232"/>
    </row>
    <row r="2995">
      <c r="A2995" s="2"/>
      <c r="B2995" s="168" t="s">
        <v>296</v>
      </c>
      <c r="C2995" s="168" t="s">
        <v>3255</v>
      </c>
      <c r="D2995" s="229">
        <v>26.5</v>
      </c>
      <c r="E2995" s="229">
        <v>30.0</v>
      </c>
      <c r="F2995" s="230">
        <v>3.0</v>
      </c>
      <c r="G2995" s="232"/>
    </row>
    <row r="2996">
      <c r="A2996" s="2"/>
      <c r="B2996" s="168" t="s">
        <v>368</v>
      </c>
      <c r="C2996" s="168" t="s">
        <v>3256</v>
      </c>
      <c r="D2996" s="229">
        <v>32.5</v>
      </c>
      <c r="E2996" s="229">
        <v>36.0</v>
      </c>
      <c r="F2996" s="230">
        <v>3.0</v>
      </c>
      <c r="G2996" s="232"/>
    </row>
    <row r="2997">
      <c r="A2997" s="2"/>
      <c r="B2997" s="168" t="s">
        <v>318</v>
      </c>
      <c r="C2997" s="168" t="s">
        <v>3257</v>
      </c>
      <c r="D2997" s="229">
        <v>25.5</v>
      </c>
      <c r="E2997" s="229">
        <v>29.0</v>
      </c>
      <c r="F2997" s="230">
        <v>3.0</v>
      </c>
      <c r="G2997" s="232"/>
    </row>
    <row r="2998">
      <c r="A2998" s="2"/>
      <c r="B2998" s="168" t="s">
        <v>260</v>
      </c>
      <c r="C2998" s="168" t="s">
        <v>3258</v>
      </c>
      <c r="D2998" s="229">
        <v>28.5</v>
      </c>
      <c r="E2998" s="229">
        <v>32.0</v>
      </c>
      <c r="F2998" s="230">
        <v>3.0</v>
      </c>
      <c r="G2998" s="232"/>
    </row>
    <row r="2999">
      <c r="A2999" s="2"/>
      <c r="B2999" s="168" t="s">
        <v>247</v>
      </c>
      <c r="C2999" s="168" t="s">
        <v>3259</v>
      </c>
      <c r="D2999" s="229">
        <v>19.5</v>
      </c>
      <c r="E2999" s="229">
        <v>23.0</v>
      </c>
      <c r="F2999" s="230">
        <v>3.0</v>
      </c>
      <c r="G2999" s="232"/>
    </row>
    <row r="3000">
      <c r="A3000" s="2"/>
      <c r="B3000" s="168" t="s">
        <v>269</v>
      </c>
      <c r="C3000" s="168" t="s">
        <v>3260</v>
      </c>
      <c r="D3000" s="229">
        <v>26.5</v>
      </c>
      <c r="E3000" s="229">
        <v>30.0</v>
      </c>
      <c r="F3000" s="230">
        <v>3.0</v>
      </c>
      <c r="G3000" s="232"/>
    </row>
    <row r="3001">
      <c r="A3001" s="2"/>
      <c r="B3001" s="168" t="s">
        <v>245</v>
      </c>
      <c r="C3001" s="168" t="s">
        <v>3261</v>
      </c>
      <c r="D3001" s="229">
        <v>28.5</v>
      </c>
      <c r="E3001" s="229">
        <v>32.0</v>
      </c>
      <c r="F3001" s="230">
        <v>3.0</v>
      </c>
      <c r="G3001" s="232"/>
    </row>
    <row r="3002">
      <c r="A3002" s="2"/>
      <c r="B3002" s="168" t="s">
        <v>269</v>
      </c>
      <c r="C3002" s="168" t="s">
        <v>3262</v>
      </c>
      <c r="D3002" s="229">
        <v>26.5</v>
      </c>
      <c r="E3002" s="229">
        <v>30.0</v>
      </c>
      <c r="F3002" s="230">
        <v>3.0</v>
      </c>
      <c r="G3002" s="232"/>
    </row>
    <row r="3003">
      <c r="A3003" s="2"/>
      <c r="B3003" s="168" t="s">
        <v>377</v>
      </c>
      <c r="C3003" s="168" t="s">
        <v>3263</v>
      </c>
      <c r="D3003" s="229">
        <v>29.5</v>
      </c>
      <c r="E3003" s="229">
        <v>33.0</v>
      </c>
      <c r="F3003" s="230">
        <v>3.0</v>
      </c>
      <c r="G3003" s="232"/>
    </row>
    <row r="3004">
      <c r="A3004" s="2"/>
      <c r="B3004" s="168" t="s">
        <v>230</v>
      </c>
      <c r="C3004" s="168" t="s">
        <v>3264</v>
      </c>
      <c r="D3004" s="229">
        <v>21.5</v>
      </c>
      <c r="E3004" s="229">
        <v>25.0</v>
      </c>
      <c r="F3004" s="230">
        <v>3.0</v>
      </c>
      <c r="G3004" s="232"/>
    </row>
    <row r="3005">
      <c r="A3005" s="2"/>
      <c r="B3005" s="168" t="s">
        <v>255</v>
      </c>
      <c r="C3005" s="168" t="s">
        <v>3265</v>
      </c>
      <c r="D3005" s="229">
        <v>31.5</v>
      </c>
      <c r="E3005" s="229">
        <v>35.0</v>
      </c>
      <c r="F3005" s="230">
        <v>3.0</v>
      </c>
      <c r="G3005" s="232"/>
    </row>
    <row r="3006">
      <c r="A3006" s="2"/>
      <c r="B3006" s="168" t="s">
        <v>285</v>
      </c>
      <c r="C3006" s="168" t="s">
        <v>3266</v>
      </c>
      <c r="D3006" s="229">
        <v>24.5</v>
      </c>
      <c r="E3006" s="229">
        <v>28.0</v>
      </c>
      <c r="F3006" s="230">
        <v>3.0</v>
      </c>
      <c r="G3006" s="232"/>
    </row>
    <row r="3007">
      <c r="A3007" s="2"/>
      <c r="B3007" s="168" t="s">
        <v>684</v>
      </c>
      <c r="C3007" s="168" t="s">
        <v>3267</v>
      </c>
      <c r="D3007" s="229">
        <v>25.5</v>
      </c>
      <c r="E3007" s="229">
        <v>29.0</v>
      </c>
      <c r="F3007" s="230">
        <v>3.0</v>
      </c>
      <c r="G3007" s="232"/>
    </row>
    <row r="3008">
      <c r="A3008" s="2"/>
      <c r="B3008" s="168" t="s">
        <v>574</v>
      </c>
      <c r="C3008" s="168" t="s">
        <v>3268</v>
      </c>
      <c r="D3008" s="229">
        <v>34.5</v>
      </c>
      <c r="E3008" s="229">
        <v>38.0</v>
      </c>
      <c r="F3008" s="230">
        <v>3.0</v>
      </c>
      <c r="G3008" s="232"/>
    </row>
    <row r="3009">
      <c r="A3009" s="2"/>
      <c r="B3009" s="168" t="s">
        <v>337</v>
      </c>
      <c r="C3009" s="168" t="s">
        <v>3269</v>
      </c>
      <c r="D3009" s="229">
        <v>28.5</v>
      </c>
      <c r="E3009" s="229">
        <v>32.0</v>
      </c>
      <c r="F3009" s="230">
        <v>3.0</v>
      </c>
      <c r="G3009" s="232"/>
    </row>
    <row r="3010">
      <c r="A3010" s="2"/>
      <c r="B3010" s="168" t="s">
        <v>535</v>
      </c>
      <c r="C3010" s="168" t="s">
        <v>3270</v>
      </c>
      <c r="D3010" s="229">
        <v>26.5</v>
      </c>
      <c r="E3010" s="229">
        <v>30.0</v>
      </c>
      <c r="F3010" s="230">
        <v>3.0</v>
      </c>
      <c r="G3010" s="232"/>
    </row>
    <row r="3011">
      <c r="A3011" s="2"/>
      <c r="B3011" s="168" t="s">
        <v>273</v>
      </c>
      <c r="C3011" s="168" t="s">
        <v>3271</v>
      </c>
      <c r="D3011" s="229">
        <v>24.5</v>
      </c>
      <c r="E3011" s="229">
        <v>28.0</v>
      </c>
      <c r="F3011" s="230">
        <v>3.0</v>
      </c>
      <c r="G3011" s="232"/>
    </row>
    <row r="3012">
      <c r="A3012" s="2"/>
      <c r="B3012" s="168" t="s">
        <v>290</v>
      </c>
      <c r="C3012" s="168" t="s">
        <v>3272</v>
      </c>
      <c r="D3012" s="229">
        <v>29.5</v>
      </c>
      <c r="E3012" s="229">
        <v>33.0</v>
      </c>
      <c r="F3012" s="230">
        <v>3.0</v>
      </c>
      <c r="G3012" s="232"/>
    </row>
    <row r="3013">
      <c r="A3013" s="2"/>
      <c r="B3013" s="168" t="s">
        <v>241</v>
      </c>
      <c r="C3013" s="168" t="s">
        <v>3273</v>
      </c>
      <c r="D3013" s="229">
        <v>32.5</v>
      </c>
      <c r="E3013" s="229">
        <v>36.0</v>
      </c>
      <c r="F3013" s="230">
        <v>3.0</v>
      </c>
      <c r="G3013" s="232"/>
    </row>
    <row r="3014">
      <c r="A3014" s="2"/>
      <c r="B3014" s="168" t="s">
        <v>215</v>
      </c>
      <c r="C3014" s="168" t="s">
        <v>3274</v>
      </c>
      <c r="D3014" s="229">
        <v>20.5</v>
      </c>
      <c r="E3014" s="229">
        <v>24.0</v>
      </c>
      <c r="F3014" s="230">
        <v>3.0</v>
      </c>
      <c r="G3014" s="232"/>
    </row>
    <row r="3015">
      <c r="A3015" s="2"/>
      <c r="B3015" s="168" t="s">
        <v>243</v>
      </c>
      <c r="C3015" s="168" t="s">
        <v>3275</v>
      </c>
      <c r="D3015" s="229">
        <v>24.5</v>
      </c>
      <c r="E3015" s="229">
        <v>28.0</v>
      </c>
      <c r="F3015" s="230">
        <v>3.0</v>
      </c>
      <c r="G3015" s="232"/>
    </row>
    <row r="3016">
      <c r="A3016" s="2"/>
      <c r="B3016" s="168" t="s">
        <v>269</v>
      </c>
      <c r="C3016" s="168" t="s">
        <v>3276</v>
      </c>
      <c r="D3016" s="229">
        <v>26.5</v>
      </c>
      <c r="E3016" s="229">
        <v>30.0</v>
      </c>
      <c r="F3016" s="230">
        <v>3.0</v>
      </c>
      <c r="G3016" s="232"/>
    </row>
    <row r="3017">
      <c r="A3017" s="2"/>
      <c r="B3017" s="168" t="s">
        <v>219</v>
      </c>
      <c r="C3017" s="168" t="s">
        <v>3277</v>
      </c>
      <c r="D3017" s="229">
        <v>28.5</v>
      </c>
      <c r="E3017" s="229">
        <v>32.0</v>
      </c>
      <c r="F3017" s="230">
        <v>3.0</v>
      </c>
      <c r="G3017" s="232"/>
    </row>
    <row r="3018">
      <c r="A3018" s="2"/>
      <c r="B3018" s="168" t="s">
        <v>215</v>
      </c>
      <c r="C3018" s="168" t="s">
        <v>3278</v>
      </c>
      <c r="D3018" s="229">
        <v>27.5</v>
      </c>
      <c r="E3018" s="229">
        <v>31.0</v>
      </c>
      <c r="F3018" s="230">
        <v>3.0</v>
      </c>
      <c r="G3018" s="232"/>
    </row>
    <row r="3019">
      <c r="A3019" s="2"/>
      <c r="B3019" s="168" t="s">
        <v>438</v>
      </c>
      <c r="C3019" s="168" t="s">
        <v>3279</v>
      </c>
      <c r="D3019" s="229">
        <v>29.5</v>
      </c>
      <c r="E3019" s="229">
        <v>33.0</v>
      </c>
      <c r="F3019" s="230">
        <v>3.0</v>
      </c>
      <c r="G3019" s="232"/>
    </row>
    <row r="3020">
      <c r="A3020" s="2"/>
      <c r="B3020" s="168" t="s">
        <v>230</v>
      </c>
      <c r="C3020" s="168" t="s">
        <v>3280</v>
      </c>
      <c r="D3020" s="229">
        <v>21.5</v>
      </c>
      <c r="E3020" s="229">
        <v>25.0</v>
      </c>
      <c r="F3020" s="230">
        <v>3.0</v>
      </c>
      <c r="G3020" s="232"/>
    </row>
    <row r="3021">
      <c r="A3021" s="2"/>
      <c r="B3021" s="168" t="s">
        <v>217</v>
      </c>
      <c r="C3021" s="168" t="s">
        <v>3281</v>
      </c>
      <c r="D3021" s="229">
        <v>27.5</v>
      </c>
      <c r="E3021" s="229">
        <v>31.0</v>
      </c>
      <c r="F3021" s="230">
        <v>3.0</v>
      </c>
      <c r="G3021" s="232"/>
    </row>
    <row r="3022">
      <c r="A3022" s="2"/>
      <c r="B3022" s="168" t="s">
        <v>332</v>
      </c>
      <c r="C3022" s="168" t="s">
        <v>3282</v>
      </c>
      <c r="D3022" s="229">
        <v>23.5</v>
      </c>
      <c r="E3022" s="229">
        <v>27.0</v>
      </c>
      <c r="F3022" s="230">
        <v>3.0</v>
      </c>
      <c r="G3022" s="232"/>
    </row>
    <row r="3023">
      <c r="A3023" s="2"/>
      <c r="B3023" s="168" t="s">
        <v>288</v>
      </c>
      <c r="C3023" s="168" t="s">
        <v>3283</v>
      </c>
      <c r="D3023" s="229">
        <v>21.5</v>
      </c>
      <c r="E3023" s="229">
        <v>25.0</v>
      </c>
      <c r="F3023" s="230">
        <v>3.0</v>
      </c>
      <c r="G3023" s="232"/>
    </row>
    <row r="3024">
      <c r="A3024" s="2"/>
      <c r="B3024" s="168" t="s">
        <v>300</v>
      </c>
      <c r="C3024" s="168" t="s">
        <v>3284</v>
      </c>
      <c r="D3024" s="229">
        <v>22.5</v>
      </c>
      <c r="E3024" s="229">
        <v>26.0</v>
      </c>
      <c r="F3024" s="230">
        <v>3.0</v>
      </c>
      <c r="G3024" s="232"/>
    </row>
    <row r="3025">
      <c r="A3025" s="2"/>
      <c r="B3025" s="168" t="s">
        <v>230</v>
      </c>
      <c r="C3025" s="168" t="s">
        <v>3285</v>
      </c>
      <c r="D3025" s="229">
        <v>21.5</v>
      </c>
      <c r="E3025" s="229">
        <v>25.0</v>
      </c>
      <c r="F3025" s="230">
        <v>3.0</v>
      </c>
      <c r="G3025" s="232"/>
    </row>
    <row r="3026">
      <c r="A3026" s="2"/>
      <c r="B3026" s="168" t="s">
        <v>217</v>
      </c>
      <c r="C3026" s="168" t="s">
        <v>3286</v>
      </c>
      <c r="D3026" s="229">
        <v>27.5</v>
      </c>
      <c r="E3026" s="229">
        <v>31.0</v>
      </c>
      <c r="F3026" s="230">
        <v>3.0</v>
      </c>
      <c r="G3026" s="232"/>
    </row>
    <row r="3027">
      <c r="A3027" s="2"/>
      <c r="B3027" s="168" t="s">
        <v>230</v>
      </c>
      <c r="C3027" s="168" t="s">
        <v>3287</v>
      </c>
      <c r="D3027" s="229">
        <v>16.5</v>
      </c>
      <c r="E3027" s="229">
        <v>20.0</v>
      </c>
      <c r="F3027" s="230">
        <v>3.0</v>
      </c>
      <c r="G3027" s="232"/>
    </row>
    <row r="3028">
      <c r="A3028" s="2"/>
      <c r="B3028" s="168" t="s">
        <v>381</v>
      </c>
      <c r="C3028" s="168" t="s">
        <v>3288</v>
      </c>
      <c r="D3028" s="229">
        <v>28.5</v>
      </c>
      <c r="E3028" s="229">
        <v>32.0</v>
      </c>
      <c r="F3028" s="230">
        <v>3.0</v>
      </c>
      <c r="G3028" s="232"/>
    </row>
    <row r="3029">
      <c r="A3029" s="2"/>
      <c r="B3029" s="168" t="s">
        <v>243</v>
      </c>
      <c r="C3029" s="168" t="s">
        <v>3289</v>
      </c>
      <c r="D3029" s="229">
        <v>29.5</v>
      </c>
      <c r="E3029" s="229">
        <v>33.0</v>
      </c>
      <c r="F3029" s="230">
        <v>3.0</v>
      </c>
      <c r="G3029" s="232"/>
    </row>
    <row r="3030">
      <c r="A3030" s="2"/>
      <c r="B3030" s="168" t="s">
        <v>255</v>
      </c>
      <c r="C3030" s="168" t="s">
        <v>3290</v>
      </c>
      <c r="D3030" s="229">
        <v>31.0</v>
      </c>
      <c r="E3030" s="229">
        <v>34.5</v>
      </c>
      <c r="F3030" s="230">
        <v>3.0</v>
      </c>
      <c r="G3030" s="232"/>
    </row>
    <row r="3031">
      <c r="A3031" s="2"/>
      <c r="B3031" s="168" t="s">
        <v>811</v>
      </c>
      <c r="C3031" s="168" t="s">
        <v>3291</v>
      </c>
      <c r="D3031" s="229">
        <v>29.5</v>
      </c>
      <c r="E3031" s="229">
        <v>33.0</v>
      </c>
      <c r="F3031" s="230">
        <v>3.0</v>
      </c>
      <c r="G3031" s="232"/>
    </row>
    <row r="3032">
      <c r="A3032" s="2"/>
      <c r="B3032" s="168" t="s">
        <v>275</v>
      </c>
      <c r="C3032" s="168" t="s">
        <v>3292</v>
      </c>
      <c r="D3032" s="229">
        <v>26.5</v>
      </c>
      <c r="E3032" s="229">
        <v>30.0</v>
      </c>
      <c r="F3032" s="230">
        <v>3.0</v>
      </c>
      <c r="G3032" s="232"/>
    </row>
    <row r="3033">
      <c r="A3033" s="2"/>
      <c r="B3033" s="168" t="s">
        <v>341</v>
      </c>
      <c r="C3033" s="168" t="s">
        <v>3293</v>
      </c>
      <c r="D3033" s="229">
        <v>29.5</v>
      </c>
      <c r="E3033" s="229">
        <v>29.5</v>
      </c>
      <c r="F3033" s="230">
        <v>3.0</v>
      </c>
      <c r="G3033" s="232"/>
    </row>
    <row r="3034">
      <c r="A3034" s="2"/>
      <c r="B3034" s="168" t="s">
        <v>221</v>
      </c>
      <c r="C3034" s="168" t="s">
        <v>3294</v>
      </c>
      <c r="D3034" s="229">
        <v>27.5</v>
      </c>
      <c r="E3034" s="229">
        <v>31.0</v>
      </c>
      <c r="F3034" s="230">
        <v>3.0</v>
      </c>
      <c r="G3034" s="232"/>
    </row>
    <row r="3035">
      <c r="A3035" s="2"/>
      <c r="B3035" s="168" t="s">
        <v>377</v>
      </c>
      <c r="C3035" s="168" t="s">
        <v>3295</v>
      </c>
      <c r="D3035" s="229">
        <v>29.5</v>
      </c>
      <c r="E3035" s="229">
        <v>33.0</v>
      </c>
      <c r="F3035" s="230">
        <v>3.0</v>
      </c>
      <c r="G3035" s="232"/>
    </row>
    <row r="3036">
      <c r="A3036" s="2"/>
      <c r="B3036" s="168" t="s">
        <v>341</v>
      </c>
      <c r="C3036" s="168" t="s">
        <v>3296</v>
      </c>
      <c r="D3036" s="229">
        <v>29.5</v>
      </c>
      <c r="E3036" s="229">
        <v>29.5</v>
      </c>
      <c r="F3036" s="230">
        <v>3.0</v>
      </c>
      <c r="G3036" s="232"/>
    </row>
    <row r="3037">
      <c r="A3037" s="2"/>
      <c r="B3037" s="168" t="s">
        <v>269</v>
      </c>
      <c r="C3037" s="168" t="s">
        <v>3297</v>
      </c>
      <c r="D3037" s="229">
        <v>26.5</v>
      </c>
      <c r="E3037" s="229">
        <v>30.0</v>
      </c>
      <c r="F3037" s="230">
        <v>3.0</v>
      </c>
      <c r="G3037" s="232"/>
    </row>
    <row r="3038">
      <c r="A3038" s="2"/>
      <c r="B3038" s="168" t="s">
        <v>230</v>
      </c>
      <c r="C3038" s="168" t="s">
        <v>3298</v>
      </c>
      <c r="D3038" s="229">
        <v>16.5</v>
      </c>
      <c r="E3038" s="229">
        <v>20.0</v>
      </c>
      <c r="F3038" s="230">
        <v>3.0</v>
      </c>
      <c r="G3038" s="232"/>
    </row>
    <row r="3039">
      <c r="A3039" s="2"/>
      <c r="B3039" s="168" t="s">
        <v>273</v>
      </c>
      <c r="C3039" s="168" t="s">
        <v>3299</v>
      </c>
      <c r="D3039" s="229">
        <v>29.5</v>
      </c>
      <c r="E3039" s="229">
        <v>33.0</v>
      </c>
      <c r="F3039" s="230">
        <v>3.0</v>
      </c>
      <c r="G3039" s="232"/>
    </row>
    <row r="3040">
      <c r="A3040" s="2"/>
      <c r="B3040" s="168" t="s">
        <v>937</v>
      </c>
      <c r="C3040" s="168" t="s">
        <v>3300</v>
      </c>
      <c r="D3040" s="229">
        <v>21.5</v>
      </c>
      <c r="E3040" s="229">
        <v>25.0</v>
      </c>
      <c r="F3040" s="230">
        <v>3.0</v>
      </c>
      <c r="G3040" s="232"/>
    </row>
    <row r="3041">
      <c r="A3041" s="2"/>
      <c r="B3041" s="168" t="s">
        <v>221</v>
      </c>
      <c r="C3041" s="168" t="s">
        <v>3301</v>
      </c>
      <c r="D3041" s="229">
        <v>27.5</v>
      </c>
      <c r="E3041" s="229">
        <v>31.0</v>
      </c>
      <c r="F3041" s="230">
        <v>3.0</v>
      </c>
      <c r="G3041" s="232"/>
    </row>
    <row r="3042">
      <c r="A3042" s="2"/>
      <c r="B3042" s="168" t="s">
        <v>215</v>
      </c>
      <c r="C3042" s="168" t="s">
        <v>3302</v>
      </c>
      <c r="D3042" s="229">
        <v>27.5</v>
      </c>
      <c r="E3042" s="229">
        <v>31.0</v>
      </c>
      <c r="F3042" s="230">
        <v>3.0</v>
      </c>
      <c r="G3042" s="232"/>
    </row>
    <row r="3043">
      <c r="A3043" s="2"/>
      <c r="B3043" s="168" t="s">
        <v>337</v>
      </c>
      <c r="C3043" s="168" t="s">
        <v>3303</v>
      </c>
      <c r="D3043" s="229">
        <v>23.5</v>
      </c>
      <c r="E3043" s="229">
        <v>27.0</v>
      </c>
      <c r="F3043" s="230">
        <v>3.0</v>
      </c>
      <c r="G3043" s="232"/>
    </row>
    <row r="3044">
      <c r="A3044" s="2"/>
      <c r="B3044" s="168" t="s">
        <v>217</v>
      </c>
      <c r="C3044" s="168" t="s">
        <v>3304</v>
      </c>
      <c r="D3044" s="229">
        <v>27.0</v>
      </c>
      <c r="E3044" s="229">
        <v>30.5</v>
      </c>
      <c r="F3044" s="230">
        <v>3.0</v>
      </c>
      <c r="G3044" s="232"/>
    </row>
    <row r="3045">
      <c r="A3045" s="2"/>
      <c r="B3045" s="168" t="s">
        <v>217</v>
      </c>
      <c r="C3045" s="168" t="s">
        <v>3305</v>
      </c>
      <c r="D3045" s="229">
        <v>27.0</v>
      </c>
      <c r="E3045" s="229">
        <v>30.5</v>
      </c>
      <c r="F3045" s="230">
        <v>3.0</v>
      </c>
      <c r="G3045" s="232"/>
    </row>
    <row r="3046">
      <c r="A3046" s="2"/>
      <c r="B3046" s="168" t="s">
        <v>280</v>
      </c>
      <c r="C3046" s="168" t="s">
        <v>3306</v>
      </c>
      <c r="D3046" s="229">
        <v>23.5</v>
      </c>
      <c r="E3046" s="229">
        <v>27.0</v>
      </c>
      <c r="F3046" s="230">
        <v>3.0</v>
      </c>
      <c r="G3046" s="232"/>
    </row>
    <row r="3047">
      <c r="A3047" s="2"/>
      <c r="B3047" s="168" t="s">
        <v>257</v>
      </c>
      <c r="C3047" s="168" t="s">
        <v>3307</v>
      </c>
      <c r="D3047" s="229">
        <v>28.5</v>
      </c>
      <c r="E3047" s="229">
        <v>32.0</v>
      </c>
      <c r="F3047" s="230">
        <v>3.0</v>
      </c>
      <c r="G3047" s="232"/>
    </row>
    <row r="3048">
      <c r="A3048" s="2"/>
      <c r="B3048" s="168" t="s">
        <v>230</v>
      </c>
      <c r="C3048" s="168" t="s">
        <v>3308</v>
      </c>
      <c r="D3048" s="229">
        <v>21.5</v>
      </c>
      <c r="E3048" s="229">
        <v>25.0</v>
      </c>
      <c r="F3048" s="230">
        <v>3.0</v>
      </c>
      <c r="G3048" s="232"/>
    </row>
    <row r="3049">
      <c r="A3049" s="2"/>
      <c r="B3049" s="168" t="s">
        <v>273</v>
      </c>
      <c r="C3049" s="168" t="s">
        <v>3309</v>
      </c>
      <c r="D3049" s="229">
        <v>29.5</v>
      </c>
      <c r="E3049" s="229">
        <v>33.0</v>
      </c>
      <c r="F3049" s="230">
        <v>3.0</v>
      </c>
      <c r="G3049" s="232"/>
    </row>
    <row r="3050">
      <c r="A3050" s="2"/>
      <c r="B3050" s="168" t="s">
        <v>241</v>
      </c>
      <c r="C3050" s="168" t="s">
        <v>3310</v>
      </c>
      <c r="D3050" s="229">
        <v>32.5</v>
      </c>
      <c r="E3050" s="229">
        <v>36.0</v>
      </c>
      <c r="F3050" s="230">
        <v>3.0</v>
      </c>
      <c r="G3050" s="232"/>
    </row>
    <row r="3051">
      <c r="A3051" s="2"/>
      <c r="B3051" s="168" t="s">
        <v>290</v>
      </c>
      <c r="C3051" s="168" t="s">
        <v>3311</v>
      </c>
      <c r="D3051" s="229">
        <v>29.5</v>
      </c>
      <c r="E3051" s="229">
        <v>33.0</v>
      </c>
      <c r="F3051" s="230">
        <v>3.0</v>
      </c>
      <c r="G3051" s="232"/>
    </row>
    <row r="3052">
      <c r="A3052" s="2"/>
      <c r="B3052" s="168" t="s">
        <v>221</v>
      </c>
      <c r="C3052" s="168" t="s">
        <v>3312</v>
      </c>
      <c r="D3052" s="229">
        <v>27.5</v>
      </c>
      <c r="E3052" s="229">
        <v>31.0</v>
      </c>
      <c r="F3052" s="230">
        <v>3.0</v>
      </c>
      <c r="G3052" s="232"/>
    </row>
    <row r="3053">
      <c r="A3053" s="2"/>
      <c r="B3053" s="168" t="s">
        <v>335</v>
      </c>
      <c r="C3053" s="168" t="s">
        <v>3313</v>
      </c>
      <c r="D3053" s="229">
        <v>34.5</v>
      </c>
      <c r="E3053" s="229">
        <v>38.0</v>
      </c>
      <c r="F3053" s="230">
        <v>3.0</v>
      </c>
      <c r="G3053" s="232"/>
    </row>
    <row r="3054">
      <c r="A3054" s="2"/>
      <c r="B3054" s="168" t="s">
        <v>260</v>
      </c>
      <c r="C3054" s="168" t="s">
        <v>3314</v>
      </c>
      <c r="D3054" s="229">
        <v>28.5</v>
      </c>
      <c r="E3054" s="229">
        <v>32.0</v>
      </c>
      <c r="F3054" s="230">
        <v>3.0</v>
      </c>
      <c r="G3054" s="232"/>
    </row>
    <row r="3055">
      <c r="A3055" s="2"/>
      <c r="B3055" s="168" t="s">
        <v>217</v>
      </c>
      <c r="C3055" s="168" t="s">
        <v>3315</v>
      </c>
      <c r="D3055" s="229">
        <v>22.5</v>
      </c>
      <c r="E3055" s="229">
        <v>26.0</v>
      </c>
      <c r="F3055" s="230">
        <v>3.0</v>
      </c>
      <c r="G3055" s="232"/>
    </row>
    <row r="3056">
      <c r="A3056" s="2"/>
      <c r="B3056" s="168" t="s">
        <v>332</v>
      </c>
      <c r="C3056" s="168" t="s">
        <v>3316</v>
      </c>
      <c r="D3056" s="229">
        <v>3.0</v>
      </c>
      <c r="E3056" s="229">
        <v>3.0</v>
      </c>
      <c r="F3056" s="230">
        <v>3.0</v>
      </c>
      <c r="G3056" s="232"/>
    </row>
    <row r="3057">
      <c r="A3057" s="2"/>
      <c r="B3057" s="168" t="s">
        <v>269</v>
      </c>
      <c r="C3057" s="168" t="s">
        <v>3317</v>
      </c>
      <c r="D3057" s="229">
        <v>26.5</v>
      </c>
      <c r="E3057" s="229">
        <v>30.0</v>
      </c>
      <c r="F3057" s="230">
        <v>3.0</v>
      </c>
      <c r="G3057" s="232"/>
    </row>
    <row r="3058">
      <c r="A3058" s="2"/>
      <c r="B3058" s="168" t="s">
        <v>296</v>
      </c>
      <c r="C3058" s="168" t="s">
        <v>3318</v>
      </c>
      <c r="D3058" s="229">
        <v>26.5</v>
      </c>
      <c r="E3058" s="229">
        <v>30.0</v>
      </c>
      <c r="F3058" s="230">
        <v>3.0</v>
      </c>
      <c r="G3058" s="232"/>
    </row>
    <row r="3059">
      <c r="A3059" s="2"/>
      <c r="B3059" s="168" t="s">
        <v>245</v>
      </c>
      <c r="C3059" s="168" t="s">
        <v>3319</v>
      </c>
      <c r="D3059" s="229">
        <v>28.5</v>
      </c>
      <c r="E3059" s="229">
        <v>32.0</v>
      </c>
      <c r="F3059" s="230">
        <v>3.0</v>
      </c>
      <c r="G3059" s="232"/>
    </row>
    <row r="3060">
      <c r="A3060" s="2"/>
      <c r="B3060" s="168" t="s">
        <v>234</v>
      </c>
      <c r="C3060" s="168" t="s">
        <v>3320</v>
      </c>
      <c r="D3060" s="229">
        <v>24.5</v>
      </c>
      <c r="E3060" s="229">
        <v>28.0</v>
      </c>
      <c r="F3060" s="230">
        <v>3.0</v>
      </c>
      <c r="G3060" s="232"/>
    </row>
    <row r="3061">
      <c r="A3061" s="2"/>
      <c r="B3061" s="168" t="s">
        <v>310</v>
      </c>
      <c r="C3061" s="168" t="s">
        <v>3321</v>
      </c>
      <c r="D3061" s="229">
        <v>34.5</v>
      </c>
      <c r="E3061" s="229">
        <v>38.0</v>
      </c>
      <c r="F3061" s="230">
        <v>3.0</v>
      </c>
      <c r="G3061" s="232"/>
    </row>
    <row r="3062">
      <c r="A3062" s="2"/>
      <c r="B3062" s="168" t="s">
        <v>269</v>
      </c>
      <c r="C3062" s="168" t="s">
        <v>3322</v>
      </c>
      <c r="D3062" s="229">
        <v>26.5</v>
      </c>
      <c r="E3062" s="229">
        <v>30.0</v>
      </c>
      <c r="F3062" s="230">
        <v>3.0</v>
      </c>
      <c r="G3062" s="232"/>
    </row>
    <row r="3063">
      <c r="A3063" s="2"/>
      <c r="B3063" s="168" t="s">
        <v>290</v>
      </c>
      <c r="C3063" s="168" t="s">
        <v>3323</v>
      </c>
      <c r="D3063" s="229">
        <v>24.5</v>
      </c>
      <c r="E3063" s="229">
        <v>28.0</v>
      </c>
      <c r="F3063" s="230">
        <v>3.0</v>
      </c>
      <c r="G3063" s="232"/>
    </row>
    <row r="3064">
      <c r="A3064" s="2"/>
      <c r="B3064" s="168" t="s">
        <v>255</v>
      </c>
      <c r="C3064" s="168" t="s">
        <v>3324</v>
      </c>
      <c r="D3064" s="229">
        <v>30.5</v>
      </c>
      <c r="E3064" s="229">
        <v>34.0</v>
      </c>
      <c r="F3064" s="230">
        <v>3.0</v>
      </c>
      <c r="G3064" s="232"/>
    </row>
    <row r="3065">
      <c r="A3065" s="2"/>
      <c r="B3065" s="168" t="s">
        <v>341</v>
      </c>
      <c r="C3065" s="168" t="s">
        <v>3325</v>
      </c>
      <c r="D3065" s="229">
        <v>29.5</v>
      </c>
      <c r="E3065" s="229">
        <v>29.5</v>
      </c>
      <c r="F3065" s="230">
        <v>3.0</v>
      </c>
      <c r="G3065" s="232"/>
    </row>
    <row r="3066">
      <c r="A3066" s="2"/>
      <c r="B3066" s="168" t="s">
        <v>404</v>
      </c>
      <c r="C3066" s="168" t="s">
        <v>3326</v>
      </c>
      <c r="D3066" s="229">
        <v>29.5</v>
      </c>
      <c r="E3066" s="229">
        <v>33.0</v>
      </c>
      <c r="F3066" s="230">
        <v>3.0</v>
      </c>
      <c r="G3066" s="232"/>
    </row>
    <row r="3067">
      <c r="A3067" s="2"/>
      <c r="B3067" s="168" t="s">
        <v>464</v>
      </c>
      <c r="C3067" s="168" t="s">
        <v>3327</v>
      </c>
      <c r="D3067" s="229">
        <v>0.5</v>
      </c>
      <c r="E3067" s="229">
        <v>0.5</v>
      </c>
      <c r="F3067" s="230">
        <v>0.5</v>
      </c>
      <c r="G3067" s="232"/>
    </row>
    <row r="3068">
      <c r="A3068" s="2"/>
      <c r="B3068" s="168" t="s">
        <v>328</v>
      </c>
      <c r="C3068" s="168" t="s">
        <v>3328</v>
      </c>
      <c r="D3068" s="229">
        <v>34.5</v>
      </c>
      <c r="E3068" s="229">
        <v>38.0</v>
      </c>
      <c r="F3068" s="230">
        <v>3.0</v>
      </c>
      <c r="G3068" s="232"/>
    </row>
    <row r="3069">
      <c r="A3069" s="2"/>
      <c r="B3069" s="168" t="s">
        <v>449</v>
      </c>
      <c r="C3069" s="168" t="s">
        <v>3329</v>
      </c>
      <c r="D3069" s="229">
        <v>28.5</v>
      </c>
      <c r="E3069" s="229">
        <v>32.0</v>
      </c>
      <c r="F3069" s="230">
        <v>3.0</v>
      </c>
      <c r="G3069" s="232"/>
    </row>
    <row r="3070">
      <c r="A3070" s="2"/>
      <c r="B3070" s="168" t="s">
        <v>377</v>
      </c>
      <c r="C3070" s="168" t="s">
        <v>3330</v>
      </c>
      <c r="D3070" s="229">
        <v>29.5</v>
      </c>
      <c r="E3070" s="229">
        <v>33.0</v>
      </c>
      <c r="F3070" s="230">
        <v>3.0</v>
      </c>
      <c r="G3070" s="232"/>
    </row>
    <row r="3071">
      <c r="A3071" s="2"/>
      <c r="B3071" s="168" t="s">
        <v>368</v>
      </c>
      <c r="C3071" s="168" t="s">
        <v>3331</v>
      </c>
      <c r="D3071" s="229">
        <v>32.5</v>
      </c>
      <c r="E3071" s="229">
        <v>36.0</v>
      </c>
      <c r="F3071" s="230">
        <v>3.0</v>
      </c>
      <c r="G3071" s="232"/>
    </row>
    <row r="3072">
      <c r="A3072" s="2"/>
      <c r="B3072" s="168" t="s">
        <v>232</v>
      </c>
      <c r="C3072" s="168" t="s">
        <v>3332</v>
      </c>
      <c r="D3072" s="229">
        <v>31.0</v>
      </c>
      <c r="E3072" s="229">
        <v>34.5</v>
      </c>
      <c r="F3072" s="230">
        <v>3.0</v>
      </c>
      <c r="G3072" s="232"/>
    </row>
    <row r="3073">
      <c r="A3073" s="2"/>
      <c r="B3073" s="168" t="s">
        <v>232</v>
      </c>
      <c r="C3073" s="168" t="s">
        <v>3333</v>
      </c>
      <c r="D3073" s="229">
        <v>25.5</v>
      </c>
      <c r="E3073" s="229">
        <v>29.0</v>
      </c>
      <c r="F3073" s="230">
        <v>3.0</v>
      </c>
      <c r="G3073" s="232"/>
    </row>
    <row r="3074">
      <c r="A3074" s="2"/>
      <c r="B3074" s="168" t="s">
        <v>249</v>
      </c>
      <c r="C3074" s="168" t="s">
        <v>3334</v>
      </c>
      <c r="D3074" s="229">
        <v>3.0</v>
      </c>
      <c r="E3074" s="229">
        <v>3.0</v>
      </c>
      <c r="F3074" s="230">
        <v>3.0</v>
      </c>
      <c r="G3074" s="232"/>
    </row>
    <row r="3075">
      <c r="A3075" s="2"/>
      <c r="B3075" s="168" t="s">
        <v>282</v>
      </c>
      <c r="C3075" s="168" t="s">
        <v>3335</v>
      </c>
      <c r="D3075" s="229">
        <v>34.5</v>
      </c>
      <c r="E3075" s="229">
        <v>38.0</v>
      </c>
      <c r="F3075" s="230">
        <v>3.0</v>
      </c>
      <c r="G3075" s="232"/>
    </row>
    <row r="3076">
      <c r="A3076" s="2"/>
      <c r="B3076" s="168" t="s">
        <v>217</v>
      </c>
      <c r="C3076" s="168" t="s">
        <v>3336</v>
      </c>
      <c r="D3076" s="229">
        <v>27.5</v>
      </c>
      <c r="E3076" s="229">
        <v>31.0</v>
      </c>
      <c r="F3076" s="230">
        <v>3.0</v>
      </c>
      <c r="G3076" s="232"/>
    </row>
    <row r="3077">
      <c r="A3077" s="2"/>
      <c r="B3077" s="168" t="s">
        <v>223</v>
      </c>
      <c r="C3077" s="168" t="s">
        <v>3337</v>
      </c>
      <c r="D3077" s="229">
        <v>26.5</v>
      </c>
      <c r="E3077" s="229">
        <v>30.0</v>
      </c>
      <c r="F3077" s="230">
        <v>3.0</v>
      </c>
      <c r="G3077" s="232"/>
    </row>
    <row r="3078">
      <c r="A3078" s="2"/>
      <c r="B3078" s="168" t="s">
        <v>239</v>
      </c>
      <c r="C3078" s="168" t="s">
        <v>3338</v>
      </c>
      <c r="D3078" s="229">
        <v>29.5</v>
      </c>
      <c r="E3078" s="229">
        <v>33.0</v>
      </c>
      <c r="F3078" s="230">
        <v>3.0</v>
      </c>
      <c r="G3078" s="232"/>
    </row>
    <row r="3079">
      <c r="A3079" s="2"/>
      <c r="B3079" s="168" t="s">
        <v>260</v>
      </c>
      <c r="C3079" s="168" t="s">
        <v>3339</v>
      </c>
      <c r="D3079" s="229">
        <v>28.5</v>
      </c>
      <c r="E3079" s="229">
        <v>32.0</v>
      </c>
      <c r="F3079" s="230">
        <v>3.0</v>
      </c>
      <c r="G3079" s="232"/>
    </row>
    <row r="3080">
      <c r="A3080" s="2"/>
      <c r="B3080" s="168" t="s">
        <v>684</v>
      </c>
      <c r="C3080" s="168" t="s">
        <v>3340</v>
      </c>
      <c r="D3080" s="229">
        <v>25.5</v>
      </c>
      <c r="E3080" s="229">
        <v>29.0</v>
      </c>
      <c r="F3080" s="230">
        <v>3.0</v>
      </c>
      <c r="G3080" s="232"/>
    </row>
    <row r="3081">
      <c r="A3081" s="2"/>
      <c r="B3081" s="168" t="s">
        <v>337</v>
      </c>
      <c r="C3081" s="168" t="s">
        <v>3341</v>
      </c>
      <c r="D3081" s="229">
        <v>28.5</v>
      </c>
      <c r="E3081" s="229">
        <v>32.0</v>
      </c>
      <c r="F3081" s="230">
        <v>3.0</v>
      </c>
      <c r="G3081" s="232"/>
    </row>
    <row r="3082">
      <c r="A3082" s="2"/>
      <c r="B3082" s="168" t="s">
        <v>406</v>
      </c>
      <c r="C3082" s="168" t="s">
        <v>3342</v>
      </c>
      <c r="D3082" s="229">
        <v>28.5</v>
      </c>
      <c r="E3082" s="229">
        <v>32.0</v>
      </c>
      <c r="F3082" s="230">
        <v>3.0</v>
      </c>
      <c r="G3082" s="232"/>
    </row>
    <row r="3083">
      <c r="A3083" s="2"/>
      <c r="B3083" s="168" t="s">
        <v>368</v>
      </c>
      <c r="C3083" s="168" t="s">
        <v>3343</v>
      </c>
      <c r="D3083" s="229">
        <v>32.5</v>
      </c>
      <c r="E3083" s="229">
        <v>36.0</v>
      </c>
      <c r="F3083" s="230">
        <v>3.0</v>
      </c>
      <c r="G3083" s="232"/>
    </row>
    <row r="3084">
      <c r="A3084" s="2"/>
      <c r="B3084" s="168" t="s">
        <v>290</v>
      </c>
      <c r="C3084" s="168" t="s">
        <v>3344</v>
      </c>
      <c r="D3084" s="229">
        <v>24.5</v>
      </c>
      <c r="E3084" s="229">
        <v>28.0</v>
      </c>
      <c r="F3084" s="230">
        <v>3.0</v>
      </c>
      <c r="G3084" s="232"/>
    </row>
    <row r="3085">
      <c r="A3085" s="2"/>
      <c r="B3085" s="168" t="s">
        <v>337</v>
      </c>
      <c r="C3085" s="168" t="s">
        <v>3345</v>
      </c>
      <c r="D3085" s="229">
        <v>28.0</v>
      </c>
      <c r="E3085" s="229">
        <v>31.5</v>
      </c>
      <c r="F3085" s="230">
        <v>3.0</v>
      </c>
      <c r="G3085" s="232"/>
    </row>
    <row r="3086">
      <c r="A3086" s="2"/>
      <c r="B3086" s="168" t="s">
        <v>345</v>
      </c>
      <c r="C3086" s="168" t="s">
        <v>3346</v>
      </c>
      <c r="D3086" s="229">
        <v>26.5</v>
      </c>
      <c r="E3086" s="229">
        <v>30.0</v>
      </c>
      <c r="F3086" s="230">
        <v>3.0</v>
      </c>
      <c r="G3086" s="232"/>
    </row>
    <row r="3087">
      <c r="A3087" s="2"/>
      <c r="B3087" s="168" t="s">
        <v>260</v>
      </c>
      <c r="C3087" s="168" t="s">
        <v>3347</v>
      </c>
      <c r="D3087" s="229">
        <v>28.5</v>
      </c>
      <c r="E3087" s="229">
        <v>32.0</v>
      </c>
      <c r="F3087" s="230">
        <v>3.0</v>
      </c>
      <c r="G3087" s="232"/>
    </row>
    <row r="3088">
      <c r="A3088" s="2"/>
      <c r="B3088" s="168" t="s">
        <v>337</v>
      </c>
      <c r="C3088" s="168" t="s">
        <v>3348</v>
      </c>
      <c r="D3088" s="229">
        <v>28.5</v>
      </c>
      <c r="E3088" s="229">
        <v>32.0</v>
      </c>
      <c r="F3088" s="230">
        <v>3.0</v>
      </c>
      <c r="G3088" s="232"/>
    </row>
    <row r="3089">
      <c r="A3089" s="2"/>
      <c r="B3089" s="168" t="s">
        <v>217</v>
      </c>
      <c r="C3089" s="168" t="s">
        <v>3349</v>
      </c>
      <c r="D3089" s="229">
        <v>27.5</v>
      </c>
      <c r="E3089" s="229">
        <v>31.0</v>
      </c>
      <c r="F3089" s="230">
        <v>3.0</v>
      </c>
      <c r="G3089" s="232"/>
    </row>
    <row r="3090">
      <c r="A3090" s="2"/>
      <c r="B3090" s="168" t="s">
        <v>592</v>
      </c>
      <c r="C3090" s="168" t="s">
        <v>3350</v>
      </c>
      <c r="D3090" s="229">
        <v>34.5</v>
      </c>
      <c r="E3090" s="229">
        <v>38.0</v>
      </c>
      <c r="F3090" s="230">
        <v>3.0</v>
      </c>
      <c r="G3090" s="232"/>
    </row>
    <row r="3091">
      <c r="A3091" s="2"/>
      <c r="B3091" s="168" t="s">
        <v>243</v>
      </c>
      <c r="C3091" s="168" t="s">
        <v>3351</v>
      </c>
      <c r="D3091" s="229">
        <v>29.5</v>
      </c>
      <c r="E3091" s="229">
        <v>33.0</v>
      </c>
      <c r="F3091" s="230">
        <v>3.0</v>
      </c>
      <c r="G3091" s="232"/>
    </row>
    <row r="3092">
      <c r="A3092" s="2"/>
      <c r="B3092" s="168" t="s">
        <v>406</v>
      </c>
      <c r="C3092" s="168" t="s">
        <v>3352</v>
      </c>
      <c r="D3092" s="229">
        <v>28.0</v>
      </c>
      <c r="E3092" s="229">
        <v>31.5</v>
      </c>
      <c r="F3092" s="230">
        <v>3.0</v>
      </c>
      <c r="G3092" s="232"/>
    </row>
    <row r="3093">
      <c r="A3093" s="2"/>
      <c r="B3093" s="168" t="s">
        <v>273</v>
      </c>
      <c r="C3093" s="168" t="s">
        <v>3353</v>
      </c>
      <c r="D3093" s="229">
        <v>24.5</v>
      </c>
      <c r="E3093" s="229">
        <v>28.0</v>
      </c>
      <c r="F3093" s="230">
        <v>3.0</v>
      </c>
      <c r="G3093" s="232"/>
    </row>
    <row r="3094">
      <c r="A3094" s="2"/>
      <c r="B3094" s="168" t="s">
        <v>381</v>
      </c>
      <c r="C3094" s="168" t="s">
        <v>3354</v>
      </c>
      <c r="D3094" s="229">
        <v>28.5</v>
      </c>
      <c r="E3094" s="229">
        <v>32.0</v>
      </c>
      <c r="F3094" s="230">
        <v>3.0</v>
      </c>
      <c r="G3094" s="232"/>
    </row>
    <row r="3095">
      <c r="A3095" s="2"/>
      <c r="B3095" s="168" t="s">
        <v>255</v>
      </c>
      <c r="C3095" s="168" t="s">
        <v>3355</v>
      </c>
      <c r="D3095" s="229">
        <v>31.5</v>
      </c>
      <c r="E3095" s="229">
        <v>35.0</v>
      </c>
      <c r="F3095" s="230">
        <v>3.0</v>
      </c>
      <c r="G3095" s="232"/>
    </row>
    <row r="3096">
      <c r="A3096" s="2"/>
      <c r="B3096" s="168" t="s">
        <v>230</v>
      </c>
      <c r="C3096" s="168" t="s">
        <v>3356</v>
      </c>
      <c r="D3096" s="229">
        <v>21.5</v>
      </c>
      <c r="E3096" s="229">
        <v>25.0</v>
      </c>
      <c r="F3096" s="230">
        <v>3.0</v>
      </c>
      <c r="G3096" s="232"/>
    </row>
    <row r="3097">
      <c r="A3097" s="2"/>
      <c r="B3097" s="168" t="s">
        <v>217</v>
      </c>
      <c r="C3097" s="168" t="s">
        <v>3357</v>
      </c>
      <c r="D3097" s="229">
        <v>27.5</v>
      </c>
      <c r="E3097" s="229">
        <v>31.0</v>
      </c>
      <c r="F3097" s="230">
        <v>3.0</v>
      </c>
      <c r="G3097" s="232"/>
    </row>
    <row r="3098">
      <c r="A3098" s="2"/>
      <c r="B3098" s="168" t="s">
        <v>243</v>
      </c>
      <c r="C3098" s="168" t="s">
        <v>3358</v>
      </c>
      <c r="D3098" s="229">
        <v>29.5</v>
      </c>
      <c r="E3098" s="229">
        <v>33.0</v>
      </c>
      <c r="F3098" s="230">
        <v>3.0</v>
      </c>
      <c r="G3098" s="232"/>
    </row>
    <row r="3099">
      <c r="A3099" s="2"/>
      <c r="B3099" s="168" t="s">
        <v>241</v>
      </c>
      <c r="C3099" s="168" t="s">
        <v>3359</v>
      </c>
      <c r="D3099" s="229">
        <v>32.5</v>
      </c>
      <c r="E3099" s="229">
        <v>36.0</v>
      </c>
      <c r="F3099" s="230">
        <v>3.0</v>
      </c>
      <c r="G3099" s="232"/>
    </row>
    <row r="3100">
      <c r="A3100" s="2"/>
      <c r="B3100" s="168" t="s">
        <v>255</v>
      </c>
      <c r="C3100" s="168" t="s">
        <v>3360</v>
      </c>
      <c r="D3100" s="229">
        <v>31.5</v>
      </c>
      <c r="E3100" s="229">
        <v>35.0</v>
      </c>
      <c r="F3100" s="230">
        <v>3.0</v>
      </c>
      <c r="G3100" s="232"/>
    </row>
    <row r="3101">
      <c r="A3101" s="2"/>
      <c r="B3101" s="168" t="s">
        <v>332</v>
      </c>
      <c r="C3101" s="168" t="s">
        <v>3361</v>
      </c>
      <c r="D3101" s="229">
        <v>28.5</v>
      </c>
      <c r="E3101" s="229">
        <v>32.0</v>
      </c>
      <c r="F3101" s="230">
        <v>3.0</v>
      </c>
      <c r="G3101" s="232"/>
    </row>
    <row r="3102">
      <c r="A3102" s="2"/>
      <c r="B3102" s="168" t="s">
        <v>296</v>
      </c>
      <c r="C3102" s="168" t="s">
        <v>3362</v>
      </c>
      <c r="D3102" s="229">
        <v>26.0</v>
      </c>
      <c r="E3102" s="229">
        <v>29.5</v>
      </c>
      <c r="F3102" s="230">
        <v>3.0</v>
      </c>
      <c r="G3102" s="232"/>
    </row>
    <row r="3103">
      <c r="A3103" s="2"/>
      <c r="B3103" s="168" t="s">
        <v>232</v>
      </c>
      <c r="C3103" s="168" t="s">
        <v>3363</v>
      </c>
      <c r="D3103" s="229">
        <v>25.5</v>
      </c>
      <c r="E3103" s="229">
        <v>29.0</v>
      </c>
      <c r="F3103" s="230">
        <v>3.0</v>
      </c>
      <c r="G3103" s="232"/>
    </row>
    <row r="3104">
      <c r="A3104" s="2"/>
      <c r="B3104" s="168" t="s">
        <v>255</v>
      </c>
      <c r="C3104" s="168" t="s">
        <v>3364</v>
      </c>
      <c r="D3104" s="229">
        <v>26.5</v>
      </c>
      <c r="E3104" s="229">
        <v>30.0</v>
      </c>
      <c r="F3104" s="230">
        <v>3.0</v>
      </c>
      <c r="G3104" s="232"/>
    </row>
    <row r="3105">
      <c r="A3105" s="2"/>
      <c r="B3105" s="168" t="s">
        <v>245</v>
      </c>
      <c r="C3105" s="168" t="s">
        <v>3365</v>
      </c>
      <c r="D3105" s="229">
        <v>24.5</v>
      </c>
      <c r="E3105" s="229">
        <v>28.0</v>
      </c>
      <c r="F3105" s="230">
        <v>3.0</v>
      </c>
      <c r="G3105" s="232"/>
    </row>
    <row r="3106">
      <c r="A3106" s="2"/>
      <c r="B3106" s="168" t="s">
        <v>255</v>
      </c>
      <c r="C3106" s="168" t="s">
        <v>3366</v>
      </c>
      <c r="D3106" s="229">
        <v>31.5</v>
      </c>
      <c r="E3106" s="229">
        <v>35.0</v>
      </c>
      <c r="F3106" s="230">
        <v>3.0</v>
      </c>
      <c r="G3106" s="232"/>
    </row>
    <row r="3107">
      <c r="A3107" s="2"/>
      <c r="B3107" s="168" t="s">
        <v>217</v>
      </c>
      <c r="C3107" s="168" t="s">
        <v>3367</v>
      </c>
      <c r="D3107" s="229">
        <v>27.5</v>
      </c>
      <c r="E3107" s="229">
        <v>31.0</v>
      </c>
      <c r="F3107" s="230">
        <v>3.0</v>
      </c>
      <c r="G3107" s="232"/>
    </row>
    <row r="3108">
      <c r="A3108" s="2"/>
      <c r="B3108" s="168" t="s">
        <v>255</v>
      </c>
      <c r="C3108" s="168" t="s">
        <v>3368</v>
      </c>
      <c r="D3108" s="229">
        <v>31.5</v>
      </c>
      <c r="E3108" s="229">
        <v>35.0</v>
      </c>
      <c r="F3108" s="230">
        <v>3.0</v>
      </c>
      <c r="G3108" s="232"/>
    </row>
    <row r="3109">
      <c r="A3109" s="2"/>
      <c r="B3109" s="168" t="s">
        <v>275</v>
      </c>
      <c r="C3109" s="168" t="s">
        <v>3369</v>
      </c>
      <c r="D3109" s="229">
        <v>26.5</v>
      </c>
      <c r="E3109" s="229">
        <v>30.0</v>
      </c>
      <c r="F3109" s="230">
        <v>3.0</v>
      </c>
      <c r="G3109" s="232"/>
    </row>
    <row r="3110">
      <c r="A3110" s="2"/>
      <c r="B3110" s="168" t="s">
        <v>215</v>
      </c>
      <c r="C3110" s="168" t="s">
        <v>3370</v>
      </c>
      <c r="D3110" s="229">
        <v>27.5</v>
      </c>
      <c r="E3110" s="229">
        <v>31.0</v>
      </c>
      <c r="F3110" s="230">
        <v>3.0</v>
      </c>
      <c r="G3110" s="232"/>
    </row>
    <row r="3111">
      <c r="A3111" s="2"/>
      <c r="B3111" s="168" t="s">
        <v>241</v>
      </c>
      <c r="C3111" s="168" t="s">
        <v>3371</v>
      </c>
      <c r="D3111" s="229">
        <v>32.5</v>
      </c>
      <c r="E3111" s="229">
        <v>36.0</v>
      </c>
      <c r="F3111" s="230">
        <v>3.0</v>
      </c>
      <c r="G3111" s="232"/>
    </row>
    <row r="3112">
      <c r="A3112" s="2"/>
      <c r="B3112" s="168" t="s">
        <v>241</v>
      </c>
      <c r="C3112" s="168" t="s">
        <v>3372</v>
      </c>
      <c r="D3112" s="229">
        <v>32.5</v>
      </c>
      <c r="E3112" s="229">
        <v>36.0</v>
      </c>
      <c r="F3112" s="230">
        <v>3.0</v>
      </c>
      <c r="G3112" s="232"/>
    </row>
    <row r="3113">
      <c r="A3113" s="2"/>
      <c r="B3113" s="168" t="s">
        <v>615</v>
      </c>
      <c r="C3113" s="168" t="s">
        <v>3373</v>
      </c>
      <c r="D3113" s="229">
        <v>24.5</v>
      </c>
      <c r="E3113" s="229">
        <v>28.0</v>
      </c>
      <c r="F3113" s="230">
        <v>3.0</v>
      </c>
      <c r="G3113" s="232"/>
    </row>
    <row r="3114">
      <c r="A3114" s="2"/>
      <c r="B3114" s="168" t="s">
        <v>255</v>
      </c>
      <c r="C3114" s="168" t="s">
        <v>3374</v>
      </c>
      <c r="D3114" s="229">
        <v>31.0</v>
      </c>
      <c r="E3114" s="229">
        <v>34.5</v>
      </c>
      <c r="F3114" s="230">
        <v>3.0</v>
      </c>
      <c r="G3114" s="232"/>
    </row>
    <row r="3115">
      <c r="A3115" s="2"/>
      <c r="B3115" s="168" t="s">
        <v>381</v>
      </c>
      <c r="C3115" s="168" t="s">
        <v>3375</v>
      </c>
      <c r="D3115" s="229">
        <v>28.5</v>
      </c>
      <c r="E3115" s="229">
        <v>32.0</v>
      </c>
      <c r="F3115" s="230">
        <v>3.0</v>
      </c>
      <c r="G3115" s="232"/>
    </row>
    <row r="3116">
      <c r="A3116" s="2"/>
      <c r="B3116" s="168" t="s">
        <v>438</v>
      </c>
      <c r="C3116" s="168" t="s">
        <v>3376</v>
      </c>
      <c r="D3116" s="229">
        <v>24.5</v>
      </c>
      <c r="E3116" s="229">
        <v>28.0</v>
      </c>
      <c r="F3116" s="230">
        <v>3.0</v>
      </c>
      <c r="G3116" s="232"/>
    </row>
    <row r="3117">
      <c r="A3117" s="2"/>
      <c r="B3117" s="168" t="s">
        <v>592</v>
      </c>
      <c r="C3117" s="168" t="s">
        <v>3377</v>
      </c>
      <c r="D3117" s="229">
        <v>34.5</v>
      </c>
      <c r="E3117" s="229">
        <v>38.0</v>
      </c>
      <c r="F3117" s="230">
        <v>3.0</v>
      </c>
      <c r="G3117" s="232"/>
    </row>
    <row r="3118">
      <c r="A3118" s="2"/>
      <c r="B3118" s="168" t="s">
        <v>377</v>
      </c>
      <c r="C3118" s="168" t="s">
        <v>3378</v>
      </c>
      <c r="D3118" s="229">
        <v>29.5</v>
      </c>
      <c r="E3118" s="229">
        <v>33.0</v>
      </c>
      <c r="F3118" s="230">
        <v>3.0</v>
      </c>
      <c r="G3118" s="232"/>
    </row>
    <row r="3119">
      <c r="A3119" s="2"/>
      <c r="B3119" s="168" t="s">
        <v>290</v>
      </c>
      <c r="C3119" s="168" t="s">
        <v>3379</v>
      </c>
      <c r="D3119" s="229">
        <v>29.5</v>
      </c>
      <c r="E3119" s="229">
        <v>33.0</v>
      </c>
      <c r="F3119" s="230">
        <v>3.0</v>
      </c>
      <c r="G3119" s="232"/>
    </row>
    <row r="3120">
      <c r="A3120" s="2"/>
      <c r="B3120" s="168" t="s">
        <v>446</v>
      </c>
      <c r="C3120" s="168" t="s">
        <v>3380</v>
      </c>
      <c r="D3120" s="229">
        <v>9.5</v>
      </c>
      <c r="E3120" s="229">
        <v>9.5</v>
      </c>
      <c r="F3120" s="230">
        <v>3.0</v>
      </c>
      <c r="G3120" s="232"/>
    </row>
    <row r="3121">
      <c r="A3121" s="2"/>
      <c r="B3121" s="168" t="s">
        <v>234</v>
      </c>
      <c r="C3121" s="168" t="s">
        <v>3381</v>
      </c>
      <c r="D3121" s="229">
        <v>29.5</v>
      </c>
      <c r="E3121" s="229">
        <v>33.0</v>
      </c>
      <c r="F3121" s="230">
        <v>3.0</v>
      </c>
      <c r="G3121" s="232"/>
    </row>
    <row r="3122">
      <c r="A3122" s="2"/>
      <c r="B3122" s="168" t="s">
        <v>375</v>
      </c>
      <c r="C3122" s="168" t="s">
        <v>3382</v>
      </c>
      <c r="D3122" s="229">
        <v>26.5</v>
      </c>
      <c r="E3122" s="229">
        <v>30.0</v>
      </c>
      <c r="F3122" s="230">
        <v>3.0</v>
      </c>
      <c r="G3122" s="232"/>
    </row>
    <row r="3123">
      <c r="A3123" s="2"/>
      <c r="B3123" s="168" t="s">
        <v>337</v>
      </c>
      <c r="C3123" s="168" t="s">
        <v>3383</v>
      </c>
      <c r="D3123" s="229">
        <v>28.5</v>
      </c>
      <c r="E3123" s="229">
        <v>32.0</v>
      </c>
      <c r="F3123" s="230">
        <v>3.0</v>
      </c>
      <c r="G3123" s="232"/>
    </row>
    <row r="3124">
      <c r="A3124" s="2"/>
      <c r="B3124" s="168" t="s">
        <v>241</v>
      </c>
      <c r="C3124" s="168" t="s">
        <v>3384</v>
      </c>
      <c r="D3124" s="229">
        <v>32.5</v>
      </c>
      <c r="E3124" s="229">
        <v>36.0</v>
      </c>
      <c r="F3124" s="230">
        <v>3.0</v>
      </c>
      <c r="G3124" s="232"/>
    </row>
    <row r="3125">
      <c r="A3125" s="2"/>
      <c r="B3125" s="168" t="s">
        <v>290</v>
      </c>
      <c r="C3125" s="168" t="s">
        <v>3385</v>
      </c>
      <c r="D3125" s="229">
        <v>29.5</v>
      </c>
      <c r="E3125" s="229">
        <v>33.0</v>
      </c>
      <c r="F3125" s="230">
        <v>3.0</v>
      </c>
      <c r="G3125" s="232"/>
    </row>
    <row r="3126">
      <c r="A3126" s="2"/>
      <c r="B3126" s="168" t="s">
        <v>830</v>
      </c>
      <c r="C3126" s="168" t="s">
        <v>3386</v>
      </c>
      <c r="D3126" s="229">
        <v>24.5</v>
      </c>
      <c r="E3126" s="229">
        <v>28.0</v>
      </c>
      <c r="F3126" s="230">
        <v>3.0</v>
      </c>
      <c r="G3126" s="232"/>
    </row>
    <row r="3127">
      <c r="A3127" s="2"/>
      <c r="B3127" s="168" t="s">
        <v>328</v>
      </c>
      <c r="C3127" s="168" t="s">
        <v>3387</v>
      </c>
      <c r="D3127" s="229">
        <v>34.5</v>
      </c>
      <c r="E3127" s="229">
        <v>38.0</v>
      </c>
      <c r="F3127" s="230">
        <v>3.0</v>
      </c>
      <c r="G3127" s="232"/>
    </row>
    <row r="3128">
      <c r="A3128" s="2"/>
      <c r="B3128" s="168" t="s">
        <v>217</v>
      </c>
      <c r="C3128" s="168" t="s">
        <v>3388</v>
      </c>
      <c r="D3128" s="229">
        <v>27.5</v>
      </c>
      <c r="E3128" s="229">
        <v>31.0</v>
      </c>
      <c r="F3128" s="230">
        <v>3.0</v>
      </c>
      <c r="G3128" s="232"/>
    </row>
    <row r="3129">
      <c r="A3129" s="2"/>
      <c r="B3129" s="168" t="s">
        <v>221</v>
      </c>
      <c r="C3129" s="168" t="s">
        <v>3389</v>
      </c>
      <c r="D3129" s="229">
        <v>27.5</v>
      </c>
      <c r="E3129" s="229">
        <v>31.0</v>
      </c>
      <c r="F3129" s="230">
        <v>3.0</v>
      </c>
      <c r="G3129" s="232"/>
    </row>
    <row r="3130">
      <c r="A3130" s="2"/>
      <c r="B3130" s="168" t="s">
        <v>232</v>
      </c>
      <c r="C3130" s="168" t="s">
        <v>3390</v>
      </c>
      <c r="D3130" s="229">
        <v>25.5</v>
      </c>
      <c r="E3130" s="229">
        <v>29.0</v>
      </c>
      <c r="F3130" s="230">
        <v>3.0</v>
      </c>
      <c r="G3130" s="232"/>
    </row>
    <row r="3131">
      <c r="A3131" s="2"/>
      <c r="B3131" s="168" t="s">
        <v>318</v>
      </c>
      <c r="C3131" s="168" t="s">
        <v>3391</v>
      </c>
      <c r="D3131" s="229">
        <v>25.5</v>
      </c>
      <c r="E3131" s="229">
        <v>29.0</v>
      </c>
      <c r="F3131" s="230">
        <v>3.0</v>
      </c>
      <c r="G3131" s="232"/>
    </row>
    <row r="3132">
      <c r="A3132" s="2"/>
      <c r="B3132" s="168" t="s">
        <v>234</v>
      </c>
      <c r="C3132" s="168" t="s">
        <v>3392</v>
      </c>
      <c r="D3132" s="229">
        <v>24.5</v>
      </c>
      <c r="E3132" s="229">
        <v>28.0</v>
      </c>
      <c r="F3132" s="230">
        <v>3.0</v>
      </c>
      <c r="G3132" s="232"/>
    </row>
    <row r="3133">
      <c r="A3133" s="2"/>
      <c r="B3133" s="168" t="s">
        <v>230</v>
      </c>
      <c r="C3133" s="168" t="s">
        <v>3393</v>
      </c>
      <c r="D3133" s="229">
        <v>21.5</v>
      </c>
      <c r="E3133" s="229">
        <v>25.0</v>
      </c>
      <c r="F3133" s="230">
        <v>3.0</v>
      </c>
      <c r="G3133" s="232"/>
    </row>
    <row r="3134">
      <c r="A3134" s="2"/>
      <c r="B3134" s="168" t="s">
        <v>257</v>
      </c>
      <c r="C3134" s="168" t="s">
        <v>3394</v>
      </c>
      <c r="D3134" s="229">
        <v>28.5</v>
      </c>
      <c r="E3134" s="229">
        <v>32.0</v>
      </c>
      <c r="F3134" s="230">
        <v>3.0</v>
      </c>
      <c r="G3134" s="232"/>
    </row>
    <row r="3135">
      <c r="A3135" s="2"/>
      <c r="B3135" s="168" t="s">
        <v>341</v>
      </c>
      <c r="C3135" s="168" t="s">
        <v>3395</v>
      </c>
      <c r="D3135" s="229">
        <v>29.5</v>
      </c>
      <c r="E3135" s="229">
        <v>29.5</v>
      </c>
      <c r="F3135" s="230">
        <v>3.0</v>
      </c>
      <c r="G3135" s="232"/>
    </row>
    <row r="3136">
      <c r="A3136" s="2"/>
      <c r="B3136" s="168" t="s">
        <v>296</v>
      </c>
      <c r="C3136" s="168" t="s">
        <v>3396</v>
      </c>
      <c r="D3136" s="229">
        <v>26.5</v>
      </c>
      <c r="E3136" s="229">
        <v>30.0</v>
      </c>
      <c r="F3136" s="230">
        <v>3.0</v>
      </c>
      <c r="G3136" s="232"/>
    </row>
    <row r="3137">
      <c r="A3137" s="2"/>
      <c r="B3137" s="168" t="s">
        <v>275</v>
      </c>
      <c r="C3137" s="168" t="s">
        <v>3397</v>
      </c>
      <c r="D3137" s="229">
        <v>26.5</v>
      </c>
      <c r="E3137" s="229">
        <v>30.0</v>
      </c>
      <c r="F3137" s="230">
        <v>3.0</v>
      </c>
      <c r="G3137" s="232"/>
    </row>
    <row r="3138">
      <c r="A3138" s="2"/>
      <c r="B3138" s="168" t="s">
        <v>255</v>
      </c>
      <c r="C3138" s="168" t="s">
        <v>3398</v>
      </c>
      <c r="D3138" s="229">
        <v>31.5</v>
      </c>
      <c r="E3138" s="229">
        <v>35.0</v>
      </c>
      <c r="F3138" s="230">
        <v>3.0</v>
      </c>
      <c r="G3138" s="232"/>
    </row>
    <row r="3139">
      <c r="A3139" s="2"/>
      <c r="B3139" s="168" t="s">
        <v>234</v>
      </c>
      <c r="C3139" s="168" t="s">
        <v>3399</v>
      </c>
      <c r="D3139" s="229">
        <v>29.5</v>
      </c>
      <c r="E3139" s="229">
        <v>33.0</v>
      </c>
      <c r="F3139" s="230">
        <v>3.0</v>
      </c>
      <c r="G3139" s="232"/>
    </row>
    <row r="3140">
      <c r="A3140" s="2"/>
      <c r="B3140" s="168" t="s">
        <v>217</v>
      </c>
      <c r="C3140" s="168" t="s">
        <v>3400</v>
      </c>
      <c r="D3140" s="229">
        <v>27.5</v>
      </c>
      <c r="E3140" s="229">
        <v>31.0</v>
      </c>
      <c r="F3140" s="230">
        <v>3.0</v>
      </c>
      <c r="G3140" s="232"/>
    </row>
    <row r="3141">
      <c r="A3141" s="2"/>
      <c r="B3141" s="168" t="s">
        <v>449</v>
      </c>
      <c r="C3141" s="168" t="s">
        <v>3401</v>
      </c>
      <c r="D3141" s="229">
        <v>28.5</v>
      </c>
      <c r="E3141" s="229">
        <v>32.0</v>
      </c>
      <c r="F3141" s="230">
        <v>3.0</v>
      </c>
      <c r="G3141" s="232"/>
    </row>
    <row r="3142">
      <c r="A3142" s="2"/>
      <c r="B3142" s="168" t="s">
        <v>290</v>
      </c>
      <c r="C3142" s="168" t="s">
        <v>3402</v>
      </c>
      <c r="D3142" s="229">
        <v>29.5</v>
      </c>
      <c r="E3142" s="229">
        <v>33.0</v>
      </c>
      <c r="F3142" s="230">
        <v>3.0</v>
      </c>
      <c r="G3142" s="232"/>
    </row>
    <row r="3143">
      <c r="A3143" s="2"/>
      <c r="B3143" s="168" t="s">
        <v>302</v>
      </c>
      <c r="C3143" s="168" t="s">
        <v>3403</v>
      </c>
      <c r="D3143" s="229">
        <v>34.5</v>
      </c>
      <c r="E3143" s="229">
        <v>38.0</v>
      </c>
      <c r="F3143" s="230">
        <v>3.0</v>
      </c>
      <c r="G3143" s="232"/>
    </row>
    <row r="3144">
      <c r="A3144" s="2"/>
      <c r="B3144" s="168" t="s">
        <v>245</v>
      </c>
      <c r="C3144" s="168" t="s">
        <v>3404</v>
      </c>
      <c r="D3144" s="229">
        <v>29.5</v>
      </c>
      <c r="E3144" s="229">
        <v>33.0</v>
      </c>
      <c r="F3144" s="230">
        <v>3.0</v>
      </c>
      <c r="G3144" s="232"/>
    </row>
    <row r="3145">
      <c r="A3145" s="2"/>
      <c r="B3145" s="168" t="s">
        <v>217</v>
      </c>
      <c r="C3145" s="168" t="s">
        <v>3405</v>
      </c>
      <c r="D3145" s="229">
        <v>27.5</v>
      </c>
      <c r="E3145" s="229">
        <v>31.0</v>
      </c>
      <c r="F3145" s="230">
        <v>3.0</v>
      </c>
      <c r="G3145" s="232"/>
    </row>
    <row r="3146">
      <c r="A3146" s="2"/>
      <c r="B3146" s="168" t="s">
        <v>273</v>
      </c>
      <c r="C3146" s="168" t="s">
        <v>3406</v>
      </c>
      <c r="D3146" s="229">
        <v>24.5</v>
      </c>
      <c r="E3146" s="229">
        <v>28.0</v>
      </c>
      <c r="F3146" s="230">
        <v>3.0</v>
      </c>
      <c r="G3146" s="232"/>
    </row>
    <row r="3147">
      <c r="A3147" s="2"/>
      <c r="B3147" s="168" t="s">
        <v>215</v>
      </c>
      <c r="C3147" s="168" t="s">
        <v>3407</v>
      </c>
      <c r="D3147" s="229">
        <v>29.5</v>
      </c>
      <c r="E3147" s="229">
        <v>33.0</v>
      </c>
      <c r="F3147" s="230">
        <v>3.0</v>
      </c>
      <c r="G3147" s="232"/>
    </row>
    <row r="3148">
      <c r="A3148" s="2"/>
      <c r="B3148" s="168" t="s">
        <v>318</v>
      </c>
      <c r="C3148" s="168" t="s">
        <v>3408</v>
      </c>
      <c r="D3148" s="229">
        <v>25.5</v>
      </c>
      <c r="E3148" s="229">
        <v>29.0</v>
      </c>
      <c r="F3148" s="230">
        <v>3.0</v>
      </c>
      <c r="G3148" s="232"/>
    </row>
    <row r="3149">
      <c r="A3149" s="2"/>
      <c r="B3149" s="168" t="s">
        <v>275</v>
      </c>
      <c r="C3149" s="168" t="s">
        <v>3409</v>
      </c>
      <c r="D3149" s="229">
        <v>26.5</v>
      </c>
      <c r="E3149" s="229">
        <v>30.0</v>
      </c>
      <c r="F3149" s="230">
        <v>3.0</v>
      </c>
      <c r="G3149" s="232"/>
    </row>
    <row r="3150">
      <c r="A3150" s="2"/>
      <c r="B3150" s="168" t="s">
        <v>337</v>
      </c>
      <c r="C3150" s="168" t="s">
        <v>3410</v>
      </c>
      <c r="D3150" s="229">
        <v>20.5</v>
      </c>
      <c r="E3150" s="229">
        <v>24.0</v>
      </c>
      <c r="F3150" s="230">
        <v>3.0</v>
      </c>
      <c r="G3150" s="232"/>
    </row>
    <row r="3151">
      <c r="A3151" s="2"/>
      <c r="B3151" s="168" t="s">
        <v>243</v>
      </c>
      <c r="C3151" s="168" t="s">
        <v>3411</v>
      </c>
      <c r="D3151" s="229">
        <v>29.5</v>
      </c>
      <c r="E3151" s="229">
        <v>33.0</v>
      </c>
      <c r="F3151" s="230">
        <v>3.0</v>
      </c>
      <c r="G3151" s="232"/>
    </row>
    <row r="3152">
      <c r="A3152" s="2"/>
      <c r="B3152" s="168" t="s">
        <v>337</v>
      </c>
      <c r="C3152" s="168" t="s">
        <v>3412</v>
      </c>
      <c r="D3152" s="229">
        <v>28.5</v>
      </c>
      <c r="E3152" s="229">
        <v>32.0</v>
      </c>
      <c r="F3152" s="230">
        <v>3.0</v>
      </c>
      <c r="G3152" s="232"/>
    </row>
    <row r="3153">
      <c r="A3153" s="2"/>
      <c r="B3153" s="168" t="s">
        <v>217</v>
      </c>
      <c r="C3153" s="168" t="s">
        <v>3413</v>
      </c>
      <c r="D3153" s="229">
        <v>27.5</v>
      </c>
      <c r="E3153" s="229">
        <v>31.0</v>
      </c>
      <c r="F3153" s="230">
        <v>3.0</v>
      </c>
      <c r="G3153" s="232"/>
    </row>
    <row r="3154">
      <c r="A3154" s="2"/>
      <c r="B3154" s="168" t="s">
        <v>615</v>
      </c>
      <c r="C3154" s="168" t="s">
        <v>3414</v>
      </c>
      <c r="D3154" s="229">
        <v>24.5</v>
      </c>
      <c r="E3154" s="229">
        <v>28.0</v>
      </c>
      <c r="F3154" s="230">
        <v>3.0</v>
      </c>
      <c r="G3154" s="232"/>
    </row>
    <row r="3155">
      <c r="A3155" s="2"/>
      <c r="B3155" s="168" t="s">
        <v>215</v>
      </c>
      <c r="C3155" s="168" t="s">
        <v>3415</v>
      </c>
      <c r="D3155" s="229">
        <v>28.5</v>
      </c>
      <c r="E3155" s="229">
        <v>32.0</v>
      </c>
      <c r="F3155" s="230">
        <v>3.0</v>
      </c>
      <c r="G3155" s="232"/>
    </row>
    <row r="3156">
      <c r="A3156" s="2"/>
      <c r="B3156" s="168" t="s">
        <v>269</v>
      </c>
      <c r="C3156" s="168" t="s">
        <v>3416</v>
      </c>
      <c r="D3156" s="229">
        <v>26.5</v>
      </c>
      <c r="E3156" s="229">
        <v>30.0</v>
      </c>
      <c r="F3156" s="230">
        <v>3.0</v>
      </c>
      <c r="G3156" s="232"/>
    </row>
    <row r="3157">
      <c r="A3157" s="2"/>
      <c r="B3157" s="168" t="s">
        <v>269</v>
      </c>
      <c r="C3157" s="168" t="s">
        <v>3417</v>
      </c>
      <c r="D3157" s="229">
        <v>26.5</v>
      </c>
      <c r="E3157" s="229">
        <v>30.0</v>
      </c>
      <c r="F3157" s="230">
        <v>3.0</v>
      </c>
      <c r="G3157" s="232"/>
    </row>
    <row r="3158">
      <c r="A3158" s="2"/>
      <c r="B3158" s="168" t="s">
        <v>318</v>
      </c>
      <c r="C3158" s="168" t="s">
        <v>3418</v>
      </c>
      <c r="D3158" s="229">
        <v>25.5</v>
      </c>
      <c r="E3158" s="229">
        <v>29.0</v>
      </c>
      <c r="F3158" s="230">
        <v>3.0</v>
      </c>
      <c r="G3158" s="232"/>
    </row>
    <row r="3159">
      <c r="A3159" s="2"/>
      <c r="B3159" s="168" t="s">
        <v>290</v>
      </c>
      <c r="C3159" s="168" t="s">
        <v>3419</v>
      </c>
      <c r="D3159" s="229">
        <v>24.5</v>
      </c>
      <c r="E3159" s="229">
        <v>28.0</v>
      </c>
      <c r="F3159" s="230">
        <v>3.0</v>
      </c>
      <c r="G3159" s="232"/>
    </row>
    <row r="3160">
      <c r="A3160" s="2"/>
      <c r="B3160" s="168" t="s">
        <v>234</v>
      </c>
      <c r="C3160" s="168" t="s">
        <v>3420</v>
      </c>
      <c r="D3160" s="229">
        <v>29.5</v>
      </c>
      <c r="E3160" s="229">
        <v>33.0</v>
      </c>
      <c r="F3160" s="230">
        <v>3.0</v>
      </c>
      <c r="G3160" s="232"/>
    </row>
    <row r="3161">
      <c r="A3161" s="2"/>
      <c r="B3161" s="168" t="s">
        <v>290</v>
      </c>
      <c r="C3161" s="168" t="s">
        <v>3421</v>
      </c>
      <c r="D3161" s="229">
        <v>29.5</v>
      </c>
      <c r="E3161" s="229">
        <v>33.0</v>
      </c>
      <c r="F3161" s="230">
        <v>3.0</v>
      </c>
      <c r="G3161" s="232"/>
    </row>
    <row r="3162">
      <c r="A3162" s="2"/>
      <c r="B3162" s="168" t="s">
        <v>427</v>
      </c>
      <c r="C3162" s="168" t="s">
        <v>3422</v>
      </c>
      <c r="D3162" s="229">
        <v>26.5</v>
      </c>
      <c r="E3162" s="229">
        <v>30.0</v>
      </c>
      <c r="F3162" s="230">
        <v>3.0</v>
      </c>
      <c r="G3162" s="232"/>
    </row>
    <row r="3163">
      <c r="A3163" s="2"/>
      <c r="B3163" s="168" t="s">
        <v>273</v>
      </c>
      <c r="C3163" s="168" t="s">
        <v>3423</v>
      </c>
      <c r="D3163" s="229">
        <v>29.5</v>
      </c>
      <c r="E3163" s="229">
        <v>33.0</v>
      </c>
      <c r="F3163" s="230">
        <v>3.0</v>
      </c>
      <c r="G3163" s="232"/>
    </row>
    <row r="3164">
      <c r="A3164" s="2"/>
      <c r="B3164" s="168" t="s">
        <v>217</v>
      </c>
      <c r="C3164" s="168" t="s">
        <v>3424</v>
      </c>
      <c r="D3164" s="229">
        <v>27.5</v>
      </c>
      <c r="E3164" s="229">
        <v>31.0</v>
      </c>
      <c r="F3164" s="230">
        <v>3.0</v>
      </c>
      <c r="G3164" s="232"/>
    </row>
    <row r="3165">
      <c r="A3165" s="2"/>
      <c r="B3165" s="168" t="s">
        <v>337</v>
      </c>
      <c r="C3165" s="168" t="s">
        <v>3425</v>
      </c>
      <c r="D3165" s="229">
        <v>23.5</v>
      </c>
      <c r="E3165" s="229">
        <v>27.0</v>
      </c>
      <c r="F3165" s="230">
        <v>3.0</v>
      </c>
      <c r="G3165" s="232"/>
    </row>
    <row r="3166">
      <c r="A3166" s="2"/>
      <c r="B3166" s="168" t="s">
        <v>243</v>
      </c>
      <c r="C3166" s="168" t="s">
        <v>3426</v>
      </c>
      <c r="D3166" s="229">
        <v>29.5</v>
      </c>
      <c r="E3166" s="229">
        <v>33.0</v>
      </c>
      <c r="F3166" s="230">
        <v>3.0</v>
      </c>
      <c r="G3166" s="232"/>
    </row>
    <row r="3167">
      <c r="A3167" s="2"/>
      <c r="B3167" s="168" t="s">
        <v>300</v>
      </c>
      <c r="C3167" s="168" t="s">
        <v>3427</v>
      </c>
      <c r="D3167" s="229">
        <v>28.5</v>
      </c>
      <c r="E3167" s="229">
        <v>32.0</v>
      </c>
      <c r="F3167" s="230">
        <v>3.0</v>
      </c>
      <c r="G3167" s="232"/>
    </row>
    <row r="3168">
      <c r="A3168" s="2"/>
      <c r="B3168" s="168" t="s">
        <v>811</v>
      </c>
      <c r="C3168" s="168" t="s">
        <v>3428</v>
      </c>
      <c r="D3168" s="229">
        <v>29.5</v>
      </c>
      <c r="E3168" s="229">
        <v>33.0</v>
      </c>
      <c r="F3168" s="230">
        <v>3.0</v>
      </c>
      <c r="G3168" s="232"/>
    </row>
    <row r="3169">
      <c r="A3169" s="2"/>
      <c r="B3169" s="168" t="s">
        <v>241</v>
      </c>
      <c r="C3169" s="168" t="s">
        <v>3429</v>
      </c>
      <c r="D3169" s="229">
        <v>32.5</v>
      </c>
      <c r="E3169" s="229">
        <v>36.0</v>
      </c>
      <c r="F3169" s="230">
        <v>3.0</v>
      </c>
      <c r="G3169" s="232"/>
    </row>
    <row r="3170">
      <c r="A3170" s="2"/>
      <c r="B3170" s="168" t="s">
        <v>234</v>
      </c>
      <c r="C3170" s="168" t="s">
        <v>3430</v>
      </c>
      <c r="D3170" s="229">
        <v>29.5</v>
      </c>
      <c r="E3170" s="229">
        <v>33.0</v>
      </c>
      <c r="F3170" s="230">
        <v>3.0</v>
      </c>
      <c r="G3170" s="232"/>
    </row>
    <row r="3171">
      <c r="A3171" s="2"/>
      <c r="B3171" s="168" t="s">
        <v>377</v>
      </c>
      <c r="C3171" s="168" t="s">
        <v>3431</v>
      </c>
      <c r="D3171" s="229">
        <v>24.5</v>
      </c>
      <c r="E3171" s="229">
        <v>28.0</v>
      </c>
      <c r="F3171" s="230">
        <v>3.0</v>
      </c>
      <c r="G3171" s="232"/>
    </row>
    <row r="3172">
      <c r="A3172" s="2"/>
      <c r="B3172" s="168" t="s">
        <v>254</v>
      </c>
      <c r="C3172" s="168" t="s">
        <v>3432</v>
      </c>
      <c r="D3172" s="229">
        <v>26.5</v>
      </c>
      <c r="E3172" s="229">
        <v>30.0</v>
      </c>
      <c r="F3172" s="230">
        <v>3.0</v>
      </c>
      <c r="G3172" s="232"/>
    </row>
    <row r="3173">
      <c r="A3173" s="2"/>
      <c r="B3173" s="168" t="s">
        <v>247</v>
      </c>
      <c r="C3173" s="168" t="s">
        <v>3433</v>
      </c>
      <c r="D3173" s="229">
        <v>29.5</v>
      </c>
      <c r="E3173" s="229">
        <v>33.0</v>
      </c>
      <c r="F3173" s="230">
        <v>3.0</v>
      </c>
      <c r="G3173" s="232"/>
    </row>
    <row r="3174">
      <c r="A3174" s="2"/>
      <c r="B3174" s="168" t="s">
        <v>381</v>
      </c>
      <c r="C3174" s="168" t="s">
        <v>3434</v>
      </c>
      <c r="D3174" s="229">
        <v>28.5</v>
      </c>
      <c r="E3174" s="229">
        <v>32.0</v>
      </c>
      <c r="F3174" s="230">
        <v>3.0</v>
      </c>
      <c r="G3174" s="232"/>
    </row>
    <row r="3175">
      <c r="A3175" s="2"/>
      <c r="B3175" s="168" t="s">
        <v>406</v>
      </c>
      <c r="C3175" s="168" t="s">
        <v>3435</v>
      </c>
      <c r="D3175" s="229">
        <v>21.5</v>
      </c>
      <c r="E3175" s="229">
        <v>25.0</v>
      </c>
      <c r="F3175" s="230">
        <v>3.0</v>
      </c>
      <c r="G3175" s="232"/>
    </row>
    <row r="3176">
      <c r="A3176" s="2"/>
      <c r="B3176" s="168" t="s">
        <v>255</v>
      </c>
      <c r="C3176" s="168" t="s">
        <v>3436</v>
      </c>
      <c r="D3176" s="229">
        <v>31.5</v>
      </c>
      <c r="E3176" s="229">
        <v>35.0</v>
      </c>
      <c r="F3176" s="230">
        <v>3.0</v>
      </c>
      <c r="G3176" s="232"/>
    </row>
    <row r="3177">
      <c r="A3177" s="2"/>
      <c r="B3177" s="168" t="s">
        <v>223</v>
      </c>
      <c r="C3177" s="168" t="s">
        <v>3437</v>
      </c>
      <c r="D3177" s="229">
        <v>26.5</v>
      </c>
      <c r="E3177" s="229">
        <v>30.0</v>
      </c>
      <c r="F3177" s="230">
        <v>3.0</v>
      </c>
      <c r="G3177" s="232"/>
    </row>
    <row r="3178">
      <c r="A3178" s="2"/>
      <c r="B3178" s="168" t="s">
        <v>296</v>
      </c>
      <c r="C3178" s="168" t="s">
        <v>3438</v>
      </c>
      <c r="D3178" s="229">
        <v>21.5</v>
      </c>
      <c r="E3178" s="229">
        <v>25.0</v>
      </c>
      <c r="F3178" s="230">
        <v>3.0</v>
      </c>
      <c r="G3178" s="232"/>
    </row>
    <row r="3179">
      <c r="A3179" s="2"/>
      <c r="B3179" s="168" t="s">
        <v>288</v>
      </c>
      <c r="C3179" s="168" t="s">
        <v>3439</v>
      </c>
      <c r="D3179" s="229">
        <v>21.5</v>
      </c>
      <c r="E3179" s="229">
        <v>25.0</v>
      </c>
      <c r="F3179" s="230">
        <v>3.0</v>
      </c>
      <c r="G3179" s="232"/>
    </row>
    <row r="3180">
      <c r="A3180" s="2"/>
      <c r="B3180" s="168" t="s">
        <v>406</v>
      </c>
      <c r="C3180" s="168" t="s">
        <v>3440</v>
      </c>
      <c r="D3180" s="229">
        <v>28.0</v>
      </c>
      <c r="E3180" s="229">
        <v>31.5</v>
      </c>
      <c r="F3180" s="230">
        <v>3.0</v>
      </c>
      <c r="G3180" s="232"/>
    </row>
    <row r="3181">
      <c r="A3181" s="2"/>
      <c r="B3181" s="168" t="s">
        <v>345</v>
      </c>
      <c r="C3181" s="168" t="s">
        <v>3441</v>
      </c>
      <c r="D3181" s="229">
        <v>26.5</v>
      </c>
      <c r="E3181" s="229">
        <v>30.0</v>
      </c>
      <c r="F3181" s="230">
        <v>3.0</v>
      </c>
      <c r="G3181" s="232"/>
    </row>
    <row r="3182">
      <c r="A3182" s="2"/>
      <c r="B3182" s="168" t="s">
        <v>1329</v>
      </c>
      <c r="C3182" s="168" t="s">
        <v>3442</v>
      </c>
      <c r="D3182" s="229">
        <v>21.5</v>
      </c>
      <c r="E3182" s="229">
        <v>25.0</v>
      </c>
      <c r="F3182" s="230">
        <v>3.0</v>
      </c>
      <c r="G3182" s="232"/>
    </row>
    <row r="3183">
      <c r="A3183" s="2"/>
      <c r="B3183" s="168" t="s">
        <v>215</v>
      </c>
      <c r="C3183" s="168" t="s">
        <v>3443</v>
      </c>
      <c r="D3183" s="229">
        <v>29.5</v>
      </c>
      <c r="E3183" s="229">
        <v>33.0</v>
      </c>
      <c r="F3183" s="230">
        <v>3.0</v>
      </c>
      <c r="G3183" s="232"/>
    </row>
    <row r="3184">
      <c r="A3184" s="2"/>
      <c r="B3184" s="168" t="s">
        <v>337</v>
      </c>
      <c r="C3184" s="168" t="s">
        <v>3444</v>
      </c>
      <c r="D3184" s="229">
        <v>28.5</v>
      </c>
      <c r="E3184" s="229">
        <v>32.0</v>
      </c>
      <c r="F3184" s="230">
        <v>3.0</v>
      </c>
      <c r="G3184" s="232"/>
    </row>
    <row r="3185">
      <c r="A3185" s="2"/>
      <c r="B3185" s="168" t="s">
        <v>217</v>
      </c>
      <c r="C3185" s="168" t="s">
        <v>3445</v>
      </c>
      <c r="D3185" s="229">
        <v>27.5</v>
      </c>
      <c r="E3185" s="229">
        <v>31.0</v>
      </c>
      <c r="F3185" s="230">
        <v>3.0</v>
      </c>
      <c r="G3185" s="232"/>
    </row>
    <row r="3186">
      <c r="A3186" s="2"/>
      <c r="B3186" s="168" t="s">
        <v>234</v>
      </c>
      <c r="C3186" s="168" t="s">
        <v>3446</v>
      </c>
      <c r="D3186" s="229">
        <v>29.5</v>
      </c>
      <c r="E3186" s="229">
        <v>33.0</v>
      </c>
      <c r="F3186" s="230">
        <v>3.0</v>
      </c>
      <c r="G3186" s="232"/>
    </row>
    <row r="3187">
      <c r="A3187" s="2"/>
      <c r="B3187" s="168" t="s">
        <v>296</v>
      </c>
      <c r="C3187" s="168" t="s">
        <v>3447</v>
      </c>
      <c r="D3187" s="229">
        <v>26.5</v>
      </c>
      <c r="E3187" s="229">
        <v>30.0</v>
      </c>
      <c r="F3187" s="230">
        <v>3.0</v>
      </c>
      <c r="G3187" s="232"/>
    </row>
    <row r="3188">
      <c r="A3188" s="2"/>
      <c r="B3188" s="168" t="s">
        <v>269</v>
      </c>
      <c r="C3188" s="168" t="s">
        <v>3448</v>
      </c>
      <c r="D3188" s="229">
        <v>26.5</v>
      </c>
      <c r="E3188" s="229">
        <v>30.0</v>
      </c>
      <c r="F3188" s="230">
        <v>3.0</v>
      </c>
      <c r="G3188" s="232"/>
    </row>
    <row r="3189">
      <c r="A3189" s="2"/>
      <c r="B3189" s="168" t="s">
        <v>285</v>
      </c>
      <c r="C3189" s="168" t="s">
        <v>3449</v>
      </c>
      <c r="D3189" s="229">
        <v>24.5</v>
      </c>
      <c r="E3189" s="229">
        <v>28.0</v>
      </c>
      <c r="F3189" s="230">
        <v>3.0</v>
      </c>
      <c r="G3189" s="232"/>
    </row>
    <row r="3190">
      <c r="A3190" s="2"/>
      <c r="B3190" s="168" t="s">
        <v>288</v>
      </c>
      <c r="C3190" s="168" t="s">
        <v>3450</v>
      </c>
      <c r="D3190" s="229">
        <v>21.5</v>
      </c>
      <c r="E3190" s="229">
        <v>25.0</v>
      </c>
      <c r="F3190" s="230">
        <v>3.0</v>
      </c>
      <c r="G3190" s="232"/>
    </row>
    <row r="3191">
      <c r="A3191" s="2"/>
      <c r="B3191" s="168" t="s">
        <v>217</v>
      </c>
      <c r="C3191" s="168" t="s">
        <v>3451</v>
      </c>
      <c r="D3191" s="229">
        <v>27.5</v>
      </c>
      <c r="E3191" s="229">
        <v>31.0</v>
      </c>
      <c r="F3191" s="230">
        <v>3.0</v>
      </c>
      <c r="G3191" s="232"/>
    </row>
    <row r="3192">
      <c r="A3192" s="2"/>
      <c r="B3192" s="168" t="s">
        <v>234</v>
      </c>
      <c r="C3192" s="168" t="s">
        <v>3452</v>
      </c>
      <c r="D3192" s="229">
        <v>29.5</v>
      </c>
      <c r="E3192" s="229">
        <v>33.0</v>
      </c>
      <c r="F3192" s="230">
        <v>3.0</v>
      </c>
      <c r="G3192" s="232"/>
    </row>
    <row r="3193">
      <c r="A3193" s="2"/>
      <c r="B3193" s="168" t="s">
        <v>217</v>
      </c>
      <c r="C3193" s="168" t="s">
        <v>3453</v>
      </c>
      <c r="D3193" s="229">
        <v>27.5</v>
      </c>
      <c r="E3193" s="229">
        <v>31.0</v>
      </c>
      <c r="F3193" s="230">
        <v>3.0</v>
      </c>
      <c r="G3193" s="232"/>
    </row>
    <row r="3194">
      <c r="A3194" s="2"/>
      <c r="B3194" s="168" t="s">
        <v>1311</v>
      </c>
      <c r="C3194" s="168" t="s">
        <v>3454</v>
      </c>
      <c r="D3194" s="229">
        <v>28.5</v>
      </c>
      <c r="E3194" s="229">
        <v>32.0</v>
      </c>
      <c r="F3194" s="230">
        <v>3.0</v>
      </c>
      <c r="G3194" s="232"/>
    </row>
    <row r="3195">
      <c r="A3195" s="2"/>
      <c r="B3195" s="168" t="s">
        <v>221</v>
      </c>
      <c r="C3195" s="168" t="s">
        <v>3455</v>
      </c>
      <c r="D3195" s="229">
        <v>27.5</v>
      </c>
      <c r="E3195" s="229">
        <v>31.0</v>
      </c>
      <c r="F3195" s="230">
        <v>3.0</v>
      </c>
      <c r="G3195" s="232"/>
    </row>
    <row r="3196">
      <c r="A3196" s="2"/>
      <c r="B3196" s="168" t="s">
        <v>271</v>
      </c>
      <c r="C3196" s="168" t="s">
        <v>3456</v>
      </c>
      <c r="D3196" s="229">
        <v>30.5</v>
      </c>
      <c r="E3196" s="229">
        <v>34.0</v>
      </c>
      <c r="F3196" s="230">
        <v>3.0</v>
      </c>
      <c r="G3196" s="232"/>
    </row>
    <row r="3197">
      <c r="A3197" s="2"/>
      <c r="B3197" s="168" t="s">
        <v>574</v>
      </c>
      <c r="C3197" s="168" t="s">
        <v>3457</v>
      </c>
      <c r="D3197" s="229">
        <v>34.5</v>
      </c>
      <c r="E3197" s="229">
        <v>38.0</v>
      </c>
      <c r="F3197" s="230">
        <v>3.0</v>
      </c>
      <c r="G3197" s="232"/>
    </row>
    <row r="3198">
      <c r="A3198" s="2"/>
      <c r="B3198" s="168" t="s">
        <v>230</v>
      </c>
      <c r="C3198" s="168" t="s">
        <v>3458</v>
      </c>
      <c r="D3198" s="229">
        <v>21.5</v>
      </c>
      <c r="E3198" s="229">
        <v>25.0</v>
      </c>
      <c r="F3198" s="230">
        <v>3.0</v>
      </c>
      <c r="G3198" s="232"/>
    </row>
    <row r="3199">
      <c r="A3199" s="2"/>
      <c r="B3199" s="168" t="s">
        <v>234</v>
      </c>
      <c r="C3199" s="168" t="s">
        <v>3459</v>
      </c>
      <c r="D3199" s="229">
        <v>29.5</v>
      </c>
      <c r="E3199" s="229">
        <v>33.0</v>
      </c>
      <c r="F3199" s="230">
        <v>3.0</v>
      </c>
      <c r="G3199" s="232"/>
    </row>
    <row r="3200">
      <c r="A3200" s="2"/>
      <c r="B3200" s="168" t="s">
        <v>368</v>
      </c>
      <c r="C3200" s="168" t="s">
        <v>3460</v>
      </c>
      <c r="D3200" s="229">
        <v>32.5</v>
      </c>
      <c r="E3200" s="229">
        <v>36.0</v>
      </c>
      <c r="F3200" s="230">
        <v>3.0</v>
      </c>
      <c r="G3200" s="232"/>
    </row>
    <row r="3201">
      <c r="A3201" s="2"/>
      <c r="B3201" s="168" t="s">
        <v>381</v>
      </c>
      <c r="C3201" s="168" t="s">
        <v>3461</v>
      </c>
      <c r="D3201" s="229">
        <v>28.5</v>
      </c>
      <c r="E3201" s="229">
        <v>32.0</v>
      </c>
      <c r="F3201" s="230">
        <v>3.0</v>
      </c>
      <c r="G3201" s="232"/>
    </row>
    <row r="3202">
      <c r="A3202" s="2"/>
      <c r="B3202" s="168" t="s">
        <v>247</v>
      </c>
      <c r="C3202" s="168" t="s">
        <v>3462</v>
      </c>
      <c r="D3202" s="229">
        <v>29.5</v>
      </c>
      <c r="E3202" s="229">
        <v>33.0</v>
      </c>
      <c r="F3202" s="230">
        <v>3.0</v>
      </c>
      <c r="G3202" s="232"/>
    </row>
    <row r="3203">
      <c r="A3203" s="2"/>
      <c r="B3203" s="168" t="s">
        <v>413</v>
      </c>
      <c r="C3203" s="168" t="s">
        <v>3463</v>
      </c>
      <c r="D3203" s="229">
        <v>29.5</v>
      </c>
      <c r="E3203" s="229">
        <v>33.0</v>
      </c>
      <c r="F3203" s="230">
        <v>3.0</v>
      </c>
      <c r="G3203" s="232"/>
    </row>
    <row r="3204">
      <c r="A3204" s="2"/>
      <c r="B3204" s="168" t="s">
        <v>335</v>
      </c>
      <c r="C3204" s="168" t="s">
        <v>3464</v>
      </c>
      <c r="D3204" s="229">
        <v>34.5</v>
      </c>
      <c r="E3204" s="229">
        <v>38.0</v>
      </c>
      <c r="F3204" s="230">
        <v>3.0</v>
      </c>
      <c r="G3204" s="232"/>
    </row>
    <row r="3205">
      <c r="A3205" s="2"/>
      <c r="B3205" s="168" t="s">
        <v>280</v>
      </c>
      <c r="C3205" s="168" t="s">
        <v>3465</v>
      </c>
      <c r="D3205" s="229">
        <v>34.5</v>
      </c>
      <c r="E3205" s="229">
        <v>38.0</v>
      </c>
      <c r="F3205" s="230">
        <v>3.0</v>
      </c>
      <c r="G3205" s="232"/>
    </row>
    <row r="3206">
      <c r="A3206" s="2"/>
      <c r="B3206" s="168" t="s">
        <v>262</v>
      </c>
      <c r="C3206" s="168" t="s">
        <v>3466</v>
      </c>
      <c r="D3206" s="229">
        <v>29.5</v>
      </c>
      <c r="E3206" s="229">
        <v>33.0</v>
      </c>
      <c r="F3206" s="230">
        <v>3.0</v>
      </c>
      <c r="G3206" s="232"/>
    </row>
    <row r="3207">
      <c r="A3207" s="2"/>
      <c r="B3207" s="168" t="s">
        <v>247</v>
      </c>
      <c r="C3207" s="168" t="s">
        <v>3467</v>
      </c>
      <c r="D3207" s="229">
        <v>29.5</v>
      </c>
      <c r="E3207" s="229">
        <v>33.0</v>
      </c>
      <c r="F3207" s="230">
        <v>3.0</v>
      </c>
      <c r="G3207" s="232"/>
    </row>
    <row r="3208">
      <c r="A3208" s="2"/>
      <c r="B3208" s="168" t="s">
        <v>257</v>
      </c>
      <c r="C3208" s="168" t="s">
        <v>3468</v>
      </c>
      <c r="D3208" s="229">
        <v>28.5</v>
      </c>
      <c r="E3208" s="229">
        <v>32.0</v>
      </c>
      <c r="F3208" s="230">
        <v>3.0</v>
      </c>
      <c r="G3208" s="232"/>
    </row>
    <row r="3209">
      <c r="A3209" s="2"/>
      <c r="B3209" s="168" t="s">
        <v>217</v>
      </c>
      <c r="C3209" s="168" t="s">
        <v>3469</v>
      </c>
      <c r="D3209" s="229">
        <v>27.0</v>
      </c>
      <c r="E3209" s="229">
        <v>30.5</v>
      </c>
      <c r="F3209" s="230">
        <v>3.0</v>
      </c>
      <c r="G3209" s="232"/>
    </row>
    <row r="3210">
      <c r="A3210" s="2"/>
      <c r="B3210" s="168" t="s">
        <v>288</v>
      </c>
      <c r="C3210" s="168" t="s">
        <v>3470</v>
      </c>
      <c r="D3210" s="229">
        <v>16.5</v>
      </c>
      <c r="E3210" s="229">
        <v>20.0</v>
      </c>
      <c r="F3210" s="230">
        <v>3.0</v>
      </c>
      <c r="G3210" s="232"/>
    </row>
    <row r="3211">
      <c r="A3211" s="2"/>
      <c r="B3211" s="168" t="s">
        <v>247</v>
      </c>
      <c r="C3211" s="168" t="s">
        <v>3471</v>
      </c>
      <c r="D3211" s="229">
        <v>29.5</v>
      </c>
      <c r="E3211" s="229">
        <v>33.0</v>
      </c>
      <c r="F3211" s="230">
        <v>3.0</v>
      </c>
      <c r="G3211" s="232"/>
    </row>
    <row r="3212">
      <c r="A3212" s="2"/>
      <c r="B3212" s="168" t="s">
        <v>232</v>
      </c>
      <c r="C3212" s="168" t="s">
        <v>3472</v>
      </c>
      <c r="D3212" s="229">
        <v>32.5</v>
      </c>
      <c r="E3212" s="229">
        <v>36.0</v>
      </c>
      <c r="F3212" s="230">
        <v>3.0</v>
      </c>
      <c r="G3212" s="232"/>
    </row>
    <row r="3213">
      <c r="A3213" s="2"/>
      <c r="B3213" s="168" t="s">
        <v>232</v>
      </c>
      <c r="C3213" s="168" t="s">
        <v>3473</v>
      </c>
      <c r="D3213" s="229">
        <v>25.5</v>
      </c>
      <c r="E3213" s="229">
        <v>29.0</v>
      </c>
      <c r="F3213" s="230">
        <v>3.0</v>
      </c>
      <c r="G3213" s="232"/>
    </row>
    <row r="3214">
      <c r="A3214" s="2"/>
      <c r="B3214" s="168" t="s">
        <v>230</v>
      </c>
      <c r="C3214" s="168" t="s">
        <v>3474</v>
      </c>
      <c r="D3214" s="229">
        <v>21.5</v>
      </c>
      <c r="E3214" s="229">
        <v>25.0</v>
      </c>
      <c r="F3214" s="230">
        <v>3.0</v>
      </c>
      <c r="G3214" s="232"/>
    </row>
    <row r="3215">
      <c r="A3215" s="2"/>
      <c r="B3215" s="168" t="s">
        <v>269</v>
      </c>
      <c r="C3215" s="168" t="s">
        <v>3475</v>
      </c>
      <c r="D3215" s="229">
        <v>26.5</v>
      </c>
      <c r="E3215" s="229">
        <v>30.0</v>
      </c>
      <c r="F3215" s="230">
        <v>3.0</v>
      </c>
      <c r="G3215" s="232"/>
    </row>
    <row r="3216">
      <c r="A3216" s="2"/>
      <c r="B3216" s="168" t="s">
        <v>341</v>
      </c>
      <c r="C3216" s="168" t="s">
        <v>3476</v>
      </c>
      <c r="D3216" s="229">
        <v>29.5</v>
      </c>
      <c r="E3216" s="229">
        <v>29.5</v>
      </c>
      <c r="F3216" s="230">
        <v>3.0</v>
      </c>
      <c r="G3216" s="232"/>
    </row>
    <row r="3217">
      <c r="A3217" s="2"/>
      <c r="B3217" s="168" t="s">
        <v>328</v>
      </c>
      <c r="C3217" s="168" t="s">
        <v>3477</v>
      </c>
      <c r="D3217" s="229">
        <v>34.5</v>
      </c>
      <c r="E3217" s="229">
        <v>38.0</v>
      </c>
      <c r="F3217" s="230">
        <v>3.0</v>
      </c>
      <c r="G3217" s="232"/>
    </row>
    <row r="3218">
      <c r="A3218" s="2"/>
      <c r="B3218" s="168" t="s">
        <v>285</v>
      </c>
      <c r="C3218" s="168" t="s">
        <v>3478</v>
      </c>
      <c r="D3218" s="229">
        <v>24.5</v>
      </c>
      <c r="E3218" s="229">
        <v>28.0</v>
      </c>
      <c r="F3218" s="230">
        <v>3.0</v>
      </c>
      <c r="G3218" s="232"/>
    </row>
    <row r="3219">
      <c r="A3219" s="2"/>
      <c r="B3219" s="168" t="s">
        <v>720</v>
      </c>
      <c r="C3219" s="168" t="s">
        <v>3479</v>
      </c>
      <c r="D3219" s="229">
        <v>22.5</v>
      </c>
      <c r="E3219" s="229">
        <v>26.0</v>
      </c>
      <c r="F3219" s="230">
        <v>3.0</v>
      </c>
      <c r="G3219" s="232"/>
    </row>
    <row r="3220">
      <c r="A3220" s="2"/>
      <c r="B3220" s="168" t="s">
        <v>288</v>
      </c>
      <c r="C3220" s="168" t="s">
        <v>3480</v>
      </c>
      <c r="D3220" s="229">
        <v>21.5</v>
      </c>
      <c r="E3220" s="229">
        <v>25.0</v>
      </c>
      <c r="F3220" s="230">
        <v>3.0</v>
      </c>
      <c r="G3220" s="232"/>
    </row>
    <row r="3221">
      <c r="A3221" s="2"/>
      <c r="B3221" s="168" t="s">
        <v>288</v>
      </c>
      <c r="C3221" s="168" t="s">
        <v>3481</v>
      </c>
      <c r="D3221" s="229">
        <v>21.5</v>
      </c>
      <c r="E3221" s="229">
        <v>25.0</v>
      </c>
      <c r="F3221" s="230">
        <v>3.0</v>
      </c>
      <c r="G3221" s="232"/>
    </row>
    <row r="3222">
      <c r="A3222" s="2"/>
      <c r="B3222" s="168" t="s">
        <v>302</v>
      </c>
      <c r="C3222" s="168" t="s">
        <v>3482</v>
      </c>
      <c r="D3222" s="229">
        <v>34.5</v>
      </c>
      <c r="E3222" s="229">
        <v>38.0</v>
      </c>
      <c r="F3222" s="230">
        <v>3.0</v>
      </c>
      <c r="G3222" s="232"/>
    </row>
    <row r="3223">
      <c r="A3223" s="2"/>
      <c r="B3223" s="168" t="s">
        <v>232</v>
      </c>
      <c r="C3223" s="168" t="s">
        <v>3483</v>
      </c>
      <c r="D3223" s="229">
        <v>27.5</v>
      </c>
      <c r="E3223" s="229">
        <v>31.0</v>
      </c>
      <c r="F3223" s="230">
        <v>3.0</v>
      </c>
      <c r="G3223" s="232"/>
    </row>
    <row r="3224">
      <c r="A3224" s="2"/>
      <c r="B3224" s="168" t="s">
        <v>427</v>
      </c>
      <c r="C3224" s="168" t="s">
        <v>3484</v>
      </c>
      <c r="D3224" s="229">
        <v>26.5</v>
      </c>
      <c r="E3224" s="229">
        <v>30.0</v>
      </c>
      <c r="F3224" s="230">
        <v>3.0</v>
      </c>
      <c r="G3224" s="232"/>
    </row>
    <row r="3225">
      <c r="A3225" s="2"/>
      <c r="B3225" s="168" t="s">
        <v>217</v>
      </c>
      <c r="C3225" s="168" t="s">
        <v>3485</v>
      </c>
      <c r="D3225" s="229">
        <v>27.5</v>
      </c>
      <c r="E3225" s="229">
        <v>31.0</v>
      </c>
      <c r="F3225" s="230">
        <v>3.0</v>
      </c>
      <c r="G3225" s="232"/>
    </row>
    <row r="3226">
      <c r="A3226" s="2"/>
      <c r="B3226" s="168" t="s">
        <v>223</v>
      </c>
      <c r="C3226" s="168" t="s">
        <v>3486</v>
      </c>
      <c r="D3226" s="229">
        <v>26.5</v>
      </c>
      <c r="E3226" s="229">
        <v>30.0</v>
      </c>
      <c r="F3226" s="230">
        <v>3.0</v>
      </c>
      <c r="G3226" s="232"/>
    </row>
    <row r="3227">
      <c r="A3227" s="2"/>
      <c r="B3227" s="168" t="s">
        <v>296</v>
      </c>
      <c r="C3227" s="168" t="s">
        <v>3487</v>
      </c>
      <c r="D3227" s="229">
        <v>26.5</v>
      </c>
      <c r="E3227" s="229">
        <v>30.0</v>
      </c>
      <c r="F3227" s="230">
        <v>3.0</v>
      </c>
      <c r="G3227" s="232"/>
    </row>
    <row r="3228">
      <c r="A3228" s="2"/>
      <c r="B3228" s="168" t="s">
        <v>266</v>
      </c>
      <c r="C3228" s="168" t="s">
        <v>3488</v>
      </c>
      <c r="D3228" s="229">
        <v>33.0</v>
      </c>
      <c r="E3228" s="229">
        <v>33.0</v>
      </c>
      <c r="F3228" s="230">
        <v>3.0</v>
      </c>
      <c r="G3228" s="232"/>
    </row>
    <row r="3229">
      <c r="A3229" s="2"/>
      <c r="B3229" s="168" t="s">
        <v>223</v>
      </c>
      <c r="C3229" s="168" t="s">
        <v>3489</v>
      </c>
      <c r="D3229" s="229">
        <v>26.5</v>
      </c>
      <c r="E3229" s="229">
        <v>30.0</v>
      </c>
      <c r="F3229" s="230">
        <v>3.0</v>
      </c>
      <c r="G3229" s="232"/>
    </row>
    <row r="3230">
      <c r="A3230" s="2"/>
      <c r="B3230" s="168" t="s">
        <v>318</v>
      </c>
      <c r="C3230" s="168" t="s">
        <v>3490</v>
      </c>
      <c r="D3230" s="229">
        <v>25.5</v>
      </c>
      <c r="E3230" s="229">
        <v>29.0</v>
      </c>
      <c r="F3230" s="230">
        <v>3.0</v>
      </c>
      <c r="G3230" s="232"/>
    </row>
    <row r="3231">
      <c r="A3231" s="2"/>
      <c r="B3231" s="168" t="s">
        <v>241</v>
      </c>
      <c r="C3231" s="168" t="s">
        <v>3491</v>
      </c>
      <c r="D3231" s="229">
        <v>32.5</v>
      </c>
      <c r="E3231" s="229">
        <v>36.0</v>
      </c>
      <c r="F3231" s="230">
        <v>3.0</v>
      </c>
      <c r="G3231" s="232"/>
    </row>
    <row r="3232">
      <c r="A3232" s="2"/>
      <c r="B3232" s="168" t="s">
        <v>243</v>
      </c>
      <c r="C3232" s="168" t="s">
        <v>3492</v>
      </c>
      <c r="D3232" s="229">
        <v>29.5</v>
      </c>
      <c r="E3232" s="229">
        <v>33.0</v>
      </c>
      <c r="F3232" s="230">
        <v>3.0</v>
      </c>
      <c r="G3232" s="232"/>
    </row>
    <row r="3233">
      <c r="A3233" s="2"/>
      <c r="B3233" s="168" t="s">
        <v>271</v>
      </c>
      <c r="C3233" s="168" t="s">
        <v>3493</v>
      </c>
      <c r="D3233" s="229">
        <v>31.5</v>
      </c>
      <c r="E3233" s="229">
        <v>35.0</v>
      </c>
      <c r="F3233" s="230">
        <v>3.0</v>
      </c>
      <c r="G3233" s="232"/>
    </row>
    <row r="3234">
      <c r="A3234" s="2"/>
      <c r="B3234" s="168" t="s">
        <v>230</v>
      </c>
      <c r="C3234" s="168" t="s">
        <v>3494</v>
      </c>
      <c r="D3234" s="229">
        <v>21.5</v>
      </c>
      <c r="E3234" s="229">
        <v>25.0</v>
      </c>
      <c r="F3234" s="230">
        <v>3.0</v>
      </c>
      <c r="G3234" s="232"/>
    </row>
    <row r="3235">
      <c r="A3235" s="2"/>
      <c r="B3235" s="168" t="s">
        <v>337</v>
      </c>
      <c r="C3235" s="168" t="s">
        <v>3495</v>
      </c>
      <c r="D3235" s="229">
        <v>31.0</v>
      </c>
      <c r="E3235" s="229">
        <v>34.5</v>
      </c>
      <c r="F3235" s="230">
        <v>3.0</v>
      </c>
      <c r="G3235" s="232"/>
    </row>
    <row r="3236">
      <c r="A3236" s="2"/>
      <c r="B3236" s="168" t="s">
        <v>285</v>
      </c>
      <c r="C3236" s="168" t="s">
        <v>3496</v>
      </c>
      <c r="D3236" s="229">
        <v>23.5</v>
      </c>
      <c r="E3236" s="229">
        <v>27.0</v>
      </c>
      <c r="F3236" s="230">
        <v>3.0</v>
      </c>
      <c r="G3236" s="232"/>
    </row>
    <row r="3237">
      <c r="A3237" s="2"/>
      <c r="B3237" s="168" t="s">
        <v>535</v>
      </c>
      <c r="C3237" s="168" t="s">
        <v>3497</v>
      </c>
      <c r="D3237" s="229">
        <v>26.5</v>
      </c>
      <c r="E3237" s="229">
        <v>30.0</v>
      </c>
      <c r="F3237" s="230">
        <v>3.0</v>
      </c>
      <c r="G3237" s="232"/>
    </row>
    <row r="3238">
      <c r="A3238" s="2"/>
      <c r="B3238" s="168" t="s">
        <v>375</v>
      </c>
      <c r="C3238" s="168" t="s">
        <v>3498</v>
      </c>
      <c r="D3238" s="229">
        <v>26.5</v>
      </c>
      <c r="E3238" s="229">
        <v>30.0</v>
      </c>
      <c r="F3238" s="230">
        <v>3.0</v>
      </c>
      <c r="G3238" s="232"/>
    </row>
    <row r="3239">
      <c r="A3239" s="2"/>
      <c r="B3239" s="168" t="s">
        <v>375</v>
      </c>
      <c r="C3239" s="168" t="s">
        <v>3499</v>
      </c>
      <c r="D3239" s="229">
        <v>26.5</v>
      </c>
      <c r="E3239" s="229">
        <v>30.0</v>
      </c>
      <c r="F3239" s="230">
        <v>3.0</v>
      </c>
      <c r="G3239" s="232"/>
    </row>
    <row r="3240">
      <c r="A3240" s="2"/>
      <c r="B3240" s="168" t="s">
        <v>241</v>
      </c>
      <c r="C3240" s="168" t="s">
        <v>3500</v>
      </c>
      <c r="D3240" s="229">
        <v>32.5</v>
      </c>
      <c r="E3240" s="229">
        <v>36.0</v>
      </c>
      <c r="F3240" s="230">
        <v>3.0</v>
      </c>
      <c r="G3240" s="232"/>
    </row>
    <row r="3241">
      <c r="A3241" s="2"/>
      <c r="B3241" s="168" t="s">
        <v>221</v>
      </c>
      <c r="C3241" s="168" t="s">
        <v>3501</v>
      </c>
      <c r="D3241" s="229">
        <v>27.0</v>
      </c>
      <c r="E3241" s="229">
        <v>30.5</v>
      </c>
      <c r="F3241" s="230">
        <v>3.0</v>
      </c>
      <c r="G3241" s="232"/>
    </row>
    <row r="3242">
      <c r="A3242" s="2"/>
      <c r="B3242" s="168" t="s">
        <v>684</v>
      </c>
      <c r="C3242" s="168" t="s">
        <v>3502</v>
      </c>
      <c r="D3242" s="229">
        <v>25.5</v>
      </c>
      <c r="E3242" s="229">
        <v>29.0</v>
      </c>
      <c r="F3242" s="230">
        <v>3.0</v>
      </c>
      <c r="G3242" s="232"/>
    </row>
    <row r="3243">
      <c r="A3243" s="2"/>
      <c r="B3243" s="168" t="s">
        <v>269</v>
      </c>
      <c r="C3243" s="168" t="s">
        <v>3503</v>
      </c>
      <c r="D3243" s="229">
        <v>26.5</v>
      </c>
      <c r="E3243" s="229">
        <v>30.0</v>
      </c>
      <c r="F3243" s="230">
        <v>3.0</v>
      </c>
      <c r="G3243" s="232"/>
    </row>
    <row r="3244">
      <c r="A3244" s="2"/>
      <c r="B3244" s="168" t="s">
        <v>285</v>
      </c>
      <c r="C3244" s="168" t="s">
        <v>3504</v>
      </c>
      <c r="D3244" s="229">
        <v>24.5</v>
      </c>
      <c r="E3244" s="229">
        <v>28.0</v>
      </c>
      <c r="F3244" s="230">
        <v>3.0</v>
      </c>
      <c r="G3244" s="232"/>
    </row>
    <row r="3245">
      <c r="A3245" s="2"/>
      <c r="B3245" s="168" t="s">
        <v>223</v>
      </c>
      <c r="C3245" s="168" t="s">
        <v>3505</v>
      </c>
      <c r="D3245" s="229">
        <v>26.5</v>
      </c>
      <c r="E3245" s="229">
        <v>30.0</v>
      </c>
      <c r="F3245" s="230">
        <v>3.0</v>
      </c>
      <c r="G3245" s="232"/>
    </row>
    <row r="3246">
      <c r="A3246" s="2"/>
      <c r="B3246" s="168" t="s">
        <v>217</v>
      </c>
      <c r="C3246" s="168" t="s">
        <v>3506</v>
      </c>
      <c r="D3246" s="229">
        <v>27.5</v>
      </c>
      <c r="E3246" s="229">
        <v>31.0</v>
      </c>
      <c r="F3246" s="230">
        <v>3.0</v>
      </c>
      <c r="G3246" s="232"/>
    </row>
    <row r="3247">
      <c r="A3247" s="2"/>
      <c r="B3247" s="168" t="s">
        <v>271</v>
      </c>
      <c r="C3247" s="168" t="s">
        <v>3507</v>
      </c>
      <c r="D3247" s="229">
        <v>30.5</v>
      </c>
      <c r="E3247" s="229">
        <v>34.0</v>
      </c>
      <c r="F3247" s="230">
        <v>3.0</v>
      </c>
      <c r="G3247" s="232"/>
    </row>
    <row r="3248">
      <c r="A3248" s="2"/>
      <c r="B3248" s="168" t="s">
        <v>328</v>
      </c>
      <c r="C3248" s="168" t="s">
        <v>3508</v>
      </c>
      <c r="D3248" s="229">
        <v>34.5</v>
      </c>
      <c r="E3248" s="229">
        <v>38.0</v>
      </c>
      <c r="F3248" s="230">
        <v>3.0</v>
      </c>
      <c r="G3248" s="232"/>
    </row>
    <row r="3249">
      <c r="A3249" s="2"/>
      <c r="B3249" s="168" t="s">
        <v>221</v>
      </c>
      <c r="C3249" s="168" t="s">
        <v>3509</v>
      </c>
      <c r="D3249" s="229">
        <v>27.5</v>
      </c>
      <c r="E3249" s="229">
        <v>31.0</v>
      </c>
      <c r="F3249" s="230">
        <v>3.0</v>
      </c>
      <c r="G3249" s="232"/>
    </row>
    <row r="3250">
      <c r="A3250" s="2"/>
      <c r="B3250" s="168" t="s">
        <v>337</v>
      </c>
      <c r="C3250" s="168" t="s">
        <v>3510</v>
      </c>
      <c r="D3250" s="229">
        <v>26.0</v>
      </c>
      <c r="E3250" s="229">
        <v>29.5</v>
      </c>
      <c r="F3250" s="230">
        <v>3.0</v>
      </c>
      <c r="G3250" s="232"/>
    </row>
    <row r="3251">
      <c r="A3251" s="2"/>
      <c r="B3251" s="168" t="s">
        <v>234</v>
      </c>
      <c r="C3251" s="168" t="s">
        <v>3511</v>
      </c>
      <c r="D3251" s="229">
        <v>29.5</v>
      </c>
      <c r="E3251" s="229">
        <v>33.0</v>
      </c>
      <c r="F3251" s="230">
        <v>3.0</v>
      </c>
      <c r="G3251" s="232"/>
    </row>
    <row r="3252">
      <c r="A3252" s="2"/>
      <c r="B3252" s="168" t="s">
        <v>290</v>
      </c>
      <c r="C3252" s="168" t="s">
        <v>3512</v>
      </c>
      <c r="D3252" s="229">
        <v>29.5</v>
      </c>
      <c r="E3252" s="229">
        <v>33.0</v>
      </c>
      <c r="F3252" s="230">
        <v>3.0</v>
      </c>
      <c r="G3252" s="232"/>
    </row>
    <row r="3253">
      <c r="A3253" s="2"/>
      <c r="B3253" s="168" t="s">
        <v>260</v>
      </c>
      <c r="C3253" s="168" t="s">
        <v>3513</v>
      </c>
      <c r="D3253" s="229">
        <v>23.5</v>
      </c>
      <c r="E3253" s="229">
        <v>27.0</v>
      </c>
      <c r="F3253" s="230">
        <v>3.0</v>
      </c>
      <c r="G3253" s="232"/>
    </row>
    <row r="3254">
      <c r="A3254" s="2"/>
      <c r="B3254" s="168" t="s">
        <v>243</v>
      </c>
      <c r="C3254" s="168" t="s">
        <v>3514</v>
      </c>
      <c r="D3254" s="229">
        <v>29.5</v>
      </c>
      <c r="E3254" s="229">
        <v>33.0</v>
      </c>
      <c r="F3254" s="230">
        <v>3.0</v>
      </c>
      <c r="G3254" s="232"/>
    </row>
    <row r="3255">
      <c r="A3255" s="2"/>
      <c r="B3255" s="168" t="s">
        <v>271</v>
      </c>
      <c r="C3255" s="168" t="s">
        <v>3515</v>
      </c>
      <c r="D3255" s="229">
        <v>31.5</v>
      </c>
      <c r="E3255" s="229">
        <v>35.0</v>
      </c>
      <c r="F3255" s="230">
        <v>3.0</v>
      </c>
      <c r="G3255" s="232"/>
    </row>
    <row r="3256">
      <c r="A3256" s="2"/>
      <c r="B3256" s="168" t="s">
        <v>217</v>
      </c>
      <c r="C3256" s="168" t="s">
        <v>3516</v>
      </c>
      <c r="D3256" s="229">
        <v>27.5</v>
      </c>
      <c r="E3256" s="229">
        <v>31.0</v>
      </c>
      <c r="F3256" s="230">
        <v>3.0</v>
      </c>
      <c r="G3256" s="232"/>
    </row>
    <row r="3257">
      <c r="A3257" s="2"/>
      <c r="B3257" s="168" t="s">
        <v>280</v>
      </c>
      <c r="C3257" s="168" t="s">
        <v>3517</v>
      </c>
      <c r="D3257" s="229">
        <v>28.5</v>
      </c>
      <c r="E3257" s="229">
        <v>32.0</v>
      </c>
      <c r="F3257" s="230">
        <v>3.0</v>
      </c>
      <c r="G3257" s="232"/>
    </row>
    <row r="3258">
      <c r="A3258" s="2"/>
      <c r="B3258" s="168" t="s">
        <v>337</v>
      </c>
      <c r="C3258" s="168" t="s">
        <v>3518</v>
      </c>
      <c r="D3258" s="229">
        <v>28.5</v>
      </c>
      <c r="E3258" s="229">
        <v>32.0</v>
      </c>
      <c r="F3258" s="230">
        <v>3.0</v>
      </c>
      <c r="G3258" s="232"/>
    </row>
    <row r="3259">
      <c r="A3259" s="2"/>
      <c r="B3259" s="168" t="s">
        <v>251</v>
      </c>
      <c r="C3259" s="168" t="s">
        <v>3519</v>
      </c>
      <c r="D3259" s="229">
        <v>34.5</v>
      </c>
      <c r="E3259" s="229">
        <v>38.0</v>
      </c>
      <c r="F3259" s="230">
        <v>3.0</v>
      </c>
      <c r="G3259" s="232"/>
    </row>
    <row r="3260">
      <c r="A3260" s="2"/>
      <c r="B3260" s="168" t="s">
        <v>1432</v>
      </c>
      <c r="C3260" s="168" t="s">
        <v>3520</v>
      </c>
      <c r="D3260" s="229">
        <v>26.5</v>
      </c>
      <c r="E3260" s="229">
        <v>30.0</v>
      </c>
      <c r="F3260" s="230">
        <v>3.0</v>
      </c>
      <c r="G3260" s="232"/>
    </row>
    <row r="3261">
      <c r="A3261" s="2"/>
      <c r="B3261" s="168" t="s">
        <v>269</v>
      </c>
      <c r="C3261" s="168" t="s">
        <v>3521</v>
      </c>
      <c r="D3261" s="229">
        <v>26.5</v>
      </c>
      <c r="E3261" s="229">
        <v>30.0</v>
      </c>
      <c r="F3261" s="230">
        <v>3.0</v>
      </c>
      <c r="G3261" s="232"/>
    </row>
    <row r="3262">
      <c r="A3262" s="2"/>
      <c r="B3262" s="168" t="s">
        <v>300</v>
      </c>
      <c r="C3262" s="168" t="s">
        <v>3522</v>
      </c>
      <c r="D3262" s="229">
        <v>27.0</v>
      </c>
      <c r="E3262" s="229">
        <v>30.5</v>
      </c>
      <c r="F3262" s="230">
        <v>3.0</v>
      </c>
      <c r="G3262" s="232"/>
    </row>
    <row r="3263">
      <c r="A3263" s="2"/>
      <c r="B3263" s="168" t="s">
        <v>318</v>
      </c>
      <c r="C3263" s="168" t="s">
        <v>3523</v>
      </c>
      <c r="D3263" s="229">
        <v>25.5</v>
      </c>
      <c r="E3263" s="229">
        <v>29.0</v>
      </c>
      <c r="F3263" s="230">
        <v>3.0</v>
      </c>
      <c r="G3263" s="232"/>
    </row>
    <row r="3264">
      <c r="A3264" s="2"/>
      <c r="B3264" s="168" t="s">
        <v>241</v>
      </c>
      <c r="C3264" s="168" t="s">
        <v>3524</v>
      </c>
      <c r="D3264" s="229">
        <v>32.5</v>
      </c>
      <c r="E3264" s="229">
        <v>36.0</v>
      </c>
      <c r="F3264" s="230">
        <v>3.0</v>
      </c>
      <c r="G3264" s="232"/>
    </row>
    <row r="3265">
      <c r="A3265" s="2"/>
      <c r="B3265" s="168" t="s">
        <v>456</v>
      </c>
      <c r="C3265" s="168" t="s">
        <v>456</v>
      </c>
      <c r="D3265" s="229">
        <v>24.5</v>
      </c>
      <c r="E3265" s="229">
        <v>28.0</v>
      </c>
      <c r="F3265" s="230">
        <v>3.0</v>
      </c>
      <c r="G3265" s="232"/>
    </row>
    <row r="3266">
      <c r="A3266" s="2"/>
      <c r="B3266" s="168" t="s">
        <v>430</v>
      </c>
      <c r="C3266" s="168" t="s">
        <v>3525</v>
      </c>
      <c r="D3266" s="229">
        <v>29.5</v>
      </c>
      <c r="E3266" s="229">
        <v>33.0</v>
      </c>
      <c r="F3266" s="230">
        <v>3.0</v>
      </c>
      <c r="G3266" s="232"/>
    </row>
    <row r="3267">
      <c r="A3267" s="2"/>
      <c r="B3267" s="168" t="s">
        <v>217</v>
      </c>
      <c r="C3267" s="168" t="s">
        <v>3526</v>
      </c>
      <c r="D3267" s="229">
        <v>27.5</v>
      </c>
      <c r="E3267" s="229">
        <v>31.0</v>
      </c>
      <c r="F3267" s="230">
        <v>3.0</v>
      </c>
      <c r="G3267" s="232"/>
    </row>
    <row r="3268">
      <c r="A3268" s="2"/>
      <c r="B3268" s="168" t="s">
        <v>290</v>
      </c>
      <c r="C3268" s="168" t="s">
        <v>3527</v>
      </c>
      <c r="D3268" s="229">
        <v>29.5</v>
      </c>
      <c r="E3268" s="229">
        <v>33.0</v>
      </c>
      <c r="F3268" s="230">
        <v>3.0</v>
      </c>
      <c r="G3268" s="232"/>
    </row>
    <row r="3269">
      <c r="A3269" s="2"/>
      <c r="B3269" s="168" t="s">
        <v>245</v>
      </c>
      <c r="C3269" s="168" t="s">
        <v>3528</v>
      </c>
      <c r="D3269" s="229">
        <v>29.5</v>
      </c>
      <c r="E3269" s="229">
        <v>33.0</v>
      </c>
      <c r="F3269" s="230">
        <v>3.0</v>
      </c>
      <c r="G3269" s="232"/>
    </row>
    <row r="3270">
      <c r="A3270" s="2"/>
      <c r="B3270" s="168" t="s">
        <v>234</v>
      </c>
      <c r="C3270" s="168" t="s">
        <v>3529</v>
      </c>
      <c r="D3270" s="229">
        <v>29.5</v>
      </c>
      <c r="E3270" s="229">
        <v>33.0</v>
      </c>
      <c r="F3270" s="230">
        <v>3.0</v>
      </c>
      <c r="G3270" s="232"/>
    </row>
    <row r="3271">
      <c r="A3271" s="2"/>
      <c r="B3271" s="168" t="s">
        <v>302</v>
      </c>
      <c r="C3271" s="168" t="s">
        <v>3530</v>
      </c>
      <c r="D3271" s="229">
        <v>34.5</v>
      </c>
      <c r="E3271" s="229">
        <v>38.0</v>
      </c>
      <c r="F3271" s="230">
        <v>3.0</v>
      </c>
      <c r="G3271" s="232"/>
    </row>
    <row r="3272">
      <c r="A3272" s="2"/>
      <c r="B3272" s="168" t="s">
        <v>243</v>
      </c>
      <c r="C3272" s="168" t="s">
        <v>3531</v>
      </c>
      <c r="D3272" s="229">
        <v>29.5</v>
      </c>
      <c r="E3272" s="229">
        <v>33.0</v>
      </c>
      <c r="F3272" s="230">
        <v>3.0</v>
      </c>
      <c r="G3272" s="232"/>
    </row>
    <row r="3273">
      <c r="A3273" s="2"/>
      <c r="B3273" s="168" t="s">
        <v>257</v>
      </c>
      <c r="C3273" s="168" t="s">
        <v>3532</v>
      </c>
      <c r="D3273" s="229">
        <v>28.0</v>
      </c>
      <c r="E3273" s="229">
        <v>31.5</v>
      </c>
      <c r="F3273" s="230">
        <v>3.0</v>
      </c>
      <c r="G3273" s="232"/>
    </row>
    <row r="3274">
      <c r="A3274" s="2"/>
      <c r="B3274" s="168" t="s">
        <v>368</v>
      </c>
      <c r="C3274" s="168" t="s">
        <v>3533</v>
      </c>
      <c r="D3274" s="229">
        <v>32.5</v>
      </c>
      <c r="E3274" s="229">
        <v>36.0</v>
      </c>
      <c r="F3274" s="230">
        <v>3.0</v>
      </c>
      <c r="G3274" s="232"/>
    </row>
    <row r="3275">
      <c r="A3275" s="2"/>
      <c r="B3275" s="168" t="s">
        <v>296</v>
      </c>
      <c r="C3275" s="168" t="s">
        <v>3534</v>
      </c>
      <c r="D3275" s="229">
        <v>26.5</v>
      </c>
      <c r="E3275" s="229">
        <v>30.0</v>
      </c>
      <c r="F3275" s="230">
        <v>3.0</v>
      </c>
      <c r="G3275" s="232"/>
    </row>
    <row r="3276">
      <c r="A3276" s="2"/>
      <c r="B3276" s="168" t="s">
        <v>241</v>
      </c>
      <c r="C3276" s="168" t="s">
        <v>3535</v>
      </c>
      <c r="D3276" s="229">
        <v>32.5</v>
      </c>
      <c r="E3276" s="229">
        <v>36.0</v>
      </c>
      <c r="F3276" s="230">
        <v>3.0</v>
      </c>
      <c r="G3276" s="232"/>
    </row>
    <row r="3277">
      <c r="A3277" s="2"/>
      <c r="B3277" s="168" t="s">
        <v>288</v>
      </c>
      <c r="C3277" s="168" t="s">
        <v>3536</v>
      </c>
      <c r="D3277" s="229">
        <v>21.5</v>
      </c>
      <c r="E3277" s="229">
        <v>25.0</v>
      </c>
      <c r="F3277" s="230">
        <v>3.0</v>
      </c>
      <c r="G3277" s="232"/>
    </row>
    <row r="3278">
      <c r="A3278" s="2"/>
      <c r="B3278" s="168" t="s">
        <v>241</v>
      </c>
      <c r="C3278" s="168" t="s">
        <v>3537</v>
      </c>
      <c r="D3278" s="229">
        <v>32.5</v>
      </c>
      <c r="E3278" s="229">
        <v>36.0</v>
      </c>
      <c r="F3278" s="230">
        <v>3.0</v>
      </c>
      <c r="G3278" s="232"/>
    </row>
    <row r="3279">
      <c r="A3279" s="2"/>
      <c r="B3279" s="168" t="s">
        <v>345</v>
      </c>
      <c r="C3279" s="168" t="s">
        <v>3538</v>
      </c>
      <c r="D3279" s="229">
        <v>26.5</v>
      </c>
      <c r="E3279" s="229">
        <v>30.0</v>
      </c>
      <c r="F3279" s="230">
        <v>3.0</v>
      </c>
      <c r="G3279" s="232"/>
    </row>
    <row r="3280">
      <c r="A3280" s="2"/>
      <c r="B3280" s="168" t="s">
        <v>377</v>
      </c>
      <c r="C3280" s="168" t="s">
        <v>3539</v>
      </c>
      <c r="D3280" s="229">
        <v>24.5</v>
      </c>
      <c r="E3280" s="229">
        <v>28.0</v>
      </c>
      <c r="F3280" s="230">
        <v>3.0</v>
      </c>
      <c r="G3280" s="232"/>
    </row>
    <row r="3281">
      <c r="A3281" s="2"/>
      <c r="B3281" s="168" t="s">
        <v>337</v>
      </c>
      <c r="C3281" s="168" t="s">
        <v>3540</v>
      </c>
      <c r="D3281" s="229">
        <v>31.5</v>
      </c>
      <c r="E3281" s="229">
        <v>35.0</v>
      </c>
      <c r="F3281" s="230">
        <v>3.0</v>
      </c>
      <c r="G3281" s="232"/>
    </row>
    <row r="3282">
      <c r="A3282" s="2"/>
      <c r="B3282" s="168" t="s">
        <v>273</v>
      </c>
      <c r="C3282" s="168" t="s">
        <v>3541</v>
      </c>
      <c r="D3282" s="229">
        <v>29.5</v>
      </c>
      <c r="E3282" s="229">
        <v>33.0</v>
      </c>
      <c r="F3282" s="230">
        <v>3.0</v>
      </c>
      <c r="G3282" s="232"/>
    </row>
    <row r="3283">
      <c r="A3283" s="2"/>
      <c r="B3283" s="168" t="s">
        <v>217</v>
      </c>
      <c r="C3283" s="168" t="s">
        <v>3542</v>
      </c>
      <c r="D3283" s="229">
        <v>27.5</v>
      </c>
      <c r="E3283" s="229">
        <v>31.0</v>
      </c>
      <c r="F3283" s="230">
        <v>3.0</v>
      </c>
      <c r="G3283" s="232"/>
    </row>
    <row r="3284">
      <c r="A3284" s="2"/>
      <c r="B3284" s="168" t="s">
        <v>245</v>
      </c>
      <c r="C3284" s="168" t="s">
        <v>3543</v>
      </c>
      <c r="D3284" s="229">
        <v>29.5</v>
      </c>
      <c r="E3284" s="229">
        <v>33.0</v>
      </c>
      <c r="F3284" s="230">
        <v>3.0</v>
      </c>
      <c r="G3284" s="232"/>
    </row>
    <row r="3285">
      <c r="A3285" s="2"/>
      <c r="B3285" s="168" t="s">
        <v>275</v>
      </c>
      <c r="C3285" s="168" t="s">
        <v>3544</v>
      </c>
      <c r="D3285" s="229">
        <v>26.5</v>
      </c>
      <c r="E3285" s="229">
        <v>30.0</v>
      </c>
      <c r="F3285" s="230">
        <v>3.0</v>
      </c>
      <c r="G3285" s="232"/>
    </row>
    <row r="3286">
      <c r="A3286" s="2"/>
      <c r="B3286" s="168" t="s">
        <v>260</v>
      </c>
      <c r="C3286" s="168" t="s">
        <v>3545</v>
      </c>
      <c r="D3286" s="229">
        <v>28.5</v>
      </c>
      <c r="E3286" s="229">
        <v>32.0</v>
      </c>
      <c r="F3286" s="230">
        <v>3.0</v>
      </c>
      <c r="G3286" s="232"/>
    </row>
    <row r="3287">
      <c r="A3287" s="2"/>
      <c r="B3287" s="168" t="s">
        <v>234</v>
      </c>
      <c r="C3287" s="168" t="s">
        <v>3546</v>
      </c>
      <c r="D3287" s="229">
        <v>29.5</v>
      </c>
      <c r="E3287" s="229">
        <v>33.0</v>
      </c>
      <c r="F3287" s="230">
        <v>3.0</v>
      </c>
      <c r="G3287" s="232"/>
    </row>
    <row r="3288">
      <c r="A3288" s="2"/>
      <c r="B3288" s="168" t="s">
        <v>427</v>
      </c>
      <c r="C3288" s="168" t="s">
        <v>3547</v>
      </c>
      <c r="D3288" s="229">
        <v>21.5</v>
      </c>
      <c r="E3288" s="229">
        <v>25.0</v>
      </c>
      <c r="F3288" s="230">
        <v>3.0</v>
      </c>
      <c r="G3288" s="232"/>
    </row>
    <row r="3289">
      <c r="A3289" s="2"/>
      <c r="B3289" s="168" t="s">
        <v>269</v>
      </c>
      <c r="C3289" s="168" t="s">
        <v>3548</v>
      </c>
      <c r="D3289" s="229">
        <v>26.5</v>
      </c>
      <c r="E3289" s="229">
        <v>30.0</v>
      </c>
      <c r="F3289" s="230">
        <v>3.0</v>
      </c>
      <c r="G3289" s="232"/>
    </row>
    <row r="3290">
      <c r="A3290" s="2"/>
      <c r="B3290" s="168" t="s">
        <v>217</v>
      </c>
      <c r="C3290" s="168" t="s">
        <v>3549</v>
      </c>
      <c r="D3290" s="229">
        <v>27.5</v>
      </c>
      <c r="E3290" s="229">
        <v>31.0</v>
      </c>
      <c r="F3290" s="230">
        <v>3.0</v>
      </c>
      <c r="G3290" s="232"/>
    </row>
    <row r="3291">
      <c r="A3291" s="2"/>
      <c r="B3291" s="168" t="s">
        <v>377</v>
      </c>
      <c r="C3291" s="168" t="s">
        <v>3550</v>
      </c>
      <c r="D3291" s="229">
        <v>29.5</v>
      </c>
      <c r="E3291" s="229">
        <v>33.0</v>
      </c>
      <c r="F3291" s="230">
        <v>3.0</v>
      </c>
      <c r="G3291" s="232"/>
    </row>
    <row r="3292">
      <c r="A3292" s="2"/>
      <c r="B3292" s="168" t="s">
        <v>332</v>
      </c>
      <c r="C3292" s="168" t="s">
        <v>332</v>
      </c>
      <c r="D3292" s="229">
        <v>28.5</v>
      </c>
      <c r="E3292" s="229">
        <v>32.0</v>
      </c>
      <c r="F3292" s="230">
        <v>3.0</v>
      </c>
      <c r="G3292" s="232"/>
    </row>
    <row r="3293">
      <c r="A3293" s="2"/>
      <c r="B3293" s="168" t="s">
        <v>377</v>
      </c>
      <c r="C3293" s="168" t="s">
        <v>3551</v>
      </c>
      <c r="D3293" s="229">
        <v>29.5</v>
      </c>
      <c r="E3293" s="229">
        <v>33.0</v>
      </c>
      <c r="F3293" s="230">
        <v>3.0</v>
      </c>
      <c r="G3293" s="232"/>
    </row>
    <row r="3294">
      <c r="A3294" s="2"/>
      <c r="B3294" s="168" t="s">
        <v>328</v>
      </c>
      <c r="C3294" s="168" t="s">
        <v>3552</v>
      </c>
      <c r="D3294" s="229">
        <v>34.5</v>
      </c>
      <c r="E3294" s="229">
        <v>38.0</v>
      </c>
      <c r="F3294" s="230">
        <v>3.0</v>
      </c>
      <c r="G3294" s="232"/>
    </row>
    <row r="3295">
      <c r="A3295" s="2"/>
      <c r="B3295" s="168" t="s">
        <v>230</v>
      </c>
      <c r="C3295" s="168" t="s">
        <v>3553</v>
      </c>
      <c r="D3295" s="229">
        <v>21.5</v>
      </c>
      <c r="E3295" s="229">
        <v>25.0</v>
      </c>
      <c r="F3295" s="230">
        <v>3.0</v>
      </c>
      <c r="G3295" s="232"/>
    </row>
    <row r="3296">
      <c r="A3296" s="2"/>
      <c r="B3296" s="168" t="s">
        <v>328</v>
      </c>
      <c r="C3296" s="168" t="s">
        <v>3554</v>
      </c>
      <c r="D3296" s="229">
        <v>34.5</v>
      </c>
      <c r="E3296" s="229">
        <v>38.0</v>
      </c>
      <c r="F3296" s="230">
        <v>3.0</v>
      </c>
      <c r="G3296" s="232"/>
    </row>
    <row r="3297">
      <c r="A3297" s="2"/>
      <c r="B3297" s="168" t="s">
        <v>247</v>
      </c>
      <c r="C3297" s="168" t="s">
        <v>3555</v>
      </c>
      <c r="D3297" s="229">
        <v>29.5</v>
      </c>
      <c r="E3297" s="229">
        <v>33.0</v>
      </c>
      <c r="F3297" s="230">
        <v>3.0</v>
      </c>
      <c r="G3297" s="232"/>
    </row>
    <row r="3298">
      <c r="A3298" s="2"/>
      <c r="B3298" s="168" t="s">
        <v>234</v>
      </c>
      <c r="C3298" s="168" t="s">
        <v>3556</v>
      </c>
      <c r="D3298" s="229">
        <v>29.5</v>
      </c>
      <c r="E3298" s="229">
        <v>33.0</v>
      </c>
      <c r="F3298" s="230">
        <v>3.0</v>
      </c>
      <c r="G3298" s="232"/>
    </row>
    <row r="3299">
      <c r="A3299" s="2"/>
      <c r="B3299" s="168" t="s">
        <v>221</v>
      </c>
      <c r="C3299" s="168" t="s">
        <v>3557</v>
      </c>
      <c r="D3299" s="229">
        <v>27.5</v>
      </c>
      <c r="E3299" s="229">
        <v>31.0</v>
      </c>
      <c r="F3299" s="230">
        <v>3.0</v>
      </c>
      <c r="G3299" s="232"/>
    </row>
    <row r="3300">
      <c r="A3300" s="2"/>
      <c r="B3300" s="168" t="s">
        <v>592</v>
      </c>
      <c r="C3300" s="168" t="s">
        <v>3558</v>
      </c>
      <c r="D3300" s="229">
        <v>34.5</v>
      </c>
      <c r="E3300" s="229">
        <v>38.0</v>
      </c>
      <c r="F3300" s="230">
        <v>3.0</v>
      </c>
      <c r="G3300" s="232"/>
    </row>
    <row r="3301">
      <c r="A3301" s="2"/>
      <c r="B3301" s="168" t="s">
        <v>328</v>
      </c>
      <c r="C3301" s="168" t="s">
        <v>3559</v>
      </c>
      <c r="D3301" s="229">
        <v>34.5</v>
      </c>
      <c r="E3301" s="229">
        <v>38.0</v>
      </c>
      <c r="F3301" s="230">
        <v>3.0</v>
      </c>
      <c r="G3301" s="232"/>
    </row>
    <row r="3302">
      <c r="A3302" s="2"/>
      <c r="B3302" s="168" t="s">
        <v>217</v>
      </c>
      <c r="C3302" s="168" t="s">
        <v>3560</v>
      </c>
      <c r="D3302" s="229">
        <v>27.5</v>
      </c>
      <c r="E3302" s="229">
        <v>31.0</v>
      </c>
      <c r="F3302" s="230">
        <v>3.0</v>
      </c>
      <c r="G3302" s="232"/>
    </row>
    <row r="3303">
      <c r="A3303" s="2"/>
      <c r="B3303" s="168" t="s">
        <v>230</v>
      </c>
      <c r="C3303" s="168" t="s">
        <v>3561</v>
      </c>
      <c r="D3303" s="229">
        <v>21.5</v>
      </c>
      <c r="E3303" s="229">
        <v>25.0</v>
      </c>
      <c r="F3303" s="230">
        <v>3.0</v>
      </c>
      <c r="G3303" s="232"/>
    </row>
    <row r="3304">
      <c r="A3304" s="2"/>
      <c r="B3304" s="168" t="s">
        <v>230</v>
      </c>
      <c r="C3304" s="168" t="s">
        <v>3562</v>
      </c>
      <c r="D3304" s="229">
        <v>21.5</v>
      </c>
      <c r="E3304" s="229">
        <v>25.0</v>
      </c>
      <c r="F3304" s="230">
        <v>3.0</v>
      </c>
      <c r="G3304" s="232"/>
    </row>
    <row r="3305">
      <c r="A3305" s="2"/>
      <c r="B3305" s="168" t="s">
        <v>565</v>
      </c>
      <c r="C3305" s="168" t="s">
        <v>3563</v>
      </c>
      <c r="D3305" s="229">
        <v>24.5</v>
      </c>
      <c r="E3305" s="229">
        <v>28.0</v>
      </c>
      <c r="F3305" s="230">
        <v>3.0</v>
      </c>
      <c r="G3305" s="232"/>
    </row>
    <row r="3306">
      <c r="A3306" s="2"/>
      <c r="B3306" s="168" t="s">
        <v>332</v>
      </c>
      <c r="C3306" s="168" t="s">
        <v>3564</v>
      </c>
      <c r="D3306" s="229">
        <v>28.5</v>
      </c>
      <c r="E3306" s="229">
        <v>32.0</v>
      </c>
      <c r="F3306" s="230">
        <v>3.0</v>
      </c>
      <c r="G3306" s="232"/>
    </row>
    <row r="3307">
      <c r="A3307" s="2"/>
      <c r="B3307" s="168" t="s">
        <v>446</v>
      </c>
      <c r="C3307" s="168" t="s">
        <v>3565</v>
      </c>
      <c r="D3307" s="229">
        <v>4.5</v>
      </c>
      <c r="E3307" s="229">
        <v>4.5</v>
      </c>
      <c r="F3307" s="230">
        <v>3.0</v>
      </c>
      <c r="G3307" s="232"/>
    </row>
    <row r="3308">
      <c r="A3308" s="2"/>
      <c r="B3308" s="168" t="s">
        <v>341</v>
      </c>
      <c r="C3308" s="168" t="s">
        <v>3566</v>
      </c>
      <c r="D3308" s="229">
        <v>29.5</v>
      </c>
      <c r="E3308" s="229">
        <v>29.5</v>
      </c>
      <c r="F3308" s="230">
        <v>3.0</v>
      </c>
      <c r="G3308" s="232"/>
    </row>
    <row r="3309">
      <c r="A3309" s="2"/>
      <c r="B3309" s="168" t="s">
        <v>230</v>
      </c>
      <c r="C3309" s="168" t="s">
        <v>3567</v>
      </c>
      <c r="D3309" s="229">
        <v>21.5</v>
      </c>
      <c r="E3309" s="229">
        <v>25.0</v>
      </c>
      <c r="F3309" s="230">
        <v>3.0</v>
      </c>
      <c r="G3309" s="232"/>
    </row>
    <row r="3310">
      <c r="A3310" s="2"/>
      <c r="B3310" s="168" t="s">
        <v>269</v>
      </c>
      <c r="C3310" s="168" t="s">
        <v>3568</v>
      </c>
      <c r="D3310" s="229">
        <v>26.5</v>
      </c>
      <c r="E3310" s="229">
        <v>30.0</v>
      </c>
      <c r="F3310" s="230">
        <v>3.0</v>
      </c>
      <c r="G3310" s="232"/>
    </row>
    <row r="3311">
      <c r="A3311" s="2"/>
      <c r="B3311" s="168" t="s">
        <v>217</v>
      </c>
      <c r="C3311" s="168" t="s">
        <v>3569</v>
      </c>
      <c r="D3311" s="229">
        <v>27.5</v>
      </c>
      <c r="E3311" s="229">
        <v>31.0</v>
      </c>
      <c r="F3311" s="230">
        <v>3.0</v>
      </c>
      <c r="G3311" s="232"/>
    </row>
    <row r="3312">
      <c r="A3312" s="2"/>
      <c r="B3312" s="168" t="s">
        <v>337</v>
      </c>
      <c r="C3312" s="168" t="s">
        <v>3570</v>
      </c>
      <c r="D3312" s="229">
        <v>28.5</v>
      </c>
      <c r="E3312" s="229">
        <v>32.0</v>
      </c>
      <c r="F3312" s="230">
        <v>3.0</v>
      </c>
      <c r="G3312" s="232"/>
    </row>
    <row r="3313">
      <c r="A3313" s="2"/>
      <c r="B3313" s="168" t="s">
        <v>565</v>
      </c>
      <c r="C3313" s="168" t="s">
        <v>3571</v>
      </c>
      <c r="D3313" s="229">
        <v>24.5</v>
      </c>
      <c r="E3313" s="229">
        <v>28.0</v>
      </c>
      <c r="F3313" s="230">
        <v>3.0</v>
      </c>
      <c r="G3313" s="232"/>
    </row>
    <row r="3314">
      <c r="A3314" s="2"/>
      <c r="B3314" s="168" t="s">
        <v>581</v>
      </c>
      <c r="C3314" s="168" t="s">
        <v>3572</v>
      </c>
      <c r="D3314" s="229">
        <v>26.5</v>
      </c>
      <c r="E3314" s="229">
        <v>30.0</v>
      </c>
      <c r="F3314" s="230">
        <v>3.0</v>
      </c>
      <c r="G3314" s="232"/>
    </row>
    <row r="3315">
      <c r="A3315" s="2"/>
      <c r="B3315" s="168" t="s">
        <v>269</v>
      </c>
      <c r="C3315" s="168" t="s">
        <v>3573</v>
      </c>
      <c r="D3315" s="229">
        <v>26.5</v>
      </c>
      <c r="E3315" s="229">
        <v>30.0</v>
      </c>
      <c r="F3315" s="230">
        <v>3.0</v>
      </c>
      <c r="G3315" s="232"/>
    </row>
    <row r="3316">
      <c r="A3316" s="2"/>
      <c r="B3316" s="168" t="s">
        <v>223</v>
      </c>
      <c r="C3316" s="168" t="s">
        <v>3574</v>
      </c>
      <c r="D3316" s="229">
        <v>26.5</v>
      </c>
      <c r="E3316" s="229">
        <v>30.0</v>
      </c>
      <c r="F3316" s="230">
        <v>3.0</v>
      </c>
      <c r="G3316" s="232"/>
    </row>
    <row r="3317">
      <c r="A3317" s="2"/>
      <c r="B3317" s="168" t="s">
        <v>288</v>
      </c>
      <c r="C3317" s="168" t="s">
        <v>3575</v>
      </c>
      <c r="D3317" s="229">
        <v>21.5</v>
      </c>
      <c r="E3317" s="229">
        <v>25.0</v>
      </c>
      <c r="F3317" s="230">
        <v>3.0</v>
      </c>
      <c r="G3317" s="232"/>
    </row>
    <row r="3318">
      <c r="A3318" s="2"/>
      <c r="B3318" s="168" t="s">
        <v>273</v>
      </c>
      <c r="C3318" s="168" t="s">
        <v>3576</v>
      </c>
      <c r="D3318" s="229">
        <v>24.5</v>
      </c>
      <c r="E3318" s="229">
        <v>28.0</v>
      </c>
      <c r="F3318" s="230">
        <v>3.0</v>
      </c>
      <c r="G3318" s="232"/>
    </row>
    <row r="3319">
      <c r="A3319" s="2"/>
      <c r="B3319" s="168" t="s">
        <v>381</v>
      </c>
      <c r="C3319" s="168" t="s">
        <v>3577</v>
      </c>
      <c r="D3319" s="229">
        <v>28.5</v>
      </c>
      <c r="E3319" s="229">
        <v>32.0</v>
      </c>
      <c r="F3319" s="230">
        <v>3.0</v>
      </c>
      <c r="G3319" s="232"/>
    </row>
    <row r="3320">
      <c r="A3320" s="2"/>
      <c r="B3320" s="168" t="s">
        <v>255</v>
      </c>
      <c r="C3320" s="168" t="s">
        <v>3578</v>
      </c>
      <c r="D3320" s="229">
        <v>31.5</v>
      </c>
      <c r="E3320" s="229">
        <v>35.0</v>
      </c>
      <c r="F3320" s="230">
        <v>3.0</v>
      </c>
      <c r="G3320" s="232"/>
    </row>
    <row r="3321">
      <c r="A3321" s="2"/>
      <c r="B3321" s="168" t="s">
        <v>280</v>
      </c>
      <c r="C3321" s="168" t="s">
        <v>3579</v>
      </c>
      <c r="D3321" s="229">
        <v>28.5</v>
      </c>
      <c r="E3321" s="229">
        <v>32.0</v>
      </c>
      <c r="F3321" s="230">
        <v>3.0</v>
      </c>
      <c r="G3321" s="232"/>
    </row>
    <row r="3322">
      <c r="A3322" s="2"/>
      <c r="B3322" s="168" t="s">
        <v>217</v>
      </c>
      <c r="C3322" s="168" t="s">
        <v>3580</v>
      </c>
      <c r="D3322" s="229">
        <v>27.5</v>
      </c>
      <c r="E3322" s="229">
        <v>31.0</v>
      </c>
      <c r="F3322" s="230">
        <v>3.0</v>
      </c>
      <c r="G3322" s="232"/>
    </row>
    <row r="3323">
      <c r="A3323" s="2"/>
      <c r="B3323" s="168" t="s">
        <v>330</v>
      </c>
      <c r="C3323" s="168" t="s">
        <v>3581</v>
      </c>
      <c r="D3323" s="229">
        <v>24.5</v>
      </c>
      <c r="E3323" s="229">
        <v>28.0</v>
      </c>
      <c r="F3323" s="230">
        <v>3.0</v>
      </c>
      <c r="G3323" s="232"/>
    </row>
    <row r="3324">
      <c r="A3324" s="2"/>
      <c r="B3324" s="168" t="s">
        <v>285</v>
      </c>
      <c r="C3324" s="168" t="s">
        <v>3582</v>
      </c>
      <c r="D3324" s="229">
        <v>24.5</v>
      </c>
      <c r="E3324" s="229">
        <v>28.0</v>
      </c>
      <c r="F3324" s="230">
        <v>3.0</v>
      </c>
      <c r="G3324" s="232"/>
    </row>
    <row r="3325">
      <c r="A3325" s="2"/>
      <c r="B3325" s="168" t="s">
        <v>266</v>
      </c>
      <c r="C3325" s="168" t="s">
        <v>3583</v>
      </c>
      <c r="D3325" s="229">
        <v>33.0</v>
      </c>
      <c r="E3325" s="229">
        <v>33.0</v>
      </c>
      <c r="F3325" s="230">
        <v>3.0</v>
      </c>
      <c r="G3325" s="232"/>
    </row>
    <row r="3326">
      <c r="A3326" s="2"/>
      <c r="B3326" s="168" t="s">
        <v>221</v>
      </c>
      <c r="C3326" s="168" t="s">
        <v>3584</v>
      </c>
      <c r="D3326" s="229">
        <v>27.5</v>
      </c>
      <c r="E3326" s="229">
        <v>31.0</v>
      </c>
      <c r="F3326" s="230">
        <v>3.0</v>
      </c>
      <c r="G3326" s="232"/>
    </row>
    <row r="3327">
      <c r="A3327" s="2"/>
      <c r="B3327" s="168" t="s">
        <v>288</v>
      </c>
      <c r="C3327" s="168" t="s">
        <v>3585</v>
      </c>
      <c r="D3327" s="229">
        <v>21.5</v>
      </c>
      <c r="E3327" s="229">
        <v>25.0</v>
      </c>
      <c r="F3327" s="230">
        <v>3.0</v>
      </c>
      <c r="G3327" s="232"/>
    </row>
    <row r="3328">
      <c r="A3328" s="2"/>
      <c r="B3328" s="168" t="s">
        <v>219</v>
      </c>
      <c r="C3328" s="168" t="s">
        <v>3586</v>
      </c>
      <c r="D3328" s="229">
        <v>19.5</v>
      </c>
      <c r="E3328" s="229">
        <v>23.0</v>
      </c>
      <c r="F3328" s="230">
        <v>3.0</v>
      </c>
      <c r="G3328" s="232"/>
    </row>
    <row r="3329">
      <c r="A3329" s="2"/>
      <c r="B3329" s="168" t="s">
        <v>290</v>
      </c>
      <c r="C3329" s="168" t="s">
        <v>3587</v>
      </c>
      <c r="D3329" s="229">
        <v>29.5</v>
      </c>
      <c r="E3329" s="229">
        <v>33.0</v>
      </c>
      <c r="F3329" s="230">
        <v>3.0</v>
      </c>
      <c r="G3329" s="232"/>
    </row>
    <row r="3330">
      <c r="A3330" s="2"/>
      <c r="B3330" s="168" t="s">
        <v>345</v>
      </c>
      <c r="C3330" s="168" t="s">
        <v>3588</v>
      </c>
      <c r="D3330" s="229">
        <v>26.5</v>
      </c>
      <c r="E3330" s="229">
        <v>30.0</v>
      </c>
      <c r="F3330" s="230">
        <v>3.0</v>
      </c>
      <c r="G3330" s="232"/>
    </row>
    <row r="3331">
      <c r="A3331" s="2"/>
      <c r="B3331" s="168" t="s">
        <v>257</v>
      </c>
      <c r="C3331" s="168" t="s">
        <v>3589</v>
      </c>
      <c r="D3331" s="229">
        <v>28.5</v>
      </c>
      <c r="E3331" s="229">
        <v>32.0</v>
      </c>
      <c r="F3331" s="230">
        <v>3.0</v>
      </c>
      <c r="G3331" s="232"/>
    </row>
    <row r="3332">
      <c r="A3332" s="2"/>
      <c r="B3332" s="168" t="s">
        <v>239</v>
      </c>
      <c r="C3332" s="168" t="s">
        <v>3590</v>
      </c>
      <c r="D3332" s="229">
        <v>29.5</v>
      </c>
      <c r="E3332" s="229">
        <v>33.0</v>
      </c>
      <c r="F3332" s="230">
        <v>3.0</v>
      </c>
      <c r="G3332" s="232"/>
    </row>
    <row r="3333">
      <c r="A3333" s="2"/>
      <c r="B3333" s="168" t="s">
        <v>288</v>
      </c>
      <c r="C3333" s="168" t="s">
        <v>3591</v>
      </c>
      <c r="D3333" s="229">
        <v>21.5</v>
      </c>
      <c r="E3333" s="229">
        <v>25.0</v>
      </c>
      <c r="F3333" s="230">
        <v>3.0</v>
      </c>
      <c r="G3333" s="232"/>
    </row>
    <row r="3334">
      <c r="A3334" s="2"/>
      <c r="B3334" s="168" t="s">
        <v>348</v>
      </c>
      <c r="C3334" s="168" t="s">
        <v>3592</v>
      </c>
      <c r="D3334" s="229">
        <v>21.5</v>
      </c>
      <c r="E3334" s="229">
        <v>25.0</v>
      </c>
      <c r="F3334" s="230">
        <v>3.0</v>
      </c>
      <c r="G3334" s="232"/>
    </row>
    <row r="3335">
      <c r="A3335" s="2"/>
      <c r="B3335" s="168" t="s">
        <v>243</v>
      </c>
      <c r="C3335" s="168" t="s">
        <v>3593</v>
      </c>
      <c r="D3335" s="229">
        <v>29.5</v>
      </c>
      <c r="E3335" s="229">
        <v>33.0</v>
      </c>
      <c r="F3335" s="230">
        <v>3.0</v>
      </c>
      <c r="G3335" s="232"/>
    </row>
    <row r="3336">
      <c r="A3336" s="2"/>
      <c r="B3336" s="168" t="s">
        <v>275</v>
      </c>
      <c r="C3336" s="168" t="s">
        <v>3594</v>
      </c>
      <c r="D3336" s="229">
        <v>26.5</v>
      </c>
      <c r="E3336" s="229">
        <v>30.0</v>
      </c>
      <c r="F3336" s="230">
        <v>3.0</v>
      </c>
      <c r="G3336" s="232"/>
    </row>
    <row r="3337">
      <c r="A3337" s="2"/>
      <c r="B3337" s="168" t="s">
        <v>318</v>
      </c>
      <c r="C3337" s="168" t="s">
        <v>3595</v>
      </c>
      <c r="D3337" s="229">
        <v>25.5</v>
      </c>
      <c r="E3337" s="229">
        <v>29.0</v>
      </c>
      <c r="F3337" s="230">
        <v>3.0</v>
      </c>
      <c r="G3337" s="232"/>
    </row>
    <row r="3338">
      <c r="A3338" s="2"/>
      <c r="B3338" s="168" t="s">
        <v>296</v>
      </c>
      <c r="C3338" s="168" t="s">
        <v>3596</v>
      </c>
      <c r="D3338" s="229">
        <v>26.5</v>
      </c>
      <c r="E3338" s="229">
        <v>30.0</v>
      </c>
      <c r="F3338" s="230">
        <v>3.0</v>
      </c>
      <c r="G3338" s="232"/>
    </row>
    <row r="3339">
      <c r="A3339" s="2"/>
      <c r="B3339" s="168" t="s">
        <v>381</v>
      </c>
      <c r="C3339" s="168" t="s">
        <v>3597</v>
      </c>
      <c r="D3339" s="229">
        <v>28.5</v>
      </c>
      <c r="E3339" s="229">
        <v>32.0</v>
      </c>
      <c r="F3339" s="230">
        <v>3.0</v>
      </c>
      <c r="G3339" s="232"/>
    </row>
    <row r="3340">
      <c r="A3340" s="2"/>
      <c r="B3340" s="168" t="s">
        <v>406</v>
      </c>
      <c r="C3340" s="168" t="s">
        <v>3598</v>
      </c>
      <c r="D3340" s="229">
        <v>29.5</v>
      </c>
      <c r="E3340" s="229">
        <v>33.0</v>
      </c>
      <c r="F3340" s="230">
        <v>3.0</v>
      </c>
      <c r="G3340" s="232"/>
    </row>
    <row r="3341">
      <c r="A3341" s="2"/>
      <c r="B3341" s="168" t="s">
        <v>241</v>
      </c>
      <c r="C3341" s="168" t="s">
        <v>3599</v>
      </c>
      <c r="D3341" s="229">
        <v>32.5</v>
      </c>
      <c r="E3341" s="229">
        <v>36.0</v>
      </c>
      <c r="F3341" s="230">
        <v>3.0</v>
      </c>
      <c r="G3341" s="232"/>
    </row>
    <row r="3342">
      <c r="A3342" s="2"/>
      <c r="B3342" s="168" t="s">
        <v>247</v>
      </c>
      <c r="C3342" s="168" t="s">
        <v>3600</v>
      </c>
      <c r="D3342" s="229">
        <v>29.5</v>
      </c>
      <c r="E3342" s="229">
        <v>33.0</v>
      </c>
      <c r="F3342" s="230">
        <v>3.0</v>
      </c>
      <c r="G3342" s="232"/>
    </row>
    <row r="3343">
      <c r="A3343" s="2"/>
      <c r="B3343" s="168" t="s">
        <v>1621</v>
      </c>
      <c r="C3343" s="168" t="s">
        <v>3601</v>
      </c>
      <c r="D3343" s="229">
        <v>23.5</v>
      </c>
      <c r="E3343" s="229">
        <v>23.5</v>
      </c>
      <c r="F3343" s="230">
        <v>3.0</v>
      </c>
      <c r="G3343" s="232"/>
    </row>
    <row r="3344">
      <c r="A3344" s="2"/>
      <c r="B3344" s="168" t="s">
        <v>337</v>
      </c>
      <c r="C3344" s="168" t="s">
        <v>3602</v>
      </c>
      <c r="D3344" s="229">
        <v>28.5</v>
      </c>
      <c r="E3344" s="229">
        <v>32.0</v>
      </c>
      <c r="F3344" s="230">
        <v>3.0</v>
      </c>
      <c r="G3344" s="232"/>
    </row>
    <row r="3345">
      <c r="A3345" s="2"/>
      <c r="B3345" s="168" t="s">
        <v>337</v>
      </c>
      <c r="C3345" s="168" t="s">
        <v>3603</v>
      </c>
      <c r="D3345" s="229">
        <v>20.5</v>
      </c>
      <c r="E3345" s="229">
        <v>24.0</v>
      </c>
      <c r="F3345" s="230">
        <v>3.0</v>
      </c>
      <c r="G3345" s="232"/>
    </row>
    <row r="3346">
      <c r="A3346" s="2"/>
      <c r="B3346" s="168" t="s">
        <v>576</v>
      </c>
      <c r="C3346" s="168" t="s">
        <v>3604</v>
      </c>
      <c r="D3346" s="229">
        <v>20.5</v>
      </c>
      <c r="E3346" s="229">
        <v>24.0</v>
      </c>
      <c r="F3346" s="230">
        <v>3.0</v>
      </c>
      <c r="G3346" s="232"/>
    </row>
    <row r="3347">
      <c r="A3347" s="2"/>
      <c r="B3347" s="168" t="s">
        <v>290</v>
      </c>
      <c r="C3347" s="168" t="s">
        <v>3605</v>
      </c>
      <c r="D3347" s="229">
        <v>29.5</v>
      </c>
      <c r="E3347" s="229">
        <v>33.0</v>
      </c>
      <c r="F3347" s="230">
        <v>3.0</v>
      </c>
      <c r="G3347" s="232"/>
    </row>
    <row r="3348">
      <c r="A3348" s="2"/>
      <c r="B3348" s="168" t="s">
        <v>234</v>
      </c>
      <c r="C3348" s="168" t="s">
        <v>3606</v>
      </c>
      <c r="D3348" s="229">
        <v>24.5</v>
      </c>
      <c r="E3348" s="229">
        <v>28.0</v>
      </c>
      <c r="F3348" s="230">
        <v>3.0</v>
      </c>
      <c r="G3348" s="232"/>
    </row>
    <row r="3349">
      <c r="A3349" s="2"/>
      <c r="B3349" s="168" t="s">
        <v>337</v>
      </c>
      <c r="C3349" s="168" t="s">
        <v>3607</v>
      </c>
      <c r="D3349" s="229">
        <v>23.5</v>
      </c>
      <c r="E3349" s="229">
        <v>27.0</v>
      </c>
      <c r="F3349" s="230">
        <v>3.0</v>
      </c>
      <c r="G3349" s="232"/>
    </row>
    <row r="3350">
      <c r="A3350" s="2"/>
      <c r="B3350" s="168" t="s">
        <v>232</v>
      </c>
      <c r="C3350" s="168" t="s">
        <v>3608</v>
      </c>
      <c r="D3350" s="229">
        <v>27.5</v>
      </c>
      <c r="E3350" s="229">
        <v>31.0</v>
      </c>
      <c r="F3350" s="230">
        <v>3.0</v>
      </c>
      <c r="G3350" s="232"/>
    </row>
    <row r="3351">
      <c r="A3351" s="2"/>
      <c r="B3351" s="168" t="s">
        <v>273</v>
      </c>
      <c r="C3351" s="168" t="s">
        <v>3609</v>
      </c>
      <c r="D3351" s="229">
        <v>24.5</v>
      </c>
      <c r="E3351" s="229">
        <v>28.0</v>
      </c>
      <c r="F3351" s="230">
        <v>3.0</v>
      </c>
      <c r="G3351" s="232"/>
    </row>
    <row r="3352">
      <c r="A3352" s="2"/>
      <c r="B3352" s="168" t="s">
        <v>490</v>
      </c>
      <c r="C3352" s="168" t="s">
        <v>3610</v>
      </c>
      <c r="D3352" s="229">
        <v>34.5</v>
      </c>
      <c r="E3352" s="229">
        <v>38.0</v>
      </c>
      <c r="F3352" s="230">
        <v>3.0</v>
      </c>
      <c r="G3352" s="232"/>
    </row>
    <row r="3353">
      <c r="A3353" s="2"/>
      <c r="B3353" s="168" t="s">
        <v>288</v>
      </c>
      <c r="C3353" s="168" t="s">
        <v>3611</v>
      </c>
      <c r="D3353" s="229">
        <v>21.5</v>
      </c>
      <c r="E3353" s="229">
        <v>25.0</v>
      </c>
      <c r="F3353" s="230">
        <v>3.0</v>
      </c>
      <c r="G3353" s="232"/>
    </row>
    <row r="3354">
      <c r="A3354" s="2"/>
      <c r="B3354" s="168" t="s">
        <v>290</v>
      </c>
      <c r="C3354" s="168" t="s">
        <v>3612</v>
      </c>
      <c r="D3354" s="229">
        <v>29.5</v>
      </c>
      <c r="E3354" s="229">
        <v>33.0</v>
      </c>
      <c r="F3354" s="230">
        <v>3.0</v>
      </c>
      <c r="G3354" s="232"/>
    </row>
    <row r="3355">
      <c r="A3355" s="2"/>
      <c r="B3355" s="168" t="s">
        <v>430</v>
      </c>
      <c r="C3355" s="168" t="s">
        <v>3613</v>
      </c>
      <c r="D3355" s="229">
        <v>34.5</v>
      </c>
      <c r="E3355" s="229">
        <v>38.0</v>
      </c>
      <c r="F3355" s="230">
        <v>3.0</v>
      </c>
      <c r="G3355" s="232"/>
    </row>
    <row r="3356">
      <c r="A3356" s="2"/>
      <c r="B3356" s="168" t="s">
        <v>381</v>
      </c>
      <c r="C3356" s="168" t="s">
        <v>3614</v>
      </c>
      <c r="D3356" s="229">
        <v>28.5</v>
      </c>
      <c r="E3356" s="229">
        <v>32.0</v>
      </c>
      <c r="F3356" s="230">
        <v>3.0</v>
      </c>
      <c r="G3356" s="232"/>
    </row>
    <row r="3357">
      <c r="A3357" s="2"/>
      <c r="B3357" s="168" t="s">
        <v>230</v>
      </c>
      <c r="C3357" s="168" t="s">
        <v>3615</v>
      </c>
      <c r="D3357" s="229">
        <v>21.5</v>
      </c>
      <c r="E3357" s="229">
        <v>25.0</v>
      </c>
      <c r="F3357" s="230">
        <v>3.0</v>
      </c>
      <c r="G3357" s="232"/>
    </row>
    <row r="3358">
      <c r="A3358" s="2"/>
      <c r="B3358" s="168" t="s">
        <v>217</v>
      </c>
      <c r="C3358" s="168" t="s">
        <v>3616</v>
      </c>
      <c r="D3358" s="229">
        <v>27.5</v>
      </c>
      <c r="E3358" s="229">
        <v>31.0</v>
      </c>
      <c r="F3358" s="230">
        <v>3.0</v>
      </c>
      <c r="G3358" s="232"/>
    </row>
    <row r="3359">
      <c r="A3359" s="2"/>
      <c r="B3359" s="168" t="s">
        <v>245</v>
      </c>
      <c r="C3359" s="168" t="s">
        <v>3617</v>
      </c>
      <c r="D3359" s="229">
        <v>29.5</v>
      </c>
      <c r="E3359" s="229">
        <v>33.0</v>
      </c>
      <c r="F3359" s="230">
        <v>3.0</v>
      </c>
      <c r="G3359" s="232"/>
    </row>
    <row r="3360">
      <c r="A3360" s="2"/>
      <c r="B3360" s="168" t="s">
        <v>318</v>
      </c>
      <c r="C3360" s="168" t="s">
        <v>3618</v>
      </c>
      <c r="D3360" s="229">
        <v>25.5</v>
      </c>
      <c r="E3360" s="229">
        <v>29.0</v>
      </c>
      <c r="F3360" s="230">
        <v>3.0</v>
      </c>
      <c r="G3360" s="232"/>
    </row>
    <row r="3361">
      <c r="A3361" s="2"/>
      <c r="B3361" s="168" t="s">
        <v>243</v>
      </c>
      <c r="C3361" s="168" t="s">
        <v>3619</v>
      </c>
      <c r="D3361" s="229">
        <v>29.5</v>
      </c>
      <c r="E3361" s="229">
        <v>33.0</v>
      </c>
      <c r="F3361" s="230">
        <v>3.0</v>
      </c>
      <c r="G3361" s="232"/>
    </row>
    <row r="3362">
      <c r="A3362" s="2"/>
      <c r="B3362" s="168" t="s">
        <v>337</v>
      </c>
      <c r="C3362" s="168" t="s">
        <v>3620</v>
      </c>
      <c r="D3362" s="229">
        <v>28.5</v>
      </c>
      <c r="E3362" s="229">
        <v>32.0</v>
      </c>
      <c r="F3362" s="230">
        <v>3.0</v>
      </c>
      <c r="G3362" s="232"/>
    </row>
    <row r="3363">
      <c r="A3363" s="2"/>
      <c r="B3363" s="168" t="s">
        <v>937</v>
      </c>
      <c r="C3363" s="168" t="s">
        <v>3621</v>
      </c>
      <c r="D3363" s="229">
        <v>21.5</v>
      </c>
      <c r="E3363" s="229">
        <v>25.0</v>
      </c>
      <c r="F3363" s="230">
        <v>3.0</v>
      </c>
      <c r="G3363" s="232"/>
    </row>
    <row r="3364">
      <c r="A3364" s="2"/>
      <c r="B3364" s="168" t="s">
        <v>273</v>
      </c>
      <c r="C3364" s="168" t="s">
        <v>3622</v>
      </c>
      <c r="D3364" s="229">
        <v>29.5</v>
      </c>
      <c r="E3364" s="229">
        <v>33.0</v>
      </c>
      <c r="F3364" s="230">
        <v>3.0</v>
      </c>
      <c r="G3364" s="232"/>
    </row>
    <row r="3365">
      <c r="A3365" s="2"/>
      <c r="B3365" s="168" t="s">
        <v>260</v>
      </c>
      <c r="C3365" s="168" t="s">
        <v>3623</v>
      </c>
      <c r="D3365" s="229">
        <v>28.5</v>
      </c>
      <c r="E3365" s="229">
        <v>32.0</v>
      </c>
      <c r="F3365" s="230">
        <v>3.0</v>
      </c>
      <c r="G3365" s="232"/>
    </row>
    <row r="3366">
      <c r="A3366" s="2"/>
      <c r="B3366" s="168" t="s">
        <v>219</v>
      </c>
      <c r="C3366" s="168" t="s">
        <v>3624</v>
      </c>
      <c r="D3366" s="229">
        <v>19.5</v>
      </c>
      <c r="E3366" s="229">
        <v>23.0</v>
      </c>
      <c r="F3366" s="230">
        <v>3.0</v>
      </c>
      <c r="G3366" s="232"/>
    </row>
    <row r="3367">
      <c r="A3367" s="2"/>
      <c r="B3367" s="168" t="s">
        <v>221</v>
      </c>
      <c r="C3367" s="168" t="s">
        <v>3625</v>
      </c>
      <c r="D3367" s="229">
        <v>27.0</v>
      </c>
      <c r="E3367" s="229">
        <v>30.5</v>
      </c>
      <c r="F3367" s="230">
        <v>3.0</v>
      </c>
      <c r="G3367" s="232"/>
    </row>
    <row r="3368">
      <c r="A3368" s="2"/>
      <c r="B3368" s="168" t="s">
        <v>438</v>
      </c>
      <c r="C3368" s="168" t="s">
        <v>3626</v>
      </c>
      <c r="D3368" s="229">
        <v>29.5</v>
      </c>
      <c r="E3368" s="229">
        <v>33.0</v>
      </c>
      <c r="F3368" s="230">
        <v>3.0</v>
      </c>
      <c r="G3368" s="232"/>
    </row>
    <row r="3369">
      <c r="A3369" s="2"/>
      <c r="B3369" s="168" t="s">
        <v>1311</v>
      </c>
      <c r="C3369" s="168" t="s">
        <v>3627</v>
      </c>
      <c r="D3369" s="229">
        <v>28.5</v>
      </c>
      <c r="E3369" s="229">
        <v>32.0</v>
      </c>
      <c r="F3369" s="230">
        <v>3.0</v>
      </c>
      <c r="G3369" s="232"/>
    </row>
    <row r="3370">
      <c r="A3370" s="2"/>
      <c r="B3370" s="168" t="s">
        <v>241</v>
      </c>
      <c r="C3370" s="168" t="s">
        <v>3628</v>
      </c>
      <c r="D3370" s="229">
        <v>32.5</v>
      </c>
      <c r="E3370" s="229">
        <v>36.0</v>
      </c>
      <c r="F3370" s="230">
        <v>3.0</v>
      </c>
      <c r="G3370" s="232"/>
    </row>
    <row r="3371">
      <c r="A3371" s="2"/>
      <c r="B3371" s="168" t="s">
        <v>243</v>
      </c>
      <c r="C3371" s="168" t="s">
        <v>3629</v>
      </c>
      <c r="D3371" s="229">
        <v>29.5</v>
      </c>
      <c r="E3371" s="229">
        <v>33.0</v>
      </c>
      <c r="F3371" s="230">
        <v>3.0</v>
      </c>
      <c r="G3371" s="232"/>
    </row>
    <row r="3372">
      <c r="A3372" s="2"/>
      <c r="B3372" s="168" t="s">
        <v>230</v>
      </c>
      <c r="C3372" s="168" t="s">
        <v>3630</v>
      </c>
      <c r="D3372" s="229">
        <v>21.5</v>
      </c>
      <c r="E3372" s="229">
        <v>25.0</v>
      </c>
      <c r="F3372" s="230">
        <v>3.0</v>
      </c>
      <c r="G3372" s="232"/>
    </row>
    <row r="3373">
      <c r="A3373" s="2"/>
      <c r="B3373" s="168" t="s">
        <v>285</v>
      </c>
      <c r="C3373" s="168" t="s">
        <v>3631</v>
      </c>
      <c r="D3373" s="229">
        <v>24.5</v>
      </c>
      <c r="E3373" s="229">
        <v>28.0</v>
      </c>
      <c r="F3373" s="230">
        <v>3.0</v>
      </c>
      <c r="G3373" s="232"/>
    </row>
    <row r="3374">
      <c r="A3374" s="2"/>
      <c r="B3374" s="168" t="s">
        <v>269</v>
      </c>
      <c r="C3374" s="168" t="s">
        <v>3632</v>
      </c>
      <c r="D3374" s="229">
        <v>26.5</v>
      </c>
      <c r="E3374" s="229">
        <v>30.0</v>
      </c>
      <c r="F3374" s="230">
        <v>3.0</v>
      </c>
      <c r="G3374" s="232"/>
    </row>
    <row r="3375">
      <c r="A3375" s="2"/>
      <c r="B3375" s="168" t="s">
        <v>260</v>
      </c>
      <c r="C3375" s="168" t="s">
        <v>3633</v>
      </c>
      <c r="D3375" s="229">
        <v>28.5</v>
      </c>
      <c r="E3375" s="229">
        <v>32.0</v>
      </c>
      <c r="F3375" s="230">
        <v>3.0</v>
      </c>
      <c r="G3375" s="232"/>
    </row>
    <row r="3376">
      <c r="A3376" s="2"/>
      <c r="B3376" s="168" t="s">
        <v>230</v>
      </c>
      <c r="C3376" s="168" t="s">
        <v>3634</v>
      </c>
      <c r="D3376" s="229">
        <v>21.5</v>
      </c>
      <c r="E3376" s="229">
        <v>25.0</v>
      </c>
      <c r="F3376" s="230">
        <v>3.0</v>
      </c>
      <c r="G3376" s="232"/>
    </row>
    <row r="3377">
      <c r="A3377" s="2"/>
      <c r="B3377" s="168" t="s">
        <v>296</v>
      </c>
      <c r="C3377" s="168" t="s">
        <v>3635</v>
      </c>
      <c r="D3377" s="229">
        <v>26.5</v>
      </c>
      <c r="E3377" s="229">
        <v>30.0</v>
      </c>
      <c r="F3377" s="230">
        <v>3.0</v>
      </c>
      <c r="G3377" s="232"/>
    </row>
    <row r="3378">
      <c r="A3378" s="2"/>
      <c r="B3378" s="168" t="s">
        <v>285</v>
      </c>
      <c r="C3378" s="168" t="s">
        <v>3636</v>
      </c>
      <c r="D3378" s="229">
        <v>24.5</v>
      </c>
      <c r="E3378" s="229">
        <v>28.0</v>
      </c>
      <c r="F3378" s="230">
        <v>3.0</v>
      </c>
      <c r="G3378" s="232"/>
    </row>
    <row r="3379">
      <c r="A3379" s="2"/>
      <c r="B3379" s="168" t="s">
        <v>217</v>
      </c>
      <c r="C3379" s="168" t="s">
        <v>3637</v>
      </c>
      <c r="D3379" s="229">
        <v>27.5</v>
      </c>
      <c r="E3379" s="229">
        <v>31.0</v>
      </c>
      <c r="F3379" s="230">
        <v>3.0</v>
      </c>
      <c r="G3379" s="232"/>
    </row>
    <row r="3380">
      <c r="A3380" s="2"/>
      <c r="B3380" s="168" t="s">
        <v>427</v>
      </c>
      <c r="C3380" s="168" t="s">
        <v>3638</v>
      </c>
      <c r="D3380" s="229">
        <v>26.5</v>
      </c>
      <c r="E3380" s="229">
        <v>30.0</v>
      </c>
      <c r="F3380" s="230">
        <v>3.0</v>
      </c>
      <c r="G3380" s="232"/>
    </row>
    <row r="3381">
      <c r="A3381" s="2"/>
      <c r="B3381" s="168" t="s">
        <v>260</v>
      </c>
      <c r="C3381" s="168" t="s">
        <v>3639</v>
      </c>
      <c r="D3381" s="229">
        <v>28.5</v>
      </c>
      <c r="E3381" s="229">
        <v>32.0</v>
      </c>
      <c r="F3381" s="230">
        <v>3.0</v>
      </c>
      <c r="G3381" s="232"/>
    </row>
    <row r="3382">
      <c r="A3382" s="2"/>
      <c r="B3382" s="168" t="s">
        <v>592</v>
      </c>
      <c r="C3382" s="168" t="s">
        <v>3640</v>
      </c>
      <c r="D3382" s="229">
        <v>34.5</v>
      </c>
      <c r="E3382" s="229">
        <v>38.0</v>
      </c>
      <c r="F3382" s="230">
        <v>3.0</v>
      </c>
      <c r="G3382" s="232"/>
    </row>
    <row r="3383">
      <c r="A3383" s="2"/>
      <c r="B3383" s="168" t="s">
        <v>217</v>
      </c>
      <c r="C3383" s="168" t="s">
        <v>3641</v>
      </c>
      <c r="D3383" s="229">
        <v>27.5</v>
      </c>
      <c r="E3383" s="229">
        <v>31.0</v>
      </c>
      <c r="F3383" s="230">
        <v>3.0</v>
      </c>
      <c r="G3383" s="232"/>
    </row>
    <row r="3384">
      <c r="A3384" s="2"/>
      <c r="B3384" s="168" t="s">
        <v>406</v>
      </c>
      <c r="C3384" s="168" t="s">
        <v>3642</v>
      </c>
      <c r="D3384" s="229">
        <v>29.0</v>
      </c>
      <c r="E3384" s="229">
        <v>32.5</v>
      </c>
      <c r="F3384" s="230">
        <v>3.0</v>
      </c>
      <c r="G3384" s="232"/>
    </row>
    <row r="3385">
      <c r="A3385" s="2"/>
      <c r="B3385" s="168" t="s">
        <v>217</v>
      </c>
      <c r="C3385" s="168" t="s">
        <v>3643</v>
      </c>
      <c r="D3385" s="229">
        <v>27.5</v>
      </c>
      <c r="E3385" s="229">
        <v>31.0</v>
      </c>
      <c r="F3385" s="230">
        <v>3.0</v>
      </c>
      <c r="G3385" s="232"/>
    </row>
    <row r="3386">
      <c r="A3386" s="2"/>
      <c r="B3386" s="168" t="s">
        <v>282</v>
      </c>
      <c r="C3386" s="168" t="s">
        <v>3644</v>
      </c>
      <c r="D3386" s="229">
        <v>34.5</v>
      </c>
      <c r="E3386" s="229">
        <v>38.0</v>
      </c>
      <c r="F3386" s="230">
        <v>3.0</v>
      </c>
      <c r="G3386" s="232"/>
    </row>
    <row r="3387">
      <c r="A3387" s="2"/>
      <c r="B3387" s="168" t="s">
        <v>348</v>
      </c>
      <c r="C3387" s="168" t="s">
        <v>3645</v>
      </c>
      <c r="D3387" s="229">
        <v>21.5</v>
      </c>
      <c r="E3387" s="229">
        <v>25.0</v>
      </c>
      <c r="F3387" s="230">
        <v>3.0</v>
      </c>
      <c r="G3387" s="232"/>
    </row>
    <row r="3388">
      <c r="A3388" s="2"/>
      <c r="B3388" s="168" t="s">
        <v>249</v>
      </c>
      <c r="C3388" s="168" t="s">
        <v>3646</v>
      </c>
      <c r="D3388" s="229">
        <v>3.0</v>
      </c>
      <c r="E3388" s="229">
        <v>3.0</v>
      </c>
      <c r="F3388" s="230">
        <v>3.0</v>
      </c>
      <c r="G3388" s="232"/>
    </row>
    <row r="3389">
      <c r="A3389" s="2"/>
      <c r="B3389" s="168" t="s">
        <v>255</v>
      </c>
      <c r="C3389" s="168" t="s">
        <v>3647</v>
      </c>
      <c r="D3389" s="229">
        <v>31.5</v>
      </c>
      <c r="E3389" s="229">
        <v>35.0</v>
      </c>
      <c r="F3389" s="230">
        <v>3.0</v>
      </c>
      <c r="G3389" s="232"/>
    </row>
    <row r="3390">
      <c r="A3390" s="2"/>
      <c r="B3390" s="168" t="s">
        <v>239</v>
      </c>
      <c r="C3390" s="168" t="s">
        <v>3648</v>
      </c>
      <c r="D3390" s="229">
        <v>29.5</v>
      </c>
      <c r="E3390" s="229">
        <v>33.0</v>
      </c>
      <c r="F3390" s="230">
        <v>3.0</v>
      </c>
      <c r="G3390" s="232"/>
    </row>
    <row r="3391">
      <c r="A3391" s="2"/>
      <c r="B3391" s="168" t="s">
        <v>300</v>
      </c>
      <c r="C3391" s="168" t="s">
        <v>3649</v>
      </c>
      <c r="D3391" s="229">
        <v>27.5</v>
      </c>
      <c r="E3391" s="229">
        <v>31.0</v>
      </c>
      <c r="F3391" s="230">
        <v>3.0</v>
      </c>
      <c r="G3391" s="232"/>
    </row>
    <row r="3392">
      <c r="A3392" s="2"/>
      <c r="B3392" s="168" t="s">
        <v>243</v>
      </c>
      <c r="C3392" s="168" t="s">
        <v>3650</v>
      </c>
      <c r="D3392" s="229">
        <v>29.5</v>
      </c>
      <c r="E3392" s="229">
        <v>33.0</v>
      </c>
      <c r="F3392" s="230">
        <v>3.0</v>
      </c>
      <c r="G3392" s="232"/>
    </row>
    <row r="3393">
      <c r="A3393" s="2"/>
      <c r="B3393" s="168" t="s">
        <v>243</v>
      </c>
      <c r="C3393" s="168" t="s">
        <v>3651</v>
      </c>
      <c r="D3393" s="229">
        <v>29.5</v>
      </c>
      <c r="E3393" s="229">
        <v>33.0</v>
      </c>
      <c r="F3393" s="230">
        <v>3.0</v>
      </c>
      <c r="G3393" s="232"/>
    </row>
    <row r="3394">
      <c r="A3394" s="2"/>
      <c r="B3394" s="168" t="s">
        <v>332</v>
      </c>
      <c r="C3394" s="168" t="s">
        <v>3652</v>
      </c>
      <c r="D3394" s="229">
        <v>23.5</v>
      </c>
      <c r="E3394" s="229">
        <v>27.0</v>
      </c>
      <c r="F3394" s="230">
        <v>3.0</v>
      </c>
      <c r="G3394" s="232"/>
    </row>
    <row r="3395">
      <c r="A3395" s="2"/>
      <c r="B3395" s="168" t="s">
        <v>234</v>
      </c>
      <c r="C3395" s="168" t="s">
        <v>3653</v>
      </c>
      <c r="D3395" s="229">
        <v>29.5</v>
      </c>
      <c r="E3395" s="229">
        <v>33.0</v>
      </c>
      <c r="F3395" s="230">
        <v>3.0</v>
      </c>
      <c r="G3395" s="232"/>
    </row>
    <row r="3396">
      <c r="A3396" s="2"/>
      <c r="B3396" s="168" t="s">
        <v>215</v>
      </c>
      <c r="C3396" s="168" t="s">
        <v>3654</v>
      </c>
      <c r="D3396" s="229">
        <v>25.5</v>
      </c>
      <c r="E3396" s="229">
        <v>29.0</v>
      </c>
      <c r="F3396" s="230">
        <v>3.0</v>
      </c>
      <c r="G3396" s="232"/>
    </row>
    <row r="3397">
      <c r="A3397" s="2"/>
      <c r="B3397" s="168" t="s">
        <v>255</v>
      </c>
      <c r="C3397" s="168" t="s">
        <v>3655</v>
      </c>
      <c r="D3397" s="229">
        <v>26.5</v>
      </c>
      <c r="E3397" s="229">
        <v>30.0</v>
      </c>
      <c r="F3397" s="230">
        <v>3.0</v>
      </c>
      <c r="G3397" s="232"/>
    </row>
    <row r="3398">
      <c r="A3398" s="2"/>
      <c r="B3398" s="168" t="s">
        <v>273</v>
      </c>
      <c r="C3398" s="168" t="s">
        <v>3656</v>
      </c>
      <c r="D3398" s="229">
        <v>24.5</v>
      </c>
      <c r="E3398" s="229">
        <v>28.0</v>
      </c>
      <c r="F3398" s="230">
        <v>3.0</v>
      </c>
      <c r="G3398" s="232"/>
    </row>
    <row r="3399">
      <c r="A3399" s="2"/>
      <c r="B3399" s="168" t="s">
        <v>230</v>
      </c>
      <c r="C3399" s="168" t="s">
        <v>3657</v>
      </c>
      <c r="D3399" s="229">
        <v>16.5</v>
      </c>
      <c r="E3399" s="229">
        <v>20.0</v>
      </c>
      <c r="F3399" s="230">
        <v>3.0</v>
      </c>
      <c r="G3399" s="232"/>
    </row>
    <row r="3400">
      <c r="A3400" s="2"/>
      <c r="B3400" s="168" t="s">
        <v>438</v>
      </c>
      <c r="C3400" s="168" t="s">
        <v>3658</v>
      </c>
      <c r="D3400" s="229">
        <v>29.5</v>
      </c>
      <c r="E3400" s="229">
        <v>33.0</v>
      </c>
      <c r="F3400" s="230">
        <v>3.0</v>
      </c>
      <c r="G3400" s="232"/>
    </row>
    <row r="3401">
      <c r="A3401" s="2"/>
      <c r="B3401" s="168" t="s">
        <v>377</v>
      </c>
      <c r="C3401" s="168" t="s">
        <v>3659</v>
      </c>
      <c r="D3401" s="229">
        <v>29.5</v>
      </c>
      <c r="E3401" s="229">
        <v>33.0</v>
      </c>
      <c r="F3401" s="230">
        <v>3.0</v>
      </c>
      <c r="G3401" s="232"/>
    </row>
    <row r="3402">
      <c r="A3402" s="2"/>
      <c r="B3402" s="168" t="s">
        <v>576</v>
      </c>
      <c r="C3402" s="168" t="s">
        <v>3660</v>
      </c>
      <c r="D3402" s="229">
        <v>22.0</v>
      </c>
      <c r="E3402" s="229">
        <v>25.5</v>
      </c>
      <c r="F3402" s="230">
        <v>3.0</v>
      </c>
      <c r="G3402" s="232"/>
    </row>
    <row r="3403">
      <c r="A3403" s="2"/>
      <c r="B3403" s="168" t="s">
        <v>269</v>
      </c>
      <c r="C3403" s="168" t="s">
        <v>3661</v>
      </c>
      <c r="D3403" s="229">
        <v>26.0</v>
      </c>
      <c r="E3403" s="229">
        <v>29.5</v>
      </c>
      <c r="F3403" s="230">
        <v>3.0</v>
      </c>
      <c r="G3403" s="232"/>
    </row>
    <row r="3404">
      <c r="A3404" s="2"/>
      <c r="B3404" s="168" t="s">
        <v>269</v>
      </c>
      <c r="C3404" s="168" t="s">
        <v>3662</v>
      </c>
      <c r="D3404" s="229">
        <v>26.5</v>
      </c>
      <c r="E3404" s="229">
        <v>30.0</v>
      </c>
      <c r="F3404" s="230">
        <v>3.0</v>
      </c>
      <c r="G3404" s="232"/>
    </row>
    <row r="3405">
      <c r="A3405" s="2"/>
      <c r="B3405" s="168" t="s">
        <v>243</v>
      </c>
      <c r="C3405" s="168" t="s">
        <v>3663</v>
      </c>
      <c r="D3405" s="229">
        <v>24.5</v>
      </c>
      <c r="E3405" s="229">
        <v>28.0</v>
      </c>
      <c r="F3405" s="230">
        <v>3.0</v>
      </c>
      <c r="G3405" s="232"/>
    </row>
    <row r="3406">
      <c r="A3406" s="2"/>
      <c r="B3406" s="168" t="s">
        <v>269</v>
      </c>
      <c r="C3406" s="168" t="s">
        <v>3664</v>
      </c>
      <c r="D3406" s="229">
        <v>26.5</v>
      </c>
      <c r="E3406" s="229">
        <v>30.0</v>
      </c>
      <c r="F3406" s="230">
        <v>3.0</v>
      </c>
      <c r="G3406" s="232"/>
    </row>
    <row r="3407">
      <c r="A3407" s="2"/>
      <c r="B3407" s="168" t="s">
        <v>234</v>
      </c>
      <c r="C3407" s="168" t="s">
        <v>3665</v>
      </c>
      <c r="D3407" s="229">
        <v>29.5</v>
      </c>
      <c r="E3407" s="229">
        <v>33.0</v>
      </c>
      <c r="F3407" s="230">
        <v>3.0</v>
      </c>
      <c r="G3407" s="232"/>
    </row>
    <row r="3408">
      <c r="A3408" s="2"/>
      <c r="B3408" s="168" t="s">
        <v>217</v>
      </c>
      <c r="C3408" s="168" t="s">
        <v>3666</v>
      </c>
      <c r="D3408" s="229">
        <v>27.5</v>
      </c>
      <c r="E3408" s="229">
        <v>31.0</v>
      </c>
      <c r="F3408" s="230">
        <v>3.0</v>
      </c>
      <c r="G3408" s="232"/>
    </row>
    <row r="3409">
      <c r="A3409" s="2"/>
      <c r="B3409" s="168" t="s">
        <v>381</v>
      </c>
      <c r="C3409" s="168" t="s">
        <v>3667</v>
      </c>
      <c r="D3409" s="229">
        <v>26.0</v>
      </c>
      <c r="E3409" s="229">
        <v>29.5</v>
      </c>
      <c r="F3409" s="230">
        <v>3.0</v>
      </c>
      <c r="G3409" s="232"/>
    </row>
    <row r="3410">
      <c r="A3410" s="2"/>
      <c r="B3410" s="168" t="s">
        <v>217</v>
      </c>
      <c r="C3410" s="168" t="s">
        <v>3668</v>
      </c>
      <c r="D3410" s="229">
        <v>22.5</v>
      </c>
      <c r="E3410" s="229">
        <v>26.0</v>
      </c>
      <c r="F3410" s="230">
        <v>3.0</v>
      </c>
      <c r="G3410" s="232"/>
    </row>
    <row r="3411">
      <c r="A3411" s="2"/>
      <c r="B3411" s="168" t="s">
        <v>215</v>
      </c>
      <c r="C3411" s="168" t="s">
        <v>3669</v>
      </c>
      <c r="D3411" s="229">
        <v>27.5</v>
      </c>
      <c r="E3411" s="229">
        <v>31.0</v>
      </c>
      <c r="F3411" s="230">
        <v>3.0</v>
      </c>
      <c r="G3411" s="232"/>
    </row>
    <row r="3412">
      <c r="A3412" s="2"/>
      <c r="B3412" s="168" t="s">
        <v>230</v>
      </c>
      <c r="C3412" s="168" t="s">
        <v>3670</v>
      </c>
      <c r="D3412" s="229">
        <v>16.5</v>
      </c>
      <c r="E3412" s="229">
        <v>20.0</v>
      </c>
      <c r="F3412" s="230">
        <v>3.0</v>
      </c>
      <c r="G3412" s="232"/>
    </row>
    <row r="3413">
      <c r="A3413" s="2"/>
      <c r="B3413" s="168" t="s">
        <v>296</v>
      </c>
      <c r="C3413" s="168" t="s">
        <v>3671</v>
      </c>
      <c r="D3413" s="229">
        <v>26.5</v>
      </c>
      <c r="E3413" s="229">
        <v>30.0</v>
      </c>
      <c r="F3413" s="230">
        <v>3.0</v>
      </c>
      <c r="G3413" s="232"/>
    </row>
    <row r="3414">
      <c r="A3414" s="2"/>
      <c r="B3414" s="168" t="s">
        <v>341</v>
      </c>
      <c r="C3414" s="168" t="s">
        <v>3672</v>
      </c>
      <c r="D3414" s="229">
        <v>29.5</v>
      </c>
      <c r="E3414" s="229">
        <v>29.5</v>
      </c>
      <c r="F3414" s="230">
        <v>3.0</v>
      </c>
      <c r="G3414" s="232"/>
    </row>
    <row r="3415">
      <c r="A3415" s="2"/>
      <c r="B3415" s="168" t="s">
        <v>269</v>
      </c>
      <c r="C3415" s="168" t="s">
        <v>3673</v>
      </c>
      <c r="D3415" s="229">
        <v>26.5</v>
      </c>
      <c r="E3415" s="229">
        <v>30.0</v>
      </c>
      <c r="F3415" s="230">
        <v>3.0</v>
      </c>
      <c r="G3415" s="232"/>
    </row>
    <row r="3416">
      <c r="A3416" s="2"/>
      <c r="B3416" s="168" t="s">
        <v>328</v>
      </c>
      <c r="C3416" s="168" t="s">
        <v>3674</v>
      </c>
      <c r="D3416" s="229">
        <v>34.5</v>
      </c>
      <c r="E3416" s="229">
        <v>38.0</v>
      </c>
      <c r="F3416" s="230">
        <v>3.0</v>
      </c>
      <c r="G3416" s="232"/>
    </row>
    <row r="3417">
      <c r="A3417" s="2"/>
      <c r="B3417" s="168" t="s">
        <v>232</v>
      </c>
      <c r="C3417" s="168" t="s">
        <v>3675</v>
      </c>
      <c r="D3417" s="229">
        <v>32.5</v>
      </c>
      <c r="E3417" s="229">
        <v>36.0</v>
      </c>
      <c r="F3417" s="230">
        <v>3.0</v>
      </c>
      <c r="G3417" s="232"/>
    </row>
    <row r="3418">
      <c r="A3418" s="2"/>
      <c r="B3418" s="168" t="s">
        <v>290</v>
      </c>
      <c r="C3418" s="168" t="s">
        <v>3676</v>
      </c>
      <c r="D3418" s="229">
        <v>29.5</v>
      </c>
      <c r="E3418" s="229">
        <v>33.0</v>
      </c>
      <c r="F3418" s="230">
        <v>3.0</v>
      </c>
      <c r="G3418" s="232"/>
    </row>
    <row r="3419">
      <c r="A3419" s="2"/>
      <c r="B3419" s="168" t="s">
        <v>269</v>
      </c>
      <c r="C3419" s="168" t="s">
        <v>3677</v>
      </c>
      <c r="D3419" s="229">
        <v>26.5</v>
      </c>
      <c r="E3419" s="229">
        <v>30.0</v>
      </c>
      <c r="F3419" s="230">
        <v>3.0</v>
      </c>
      <c r="G3419" s="232"/>
    </row>
    <row r="3420">
      <c r="A3420" s="2"/>
      <c r="B3420" s="168" t="s">
        <v>332</v>
      </c>
      <c r="C3420" s="168" t="s">
        <v>3678</v>
      </c>
      <c r="D3420" s="229">
        <v>28.5</v>
      </c>
      <c r="E3420" s="229">
        <v>32.0</v>
      </c>
      <c r="F3420" s="230">
        <v>3.0</v>
      </c>
      <c r="G3420" s="232"/>
    </row>
    <row r="3421">
      <c r="A3421" s="2"/>
      <c r="B3421" s="168" t="s">
        <v>386</v>
      </c>
      <c r="C3421" s="168" t="s">
        <v>3679</v>
      </c>
      <c r="D3421" s="229">
        <v>29.5</v>
      </c>
      <c r="E3421" s="229">
        <v>33.0</v>
      </c>
      <c r="F3421" s="230">
        <v>3.0</v>
      </c>
      <c r="G3421" s="232"/>
    </row>
    <row r="3422">
      <c r="A3422" s="2"/>
      <c r="B3422" s="168" t="s">
        <v>381</v>
      </c>
      <c r="C3422" s="168" t="s">
        <v>3680</v>
      </c>
      <c r="D3422" s="229">
        <v>28.5</v>
      </c>
      <c r="E3422" s="229">
        <v>32.0</v>
      </c>
      <c r="F3422" s="230">
        <v>3.0</v>
      </c>
      <c r="G3422" s="232"/>
    </row>
    <row r="3423">
      <c r="A3423" s="2"/>
      <c r="B3423" s="168" t="s">
        <v>223</v>
      </c>
      <c r="C3423" s="168" t="s">
        <v>3681</v>
      </c>
      <c r="D3423" s="229">
        <v>26.5</v>
      </c>
      <c r="E3423" s="229">
        <v>30.0</v>
      </c>
      <c r="F3423" s="230">
        <v>3.0</v>
      </c>
      <c r="G3423" s="232"/>
    </row>
    <row r="3424">
      <c r="A3424" s="2"/>
      <c r="B3424" s="168" t="s">
        <v>260</v>
      </c>
      <c r="C3424" s="168" t="s">
        <v>3682</v>
      </c>
      <c r="D3424" s="229">
        <v>28.5</v>
      </c>
      <c r="E3424" s="229">
        <v>32.0</v>
      </c>
      <c r="F3424" s="230">
        <v>3.0</v>
      </c>
      <c r="G3424" s="232"/>
    </row>
    <row r="3425">
      <c r="A3425" s="2"/>
      <c r="B3425" s="168" t="s">
        <v>217</v>
      </c>
      <c r="C3425" s="168" t="s">
        <v>3683</v>
      </c>
      <c r="D3425" s="229">
        <v>27.5</v>
      </c>
      <c r="E3425" s="229">
        <v>31.0</v>
      </c>
      <c r="F3425" s="230">
        <v>3.0</v>
      </c>
      <c r="G3425" s="232"/>
    </row>
    <row r="3426">
      <c r="A3426" s="2"/>
      <c r="B3426" s="168" t="s">
        <v>282</v>
      </c>
      <c r="C3426" s="168" t="s">
        <v>3684</v>
      </c>
      <c r="D3426" s="229">
        <v>34.5</v>
      </c>
      <c r="E3426" s="229">
        <v>38.0</v>
      </c>
      <c r="F3426" s="230">
        <v>3.0</v>
      </c>
      <c r="G3426" s="232"/>
    </row>
    <row r="3427">
      <c r="A3427" s="2"/>
      <c r="B3427" s="168" t="s">
        <v>269</v>
      </c>
      <c r="C3427" s="168" t="s">
        <v>3685</v>
      </c>
      <c r="D3427" s="229">
        <v>26.5</v>
      </c>
      <c r="E3427" s="229">
        <v>30.0</v>
      </c>
      <c r="F3427" s="230">
        <v>3.0</v>
      </c>
      <c r="G3427" s="232"/>
    </row>
    <row r="3428">
      <c r="A3428" s="2"/>
      <c r="B3428" s="168" t="s">
        <v>221</v>
      </c>
      <c r="C3428" s="168" t="s">
        <v>3686</v>
      </c>
      <c r="D3428" s="229">
        <v>22.5</v>
      </c>
      <c r="E3428" s="229">
        <v>26.0</v>
      </c>
      <c r="F3428" s="230">
        <v>3.0</v>
      </c>
      <c r="G3428" s="232"/>
    </row>
    <row r="3429">
      <c r="A3429" s="2"/>
      <c r="B3429" s="168" t="s">
        <v>275</v>
      </c>
      <c r="C3429" s="168" t="s">
        <v>3687</v>
      </c>
      <c r="D3429" s="229">
        <v>21.5</v>
      </c>
      <c r="E3429" s="229">
        <v>25.0</v>
      </c>
      <c r="F3429" s="230">
        <v>3.0</v>
      </c>
      <c r="G3429" s="232"/>
    </row>
    <row r="3430">
      <c r="A3430" s="2"/>
      <c r="B3430" s="168" t="s">
        <v>269</v>
      </c>
      <c r="C3430" s="168" t="s">
        <v>3688</v>
      </c>
      <c r="D3430" s="229">
        <v>26.5</v>
      </c>
      <c r="E3430" s="229">
        <v>30.0</v>
      </c>
      <c r="F3430" s="230">
        <v>3.0</v>
      </c>
      <c r="G3430" s="232"/>
    </row>
    <row r="3431">
      <c r="A3431" s="2"/>
      <c r="B3431" s="168" t="s">
        <v>271</v>
      </c>
      <c r="C3431" s="168" t="s">
        <v>3689</v>
      </c>
      <c r="D3431" s="229">
        <v>30.5</v>
      </c>
      <c r="E3431" s="229">
        <v>34.0</v>
      </c>
      <c r="F3431" s="230">
        <v>3.0</v>
      </c>
      <c r="G3431" s="232"/>
    </row>
    <row r="3432">
      <c r="A3432" s="2"/>
      <c r="B3432" s="168" t="s">
        <v>937</v>
      </c>
      <c r="C3432" s="168" t="s">
        <v>3690</v>
      </c>
      <c r="D3432" s="229">
        <v>21.5</v>
      </c>
      <c r="E3432" s="229">
        <v>25.0</v>
      </c>
      <c r="F3432" s="230">
        <v>3.0</v>
      </c>
      <c r="G3432" s="232"/>
    </row>
    <row r="3433">
      <c r="A3433" s="2"/>
      <c r="B3433" s="168" t="s">
        <v>592</v>
      </c>
      <c r="C3433" s="168" t="s">
        <v>3691</v>
      </c>
      <c r="D3433" s="229">
        <v>34.5</v>
      </c>
      <c r="E3433" s="229">
        <v>38.0</v>
      </c>
      <c r="F3433" s="230">
        <v>3.0</v>
      </c>
      <c r="G3433" s="232"/>
    </row>
    <row r="3434">
      <c r="A3434" s="2"/>
      <c r="B3434" s="168" t="s">
        <v>223</v>
      </c>
      <c r="C3434" s="168" t="s">
        <v>3692</v>
      </c>
      <c r="D3434" s="229">
        <v>26.5</v>
      </c>
      <c r="E3434" s="229">
        <v>30.0</v>
      </c>
      <c r="F3434" s="230">
        <v>3.0</v>
      </c>
      <c r="G3434" s="232"/>
    </row>
    <row r="3435">
      <c r="A3435" s="2"/>
      <c r="B3435" s="168" t="s">
        <v>2259</v>
      </c>
      <c r="C3435" s="168" t="s">
        <v>3693</v>
      </c>
      <c r="D3435" s="229">
        <v>24.5</v>
      </c>
      <c r="E3435" s="229">
        <v>28.0</v>
      </c>
      <c r="F3435" s="230">
        <v>3.0</v>
      </c>
      <c r="G3435" s="232"/>
    </row>
    <row r="3436">
      <c r="A3436" s="2"/>
      <c r="B3436" s="168" t="s">
        <v>296</v>
      </c>
      <c r="C3436" s="168" t="s">
        <v>3694</v>
      </c>
      <c r="D3436" s="229">
        <v>26.5</v>
      </c>
      <c r="E3436" s="229">
        <v>30.0</v>
      </c>
      <c r="F3436" s="230">
        <v>3.0</v>
      </c>
      <c r="G3436" s="232"/>
    </row>
    <row r="3437">
      <c r="A3437" s="2"/>
      <c r="B3437" s="168" t="s">
        <v>221</v>
      </c>
      <c r="C3437" s="168" t="s">
        <v>3695</v>
      </c>
      <c r="D3437" s="229">
        <v>27.5</v>
      </c>
      <c r="E3437" s="229">
        <v>31.0</v>
      </c>
      <c r="F3437" s="230">
        <v>3.0</v>
      </c>
      <c r="G3437" s="232"/>
    </row>
    <row r="3438">
      <c r="A3438" s="2"/>
      <c r="B3438" s="168" t="s">
        <v>3696</v>
      </c>
      <c r="C3438" s="168" t="s">
        <v>3696</v>
      </c>
      <c r="D3438" s="229">
        <v>27.5</v>
      </c>
      <c r="E3438" s="229">
        <v>31.0</v>
      </c>
      <c r="F3438" s="230">
        <v>3.0</v>
      </c>
      <c r="G3438" s="232"/>
    </row>
    <row r="3439">
      <c r="A3439" s="2"/>
      <c r="B3439" s="168" t="s">
        <v>332</v>
      </c>
      <c r="C3439" s="168" t="s">
        <v>3697</v>
      </c>
      <c r="D3439" s="229">
        <v>28.5</v>
      </c>
      <c r="E3439" s="229">
        <v>32.0</v>
      </c>
      <c r="F3439" s="230">
        <v>3.0</v>
      </c>
      <c r="G3439" s="232"/>
    </row>
    <row r="3440">
      <c r="A3440" s="2"/>
      <c r="B3440" s="168" t="s">
        <v>348</v>
      </c>
      <c r="C3440" s="168" t="s">
        <v>3698</v>
      </c>
      <c r="D3440" s="229">
        <v>24.5</v>
      </c>
      <c r="E3440" s="229">
        <v>28.0</v>
      </c>
      <c r="F3440" s="230">
        <v>3.0</v>
      </c>
      <c r="G3440" s="232"/>
    </row>
    <row r="3441">
      <c r="A3441" s="2"/>
      <c r="B3441" s="168" t="s">
        <v>257</v>
      </c>
      <c r="C3441" s="168" t="s">
        <v>3699</v>
      </c>
      <c r="D3441" s="229">
        <v>28.5</v>
      </c>
      <c r="E3441" s="229">
        <v>32.0</v>
      </c>
      <c r="F3441" s="230">
        <v>3.0</v>
      </c>
      <c r="G3441" s="232"/>
    </row>
    <row r="3442">
      <c r="A3442" s="2"/>
      <c r="B3442" s="168" t="s">
        <v>215</v>
      </c>
      <c r="C3442" s="168" t="s">
        <v>3700</v>
      </c>
      <c r="D3442" s="229">
        <v>24.5</v>
      </c>
      <c r="E3442" s="229">
        <v>28.0</v>
      </c>
      <c r="F3442" s="230">
        <v>3.0</v>
      </c>
      <c r="G3442" s="232"/>
    </row>
    <row r="3443">
      <c r="A3443" s="2"/>
      <c r="B3443" s="168" t="s">
        <v>217</v>
      </c>
      <c r="C3443" s="168" t="s">
        <v>3701</v>
      </c>
      <c r="D3443" s="229">
        <v>27.5</v>
      </c>
      <c r="E3443" s="229">
        <v>31.0</v>
      </c>
      <c r="F3443" s="230">
        <v>3.0</v>
      </c>
      <c r="G3443" s="232"/>
    </row>
    <row r="3444">
      <c r="A3444" s="2"/>
      <c r="B3444" s="168" t="s">
        <v>247</v>
      </c>
      <c r="C3444" s="168" t="s">
        <v>3702</v>
      </c>
      <c r="D3444" s="229">
        <v>29.5</v>
      </c>
      <c r="E3444" s="229">
        <v>33.0</v>
      </c>
      <c r="F3444" s="230">
        <v>3.0</v>
      </c>
      <c r="G3444" s="232"/>
    </row>
    <row r="3445">
      <c r="A3445" s="2"/>
      <c r="B3445" s="168" t="s">
        <v>592</v>
      </c>
      <c r="C3445" s="168" t="s">
        <v>3703</v>
      </c>
      <c r="D3445" s="229">
        <v>34.5</v>
      </c>
      <c r="E3445" s="229">
        <v>38.0</v>
      </c>
      <c r="F3445" s="230">
        <v>3.0</v>
      </c>
      <c r="G3445" s="232"/>
    </row>
    <row r="3446">
      <c r="A3446" s="2"/>
      <c r="B3446" s="168" t="s">
        <v>230</v>
      </c>
      <c r="C3446" s="168" t="s">
        <v>3704</v>
      </c>
      <c r="D3446" s="229">
        <v>21.5</v>
      </c>
      <c r="E3446" s="229">
        <v>25.0</v>
      </c>
      <c r="F3446" s="230">
        <v>3.0</v>
      </c>
      <c r="G3446" s="232"/>
    </row>
    <row r="3447">
      <c r="A3447" s="2"/>
      <c r="B3447" s="168" t="s">
        <v>217</v>
      </c>
      <c r="C3447" s="168" t="s">
        <v>3705</v>
      </c>
      <c r="D3447" s="229">
        <v>27.5</v>
      </c>
      <c r="E3447" s="229">
        <v>31.0</v>
      </c>
      <c r="F3447" s="230">
        <v>3.0</v>
      </c>
      <c r="G3447" s="232"/>
    </row>
    <row r="3448">
      <c r="A3448" s="2"/>
      <c r="B3448" s="168" t="s">
        <v>337</v>
      </c>
      <c r="C3448" s="168" t="s">
        <v>3706</v>
      </c>
      <c r="D3448" s="229">
        <v>28.5</v>
      </c>
      <c r="E3448" s="229">
        <v>32.0</v>
      </c>
      <c r="F3448" s="230">
        <v>3.0</v>
      </c>
      <c r="G3448" s="232"/>
    </row>
    <row r="3449">
      <c r="A3449" s="2"/>
      <c r="B3449" s="168" t="s">
        <v>273</v>
      </c>
      <c r="C3449" s="168" t="s">
        <v>3707</v>
      </c>
      <c r="D3449" s="229">
        <v>29.5</v>
      </c>
      <c r="E3449" s="229">
        <v>33.0</v>
      </c>
      <c r="F3449" s="230">
        <v>3.0</v>
      </c>
      <c r="G3449" s="232"/>
    </row>
    <row r="3450">
      <c r="A3450" s="2"/>
      <c r="B3450" s="168" t="s">
        <v>245</v>
      </c>
      <c r="C3450" s="168" t="s">
        <v>3708</v>
      </c>
      <c r="D3450" s="229">
        <v>29.5</v>
      </c>
      <c r="E3450" s="229">
        <v>33.0</v>
      </c>
      <c r="F3450" s="230">
        <v>3.0</v>
      </c>
      <c r="G3450" s="232"/>
    </row>
    <row r="3451">
      <c r="A3451" s="2"/>
      <c r="B3451" s="168" t="s">
        <v>217</v>
      </c>
      <c r="C3451" s="168" t="s">
        <v>3709</v>
      </c>
      <c r="D3451" s="229">
        <v>27.5</v>
      </c>
      <c r="E3451" s="229">
        <v>31.0</v>
      </c>
      <c r="F3451" s="230">
        <v>3.0</v>
      </c>
      <c r="G3451" s="232"/>
    </row>
    <row r="3452">
      <c r="A3452" s="2"/>
      <c r="B3452" s="168" t="s">
        <v>288</v>
      </c>
      <c r="C3452" s="168" t="s">
        <v>3710</v>
      </c>
      <c r="D3452" s="229">
        <v>21.5</v>
      </c>
      <c r="E3452" s="229">
        <v>25.0</v>
      </c>
      <c r="F3452" s="230">
        <v>3.0</v>
      </c>
      <c r="G3452" s="232"/>
    </row>
    <row r="3453">
      <c r="A3453" s="2"/>
      <c r="B3453" s="168" t="s">
        <v>285</v>
      </c>
      <c r="C3453" s="168" t="s">
        <v>3711</v>
      </c>
      <c r="D3453" s="229">
        <v>19.5</v>
      </c>
      <c r="E3453" s="229">
        <v>23.0</v>
      </c>
      <c r="F3453" s="230">
        <v>3.0</v>
      </c>
      <c r="G3453" s="232"/>
    </row>
    <row r="3454">
      <c r="A3454" s="2"/>
      <c r="B3454" s="168" t="s">
        <v>217</v>
      </c>
      <c r="C3454" s="168" t="s">
        <v>3712</v>
      </c>
      <c r="D3454" s="229">
        <v>27.5</v>
      </c>
      <c r="E3454" s="229">
        <v>31.0</v>
      </c>
      <c r="F3454" s="230">
        <v>3.0</v>
      </c>
      <c r="G3454" s="232"/>
    </row>
    <row r="3455">
      <c r="A3455" s="2"/>
      <c r="B3455" s="168" t="s">
        <v>273</v>
      </c>
      <c r="C3455" s="168" t="s">
        <v>3713</v>
      </c>
      <c r="D3455" s="229">
        <v>24.5</v>
      </c>
      <c r="E3455" s="229">
        <v>28.0</v>
      </c>
      <c r="F3455" s="230">
        <v>3.0</v>
      </c>
      <c r="G3455" s="232"/>
    </row>
    <row r="3456">
      <c r="A3456" s="2"/>
      <c r="B3456" s="168" t="s">
        <v>368</v>
      </c>
      <c r="C3456" s="168" t="s">
        <v>3714</v>
      </c>
      <c r="D3456" s="229">
        <v>32.5</v>
      </c>
      <c r="E3456" s="229">
        <v>36.0</v>
      </c>
      <c r="F3456" s="230">
        <v>3.0</v>
      </c>
      <c r="G3456" s="232"/>
    </row>
    <row r="3457">
      <c r="A3457" s="2"/>
      <c r="B3457" s="168" t="s">
        <v>332</v>
      </c>
      <c r="C3457" s="168" t="s">
        <v>3715</v>
      </c>
      <c r="D3457" s="229">
        <v>28.5</v>
      </c>
      <c r="E3457" s="229">
        <v>32.0</v>
      </c>
      <c r="F3457" s="230">
        <v>3.0</v>
      </c>
      <c r="G3457" s="232"/>
    </row>
    <row r="3458">
      <c r="A3458" s="2"/>
      <c r="B3458" s="168" t="s">
        <v>811</v>
      </c>
      <c r="C3458" s="168" t="s">
        <v>3716</v>
      </c>
      <c r="D3458" s="229">
        <v>29.5</v>
      </c>
      <c r="E3458" s="229">
        <v>33.0</v>
      </c>
      <c r="F3458" s="230">
        <v>3.0</v>
      </c>
      <c r="G3458" s="232"/>
    </row>
    <row r="3459">
      <c r="A3459" s="2"/>
      <c r="B3459" s="168" t="s">
        <v>328</v>
      </c>
      <c r="C3459" s="168" t="s">
        <v>3717</v>
      </c>
      <c r="D3459" s="229">
        <v>34.5</v>
      </c>
      <c r="E3459" s="229">
        <v>38.0</v>
      </c>
      <c r="F3459" s="230">
        <v>3.0</v>
      </c>
      <c r="G3459" s="232"/>
    </row>
    <row r="3460">
      <c r="A3460" s="2"/>
      <c r="B3460" s="168" t="s">
        <v>232</v>
      </c>
      <c r="C3460" s="168" t="s">
        <v>3718</v>
      </c>
      <c r="D3460" s="229">
        <v>31.5</v>
      </c>
      <c r="E3460" s="229">
        <v>35.0</v>
      </c>
      <c r="F3460" s="230">
        <v>3.0</v>
      </c>
      <c r="G3460" s="232"/>
    </row>
    <row r="3461">
      <c r="A3461" s="2"/>
      <c r="B3461" s="168" t="s">
        <v>257</v>
      </c>
      <c r="C3461" s="168" t="s">
        <v>3719</v>
      </c>
      <c r="D3461" s="229">
        <v>28.5</v>
      </c>
      <c r="E3461" s="229">
        <v>32.0</v>
      </c>
      <c r="F3461" s="230">
        <v>3.0</v>
      </c>
      <c r="G3461" s="232"/>
    </row>
    <row r="3462">
      <c r="A3462" s="2"/>
      <c r="B3462" s="168" t="s">
        <v>285</v>
      </c>
      <c r="C3462" s="168" t="s">
        <v>285</v>
      </c>
      <c r="D3462" s="229">
        <v>24.5</v>
      </c>
      <c r="E3462" s="229">
        <v>28.0</v>
      </c>
      <c r="F3462" s="230">
        <v>3.0</v>
      </c>
      <c r="G3462" s="232"/>
    </row>
    <row r="3463">
      <c r="A3463" s="2"/>
      <c r="B3463" s="168" t="s">
        <v>232</v>
      </c>
      <c r="C3463" s="168" t="s">
        <v>3720</v>
      </c>
      <c r="D3463" s="229">
        <v>25.5</v>
      </c>
      <c r="E3463" s="229">
        <v>29.0</v>
      </c>
      <c r="F3463" s="230">
        <v>3.0</v>
      </c>
      <c r="G3463" s="232"/>
    </row>
    <row r="3464">
      <c r="A3464" s="2"/>
      <c r="B3464" s="168" t="s">
        <v>255</v>
      </c>
      <c r="C3464" s="168" t="s">
        <v>3721</v>
      </c>
      <c r="D3464" s="229">
        <v>30.5</v>
      </c>
      <c r="E3464" s="229">
        <v>34.0</v>
      </c>
      <c r="F3464" s="230">
        <v>3.0</v>
      </c>
      <c r="G3464" s="232"/>
    </row>
    <row r="3465">
      <c r="A3465" s="2"/>
      <c r="B3465" s="168" t="s">
        <v>290</v>
      </c>
      <c r="C3465" s="168" t="s">
        <v>3722</v>
      </c>
      <c r="D3465" s="229">
        <v>29.5</v>
      </c>
      <c r="E3465" s="229">
        <v>33.0</v>
      </c>
      <c r="F3465" s="230">
        <v>3.0</v>
      </c>
      <c r="G3465" s="232"/>
    </row>
    <row r="3466">
      <c r="A3466" s="2"/>
      <c r="B3466" s="168" t="s">
        <v>288</v>
      </c>
      <c r="C3466" s="168" t="s">
        <v>3723</v>
      </c>
      <c r="D3466" s="229">
        <v>21.5</v>
      </c>
      <c r="E3466" s="229">
        <v>25.0</v>
      </c>
      <c r="F3466" s="230">
        <v>3.0</v>
      </c>
      <c r="G3466" s="232"/>
    </row>
    <row r="3467">
      <c r="A3467" s="2"/>
      <c r="B3467" s="168" t="s">
        <v>269</v>
      </c>
      <c r="C3467" s="168" t="s">
        <v>3724</v>
      </c>
      <c r="D3467" s="229">
        <v>26.5</v>
      </c>
      <c r="E3467" s="229">
        <v>30.0</v>
      </c>
      <c r="F3467" s="230">
        <v>3.0</v>
      </c>
      <c r="G3467" s="232"/>
    </row>
    <row r="3468">
      <c r="A3468" s="2"/>
      <c r="B3468" s="168" t="s">
        <v>296</v>
      </c>
      <c r="C3468" s="168" t="s">
        <v>3725</v>
      </c>
      <c r="D3468" s="229">
        <v>26.5</v>
      </c>
      <c r="E3468" s="229">
        <v>30.0</v>
      </c>
      <c r="F3468" s="230">
        <v>3.0</v>
      </c>
      <c r="G3468" s="232"/>
    </row>
    <row r="3469">
      <c r="A3469" s="2"/>
      <c r="B3469" s="168" t="s">
        <v>273</v>
      </c>
      <c r="C3469" s="168" t="s">
        <v>3726</v>
      </c>
      <c r="D3469" s="229">
        <v>29.5</v>
      </c>
      <c r="E3469" s="229">
        <v>33.0</v>
      </c>
      <c r="F3469" s="230">
        <v>3.0</v>
      </c>
      <c r="G3469" s="232"/>
    </row>
    <row r="3470">
      <c r="A3470" s="2"/>
      <c r="B3470" s="168" t="s">
        <v>290</v>
      </c>
      <c r="C3470" s="168" t="s">
        <v>3727</v>
      </c>
      <c r="D3470" s="229">
        <v>29.5</v>
      </c>
      <c r="E3470" s="229">
        <v>33.0</v>
      </c>
      <c r="F3470" s="230">
        <v>3.0</v>
      </c>
      <c r="G3470" s="232"/>
    </row>
    <row r="3471">
      <c r="A3471" s="2"/>
      <c r="B3471" s="168" t="s">
        <v>232</v>
      </c>
      <c r="C3471" s="168" t="s">
        <v>3728</v>
      </c>
      <c r="D3471" s="229">
        <v>25.5</v>
      </c>
      <c r="E3471" s="229">
        <v>29.0</v>
      </c>
      <c r="F3471" s="230">
        <v>3.0</v>
      </c>
      <c r="G3471" s="232"/>
    </row>
    <row r="3472">
      <c r="A3472" s="2"/>
      <c r="B3472" s="168" t="s">
        <v>576</v>
      </c>
      <c r="C3472" s="168" t="s">
        <v>3729</v>
      </c>
      <c r="D3472" s="229">
        <v>24.5</v>
      </c>
      <c r="E3472" s="229">
        <v>28.0</v>
      </c>
      <c r="F3472" s="230">
        <v>3.0</v>
      </c>
      <c r="G3472" s="232"/>
    </row>
    <row r="3473">
      <c r="A3473" s="2"/>
      <c r="B3473" s="168" t="s">
        <v>280</v>
      </c>
      <c r="C3473" s="168" t="s">
        <v>3730</v>
      </c>
      <c r="D3473" s="229">
        <v>23.5</v>
      </c>
      <c r="E3473" s="229">
        <v>27.0</v>
      </c>
      <c r="F3473" s="230">
        <v>3.0</v>
      </c>
      <c r="G3473" s="232"/>
    </row>
    <row r="3474">
      <c r="A3474" s="2"/>
      <c r="B3474" s="168" t="s">
        <v>217</v>
      </c>
      <c r="C3474" s="168" t="s">
        <v>3731</v>
      </c>
      <c r="D3474" s="229">
        <v>27.5</v>
      </c>
      <c r="E3474" s="229">
        <v>31.0</v>
      </c>
      <c r="F3474" s="230">
        <v>3.0</v>
      </c>
      <c r="G3474" s="232"/>
    </row>
    <row r="3475">
      <c r="A3475" s="2"/>
      <c r="B3475" s="168" t="s">
        <v>215</v>
      </c>
      <c r="C3475" s="168" t="s">
        <v>3732</v>
      </c>
      <c r="D3475" s="229">
        <v>29.5</v>
      </c>
      <c r="E3475" s="229">
        <v>33.0</v>
      </c>
      <c r="F3475" s="230">
        <v>3.0</v>
      </c>
      <c r="G3475" s="232"/>
    </row>
    <row r="3476">
      <c r="A3476" s="2"/>
      <c r="B3476" s="168" t="s">
        <v>217</v>
      </c>
      <c r="C3476" s="168" t="s">
        <v>3733</v>
      </c>
      <c r="D3476" s="229">
        <v>22.5</v>
      </c>
      <c r="E3476" s="229">
        <v>26.0</v>
      </c>
      <c r="F3476" s="230">
        <v>3.0</v>
      </c>
      <c r="G3476" s="232"/>
    </row>
    <row r="3477">
      <c r="A3477" s="2"/>
      <c r="B3477" s="168" t="s">
        <v>241</v>
      </c>
      <c r="C3477" s="168" t="s">
        <v>3734</v>
      </c>
      <c r="D3477" s="229">
        <v>31.5</v>
      </c>
      <c r="E3477" s="229">
        <v>35.0</v>
      </c>
      <c r="F3477" s="230">
        <v>3.0</v>
      </c>
      <c r="G3477" s="232"/>
    </row>
    <row r="3478">
      <c r="A3478" s="2"/>
      <c r="B3478" s="168" t="s">
        <v>269</v>
      </c>
      <c r="C3478" s="168" t="s">
        <v>3735</v>
      </c>
      <c r="D3478" s="229">
        <v>21.5</v>
      </c>
      <c r="E3478" s="229">
        <v>25.0</v>
      </c>
      <c r="F3478" s="230">
        <v>3.0</v>
      </c>
      <c r="G3478" s="232"/>
    </row>
    <row r="3479">
      <c r="A3479" s="2"/>
      <c r="B3479" s="168" t="s">
        <v>255</v>
      </c>
      <c r="C3479" s="168" t="s">
        <v>3736</v>
      </c>
      <c r="D3479" s="229">
        <v>28.5</v>
      </c>
      <c r="E3479" s="229">
        <v>32.0</v>
      </c>
      <c r="F3479" s="230">
        <v>3.0</v>
      </c>
      <c r="G3479" s="232"/>
    </row>
    <row r="3480">
      <c r="A3480" s="2"/>
      <c r="B3480" s="168" t="s">
        <v>217</v>
      </c>
      <c r="C3480" s="168" t="s">
        <v>3737</v>
      </c>
      <c r="D3480" s="229">
        <v>22.5</v>
      </c>
      <c r="E3480" s="229">
        <v>26.0</v>
      </c>
      <c r="F3480" s="230">
        <v>3.0</v>
      </c>
      <c r="G3480" s="232"/>
    </row>
    <row r="3481">
      <c r="A3481" s="2"/>
      <c r="B3481" s="168" t="s">
        <v>318</v>
      </c>
      <c r="C3481" s="168" t="s">
        <v>3738</v>
      </c>
      <c r="D3481" s="229">
        <v>25.5</v>
      </c>
      <c r="E3481" s="229">
        <v>29.0</v>
      </c>
      <c r="F3481" s="230">
        <v>3.0</v>
      </c>
      <c r="G3481" s="232"/>
    </row>
    <row r="3482">
      <c r="A3482" s="2"/>
      <c r="B3482" s="168" t="s">
        <v>217</v>
      </c>
      <c r="C3482" s="168" t="s">
        <v>3739</v>
      </c>
      <c r="D3482" s="229">
        <v>27.5</v>
      </c>
      <c r="E3482" s="229">
        <v>31.0</v>
      </c>
      <c r="F3482" s="230">
        <v>3.0</v>
      </c>
      <c r="G3482" s="232"/>
    </row>
    <row r="3483">
      <c r="A3483" s="2"/>
      <c r="B3483" s="168" t="s">
        <v>275</v>
      </c>
      <c r="C3483" s="168" t="s">
        <v>3740</v>
      </c>
      <c r="D3483" s="229">
        <v>26.5</v>
      </c>
      <c r="E3483" s="229">
        <v>30.0</v>
      </c>
      <c r="F3483" s="230">
        <v>3.0</v>
      </c>
      <c r="G3483" s="232"/>
    </row>
    <row r="3484">
      <c r="A3484" s="2"/>
      <c r="B3484" s="168" t="s">
        <v>245</v>
      </c>
      <c r="C3484" s="168" t="s">
        <v>3741</v>
      </c>
      <c r="D3484" s="229">
        <v>24.5</v>
      </c>
      <c r="E3484" s="229">
        <v>28.0</v>
      </c>
      <c r="F3484" s="230">
        <v>3.0</v>
      </c>
      <c r="G3484" s="232"/>
    </row>
    <row r="3485">
      <c r="A3485" s="2"/>
      <c r="B3485" s="168" t="s">
        <v>296</v>
      </c>
      <c r="C3485" s="168" t="s">
        <v>3742</v>
      </c>
      <c r="D3485" s="229">
        <v>26.5</v>
      </c>
      <c r="E3485" s="229">
        <v>30.0</v>
      </c>
      <c r="F3485" s="230">
        <v>3.0</v>
      </c>
      <c r="G3485" s="232"/>
    </row>
    <row r="3486">
      <c r="A3486" s="2"/>
      <c r="B3486" s="168" t="s">
        <v>288</v>
      </c>
      <c r="C3486" s="168" t="s">
        <v>3743</v>
      </c>
      <c r="D3486" s="229">
        <v>21.5</v>
      </c>
      <c r="E3486" s="229">
        <v>25.0</v>
      </c>
      <c r="F3486" s="230">
        <v>3.0</v>
      </c>
      <c r="G3486" s="232"/>
    </row>
    <row r="3487">
      <c r="A3487" s="2"/>
      <c r="B3487" s="168" t="s">
        <v>217</v>
      </c>
      <c r="C3487" s="168" t="s">
        <v>3744</v>
      </c>
      <c r="D3487" s="229">
        <v>27.5</v>
      </c>
      <c r="E3487" s="229">
        <v>31.0</v>
      </c>
      <c r="F3487" s="230">
        <v>3.0</v>
      </c>
      <c r="G3487" s="232"/>
    </row>
    <row r="3488">
      <c r="A3488" s="2"/>
      <c r="B3488" s="168" t="s">
        <v>217</v>
      </c>
      <c r="C3488" s="168" t="s">
        <v>3745</v>
      </c>
      <c r="D3488" s="229">
        <v>27.5</v>
      </c>
      <c r="E3488" s="229">
        <v>31.0</v>
      </c>
      <c r="F3488" s="230">
        <v>3.0</v>
      </c>
      <c r="G3488" s="232"/>
    </row>
    <row r="3489">
      <c r="A3489" s="2"/>
      <c r="B3489" s="168" t="s">
        <v>217</v>
      </c>
      <c r="C3489" s="168" t="s">
        <v>3746</v>
      </c>
      <c r="D3489" s="229">
        <v>27.5</v>
      </c>
      <c r="E3489" s="229">
        <v>31.0</v>
      </c>
      <c r="F3489" s="230">
        <v>3.0</v>
      </c>
      <c r="G3489" s="232"/>
    </row>
    <row r="3490">
      <c r="A3490" s="2"/>
      <c r="B3490" s="168" t="s">
        <v>288</v>
      </c>
      <c r="C3490" s="168" t="s">
        <v>3747</v>
      </c>
      <c r="D3490" s="229">
        <v>21.5</v>
      </c>
      <c r="E3490" s="229">
        <v>25.0</v>
      </c>
      <c r="F3490" s="230">
        <v>3.0</v>
      </c>
      <c r="G3490" s="232"/>
    </row>
    <row r="3491">
      <c r="A3491" s="2"/>
      <c r="B3491" s="168" t="s">
        <v>241</v>
      </c>
      <c r="C3491" s="168" t="s">
        <v>241</v>
      </c>
      <c r="D3491" s="229">
        <v>32.5</v>
      </c>
      <c r="E3491" s="229">
        <v>36.0</v>
      </c>
      <c r="F3491" s="230">
        <v>3.0</v>
      </c>
      <c r="G3491" s="232"/>
    </row>
    <row r="3492">
      <c r="A3492" s="2"/>
      <c r="B3492" s="168" t="s">
        <v>368</v>
      </c>
      <c r="C3492" s="168" t="s">
        <v>3748</v>
      </c>
      <c r="D3492" s="229">
        <v>32.5</v>
      </c>
      <c r="E3492" s="229">
        <v>36.0</v>
      </c>
      <c r="F3492" s="230">
        <v>3.0</v>
      </c>
      <c r="G3492" s="232"/>
    </row>
    <row r="3493">
      <c r="A3493" s="2"/>
      <c r="B3493" s="168" t="s">
        <v>275</v>
      </c>
      <c r="C3493" s="168" t="s">
        <v>3749</v>
      </c>
      <c r="D3493" s="229">
        <v>26.5</v>
      </c>
      <c r="E3493" s="229">
        <v>30.0</v>
      </c>
      <c r="F3493" s="230">
        <v>3.0</v>
      </c>
      <c r="G3493" s="232"/>
    </row>
    <row r="3494">
      <c r="A3494" s="2"/>
      <c r="B3494" s="168" t="s">
        <v>217</v>
      </c>
      <c r="C3494" s="168" t="s">
        <v>3750</v>
      </c>
      <c r="D3494" s="229">
        <v>27.5</v>
      </c>
      <c r="E3494" s="229">
        <v>31.0</v>
      </c>
      <c r="F3494" s="230">
        <v>3.0</v>
      </c>
      <c r="G3494" s="232"/>
    </row>
    <row r="3495">
      <c r="A3495" s="2"/>
      <c r="B3495" s="168" t="s">
        <v>300</v>
      </c>
      <c r="C3495" s="168" t="s">
        <v>3751</v>
      </c>
      <c r="D3495" s="229">
        <v>28.5</v>
      </c>
      <c r="E3495" s="229">
        <v>32.0</v>
      </c>
      <c r="F3495" s="230">
        <v>3.0</v>
      </c>
      <c r="G3495" s="232"/>
    </row>
    <row r="3496">
      <c r="A3496" s="2"/>
      <c r="B3496" s="168" t="s">
        <v>290</v>
      </c>
      <c r="C3496" s="168" t="s">
        <v>3752</v>
      </c>
      <c r="D3496" s="229">
        <v>29.5</v>
      </c>
      <c r="E3496" s="229">
        <v>33.0</v>
      </c>
      <c r="F3496" s="230">
        <v>3.0</v>
      </c>
      <c r="G3496" s="232"/>
    </row>
    <row r="3497">
      <c r="A3497" s="2"/>
      <c r="B3497" s="168" t="s">
        <v>266</v>
      </c>
      <c r="C3497" s="168" t="s">
        <v>3753</v>
      </c>
      <c r="D3497" s="229">
        <v>33.0</v>
      </c>
      <c r="E3497" s="229">
        <v>33.0</v>
      </c>
      <c r="F3497" s="230">
        <v>3.0</v>
      </c>
      <c r="G3497" s="232"/>
    </row>
    <row r="3498">
      <c r="A3498" s="2"/>
      <c r="B3498" s="168" t="s">
        <v>375</v>
      </c>
      <c r="C3498" s="168" t="s">
        <v>3754</v>
      </c>
      <c r="D3498" s="229">
        <v>26.5</v>
      </c>
      <c r="E3498" s="229">
        <v>30.0</v>
      </c>
      <c r="F3498" s="230">
        <v>3.0</v>
      </c>
      <c r="G3498" s="232"/>
    </row>
    <row r="3499">
      <c r="A3499" s="2"/>
      <c r="B3499" s="168" t="s">
        <v>332</v>
      </c>
      <c r="C3499" s="168" t="s">
        <v>3755</v>
      </c>
      <c r="D3499" s="229">
        <v>28.5</v>
      </c>
      <c r="E3499" s="229">
        <v>32.0</v>
      </c>
      <c r="F3499" s="230">
        <v>3.0</v>
      </c>
      <c r="G3499" s="232"/>
    </row>
    <row r="3500">
      <c r="A3500" s="2"/>
      <c r="B3500" s="168" t="s">
        <v>341</v>
      </c>
      <c r="C3500" s="168" t="s">
        <v>3756</v>
      </c>
      <c r="D3500" s="229">
        <v>29.5</v>
      </c>
      <c r="E3500" s="229">
        <v>29.5</v>
      </c>
      <c r="F3500" s="230">
        <v>3.0</v>
      </c>
      <c r="G3500" s="232"/>
    </row>
    <row r="3501">
      <c r="A3501" s="2"/>
      <c r="B3501" s="168" t="s">
        <v>243</v>
      </c>
      <c r="C3501" s="168" t="s">
        <v>3757</v>
      </c>
      <c r="D3501" s="229">
        <v>29.5</v>
      </c>
      <c r="E3501" s="229">
        <v>33.0</v>
      </c>
      <c r="F3501" s="230">
        <v>3.0</v>
      </c>
      <c r="G3501" s="232"/>
    </row>
    <row r="3502">
      <c r="A3502" s="2"/>
      <c r="B3502" s="168" t="s">
        <v>217</v>
      </c>
      <c r="C3502" s="168" t="s">
        <v>3758</v>
      </c>
      <c r="D3502" s="229">
        <v>27.5</v>
      </c>
      <c r="E3502" s="229">
        <v>31.0</v>
      </c>
      <c r="F3502" s="230">
        <v>3.0</v>
      </c>
      <c r="G3502" s="232"/>
    </row>
    <row r="3503">
      <c r="A3503" s="2"/>
      <c r="B3503" s="168" t="s">
        <v>223</v>
      </c>
      <c r="C3503" s="168" t="s">
        <v>3759</v>
      </c>
      <c r="D3503" s="229">
        <v>26.5</v>
      </c>
      <c r="E3503" s="229">
        <v>30.0</v>
      </c>
      <c r="F3503" s="230">
        <v>3.0</v>
      </c>
      <c r="G3503" s="232"/>
    </row>
    <row r="3504">
      <c r="A3504" s="2"/>
      <c r="B3504" s="168" t="s">
        <v>288</v>
      </c>
      <c r="C3504" s="168" t="s">
        <v>3760</v>
      </c>
      <c r="D3504" s="229">
        <v>21.5</v>
      </c>
      <c r="E3504" s="229">
        <v>25.0</v>
      </c>
      <c r="F3504" s="230">
        <v>3.0</v>
      </c>
      <c r="G3504" s="232"/>
    </row>
    <row r="3505">
      <c r="A3505" s="2"/>
      <c r="B3505" s="168" t="s">
        <v>294</v>
      </c>
      <c r="C3505" s="168" t="s">
        <v>3761</v>
      </c>
      <c r="D3505" s="229">
        <v>19.5</v>
      </c>
      <c r="E3505" s="229">
        <v>19.5</v>
      </c>
      <c r="F3505" s="230">
        <v>3.0</v>
      </c>
      <c r="G3505" s="232"/>
    </row>
    <row r="3506">
      <c r="A3506" s="2"/>
      <c r="B3506" s="168" t="s">
        <v>223</v>
      </c>
      <c r="C3506" s="168" t="s">
        <v>3762</v>
      </c>
      <c r="D3506" s="229">
        <v>26.5</v>
      </c>
      <c r="E3506" s="229">
        <v>30.0</v>
      </c>
      <c r="F3506" s="230">
        <v>3.0</v>
      </c>
      <c r="G3506" s="232"/>
    </row>
    <row r="3507">
      <c r="A3507" s="2"/>
      <c r="B3507" s="168" t="s">
        <v>290</v>
      </c>
      <c r="C3507" s="168" t="s">
        <v>3763</v>
      </c>
      <c r="D3507" s="229">
        <v>29.5</v>
      </c>
      <c r="E3507" s="229">
        <v>33.0</v>
      </c>
      <c r="F3507" s="230">
        <v>3.0</v>
      </c>
      <c r="G3507" s="232"/>
    </row>
    <row r="3508">
      <c r="A3508" s="2"/>
      <c r="B3508" s="168" t="s">
        <v>230</v>
      </c>
      <c r="C3508" s="168" t="s">
        <v>3764</v>
      </c>
      <c r="D3508" s="229">
        <v>16.5</v>
      </c>
      <c r="E3508" s="229">
        <v>20.0</v>
      </c>
      <c r="F3508" s="230">
        <v>3.0</v>
      </c>
      <c r="G3508" s="232"/>
    </row>
    <row r="3509">
      <c r="A3509" s="2"/>
      <c r="B3509" s="168" t="s">
        <v>230</v>
      </c>
      <c r="C3509" s="168" t="s">
        <v>3765</v>
      </c>
      <c r="D3509" s="229">
        <v>16.5</v>
      </c>
      <c r="E3509" s="229">
        <v>20.0</v>
      </c>
      <c r="F3509" s="230">
        <v>3.0</v>
      </c>
      <c r="G3509" s="232"/>
    </row>
    <row r="3510">
      <c r="A3510" s="2"/>
      <c r="B3510" s="168" t="s">
        <v>386</v>
      </c>
      <c r="C3510" s="168" t="s">
        <v>3766</v>
      </c>
      <c r="D3510" s="229">
        <v>34.5</v>
      </c>
      <c r="E3510" s="229">
        <v>38.0</v>
      </c>
      <c r="F3510" s="230">
        <v>3.0</v>
      </c>
      <c r="G3510" s="232"/>
    </row>
    <row r="3511">
      <c r="A3511" s="2"/>
      <c r="B3511" s="168" t="s">
        <v>223</v>
      </c>
      <c r="C3511" s="168" t="s">
        <v>3767</v>
      </c>
      <c r="D3511" s="229">
        <v>26.5</v>
      </c>
      <c r="E3511" s="229">
        <v>30.0</v>
      </c>
      <c r="F3511" s="230">
        <v>3.0</v>
      </c>
      <c r="G3511" s="232"/>
    </row>
    <row r="3512">
      <c r="A3512" s="2"/>
      <c r="B3512" s="168" t="s">
        <v>269</v>
      </c>
      <c r="C3512" s="168" t="s">
        <v>3768</v>
      </c>
      <c r="D3512" s="229">
        <v>26.5</v>
      </c>
      <c r="E3512" s="229">
        <v>30.0</v>
      </c>
      <c r="F3512" s="230">
        <v>3.0</v>
      </c>
      <c r="G3512" s="232"/>
    </row>
    <row r="3513">
      <c r="A3513" s="2"/>
      <c r="B3513" s="168" t="s">
        <v>300</v>
      </c>
      <c r="C3513" s="168" t="s">
        <v>3769</v>
      </c>
      <c r="D3513" s="229">
        <v>28.5</v>
      </c>
      <c r="E3513" s="229">
        <v>32.0</v>
      </c>
      <c r="F3513" s="230">
        <v>3.0</v>
      </c>
      <c r="G3513" s="232"/>
    </row>
    <row r="3514">
      <c r="A3514" s="2"/>
      <c r="B3514" s="168" t="s">
        <v>245</v>
      </c>
      <c r="C3514" s="168" t="s">
        <v>3770</v>
      </c>
      <c r="D3514" s="229">
        <v>24.5</v>
      </c>
      <c r="E3514" s="229">
        <v>28.0</v>
      </c>
      <c r="F3514" s="230">
        <v>3.0</v>
      </c>
      <c r="G3514" s="232"/>
    </row>
    <row r="3515">
      <c r="A3515" s="2"/>
      <c r="B3515" s="168" t="s">
        <v>269</v>
      </c>
      <c r="C3515" s="168" t="s">
        <v>3771</v>
      </c>
      <c r="D3515" s="229">
        <v>26.5</v>
      </c>
      <c r="E3515" s="229">
        <v>30.0</v>
      </c>
      <c r="F3515" s="230">
        <v>3.0</v>
      </c>
      <c r="G3515" s="232"/>
    </row>
    <row r="3516">
      <c r="A3516" s="2"/>
      <c r="B3516" s="168" t="s">
        <v>375</v>
      </c>
      <c r="C3516" s="168" t="s">
        <v>3772</v>
      </c>
      <c r="D3516" s="229">
        <v>26.5</v>
      </c>
      <c r="E3516" s="229">
        <v>30.0</v>
      </c>
      <c r="F3516" s="230">
        <v>3.0</v>
      </c>
      <c r="G3516" s="232"/>
    </row>
    <row r="3517">
      <c r="A3517" s="2"/>
      <c r="B3517" s="168" t="s">
        <v>217</v>
      </c>
      <c r="C3517" s="168" t="s">
        <v>3773</v>
      </c>
      <c r="D3517" s="229">
        <v>27.5</v>
      </c>
      <c r="E3517" s="229">
        <v>31.0</v>
      </c>
      <c r="F3517" s="230">
        <v>3.0</v>
      </c>
      <c r="G3517" s="232"/>
    </row>
    <row r="3518">
      <c r="A3518" s="2"/>
      <c r="B3518" s="168" t="s">
        <v>296</v>
      </c>
      <c r="C3518" s="168" t="s">
        <v>3774</v>
      </c>
      <c r="D3518" s="229">
        <v>26.5</v>
      </c>
      <c r="E3518" s="229">
        <v>30.0</v>
      </c>
      <c r="F3518" s="230">
        <v>3.0</v>
      </c>
      <c r="G3518" s="232"/>
    </row>
    <row r="3519">
      <c r="A3519" s="2"/>
      <c r="B3519" s="168" t="s">
        <v>368</v>
      </c>
      <c r="C3519" s="168" t="s">
        <v>3775</v>
      </c>
      <c r="D3519" s="229">
        <v>32.5</v>
      </c>
      <c r="E3519" s="229">
        <v>36.0</v>
      </c>
      <c r="F3519" s="230">
        <v>3.0</v>
      </c>
      <c r="G3519" s="232"/>
    </row>
    <row r="3520">
      <c r="A3520" s="2"/>
      <c r="B3520" s="168" t="s">
        <v>243</v>
      </c>
      <c r="C3520" s="168" t="s">
        <v>3776</v>
      </c>
      <c r="D3520" s="229">
        <v>29.5</v>
      </c>
      <c r="E3520" s="229">
        <v>33.0</v>
      </c>
      <c r="F3520" s="230">
        <v>3.0</v>
      </c>
      <c r="G3520" s="232"/>
    </row>
    <row r="3521">
      <c r="A3521" s="2"/>
      <c r="B3521" s="168" t="s">
        <v>243</v>
      </c>
      <c r="C3521" s="168" t="s">
        <v>3777</v>
      </c>
      <c r="D3521" s="229">
        <v>29.5</v>
      </c>
      <c r="E3521" s="229">
        <v>33.0</v>
      </c>
      <c r="F3521" s="230">
        <v>3.0</v>
      </c>
      <c r="G3521" s="232"/>
    </row>
    <row r="3522">
      <c r="A3522" s="2"/>
      <c r="B3522" s="168" t="s">
        <v>273</v>
      </c>
      <c r="C3522" s="168" t="s">
        <v>3778</v>
      </c>
      <c r="D3522" s="229">
        <v>29.5</v>
      </c>
      <c r="E3522" s="229">
        <v>33.0</v>
      </c>
      <c r="F3522" s="230">
        <v>3.0</v>
      </c>
      <c r="G3522" s="232"/>
    </row>
    <row r="3523">
      <c r="A3523" s="2"/>
      <c r="B3523" s="168" t="s">
        <v>574</v>
      </c>
      <c r="C3523" s="168" t="s">
        <v>574</v>
      </c>
      <c r="D3523" s="229">
        <v>34.5</v>
      </c>
      <c r="E3523" s="229">
        <v>38.0</v>
      </c>
      <c r="F3523" s="230">
        <v>3.0</v>
      </c>
      <c r="G3523" s="232"/>
    </row>
    <row r="3524">
      <c r="A3524" s="2"/>
      <c r="B3524" s="168" t="s">
        <v>296</v>
      </c>
      <c r="C3524" s="168" t="s">
        <v>3779</v>
      </c>
      <c r="D3524" s="229">
        <v>26.5</v>
      </c>
      <c r="E3524" s="229">
        <v>30.0</v>
      </c>
      <c r="F3524" s="230">
        <v>3.0</v>
      </c>
      <c r="G3524" s="232"/>
    </row>
    <row r="3525">
      <c r="A3525" s="2"/>
      <c r="B3525" s="168" t="s">
        <v>260</v>
      </c>
      <c r="C3525" s="168" t="s">
        <v>3780</v>
      </c>
      <c r="D3525" s="229">
        <v>28.5</v>
      </c>
      <c r="E3525" s="229">
        <v>32.0</v>
      </c>
      <c r="F3525" s="230">
        <v>3.0</v>
      </c>
      <c r="G3525" s="232"/>
    </row>
    <row r="3526">
      <c r="A3526" s="2"/>
      <c r="B3526" s="168" t="s">
        <v>406</v>
      </c>
      <c r="C3526" s="168" t="s">
        <v>3781</v>
      </c>
      <c r="D3526" s="229">
        <v>27.5</v>
      </c>
      <c r="E3526" s="229">
        <v>31.0</v>
      </c>
      <c r="F3526" s="230">
        <v>3.0</v>
      </c>
      <c r="G3526" s="232"/>
    </row>
    <row r="3527">
      <c r="A3527" s="2"/>
      <c r="B3527" s="168" t="s">
        <v>241</v>
      </c>
      <c r="C3527" s="168" t="s">
        <v>3782</v>
      </c>
      <c r="D3527" s="229">
        <v>32.5</v>
      </c>
      <c r="E3527" s="229">
        <v>36.0</v>
      </c>
      <c r="F3527" s="230">
        <v>3.0</v>
      </c>
      <c r="G3527" s="232"/>
    </row>
    <row r="3528">
      <c r="A3528" s="2"/>
      <c r="B3528" s="168" t="s">
        <v>332</v>
      </c>
      <c r="C3528" s="168" t="s">
        <v>3783</v>
      </c>
      <c r="D3528" s="229">
        <v>28.5</v>
      </c>
      <c r="E3528" s="229">
        <v>32.0</v>
      </c>
      <c r="F3528" s="230">
        <v>3.0</v>
      </c>
      <c r="G3528" s="232"/>
    </row>
    <row r="3529">
      <c r="A3529" s="2"/>
      <c r="B3529" s="168" t="s">
        <v>245</v>
      </c>
      <c r="C3529" s="168" t="s">
        <v>3784</v>
      </c>
      <c r="D3529" s="229">
        <v>24.5</v>
      </c>
      <c r="E3529" s="229">
        <v>28.0</v>
      </c>
      <c r="F3529" s="230">
        <v>3.0</v>
      </c>
      <c r="G3529" s="232"/>
    </row>
    <row r="3530">
      <c r="A3530" s="2"/>
      <c r="B3530" s="168" t="s">
        <v>255</v>
      </c>
      <c r="C3530" s="168" t="s">
        <v>3785</v>
      </c>
      <c r="D3530" s="229">
        <v>30.0</v>
      </c>
      <c r="E3530" s="229">
        <v>33.5</v>
      </c>
      <c r="F3530" s="230">
        <v>3.0</v>
      </c>
      <c r="G3530" s="232"/>
    </row>
    <row r="3531">
      <c r="A3531" s="2"/>
      <c r="B3531" s="168" t="s">
        <v>243</v>
      </c>
      <c r="C3531" s="168" t="s">
        <v>243</v>
      </c>
      <c r="D3531" s="229">
        <v>29.5</v>
      </c>
      <c r="E3531" s="229">
        <v>33.0</v>
      </c>
      <c r="F3531" s="230">
        <v>3.0</v>
      </c>
      <c r="G3531" s="232"/>
    </row>
    <row r="3532">
      <c r="A3532" s="2"/>
      <c r="B3532" s="168" t="s">
        <v>232</v>
      </c>
      <c r="C3532" s="168" t="s">
        <v>3786</v>
      </c>
      <c r="D3532" s="229">
        <v>31.5</v>
      </c>
      <c r="E3532" s="229">
        <v>35.0</v>
      </c>
      <c r="F3532" s="230">
        <v>3.0</v>
      </c>
      <c r="G3532" s="232"/>
    </row>
    <row r="3533">
      <c r="A3533" s="2"/>
      <c r="B3533" s="168" t="s">
        <v>430</v>
      </c>
      <c r="C3533" s="168" t="s">
        <v>3787</v>
      </c>
      <c r="D3533" s="229">
        <v>34.5</v>
      </c>
      <c r="E3533" s="229">
        <v>38.0</v>
      </c>
      <c r="F3533" s="230">
        <v>3.0</v>
      </c>
      <c r="G3533" s="232"/>
    </row>
    <row r="3534">
      <c r="A3534" s="2"/>
      <c r="B3534" s="168" t="s">
        <v>269</v>
      </c>
      <c r="C3534" s="168" t="s">
        <v>3788</v>
      </c>
      <c r="D3534" s="229">
        <v>26.5</v>
      </c>
      <c r="E3534" s="229">
        <v>30.0</v>
      </c>
      <c r="F3534" s="230">
        <v>3.0</v>
      </c>
      <c r="G3534" s="232"/>
    </row>
    <row r="3535">
      <c r="A3535" s="2"/>
      <c r="B3535" s="168" t="s">
        <v>290</v>
      </c>
      <c r="C3535" s="168" t="s">
        <v>3789</v>
      </c>
      <c r="D3535" s="229">
        <v>29.5</v>
      </c>
      <c r="E3535" s="229">
        <v>33.0</v>
      </c>
      <c r="F3535" s="230">
        <v>3.0</v>
      </c>
      <c r="G3535" s="232"/>
    </row>
    <row r="3536">
      <c r="A3536" s="2"/>
      <c r="B3536" s="168" t="s">
        <v>269</v>
      </c>
      <c r="C3536" s="168" t="s">
        <v>3790</v>
      </c>
      <c r="D3536" s="229">
        <v>26.5</v>
      </c>
      <c r="E3536" s="229">
        <v>30.0</v>
      </c>
      <c r="F3536" s="230">
        <v>3.0</v>
      </c>
      <c r="G3536" s="232"/>
    </row>
    <row r="3537">
      <c r="A3537" s="2"/>
      <c r="B3537" s="168" t="s">
        <v>217</v>
      </c>
      <c r="C3537" s="168" t="s">
        <v>3791</v>
      </c>
      <c r="D3537" s="229">
        <v>27.5</v>
      </c>
      <c r="E3537" s="229">
        <v>31.0</v>
      </c>
      <c r="F3537" s="230">
        <v>3.0</v>
      </c>
      <c r="G3537" s="232"/>
    </row>
    <row r="3538">
      <c r="A3538" s="2"/>
      <c r="B3538" s="168" t="s">
        <v>2259</v>
      </c>
      <c r="C3538" s="168" t="s">
        <v>3792</v>
      </c>
      <c r="D3538" s="229">
        <v>24.5</v>
      </c>
      <c r="E3538" s="229">
        <v>28.0</v>
      </c>
      <c r="F3538" s="230">
        <v>3.0</v>
      </c>
      <c r="G3538" s="232"/>
    </row>
    <row r="3539">
      <c r="A3539" s="2"/>
      <c r="B3539" s="168" t="s">
        <v>296</v>
      </c>
      <c r="C3539" s="168" t="s">
        <v>3793</v>
      </c>
      <c r="D3539" s="229">
        <v>26.5</v>
      </c>
      <c r="E3539" s="229">
        <v>30.0</v>
      </c>
      <c r="F3539" s="230">
        <v>3.0</v>
      </c>
      <c r="G3539" s="232"/>
    </row>
    <row r="3540">
      <c r="A3540" s="2"/>
      <c r="B3540" s="168" t="s">
        <v>269</v>
      </c>
      <c r="C3540" s="168" t="s">
        <v>3794</v>
      </c>
      <c r="D3540" s="229">
        <v>26.5</v>
      </c>
      <c r="E3540" s="229">
        <v>30.0</v>
      </c>
      <c r="F3540" s="230">
        <v>3.0</v>
      </c>
      <c r="G3540" s="232"/>
    </row>
    <row r="3541">
      <c r="A3541" s="2"/>
      <c r="B3541" s="168" t="s">
        <v>288</v>
      </c>
      <c r="C3541" s="168" t="s">
        <v>3795</v>
      </c>
      <c r="D3541" s="229">
        <v>16.5</v>
      </c>
      <c r="E3541" s="229">
        <v>20.0</v>
      </c>
      <c r="F3541" s="230">
        <v>3.0</v>
      </c>
      <c r="G3541" s="232"/>
    </row>
    <row r="3542">
      <c r="A3542" s="2"/>
      <c r="B3542" s="168" t="s">
        <v>449</v>
      </c>
      <c r="C3542" s="168" t="s">
        <v>3796</v>
      </c>
      <c r="D3542" s="229">
        <v>28.5</v>
      </c>
      <c r="E3542" s="229">
        <v>32.0</v>
      </c>
      <c r="F3542" s="230">
        <v>3.0</v>
      </c>
      <c r="G3542" s="232"/>
    </row>
    <row r="3543">
      <c r="A3543" s="2"/>
      <c r="B3543" s="168" t="s">
        <v>269</v>
      </c>
      <c r="C3543" s="168" t="s">
        <v>3797</v>
      </c>
      <c r="D3543" s="229">
        <v>26.5</v>
      </c>
      <c r="E3543" s="229">
        <v>30.0</v>
      </c>
      <c r="F3543" s="230">
        <v>3.0</v>
      </c>
      <c r="G3543" s="232"/>
    </row>
    <row r="3544">
      <c r="A3544" s="2"/>
      <c r="B3544" s="168" t="s">
        <v>230</v>
      </c>
      <c r="C3544" s="168" t="s">
        <v>3798</v>
      </c>
      <c r="D3544" s="229">
        <v>21.5</v>
      </c>
      <c r="E3544" s="229">
        <v>25.0</v>
      </c>
      <c r="F3544" s="230">
        <v>3.0</v>
      </c>
      <c r="G3544" s="232"/>
    </row>
    <row r="3545">
      <c r="A3545" s="2"/>
      <c r="B3545" s="168" t="s">
        <v>275</v>
      </c>
      <c r="C3545" s="168" t="s">
        <v>3799</v>
      </c>
      <c r="D3545" s="229">
        <v>26.5</v>
      </c>
      <c r="E3545" s="229">
        <v>30.0</v>
      </c>
      <c r="F3545" s="230">
        <v>3.0</v>
      </c>
      <c r="G3545" s="232"/>
    </row>
    <row r="3546">
      <c r="A3546" s="2"/>
      <c r="B3546" s="168" t="s">
        <v>221</v>
      </c>
      <c r="C3546" s="168" t="s">
        <v>3800</v>
      </c>
      <c r="D3546" s="229">
        <v>27.5</v>
      </c>
      <c r="E3546" s="229">
        <v>31.0</v>
      </c>
      <c r="F3546" s="230">
        <v>3.0</v>
      </c>
      <c r="G3546" s="232"/>
    </row>
    <row r="3547">
      <c r="A3547" s="2"/>
      <c r="B3547" s="168" t="s">
        <v>273</v>
      </c>
      <c r="C3547" s="168" t="s">
        <v>273</v>
      </c>
      <c r="D3547" s="229">
        <v>29.5</v>
      </c>
      <c r="E3547" s="229">
        <v>33.0</v>
      </c>
      <c r="F3547" s="230">
        <v>3.0</v>
      </c>
      <c r="G3547" s="232"/>
    </row>
    <row r="3548">
      <c r="A3548" s="2"/>
      <c r="B3548" s="168" t="s">
        <v>280</v>
      </c>
      <c r="C3548" s="168" t="s">
        <v>3801</v>
      </c>
      <c r="D3548" s="229">
        <v>34.5</v>
      </c>
      <c r="E3548" s="229">
        <v>38.0</v>
      </c>
      <c r="F3548" s="230">
        <v>3.0</v>
      </c>
      <c r="G3548" s="232"/>
    </row>
    <row r="3549">
      <c r="A3549" s="2"/>
      <c r="B3549" s="168" t="s">
        <v>413</v>
      </c>
      <c r="C3549" s="168" t="s">
        <v>3802</v>
      </c>
      <c r="D3549" s="229">
        <v>29.5</v>
      </c>
      <c r="E3549" s="229">
        <v>33.0</v>
      </c>
      <c r="F3549" s="230">
        <v>3.0</v>
      </c>
      <c r="G3549" s="232"/>
    </row>
    <row r="3550">
      <c r="A3550" s="2"/>
      <c r="B3550" s="168" t="s">
        <v>288</v>
      </c>
      <c r="C3550" s="168" t="s">
        <v>3803</v>
      </c>
      <c r="D3550" s="229">
        <v>21.5</v>
      </c>
      <c r="E3550" s="229">
        <v>25.0</v>
      </c>
      <c r="F3550" s="230">
        <v>3.0</v>
      </c>
      <c r="G3550" s="232"/>
    </row>
    <row r="3551">
      <c r="A3551" s="2"/>
      <c r="B3551" s="168" t="s">
        <v>217</v>
      </c>
      <c r="C3551" s="168" t="s">
        <v>3804</v>
      </c>
      <c r="D3551" s="229">
        <v>27.5</v>
      </c>
      <c r="E3551" s="229">
        <v>31.0</v>
      </c>
      <c r="F3551" s="230">
        <v>3.0</v>
      </c>
      <c r="G3551" s="232"/>
    </row>
    <row r="3552">
      <c r="A3552" s="2"/>
      <c r="B3552" s="168" t="s">
        <v>269</v>
      </c>
      <c r="C3552" s="168" t="s">
        <v>3805</v>
      </c>
      <c r="D3552" s="229">
        <v>26.0</v>
      </c>
      <c r="E3552" s="229">
        <v>29.5</v>
      </c>
      <c r="F3552" s="230">
        <v>3.0</v>
      </c>
      <c r="G3552" s="232"/>
    </row>
    <row r="3553">
      <c r="A3553" s="2"/>
      <c r="B3553" s="168" t="s">
        <v>406</v>
      </c>
      <c r="C3553" s="168" t="s">
        <v>3806</v>
      </c>
      <c r="D3553" s="229">
        <v>27.5</v>
      </c>
      <c r="E3553" s="229">
        <v>31.0</v>
      </c>
      <c r="F3553" s="230">
        <v>3.0</v>
      </c>
      <c r="G3553" s="232"/>
    </row>
    <row r="3554">
      <c r="A3554" s="2"/>
      <c r="B3554" s="168" t="s">
        <v>217</v>
      </c>
      <c r="C3554" s="168" t="s">
        <v>3807</v>
      </c>
      <c r="D3554" s="229">
        <v>27.5</v>
      </c>
      <c r="E3554" s="229">
        <v>31.0</v>
      </c>
      <c r="F3554" s="230">
        <v>3.0</v>
      </c>
      <c r="G3554" s="232"/>
    </row>
    <row r="3555">
      <c r="A3555" s="2"/>
      <c r="B3555" s="168" t="s">
        <v>269</v>
      </c>
      <c r="C3555" s="168" t="s">
        <v>3808</v>
      </c>
      <c r="D3555" s="229">
        <v>26.5</v>
      </c>
      <c r="E3555" s="229">
        <v>30.0</v>
      </c>
      <c r="F3555" s="230">
        <v>3.0</v>
      </c>
      <c r="G3555" s="232"/>
    </row>
    <row r="3556">
      <c r="A3556" s="2"/>
      <c r="B3556" s="168" t="s">
        <v>280</v>
      </c>
      <c r="C3556" s="168" t="s">
        <v>3809</v>
      </c>
      <c r="D3556" s="229">
        <v>34.5</v>
      </c>
      <c r="E3556" s="229">
        <v>38.0</v>
      </c>
      <c r="F3556" s="230">
        <v>3.0</v>
      </c>
      <c r="G3556" s="232"/>
    </row>
    <row r="3557">
      <c r="A3557" s="2"/>
      <c r="B3557" s="168" t="s">
        <v>234</v>
      </c>
      <c r="C3557" s="168" t="s">
        <v>3810</v>
      </c>
      <c r="D3557" s="229">
        <v>29.5</v>
      </c>
      <c r="E3557" s="229">
        <v>33.0</v>
      </c>
      <c r="F3557" s="230">
        <v>3.0</v>
      </c>
      <c r="G3557" s="232"/>
    </row>
    <row r="3558">
      <c r="A3558" s="2"/>
      <c r="B3558" s="168" t="s">
        <v>215</v>
      </c>
      <c r="C3558" s="168" t="s">
        <v>3811</v>
      </c>
      <c r="D3558" s="229">
        <v>27.5</v>
      </c>
      <c r="E3558" s="229">
        <v>31.0</v>
      </c>
      <c r="F3558" s="230">
        <v>3.0</v>
      </c>
      <c r="G3558" s="232"/>
    </row>
    <row r="3559">
      <c r="A3559" s="2"/>
      <c r="B3559" s="168" t="s">
        <v>368</v>
      </c>
      <c r="C3559" s="168" t="s">
        <v>3812</v>
      </c>
      <c r="D3559" s="229">
        <v>32.5</v>
      </c>
      <c r="E3559" s="229">
        <v>36.0</v>
      </c>
      <c r="F3559" s="230">
        <v>3.0</v>
      </c>
      <c r="G3559" s="232"/>
    </row>
    <row r="3560">
      <c r="A3560" s="2"/>
      <c r="B3560" s="168" t="s">
        <v>217</v>
      </c>
      <c r="C3560" s="168" t="s">
        <v>3813</v>
      </c>
      <c r="D3560" s="229">
        <v>22.5</v>
      </c>
      <c r="E3560" s="229">
        <v>26.0</v>
      </c>
      <c r="F3560" s="230">
        <v>3.0</v>
      </c>
      <c r="G3560" s="232"/>
    </row>
    <row r="3561">
      <c r="A3561" s="2"/>
      <c r="B3561" s="168" t="s">
        <v>217</v>
      </c>
      <c r="C3561" s="168" t="s">
        <v>3814</v>
      </c>
      <c r="D3561" s="229">
        <v>27.5</v>
      </c>
      <c r="E3561" s="229">
        <v>31.0</v>
      </c>
      <c r="F3561" s="230">
        <v>3.0</v>
      </c>
      <c r="G3561" s="232"/>
    </row>
    <row r="3562">
      <c r="A3562" s="2"/>
      <c r="B3562" s="168" t="s">
        <v>386</v>
      </c>
      <c r="C3562" s="168" t="s">
        <v>3815</v>
      </c>
      <c r="D3562" s="229">
        <v>34.5</v>
      </c>
      <c r="E3562" s="229">
        <v>38.0</v>
      </c>
      <c r="F3562" s="230">
        <v>3.0</v>
      </c>
      <c r="G3562" s="232"/>
    </row>
    <row r="3563">
      <c r="A3563" s="2"/>
      <c r="B3563" s="168" t="s">
        <v>260</v>
      </c>
      <c r="C3563" s="168" t="s">
        <v>3816</v>
      </c>
      <c r="D3563" s="229">
        <v>28.5</v>
      </c>
      <c r="E3563" s="229">
        <v>32.0</v>
      </c>
      <c r="F3563" s="230">
        <v>3.0</v>
      </c>
      <c r="G3563" s="232"/>
    </row>
    <row r="3564">
      <c r="A3564" s="2"/>
      <c r="B3564" s="168" t="s">
        <v>241</v>
      </c>
      <c r="C3564" s="168" t="s">
        <v>3817</v>
      </c>
      <c r="D3564" s="229">
        <v>32.5</v>
      </c>
      <c r="E3564" s="229">
        <v>36.0</v>
      </c>
      <c r="F3564" s="230">
        <v>3.0</v>
      </c>
      <c r="G3564" s="232"/>
    </row>
    <row r="3565">
      <c r="A3565" s="2"/>
      <c r="B3565" s="168" t="s">
        <v>230</v>
      </c>
      <c r="C3565" s="168" t="s">
        <v>3818</v>
      </c>
      <c r="D3565" s="229">
        <v>21.5</v>
      </c>
      <c r="E3565" s="229">
        <v>25.0</v>
      </c>
      <c r="F3565" s="230">
        <v>3.0</v>
      </c>
      <c r="G3565" s="232"/>
    </row>
    <row r="3566">
      <c r="A3566" s="2"/>
      <c r="B3566" s="168" t="s">
        <v>341</v>
      </c>
      <c r="C3566" s="168" t="s">
        <v>3819</v>
      </c>
      <c r="D3566" s="229">
        <v>29.5</v>
      </c>
      <c r="E3566" s="229">
        <v>29.5</v>
      </c>
      <c r="F3566" s="230">
        <v>3.0</v>
      </c>
      <c r="G3566" s="232"/>
    </row>
    <row r="3567">
      <c r="A3567" s="2"/>
      <c r="B3567" s="168" t="s">
        <v>288</v>
      </c>
      <c r="C3567" s="168" t="s">
        <v>3820</v>
      </c>
      <c r="D3567" s="229">
        <v>21.5</v>
      </c>
      <c r="E3567" s="229">
        <v>25.0</v>
      </c>
      <c r="F3567" s="230">
        <v>3.0</v>
      </c>
      <c r="G3567" s="232"/>
    </row>
    <row r="3568">
      <c r="A3568" s="2"/>
      <c r="B3568" s="168" t="s">
        <v>294</v>
      </c>
      <c r="C3568" s="168" t="s">
        <v>3821</v>
      </c>
      <c r="D3568" s="229">
        <v>19.5</v>
      </c>
      <c r="E3568" s="229">
        <v>19.5</v>
      </c>
      <c r="F3568" s="230">
        <v>3.0</v>
      </c>
      <c r="G3568" s="232"/>
    </row>
    <row r="3569">
      <c r="A3569" s="2"/>
      <c r="B3569" s="168" t="s">
        <v>257</v>
      </c>
      <c r="C3569" s="168" t="s">
        <v>3822</v>
      </c>
      <c r="D3569" s="229">
        <v>28.5</v>
      </c>
      <c r="E3569" s="229">
        <v>32.0</v>
      </c>
      <c r="F3569" s="230">
        <v>3.0</v>
      </c>
      <c r="G3569" s="232"/>
    </row>
    <row r="3570">
      <c r="A3570" s="2"/>
      <c r="B3570" s="168" t="s">
        <v>234</v>
      </c>
      <c r="C3570" s="168" t="s">
        <v>3823</v>
      </c>
      <c r="D3570" s="229">
        <v>24.5</v>
      </c>
      <c r="E3570" s="229">
        <v>28.0</v>
      </c>
      <c r="F3570" s="230">
        <v>3.0</v>
      </c>
      <c r="G3570" s="232"/>
    </row>
    <row r="3571">
      <c r="A3571" s="2"/>
      <c r="B3571" s="168" t="s">
        <v>217</v>
      </c>
      <c r="C3571" s="168" t="s">
        <v>3824</v>
      </c>
      <c r="D3571" s="229">
        <v>27.5</v>
      </c>
      <c r="E3571" s="229">
        <v>31.0</v>
      </c>
      <c r="F3571" s="230">
        <v>3.0</v>
      </c>
      <c r="G3571" s="232"/>
    </row>
    <row r="3572">
      <c r="A3572" s="2"/>
      <c r="B3572" s="168" t="s">
        <v>269</v>
      </c>
      <c r="C3572" s="168" t="s">
        <v>3825</v>
      </c>
      <c r="D3572" s="229">
        <v>26.5</v>
      </c>
      <c r="E3572" s="229">
        <v>30.0</v>
      </c>
      <c r="F3572" s="230">
        <v>3.0</v>
      </c>
      <c r="G3572" s="232"/>
    </row>
    <row r="3573">
      <c r="A3573" s="2"/>
      <c r="B3573" s="168" t="s">
        <v>255</v>
      </c>
      <c r="C3573" s="168" t="s">
        <v>3826</v>
      </c>
      <c r="D3573" s="229">
        <v>31.0</v>
      </c>
      <c r="E3573" s="229">
        <v>34.5</v>
      </c>
      <c r="F3573" s="230">
        <v>3.0</v>
      </c>
      <c r="G3573" s="232"/>
    </row>
    <row r="3574">
      <c r="A3574" s="2"/>
      <c r="B3574" s="168" t="s">
        <v>381</v>
      </c>
      <c r="C3574" s="168" t="s">
        <v>3827</v>
      </c>
      <c r="D3574" s="229">
        <v>28.5</v>
      </c>
      <c r="E3574" s="229">
        <v>32.0</v>
      </c>
      <c r="F3574" s="230">
        <v>3.0</v>
      </c>
      <c r="G3574" s="232"/>
    </row>
    <row r="3575">
      <c r="A3575" s="2"/>
      <c r="B3575" s="168" t="s">
        <v>288</v>
      </c>
      <c r="C3575" s="168" t="s">
        <v>3828</v>
      </c>
      <c r="D3575" s="229">
        <v>21.5</v>
      </c>
      <c r="E3575" s="229">
        <v>25.0</v>
      </c>
      <c r="F3575" s="230">
        <v>3.0</v>
      </c>
      <c r="G3575" s="232"/>
    </row>
    <row r="3576">
      <c r="A3576" s="2"/>
      <c r="B3576" s="168" t="s">
        <v>280</v>
      </c>
      <c r="C3576" s="168" t="s">
        <v>3829</v>
      </c>
      <c r="D3576" s="229">
        <v>34.5</v>
      </c>
      <c r="E3576" s="229">
        <v>38.0</v>
      </c>
      <c r="F3576" s="230">
        <v>3.0</v>
      </c>
      <c r="G3576" s="232"/>
    </row>
    <row r="3577">
      <c r="A3577" s="2"/>
      <c r="B3577" s="168" t="s">
        <v>1392</v>
      </c>
      <c r="C3577" s="168" t="s">
        <v>3830</v>
      </c>
      <c r="D3577" s="229">
        <v>26.5</v>
      </c>
      <c r="E3577" s="229">
        <v>30.0</v>
      </c>
      <c r="F3577" s="230">
        <v>3.0</v>
      </c>
      <c r="G3577" s="232"/>
    </row>
    <row r="3578">
      <c r="A3578" s="2"/>
      <c r="B3578" s="168" t="s">
        <v>269</v>
      </c>
      <c r="C3578" s="168" t="s">
        <v>3831</v>
      </c>
      <c r="D3578" s="229">
        <v>26.5</v>
      </c>
      <c r="E3578" s="229">
        <v>30.0</v>
      </c>
      <c r="F3578" s="230">
        <v>3.0</v>
      </c>
      <c r="G3578" s="232"/>
    </row>
    <row r="3579">
      <c r="A3579" s="2"/>
      <c r="B3579" s="168" t="s">
        <v>217</v>
      </c>
      <c r="C3579" s="168" t="s">
        <v>3832</v>
      </c>
      <c r="D3579" s="229">
        <v>27.5</v>
      </c>
      <c r="E3579" s="229">
        <v>31.0</v>
      </c>
      <c r="F3579" s="230">
        <v>3.0</v>
      </c>
      <c r="G3579" s="232"/>
    </row>
    <row r="3580">
      <c r="A3580" s="2"/>
      <c r="B3580" s="168" t="s">
        <v>269</v>
      </c>
      <c r="C3580" s="168" t="s">
        <v>3833</v>
      </c>
      <c r="D3580" s="229">
        <v>26.5</v>
      </c>
      <c r="E3580" s="229">
        <v>30.0</v>
      </c>
      <c r="F3580" s="230">
        <v>3.0</v>
      </c>
      <c r="G3580" s="232"/>
    </row>
    <row r="3581">
      <c r="A3581" s="2"/>
      <c r="B3581" s="168" t="s">
        <v>239</v>
      </c>
      <c r="C3581" s="168" t="s">
        <v>3834</v>
      </c>
      <c r="D3581" s="229">
        <v>29.5</v>
      </c>
      <c r="E3581" s="229">
        <v>33.0</v>
      </c>
      <c r="F3581" s="230">
        <v>3.0</v>
      </c>
      <c r="G3581" s="232"/>
    </row>
    <row r="3582">
      <c r="A3582" s="2"/>
      <c r="B3582" s="168" t="s">
        <v>269</v>
      </c>
      <c r="C3582" s="168" t="s">
        <v>3835</v>
      </c>
      <c r="D3582" s="229">
        <v>26.5</v>
      </c>
      <c r="E3582" s="229">
        <v>30.0</v>
      </c>
      <c r="F3582" s="230">
        <v>3.0</v>
      </c>
      <c r="G3582" s="232"/>
    </row>
    <row r="3583">
      <c r="A3583" s="2"/>
      <c r="B3583" s="168" t="s">
        <v>232</v>
      </c>
      <c r="C3583" s="168" t="s">
        <v>3836</v>
      </c>
      <c r="D3583" s="229">
        <v>31.5</v>
      </c>
      <c r="E3583" s="229">
        <v>35.0</v>
      </c>
      <c r="F3583" s="230">
        <v>3.0</v>
      </c>
      <c r="G3583" s="232"/>
    </row>
    <row r="3584">
      <c r="A3584" s="2"/>
      <c r="B3584" s="168" t="s">
        <v>232</v>
      </c>
      <c r="C3584" s="168" t="s">
        <v>3837</v>
      </c>
      <c r="D3584" s="229">
        <v>31.5</v>
      </c>
      <c r="E3584" s="229">
        <v>35.0</v>
      </c>
      <c r="F3584" s="230">
        <v>3.0</v>
      </c>
      <c r="G3584" s="232"/>
    </row>
    <row r="3585">
      <c r="A3585" s="2"/>
      <c r="B3585" s="168" t="s">
        <v>221</v>
      </c>
      <c r="C3585" s="168" t="s">
        <v>3838</v>
      </c>
      <c r="D3585" s="229">
        <v>27.5</v>
      </c>
      <c r="E3585" s="229">
        <v>31.0</v>
      </c>
      <c r="F3585" s="230">
        <v>3.0</v>
      </c>
      <c r="G3585" s="232"/>
    </row>
    <row r="3586">
      <c r="A3586" s="2"/>
      <c r="B3586" s="168" t="s">
        <v>247</v>
      </c>
      <c r="C3586" s="168" t="s">
        <v>3839</v>
      </c>
      <c r="D3586" s="229">
        <v>29.5</v>
      </c>
      <c r="E3586" s="229">
        <v>33.0</v>
      </c>
      <c r="F3586" s="230">
        <v>3.0</v>
      </c>
      <c r="G3586" s="232"/>
    </row>
    <row r="3587">
      <c r="A3587" s="2"/>
      <c r="B3587" s="168" t="s">
        <v>328</v>
      </c>
      <c r="C3587" s="168" t="s">
        <v>3840</v>
      </c>
      <c r="D3587" s="229">
        <v>34.5</v>
      </c>
      <c r="E3587" s="229">
        <v>38.0</v>
      </c>
      <c r="F3587" s="230">
        <v>3.0</v>
      </c>
      <c r="G3587" s="232"/>
    </row>
    <row r="3588">
      <c r="A3588" s="2"/>
      <c r="B3588" s="168" t="s">
        <v>273</v>
      </c>
      <c r="C3588" s="168" t="s">
        <v>3841</v>
      </c>
      <c r="D3588" s="229">
        <v>24.5</v>
      </c>
      <c r="E3588" s="229">
        <v>28.0</v>
      </c>
      <c r="F3588" s="230">
        <v>3.0</v>
      </c>
      <c r="G3588" s="232"/>
    </row>
    <row r="3589">
      <c r="A3589" s="2"/>
      <c r="B3589" s="168" t="s">
        <v>288</v>
      </c>
      <c r="C3589" s="168" t="s">
        <v>3842</v>
      </c>
      <c r="D3589" s="229">
        <v>21.5</v>
      </c>
      <c r="E3589" s="229">
        <v>25.0</v>
      </c>
      <c r="F3589" s="230">
        <v>3.0</v>
      </c>
      <c r="G3589" s="232"/>
    </row>
    <row r="3590">
      <c r="A3590" s="2"/>
      <c r="B3590" s="168" t="s">
        <v>332</v>
      </c>
      <c r="C3590" s="168" t="s">
        <v>3843</v>
      </c>
      <c r="D3590" s="229">
        <v>28.5</v>
      </c>
      <c r="E3590" s="229">
        <v>32.0</v>
      </c>
      <c r="F3590" s="230">
        <v>3.0</v>
      </c>
      <c r="G3590" s="232"/>
    </row>
    <row r="3591">
      <c r="A3591" s="2"/>
      <c r="B3591" s="168" t="s">
        <v>221</v>
      </c>
      <c r="C3591" s="168" t="s">
        <v>3844</v>
      </c>
      <c r="D3591" s="229">
        <v>27.5</v>
      </c>
      <c r="E3591" s="229">
        <v>31.0</v>
      </c>
      <c r="F3591" s="230">
        <v>3.0</v>
      </c>
      <c r="G3591" s="232"/>
    </row>
    <row r="3592">
      <c r="A3592" s="2"/>
      <c r="B3592" s="168" t="s">
        <v>337</v>
      </c>
      <c r="C3592" s="168" t="s">
        <v>3845</v>
      </c>
      <c r="D3592" s="229">
        <v>28.5</v>
      </c>
      <c r="E3592" s="229">
        <v>32.0</v>
      </c>
      <c r="F3592" s="230">
        <v>3.0</v>
      </c>
      <c r="G3592" s="232"/>
    </row>
    <row r="3593">
      <c r="A3593" s="2"/>
      <c r="B3593" s="168" t="s">
        <v>290</v>
      </c>
      <c r="C3593" s="168" t="s">
        <v>3846</v>
      </c>
      <c r="D3593" s="229">
        <v>29.5</v>
      </c>
      <c r="E3593" s="229">
        <v>33.0</v>
      </c>
      <c r="F3593" s="230">
        <v>3.0</v>
      </c>
      <c r="G3593" s="232"/>
    </row>
    <row r="3594">
      <c r="A3594" s="2"/>
      <c r="B3594" s="168" t="s">
        <v>296</v>
      </c>
      <c r="C3594" s="168" t="s">
        <v>3847</v>
      </c>
      <c r="D3594" s="229">
        <v>26.5</v>
      </c>
      <c r="E3594" s="229">
        <v>30.0</v>
      </c>
      <c r="F3594" s="230">
        <v>3.0</v>
      </c>
      <c r="G3594" s="232"/>
    </row>
    <row r="3595">
      <c r="A3595" s="2"/>
      <c r="B3595" s="168" t="s">
        <v>375</v>
      </c>
      <c r="C3595" s="168" t="s">
        <v>3848</v>
      </c>
      <c r="D3595" s="229">
        <v>26.5</v>
      </c>
      <c r="E3595" s="229">
        <v>30.0</v>
      </c>
      <c r="F3595" s="230">
        <v>3.0</v>
      </c>
      <c r="G3595" s="232"/>
    </row>
    <row r="3596">
      <c r="A3596" s="2"/>
      <c r="B3596" s="168" t="s">
        <v>318</v>
      </c>
      <c r="C3596" s="168" t="s">
        <v>3849</v>
      </c>
      <c r="D3596" s="229">
        <v>25.5</v>
      </c>
      <c r="E3596" s="229">
        <v>29.0</v>
      </c>
      <c r="F3596" s="230">
        <v>3.0</v>
      </c>
      <c r="G3596" s="232"/>
    </row>
    <row r="3597">
      <c r="A3597" s="2"/>
      <c r="B3597" s="168" t="s">
        <v>288</v>
      </c>
      <c r="C3597" s="168" t="s">
        <v>3850</v>
      </c>
      <c r="D3597" s="229">
        <v>21.5</v>
      </c>
      <c r="E3597" s="229">
        <v>25.0</v>
      </c>
      <c r="F3597" s="230">
        <v>3.0</v>
      </c>
      <c r="G3597" s="232"/>
    </row>
    <row r="3598">
      <c r="A3598" s="2"/>
      <c r="B3598" s="168" t="s">
        <v>217</v>
      </c>
      <c r="C3598" s="168" t="s">
        <v>3851</v>
      </c>
      <c r="D3598" s="229">
        <v>27.5</v>
      </c>
      <c r="E3598" s="229">
        <v>31.0</v>
      </c>
      <c r="F3598" s="230">
        <v>3.0</v>
      </c>
      <c r="G3598" s="232"/>
    </row>
    <row r="3599">
      <c r="A3599" s="2"/>
      <c r="B3599" s="168" t="s">
        <v>217</v>
      </c>
      <c r="C3599" s="168" t="s">
        <v>3852</v>
      </c>
      <c r="D3599" s="229">
        <v>27.5</v>
      </c>
      <c r="E3599" s="229">
        <v>31.0</v>
      </c>
      <c r="F3599" s="230">
        <v>3.0</v>
      </c>
      <c r="G3599" s="232"/>
    </row>
    <row r="3600">
      <c r="A3600" s="2"/>
      <c r="B3600" s="168" t="s">
        <v>332</v>
      </c>
      <c r="C3600" s="168" t="s">
        <v>3853</v>
      </c>
      <c r="D3600" s="229">
        <v>23.5</v>
      </c>
      <c r="E3600" s="229">
        <v>27.0</v>
      </c>
      <c r="F3600" s="230">
        <v>3.0</v>
      </c>
      <c r="G3600" s="232"/>
    </row>
    <row r="3601">
      <c r="A3601" s="2"/>
      <c r="B3601" s="168" t="s">
        <v>217</v>
      </c>
      <c r="C3601" s="168" t="s">
        <v>3854</v>
      </c>
      <c r="D3601" s="229">
        <v>27.5</v>
      </c>
      <c r="E3601" s="229">
        <v>31.0</v>
      </c>
      <c r="F3601" s="230">
        <v>3.0</v>
      </c>
      <c r="G3601" s="232"/>
    </row>
    <row r="3602">
      <c r="A3602" s="2"/>
      <c r="B3602" s="168" t="s">
        <v>332</v>
      </c>
      <c r="C3602" s="168" t="s">
        <v>3855</v>
      </c>
      <c r="D3602" s="229">
        <v>28.5</v>
      </c>
      <c r="E3602" s="229">
        <v>32.0</v>
      </c>
      <c r="F3602" s="230">
        <v>3.0</v>
      </c>
      <c r="G3602" s="232"/>
    </row>
    <row r="3603">
      <c r="A3603" s="2"/>
      <c r="B3603" s="168" t="s">
        <v>243</v>
      </c>
      <c r="C3603" s="168" t="s">
        <v>3856</v>
      </c>
      <c r="D3603" s="229">
        <v>29.5</v>
      </c>
      <c r="E3603" s="229">
        <v>33.0</v>
      </c>
      <c r="F3603" s="230">
        <v>3.0</v>
      </c>
      <c r="G3603" s="232"/>
    </row>
    <row r="3604">
      <c r="A3604" s="2"/>
      <c r="B3604" s="168" t="s">
        <v>296</v>
      </c>
      <c r="C3604" s="168" t="s">
        <v>3857</v>
      </c>
      <c r="D3604" s="229">
        <v>26.5</v>
      </c>
      <c r="E3604" s="229">
        <v>30.0</v>
      </c>
      <c r="F3604" s="230">
        <v>3.0</v>
      </c>
      <c r="G3604" s="232"/>
    </row>
    <row r="3605">
      <c r="A3605" s="2"/>
      <c r="B3605" s="168" t="s">
        <v>328</v>
      </c>
      <c r="C3605" s="168" t="s">
        <v>3858</v>
      </c>
      <c r="D3605" s="229">
        <v>34.5</v>
      </c>
      <c r="E3605" s="229">
        <v>38.0</v>
      </c>
      <c r="F3605" s="230">
        <v>3.0</v>
      </c>
      <c r="G3605" s="232"/>
    </row>
    <row r="3606">
      <c r="A3606" s="2"/>
      <c r="B3606" s="168" t="s">
        <v>217</v>
      </c>
      <c r="C3606" s="168" t="s">
        <v>3859</v>
      </c>
      <c r="D3606" s="229">
        <v>27.5</v>
      </c>
      <c r="E3606" s="229">
        <v>31.0</v>
      </c>
      <c r="F3606" s="230">
        <v>3.0</v>
      </c>
      <c r="G3606" s="232"/>
    </row>
    <row r="3607">
      <c r="A3607" s="2"/>
      <c r="B3607" s="168" t="s">
        <v>243</v>
      </c>
      <c r="C3607" s="168" t="s">
        <v>3860</v>
      </c>
      <c r="D3607" s="229">
        <v>29.5</v>
      </c>
      <c r="E3607" s="229">
        <v>33.0</v>
      </c>
      <c r="F3607" s="230">
        <v>3.0</v>
      </c>
      <c r="G3607" s="232"/>
    </row>
    <row r="3608">
      <c r="A3608" s="2"/>
      <c r="B3608" s="168" t="s">
        <v>260</v>
      </c>
      <c r="C3608" s="168" t="s">
        <v>3861</v>
      </c>
      <c r="D3608" s="229">
        <v>23.5</v>
      </c>
      <c r="E3608" s="229">
        <v>27.0</v>
      </c>
      <c r="F3608" s="230">
        <v>3.0</v>
      </c>
      <c r="G3608" s="232"/>
    </row>
    <row r="3609">
      <c r="A3609" s="2"/>
      <c r="B3609" s="168" t="s">
        <v>368</v>
      </c>
      <c r="C3609" s="168" t="s">
        <v>3862</v>
      </c>
      <c r="D3609" s="229">
        <v>32.5</v>
      </c>
      <c r="E3609" s="229">
        <v>36.0</v>
      </c>
      <c r="F3609" s="230">
        <v>3.0</v>
      </c>
      <c r="G3609" s="232"/>
    </row>
    <row r="3610">
      <c r="A3610" s="2"/>
      <c r="B3610" s="168" t="s">
        <v>230</v>
      </c>
      <c r="C3610" s="168" t="s">
        <v>3863</v>
      </c>
      <c r="D3610" s="229">
        <v>16.5</v>
      </c>
      <c r="E3610" s="229">
        <v>20.0</v>
      </c>
      <c r="F3610" s="230">
        <v>3.0</v>
      </c>
      <c r="G3610" s="232"/>
    </row>
    <row r="3611">
      <c r="A3611" s="2"/>
      <c r="B3611" s="168" t="s">
        <v>381</v>
      </c>
      <c r="C3611" s="168" t="s">
        <v>3864</v>
      </c>
      <c r="D3611" s="229">
        <v>28.5</v>
      </c>
      <c r="E3611" s="229">
        <v>32.0</v>
      </c>
      <c r="F3611" s="230">
        <v>3.0</v>
      </c>
      <c r="G3611" s="232"/>
    </row>
    <row r="3612">
      <c r="A3612" s="2"/>
      <c r="B3612" s="168" t="s">
        <v>236</v>
      </c>
      <c r="C3612" s="168" t="s">
        <v>3865</v>
      </c>
      <c r="D3612" s="229">
        <v>34.5</v>
      </c>
      <c r="E3612" s="229">
        <v>38.0</v>
      </c>
      <c r="F3612" s="230">
        <v>3.0</v>
      </c>
      <c r="G3612" s="232"/>
    </row>
    <row r="3613">
      <c r="A3613" s="2"/>
      <c r="B3613" s="168" t="s">
        <v>318</v>
      </c>
      <c r="C3613" s="168" t="s">
        <v>3866</v>
      </c>
      <c r="D3613" s="229">
        <v>25.5</v>
      </c>
      <c r="E3613" s="229">
        <v>29.0</v>
      </c>
      <c r="F3613" s="230">
        <v>3.0</v>
      </c>
      <c r="G3613" s="232"/>
    </row>
    <row r="3614">
      <c r="A3614" s="2"/>
      <c r="B3614" s="168" t="s">
        <v>230</v>
      </c>
      <c r="C3614" s="168" t="s">
        <v>3867</v>
      </c>
      <c r="D3614" s="229">
        <v>21.5</v>
      </c>
      <c r="E3614" s="229">
        <v>25.0</v>
      </c>
      <c r="F3614" s="230">
        <v>3.0</v>
      </c>
      <c r="G3614" s="232"/>
    </row>
    <row r="3615">
      <c r="A3615" s="2"/>
      <c r="B3615" s="168" t="s">
        <v>288</v>
      </c>
      <c r="C3615" s="168" t="s">
        <v>3868</v>
      </c>
      <c r="D3615" s="229">
        <v>21.5</v>
      </c>
      <c r="E3615" s="229">
        <v>25.0</v>
      </c>
      <c r="F3615" s="230">
        <v>3.0</v>
      </c>
      <c r="G3615" s="232"/>
    </row>
    <row r="3616">
      <c r="A3616" s="2"/>
      <c r="B3616" s="168" t="s">
        <v>215</v>
      </c>
      <c r="C3616" s="168" t="s">
        <v>3869</v>
      </c>
      <c r="D3616" s="229">
        <v>27.5</v>
      </c>
      <c r="E3616" s="229">
        <v>31.0</v>
      </c>
      <c r="F3616" s="230">
        <v>3.0</v>
      </c>
      <c r="G3616" s="232"/>
    </row>
    <row r="3617">
      <c r="A3617" s="2"/>
      <c r="B3617" s="168" t="s">
        <v>332</v>
      </c>
      <c r="C3617" s="168" t="s">
        <v>3870</v>
      </c>
      <c r="D3617" s="229">
        <v>28.5</v>
      </c>
      <c r="E3617" s="229">
        <v>32.0</v>
      </c>
      <c r="F3617" s="230">
        <v>3.0</v>
      </c>
      <c r="G3617" s="232"/>
    </row>
    <row r="3618">
      <c r="A3618" s="2"/>
      <c r="B3618" s="168" t="s">
        <v>337</v>
      </c>
      <c r="C3618" s="168" t="s">
        <v>3871</v>
      </c>
      <c r="D3618" s="229">
        <v>20.5</v>
      </c>
      <c r="E3618" s="229">
        <v>24.0</v>
      </c>
      <c r="F3618" s="230">
        <v>3.0</v>
      </c>
      <c r="G3618" s="232"/>
    </row>
    <row r="3619">
      <c r="A3619" s="2"/>
      <c r="B3619" s="168" t="s">
        <v>269</v>
      </c>
      <c r="C3619" s="168" t="s">
        <v>3872</v>
      </c>
      <c r="D3619" s="229">
        <v>26.5</v>
      </c>
      <c r="E3619" s="229">
        <v>30.0</v>
      </c>
      <c r="F3619" s="230">
        <v>3.0</v>
      </c>
      <c r="G3619" s="232"/>
    </row>
    <row r="3620">
      <c r="A3620" s="2"/>
      <c r="B3620" s="168" t="s">
        <v>296</v>
      </c>
      <c r="C3620" s="168" t="s">
        <v>3873</v>
      </c>
      <c r="D3620" s="229">
        <v>26.5</v>
      </c>
      <c r="E3620" s="229">
        <v>30.0</v>
      </c>
      <c r="F3620" s="230">
        <v>3.0</v>
      </c>
      <c r="G3620" s="232"/>
    </row>
    <row r="3621">
      <c r="A3621" s="2"/>
      <c r="B3621" s="168" t="s">
        <v>217</v>
      </c>
      <c r="C3621" s="168" t="s">
        <v>3874</v>
      </c>
      <c r="D3621" s="229">
        <v>27.5</v>
      </c>
      <c r="E3621" s="229">
        <v>31.0</v>
      </c>
      <c r="F3621" s="230">
        <v>3.0</v>
      </c>
      <c r="G3621" s="232"/>
    </row>
    <row r="3622">
      <c r="A3622" s="2"/>
      <c r="B3622" s="168" t="s">
        <v>241</v>
      </c>
      <c r="C3622" s="168" t="s">
        <v>3875</v>
      </c>
      <c r="D3622" s="229">
        <v>29.5</v>
      </c>
      <c r="E3622" s="229">
        <v>33.0</v>
      </c>
      <c r="F3622" s="230">
        <v>3.0</v>
      </c>
      <c r="G3622" s="232"/>
    </row>
    <row r="3623">
      <c r="A3623" s="2"/>
      <c r="B3623" s="168" t="s">
        <v>232</v>
      </c>
      <c r="C3623" s="168" t="s">
        <v>3876</v>
      </c>
      <c r="D3623" s="229">
        <v>25.5</v>
      </c>
      <c r="E3623" s="229">
        <v>29.0</v>
      </c>
      <c r="F3623" s="230">
        <v>3.0</v>
      </c>
      <c r="G3623" s="232"/>
    </row>
    <row r="3624">
      <c r="A3624" s="2"/>
      <c r="B3624" s="168" t="s">
        <v>375</v>
      </c>
      <c r="C3624" s="168" t="s">
        <v>3877</v>
      </c>
      <c r="D3624" s="229">
        <v>26.5</v>
      </c>
      <c r="E3624" s="229">
        <v>30.0</v>
      </c>
      <c r="F3624" s="230">
        <v>3.0</v>
      </c>
      <c r="G3624" s="232"/>
    </row>
    <row r="3625">
      <c r="A3625" s="2"/>
      <c r="B3625" s="168" t="s">
        <v>296</v>
      </c>
      <c r="C3625" s="168" t="s">
        <v>3878</v>
      </c>
      <c r="D3625" s="229">
        <v>26.5</v>
      </c>
      <c r="E3625" s="229">
        <v>30.0</v>
      </c>
      <c r="F3625" s="230">
        <v>3.0</v>
      </c>
      <c r="G3625" s="232"/>
    </row>
    <row r="3626">
      <c r="A3626" s="2"/>
      <c r="B3626" s="168" t="s">
        <v>260</v>
      </c>
      <c r="C3626" s="168" t="s">
        <v>3879</v>
      </c>
      <c r="D3626" s="229">
        <v>28.5</v>
      </c>
      <c r="E3626" s="229">
        <v>32.0</v>
      </c>
      <c r="F3626" s="230">
        <v>3.0</v>
      </c>
      <c r="G3626" s="232"/>
    </row>
    <row r="3627">
      <c r="A3627" s="2"/>
      <c r="B3627" s="168" t="s">
        <v>288</v>
      </c>
      <c r="C3627" s="168" t="s">
        <v>3880</v>
      </c>
      <c r="D3627" s="229">
        <v>21.5</v>
      </c>
      <c r="E3627" s="229">
        <v>25.0</v>
      </c>
      <c r="F3627" s="230">
        <v>3.0</v>
      </c>
      <c r="G3627" s="232"/>
    </row>
    <row r="3628">
      <c r="A3628" s="2"/>
      <c r="B3628" s="168" t="s">
        <v>241</v>
      </c>
      <c r="C3628" s="168" t="s">
        <v>3881</v>
      </c>
      <c r="D3628" s="229">
        <v>31.5</v>
      </c>
      <c r="E3628" s="229">
        <v>35.0</v>
      </c>
      <c r="F3628" s="230">
        <v>3.0</v>
      </c>
      <c r="G3628" s="232"/>
    </row>
    <row r="3629">
      <c r="A3629" s="2"/>
      <c r="B3629" s="168" t="s">
        <v>581</v>
      </c>
      <c r="C3629" s="168" t="s">
        <v>3882</v>
      </c>
      <c r="D3629" s="229">
        <v>26.5</v>
      </c>
      <c r="E3629" s="229">
        <v>30.0</v>
      </c>
      <c r="F3629" s="230">
        <v>3.0</v>
      </c>
      <c r="G3629" s="232"/>
    </row>
    <row r="3630">
      <c r="A3630" s="2"/>
      <c r="B3630" s="168" t="s">
        <v>288</v>
      </c>
      <c r="C3630" s="168" t="s">
        <v>3883</v>
      </c>
      <c r="D3630" s="229">
        <v>21.5</v>
      </c>
      <c r="E3630" s="229">
        <v>25.0</v>
      </c>
      <c r="F3630" s="230">
        <v>3.0</v>
      </c>
      <c r="G3630" s="232"/>
    </row>
    <row r="3631">
      <c r="A3631" s="2"/>
      <c r="B3631" s="168" t="s">
        <v>269</v>
      </c>
      <c r="C3631" s="168" t="s">
        <v>3884</v>
      </c>
      <c r="D3631" s="229">
        <v>26.0</v>
      </c>
      <c r="E3631" s="229">
        <v>29.5</v>
      </c>
      <c r="F3631" s="230">
        <v>3.0</v>
      </c>
      <c r="G3631" s="232"/>
    </row>
    <row r="3632">
      <c r="A3632" s="2"/>
      <c r="B3632" s="168" t="s">
        <v>223</v>
      </c>
      <c r="C3632" s="168" t="s">
        <v>3885</v>
      </c>
      <c r="D3632" s="229">
        <v>26.5</v>
      </c>
      <c r="E3632" s="229">
        <v>30.0</v>
      </c>
      <c r="F3632" s="230">
        <v>3.0</v>
      </c>
      <c r="G3632" s="232"/>
    </row>
    <row r="3633">
      <c r="A3633" s="2"/>
      <c r="B3633" s="168" t="s">
        <v>219</v>
      </c>
      <c r="C3633" s="168" t="s">
        <v>3886</v>
      </c>
      <c r="D3633" s="229">
        <v>19.5</v>
      </c>
      <c r="E3633" s="229">
        <v>23.0</v>
      </c>
      <c r="F3633" s="230">
        <v>3.0</v>
      </c>
      <c r="G3633" s="232"/>
    </row>
    <row r="3634">
      <c r="A3634" s="2"/>
      <c r="B3634" s="168" t="s">
        <v>255</v>
      </c>
      <c r="C3634" s="168" t="s">
        <v>3887</v>
      </c>
      <c r="D3634" s="229">
        <v>31.5</v>
      </c>
      <c r="E3634" s="229">
        <v>35.0</v>
      </c>
      <c r="F3634" s="230">
        <v>3.0</v>
      </c>
      <c r="G3634" s="232"/>
    </row>
    <row r="3635">
      <c r="A3635" s="2"/>
      <c r="B3635" s="168" t="s">
        <v>296</v>
      </c>
      <c r="C3635" s="168" t="s">
        <v>3888</v>
      </c>
      <c r="D3635" s="229">
        <v>26.5</v>
      </c>
      <c r="E3635" s="229">
        <v>30.0</v>
      </c>
      <c r="F3635" s="230">
        <v>3.0</v>
      </c>
      <c r="G3635" s="232"/>
    </row>
    <row r="3636">
      <c r="A3636" s="2"/>
      <c r="B3636" s="168" t="s">
        <v>255</v>
      </c>
      <c r="C3636" s="168" t="s">
        <v>3889</v>
      </c>
      <c r="D3636" s="229">
        <v>28.5</v>
      </c>
      <c r="E3636" s="229">
        <v>32.0</v>
      </c>
      <c r="F3636" s="230">
        <v>3.0</v>
      </c>
      <c r="G3636" s="232"/>
    </row>
    <row r="3637">
      <c r="A3637" s="2"/>
      <c r="B3637" s="168" t="s">
        <v>269</v>
      </c>
      <c r="C3637" s="168" t="s">
        <v>3890</v>
      </c>
      <c r="D3637" s="229">
        <v>26.5</v>
      </c>
      <c r="E3637" s="229">
        <v>30.0</v>
      </c>
      <c r="F3637" s="230">
        <v>3.0</v>
      </c>
      <c r="G3637" s="232"/>
    </row>
    <row r="3638">
      <c r="A3638" s="2"/>
      <c r="B3638" s="168" t="s">
        <v>438</v>
      </c>
      <c r="C3638" s="168" t="s">
        <v>3891</v>
      </c>
      <c r="D3638" s="229">
        <v>29.5</v>
      </c>
      <c r="E3638" s="229">
        <v>33.0</v>
      </c>
      <c r="F3638" s="230">
        <v>3.0</v>
      </c>
      <c r="G3638" s="232"/>
    </row>
    <row r="3639">
      <c r="A3639" s="2"/>
      <c r="B3639" s="168" t="s">
        <v>381</v>
      </c>
      <c r="C3639" s="168" t="s">
        <v>3892</v>
      </c>
      <c r="D3639" s="229">
        <v>28.5</v>
      </c>
      <c r="E3639" s="229">
        <v>32.0</v>
      </c>
      <c r="F3639" s="230">
        <v>3.0</v>
      </c>
      <c r="G3639" s="232"/>
    </row>
    <row r="3640">
      <c r="A3640" s="2"/>
      <c r="B3640" s="168" t="s">
        <v>217</v>
      </c>
      <c r="C3640" s="168" t="s">
        <v>3893</v>
      </c>
      <c r="D3640" s="229">
        <v>27.5</v>
      </c>
      <c r="E3640" s="229">
        <v>31.0</v>
      </c>
      <c r="F3640" s="230">
        <v>3.0</v>
      </c>
      <c r="G3640" s="232"/>
    </row>
    <row r="3641">
      <c r="A3641" s="2"/>
      <c r="B3641" s="168" t="s">
        <v>239</v>
      </c>
      <c r="C3641" s="168" t="s">
        <v>3894</v>
      </c>
      <c r="D3641" s="229">
        <v>29.5</v>
      </c>
      <c r="E3641" s="229">
        <v>33.0</v>
      </c>
      <c r="F3641" s="230">
        <v>3.0</v>
      </c>
      <c r="G3641" s="232"/>
    </row>
    <row r="3642">
      <c r="A3642" s="2"/>
      <c r="B3642" s="168" t="s">
        <v>328</v>
      </c>
      <c r="C3642" s="168" t="s">
        <v>3895</v>
      </c>
      <c r="D3642" s="229">
        <v>34.5</v>
      </c>
      <c r="E3642" s="229">
        <v>38.0</v>
      </c>
      <c r="F3642" s="230">
        <v>3.0</v>
      </c>
      <c r="G3642" s="232"/>
    </row>
    <row r="3643">
      <c r="A3643" s="2"/>
      <c r="B3643" s="168" t="s">
        <v>337</v>
      </c>
      <c r="C3643" s="168" t="s">
        <v>3896</v>
      </c>
      <c r="D3643" s="229">
        <v>28.5</v>
      </c>
      <c r="E3643" s="229">
        <v>32.0</v>
      </c>
      <c r="F3643" s="230">
        <v>3.0</v>
      </c>
      <c r="G3643" s="232"/>
    </row>
    <row r="3644">
      <c r="A3644" s="2"/>
      <c r="B3644" s="168" t="s">
        <v>318</v>
      </c>
      <c r="C3644" s="168" t="s">
        <v>3897</v>
      </c>
      <c r="D3644" s="229">
        <v>25.5</v>
      </c>
      <c r="E3644" s="229">
        <v>29.0</v>
      </c>
      <c r="F3644" s="230">
        <v>3.0</v>
      </c>
      <c r="G3644" s="232"/>
    </row>
    <row r="3645">
      <c r="A3645" s="2"/>
      <c r="B3645" s="168" t="s">
        <v>332</v>
      </c>
      <c r="C3645" s="168" t="s">
        <v>3898</v>
      </c>
      <c r="D3645" s="229">
        <v>28.5</v>
      </c>
      <c r="E3645" s="229">
        <v>32.0</v>
      </c>
      <c r="F3645" s="230">
        <v>3.0</v>
      </c>
      <c r="G3645" s="232"/>
    </row>
    <row r="3646">
      <c r="A3646" s="2"/>
      <c r="B3646" s="168" t="s">
        <v>337</v>
      </c>
      <c r="C3646" s="168" t="s">
        <v>3899</v>
      </c>
      <c r="D3646" s="229">
        <v>28.5</v>
      </c>
      <c r="E3646" s="229">
        <v>32.0</v>
      </c>
      <c r="F3646" s="230">
        <v>3.0</v>
      </c>
      <c r="G3646" s="232"/>
    </row>
    <row r="3647">
      <c r="A3647" s="2"/>
      <c r="B3647" s="168" t="s">
        <v>234</v>
      </c>
      <c r="C3647" s="168" t="s">
        <v>3900</v>
      </c>
      <c r="D3647" s="229">
        <v>29.5</v>
      </c>
      <c r="E3647" s="229">
        <v>33.0</v>
      </c>
      <c r="F3647" s="230">
        <v>3.0</v>
      </c>
      <c r="G3647" s="232"/>
    </row>
    <row r="3648">
      <c r="A3648" s="2"/>
      <c r="B3648" s="168" t="s">
        <v>592</v>
      </c>
      <c r="C3648" s="168" t="s">
        <v>3901</v>
      </c>
      <c r="D3648" s="229">
        <v>34.5</v>
      </c>
      <c r="E3648" s="229">
        <v>38.0</v>
      </c>
      <c r="F3648" s="230">
        <v>3.0</v>
      </c>
      <c r="G3648" s="232"/>
    </row>
    <row r="3649">
      <c r="A3649" s="2"/>
      <c r="B3649" s="168" t="s">
        <v>217</v>
      </c>
      <c r="C3649" s="168" t="s">
        <v>3902</v>
      </c>
      <c r="D3649" s="229">
        <v>27.5</v>
      </c>
      <c r="E3649" s="229">
        <v>31.0</v>
      </c>
      <c r="F3649" s="230">
        <v>3.0</v>
      </c>
      <c r="G3649" s="232"/>
    </row>
    <row r="3650">
      <c r="A3650" s="2"/>
      <c r="B3650" s="168" t="s">
        <v>223</v>
      </c>
      <c r="C3650" s="168" t="s">
        <v>3903</v>
      </c>
      <c r="D3650" s="229">
        <v>26.5</v>
      </c>
      <c r="E3650" s="229">
        <v>30.0</v>
      </c>
      <c r="F3650" s="230">
        <v>3.0</v>
      </c>
      <c r="G3650" s="232"/>
    </row>
    <row r="3651">
      <c r="A3651" s="2"/>
      <c r="B3651" s="168" t="s">
        <v>720</v>
      </c>
      <c r="C3651" s="168" t="s">
        <v>3904</v>
      </c>
      <c r="D3651" s="229">
        <v>21.5</v>
      </c>
      <c r="E3651" s="229">
        <v>25.0</v>
      </c>
      <c r="F3651" s="230">
        <v>3.0</v>
      </c>
      <c r="G3651" s="232"/>
    </row>
    <row r="3652">
      <c r="A3652" s="2"/>
      <c r="B3652" s="168" t="s">
        <v>288</v>
      </c>
      <c r="C3652" s="168" t="s">
        <v>3905</v>
      </c>
      <c r="D3652" s="229">
        <v>16.5</v>
      </c>
      <c r="E3652" s="229">
        <v>20.0</v>
      </c>
      <c r="F3652" s="230">
        <v>3.0</v>
      </c>
      <c r="G3652" s="232"/>
    </row>
    <row r="3653">
      <c r="A3653" s="2"/>
      <c r="B3653" s="168" t="s">
        <v>215</v>
      </c>
      <c r="C3653" s="168" t="s">
        <v>3906</v>
      </c>
      <c r="D3653" s="229">
        <v>27.5</v>
      </c>
      <c r="E3653" s="229">
        <v>31.0</v>
      </c>
      <c r="F3653" s="230">
        <v>3.0</v>
      </c>
      <c r="G3653" s="232"/>
    </row>
    <row r="3654">
      <c r="A3654" s="2"/>
      <c r="B3654" s="168" t="s">
        <v>337</v>
      </c>
      <c r="C3654" s="168" t="s">
        <v>3907</v>
      </c>
      <c r="D3654" s="229">
        <v>28.5</v>
      </c>
      <c r="E3654" s="229">
        <v>32.0</v>
      </c>
      <c r="F3654" s="230">
        <v>3.0</v>
      </c>
      <c r="G3654" s="232"/>
    </row>
    <row r="3655">
      <c r="A3655" s="2"/>
      <c r="B3655" s="168" t="s">
        <v>217</v>
      </c>
      <c r="C3655" s="168" t="s">
        <v>3908</v>
      </c>
      <c r="D3655" s="229">
        <v>27.5</v>
      </c>
      <c r="E3655" s="229">
        <v>31.0</v>
      </c>
      <c r="F3655" s="230">
        <v>3.0</v>
      </c>
      <c r="G3655" s="232"/>
    </row>
    <row r="3656">
      <c r="A3656" s="2"/>
      <c r="B3656" s="168" t="s">
        <v>245</v>
      </c>
      <c r="C3656" s="168" t="s">
        <v>3909</v>
      </c>
      <c r="D3656" s="229">
        <v>29.5</v>
      </c>
      <c r="E3656" s="229">
        <v>33.0</v>
      </c>
      <c r="F3656" s="230">
        <v>3.0</v>
      </c>
      <c r="G3656" s="232"/>
    </row>
    <row r="3657">
      <c r="A3657" s="2"/>
      <c r="B3657" s="168" t="s">
        <v>285</v>
      </c>
      <c r="C3657" s="168" t="s">
        <v>3910</v>
      </c>
      <c r="D3657" s="229">
        <v>24.5</v>
      </c>
      <c r="E3657" s="229">
        <v>28.0</v>
      </c>
      <c r="F3657" s="230">
        <v>3.0</v>
      </c>
      <c r="G3657" s="232"/>
    </row>
    <row r="3658">
      <c r="A3658" s="2"/>
      <c r="B3658" s="168" t="s">
        <v>260</v>
      </c>
      <c r="C3658" s="168" t="s">
        <v>3911</v>
      </c>
      <c r="D3658" s="229">
        <v>28.5</v>
      </c>
      <c r="E3658" s="229">
        <v>32.0</v>
      </c>
      <c r="F3658" s="230">
        <v>3.0</v>
      </c>
      <c r="G3658" s="232"/>
    </row>
    <row r="3659">
      <c r="A3659" s="2"/>
      <c r="B3659" s="168" t="s">
        <v>273</v>
      </c>
      <c r="C3659" s="168" t="s">
        <v>3912</v>
      </c>
      <c r="D3659" s="229">
        <v>24.5</v>
      </c>
      <c r="E3659" s="229">
        <v>28.0</v>
      </c>
      <c r="F3659" s="230">
        <v>3.0</v>
      </c>
      <c r="G3659" s="232"/>
    </row>
    <row r="3660">
      <c r="A3660" s="2"/>
      <c r="B3660" s="168" t="s">
        <v>288</v>
      </c>
      <c r="C3660" s="168" t="s">
        <v>3913</v>
      </c>
      <c r="D3660" s="229">
        <v>21.5</v>
      </c>
      <c r="E3660" s="229">
        <v>25.0</v>
      </c>
      <c r="F3660" s="230">
        <v>3.0</v>
      </c>
      <c r="G3660" s="232"/>
    </row>
    <row r="3661">
      <c r="A3661" s="2"/>
      <c r="B3661" s="168" t="s">
        <v>490</v>
      </c>
      <c r="C3661" s="168" t="s">
        <v>3914</v>
      </c>
      <c r="D3661" s="229">
        <v>34.5</v>
      </c>
      <c r="E3661" s="229">
        <v>38.0</v>
      </c>
      <c r="F3661" s="230">
        <v>3.0</v>
      </c>
      <c r="G3661" s="232"/>
    </row>
    <row r="3662">
      <c r="A3662" s="2"/>
      <c r="B3662" s="168" t="s">
        <v>232</v>
      </c>
      <c r="C3662" s="168" t="s">
        <v>3915</v>
      </c>
      <c r="D3662" s="229">
        <v>25.5</v>
      </c>
      <c r="E3662" s="229">
        <v>29.0</v>
      </c>
      <c r="F3662" s="230">
        <v>3.0</v>
      </c>
      <c r="G3662" s="232"/>
    </row>
    <row r="3663">
      <c r="A3663" s="2"/>
      <c r="B3663" s="168" t="s">
        <v>275</v>
      </c>
      <c r="C3663" s="168" t="s">
        <v>3916</v>
      </c>
      <c r="D3663" s="229">
        <v>26.5</v>
      </c>
      <c r="E3663" s="229">
        <v>30.0</v>
      </c>
      <c r="F3663" s="230">
        <v>3.0</v>
      </c>
      <c r="G3663" s="232"/>
    </row>
    <row r="3664">
      <c r="A3664" s="2"/>
      <c r="B3664" s="168" t="s">
        <v>243</v>
      </c>
      <c r="C3664" s="168" t="s">
        <v>3917</v>
      </c>
      <c r="D3664" s="229">
        <v>29.5</v>
      </c>
      <c r="E3664" s="229">
        <v>33.0</v>
      </c>
      <c r="F3664" s="230">
        <v>3.0</v>
      </c>
      <c r="G3664" s="232"/>
    </row>
    <row r="3665">
      <c r="A3665" s="2"/>
      <c r="B3665" s="168" t="s">
        <v>217</v>
      </c>
      <c r="C3665" s="168" t="s">
        <v>3918</v>
      </c>
      <c r="D3665" s="229">
        <v>27.5</v>
      </c>
      <c r="E3665" s="229">
        <v>31.0</v>
      </c>
      <c r="F3665" s="230">
        <v>3.0</v>
      </c>
      <c r="G3665" s="232"/>
    </row>
    <row r="3666">
      <c r="A3666" s="2"/>
      <c r="B3666" s="168" t="s">
        <v>1392</v>
      </c>
      <c r="C3666" s="168" t="s">
        <v>3919</v>
      </c>
      <c r="D3666" s="229">
        <v>26.5</v>
      </c>
      <c r="E3666" s="229">
        <v>30.0</v>
      </c>
      <c r="F3666" s="230">
        <v>3.0</v>
      </c>
      <c r="G3666" s="232"/>
    </row>
    <row r="3667">
      <c r="A3667" s="2"/>
      <c r="B3667" s="168" t="s">
        <v>232</v>
      </c>
      <c r="C3667" s="168" t="s">
        <v>3920</v>
      </c>
      <c r="D3667" s="229">
        <v>25.5</v>
      </c>
      <c r="E3667" s="229">
        <v>29.0</v>
      </c>
      <c r="F3667" s="230">
        <v>3.0</v>
      </c>
      <c r="G3667" s="232"/>
    </row>
    <row r="3668">
      <c r="A3668" s="2"/>
      <c r="B3668" s="168" t="s">
        <v>251</v>
      </c>
      <c r="C3668" s="168" t="s">
        <v>3921</v>
      </c>
      <c r="D3668" s="229">
        <v>34.5</v>
      </c>
      <c r="E3668" s="229">
        <v>38.0</v>
      </c>
      <c r="F3668" s="230">
        <v>3.0</v>
      </c>
      <c r="G3668" s="232"/>
    </row>
    <row r="3669">
      <c r="A3669" s="2"/>
      <c r="B3669" s="168" t="s">
        <v>232</v>
      </c>
      <c r="C3669" s="168" t="s">
        <v>3922</v>
      </c>
      <c r="D3669" s="229">
        <v>27.5</v>
      </c>
      <c r="E3669" s="229">
        <v>31.0</v>
      </c>
      <c r="F3669" s="230">
        <v>3.0</v>
      </c>
      <c r="G3669" s="232"/>
    </row>
    <row r="3670">
      <c r="A3670" s="2"/>
      <c r="B3670" s="168" t="s">
        <v>285</v>
      </c>
      <c r="C3670" s="168" t="s">
        <v>3923</v>
      </c>
      <c r="D3670" s="229">
        <v>24.5</v>
      </c>
      <c r="E3670" s="229">
        <v>28.0</v>
      </c>
      <c r="F3670" s="230">
        <v>3.0</v>
      </c>
      <c r="G3670" s="232"/>
    </row>
    <row r="3671">
      <c r="A3671" s="2"/>
      <c r="B3671" s="168" t="s">
        <v>337</v>
      </c>
      <c r="C3671" s="168" t="s">
        <v>3924</v>
      </c>
      <c r="D3671" s="229">
        <v>28.5</v>
      </c>
      <c r="E3671" s="229">
        <v>32.0</v>
      </c>
      <c r="F3671" s="230">
        <v>3.0</v>
      </c>
      <c r="G3671" s="232"/>
    </row>
    <row r="3672">
      <c r="A3672" s="2"/>
      <c r="B3672" s="168" t="s">
        <v>230</v>
      </c>
      <c r="C3672" s="168" t="s">
        <v>3925</v>
      </c>
      <c r="D3672" s="229">
        <v>21.5</v>
      </c>
      <c r="E3672" s="229">
        <v>25.0</v>
      </c>
      <c r="F3672" s="230">
        <v>3.0</v>
      </c>
      <c r="G3672" s="232"/>
    </row>
    <row r="3673">
      <c r="A3673" s="2"/>
      <c r="B3673" s="168" t="s">
        <v>241</v>
      </c>
      <c r="C3673" s="168" t="s">
        <v>3926</v>
      </c>
      <c r="D3673" s="229">
        <v>27.5</v>
      </c>
      <c r="E3673" s="229">
        <v>31.0</v>
      </c>
      <c r="F3673" s="230">
        <v>3.0</v>
      </c>
      <c r="G3673" s="232"/>
    </row>
    <row r="3674">
      <c r="A3674" s="2"/>
      <c r="B3674" s="168" t="s">
        <v>247</v>
      </c>
      <c r="C3674" s="168" t="s">
        <v>3927</v>
      </c>
      <c r="D3674" s="229">
        <v>29.5</v>
      </c>
      <c r="E3674" s="229">
        <v>33.0</v>
      </c>
      <c r="F3674" s="230">
        <v>3.0</v>
      </c>
      <c r="G3674" s="232"/>
    </row>
    <row r="3675">
      <c r="A3675" s="2"/>
      <c r="B3675" s="168" t="s">
        <v>296</v>
      </c>
      <c r="C3675" s="168" t="s">
        <v>3928</v>
      </c>
      <c r="D3675" s="229">
        <v>26.5</v>
      </c>
      <c r="E3675" s="229">
        <v>30.0</v>
      </c>
      <c r="F3675" s="230">
        <v>3.0</v>
      </c>
      <c r="G3675" s="232"/>
    </row>
    <row r="3676">
      <c r="A3676" s="2"/>
      <c r="B3676" s="168" t="s">
        <v>296</v>
      </c>
      <c r="C3676" s="168" t="s">
        <v>3929</v>
      </c>
      <c r="D3676" s="229">
        <v>26.5</v>
      </c>
      <c r="E3676" s="229">
        <v>30.0</v>
      </c>
      <c r="F3676" s="230">
        <v>3.0</v>
      </c>
      <c r="G3676" s="232"/>
    </row>
    <row r="3677">
      <c r="A3677" s="2"/>
      <c r="B3677" s="168" t="s">
        <v>221</v>
      </c>
      <c r="C3677" s="168" t="s">
        <v>3930</v>
      </c>
      <c r="D3677" s="229">
        <v>27.5</v>
      </c>
      <c r="E3677" s="229">
        <v>31.0</v>
      </c>
      <c r="F3677" s="230">
        <v>3.0</v>
      </c>
      <c r="G3677" s="232"/>
    </row>
    <row r="3678">
      <c r="A3678" s="2"/>
      <c r="B3678" s="168" t="s">
        <v>328</v>
      </c>
      <c r="C3678" s="168" t="s">
        <v>3931</v>
      </c>
      <c r="D3678" s="229">
        <v>34.5</v>
      </c>
      <c r="E3678" s="229">
        <v>38.0</v>
      </c>
      <c r="F3678" s="230">
        <v>3.0</v>
      </c>
      <c r="G3678" s="232"/>
    </row>
    <row r="3679">
      <c r="A3679" s="2"/>
      <c r="B3679" s="168" t="s">
        <v>271</v>
      </c>
      <c r="C3679" s="168" t="s">
        <v>3932</v>
      </c>
      <c r="D3679" s="229">
        <v>29.0</v>
      </c>
      <c r="E3679" s="229">
        <v>32.5</v>
      </c>
      <c r="F3679" s="230">
        <v>3.0</v>
      </c>
      <c r="G3679" s="232"/>
    </row>
    <row r="3680">
      <c r="A3680" s="2"/>
      <c r="B3680" s="168" t="s">
        <v>288</v>
      </c>
      <c r="C3680" s="168" t="s">
        <v>3933</v>
      </c>
      <c r="D3680" s="229">
        <v>21.5</v>
      </c>
      <c r="E3680" s="229">
        <v>25.0</v>
      </c>
      <c r="F3680" s="230">
        <v>3.0</v>
      </c>
      <c r="G3680" s="232"/>
    </row>
    <row r="3681">
      <c r="A3681" s="2"/>
      <c r="B3681" s="168" t="s">
        <v>232</v>
      </c>
      <c r="C3681" s="168" t="s">
        <v>3934</v>
      </c>
      <c r="D3681" s="229">
        <v>27.5</v>
      </c>
      <c r="E3681" s="229">
        <v>31.0</v>
      </c>
      <c r="F3681" s="230">
        <v>3.0</v>
      </c>
      <c r="G3681" s="232"/>
    </row>
    <row r="3682">
      <c r="A3682" s="2"/>
      <c r="B3682" s="168" t="s">
        <v>241</v>
      </c>
      <c r="C3682" s="168" t="s">
        <v>3935</v>
      </c>
      <c r="D3682" s="229">
        <v>27.5</v>
      </c>
      <c r="E3682" s="229">
        <v>31.0</v>
      </c>
      <c r="F3682" s="230">
        <v>3.0</v>
      </c>
      <c r="G3682" s="232"/>
    </row>
    <row r="3683">
      <c r="A3683" s="2"/>
      <c r="B3683" s="168" t="s">
        <v>273</v>
      </c>
      <c r="C3683" s="168" t="s">
        <v>3936</v>
      </c>
      <c r="D3683" s="229">
        <v>24.5</v>
      </c>
      <c r="E3683" s="229">
        <v>28.0</v>
      </c>
      <c r="F3683" s="230">
        <v>3.0</v>
      </c>
      <c r="G3683" s="232"/>
    </row>
    <row r="3684">
      <c r="A3684" s="2"/>
      <c r="B3684" s="168" t="s">
        <v>269</v>
      </c>
      <c r="C3684" s="168" t="s">
        <v>3937</v>
      </c>
      <c r="D3684" s="229">
        <v>26.5</v>
      </c>
      <c r="E3684" s="229">
        <v>30.0</v>
      </c>
      <c r="F3684" s="230">
        <v>3.0</v>
      </c>
      <c r="G3684" s="232"/>
    </row>
    <row r="3685">
      <c r="A3685" s="2"/>
      <c r="B3685" s="168" t="s">
        <v>302</v>
      </c>
      <c r="C3685" s="168" t="s">
        <v>3938</v>
      </c>
      <c r="D3685" s="229">
        <v>34.5</v>
      </c>
      <c r="E3685" s="229">
        <v>38.0</v>
      </c>
      <c r="F3685" s="230">
        <v>3.0</v>
      </c>
      <c r="G3685" s="232"/>
    </row>
    <row r="3686">
      <c r="A3686" s="2"/>
      <c r="B3686" s="168" t="s">
        <v>269</v>
      </c>
      <c r="C3686" s="168" t="s">
        <v>3939</v>
      </c>
      <c r="D3686" s="229">
        <v>26.5</v>
      </c>
      <c r="E3686" s="229">
        <v>30.0</v>
      </c>
      <c r="F3686" s="230">
        <v>3.0</v>
      </c>
      <c r="G3686" s="232"/>
    </row>
    <row r="3687">
      <c r="A3687" s="2"/>
      <c r="B3687" s="168" t="s">
        <v>565</v>
      </c>
      <c r="C3687" s="168" t="s">
        <v>3940</v>
      </c>
      <c r="D3687" s="229">
        <v>24.5</v>
      </c>
      <c r="E3687" s="229">
        <v>28.0</v>
      </c>
      <c r="F3687" s="230">
        <v>3.0</v>
      </c>
      <c r="G3687" s="232"/>
    </row>
    <row r="3688">
      <c r="A3688" s="2"/>
      <c r="B3688" s="168" t="s">
        <v>245</v>
      </c>
      <c r="C3688" s="168" t="s">
        <v>3941</v>
      </c>
      <c r="D3688" s="229">
        <v>29.0</v>
      </c>
      <c r="E3688" s="229">
        <v>32.5</v>
      </c>
      <c r="F3688" s="230">
        <v>3.0</v>
      </c>
      <c r="G3688" s="232"/>
    </row>
    <row r="3689">
      <c r="A3689" s="2"/>
      <c r="B3689" s="168" t="s">
        <v>247</v>
      </c>
      <c r="C3689" s="168" t="s">
        <v>3942</v>
      </c>
      <c r="D3689" s="229">
        <v>19.5</v>
      </c>
      <c r="E3689" s="229">
        <v>23.0</v>
      </c>
      <c r="F3689" s="230">
        <v>3.0</v>
      </c>
      <c r="G3689" s="232"/>
    </row>
    <row r="3690">
      <c r="A3690" s="2"/>
      <c r="B3690" s="168" t="s">
        <v>255</v>
      </c>
      <c r="C3690" s="168" t="s">
        <v>3943</v>
      </c>
      <c r="D3690" s="229">
        <v>31.5</v>
      </c>
      <c r="E3690" s="229">
        <v>35.0</v>
      </c>
      <c r="F3690" s="230">
        <v>3.0</v>
      </c>
      <c r="G3690" s="232"/>
    </row>
    <row r="3691">
      <c r="A3691" s="2"/>
      <c r="B3691" s="168" t="s">
        <v>241</v>
      </c>
      <c r="C3691" s="168" t="s">
        <v>3944</v>
      </c>
      <c r="D3691" s="229">
        <v>32.5</v>
      </c>
      <c r="E3691" s="229">
        <v>36.0</v>
      </c>
      <c r="F3691" s="230">
        <v>3.0</v>
      </c>
      <c r="G3691" s="232"/>
    </row>
    <row r="3692">
      <c r="A3692" s="2"/>
      <c r="B3692" s="168" t="s">
        <v>221</v>
      </c>
      <c r="C3692" s="168" t="s">
        <v>3945</v>
      </c>
      <c r="D3692" s="229">
        <v>27.5</v>
      </c>
      <c r="E3692" s="229">
        <v>31.0</v>
      </c>
      <c r="F3692" s="230">
        <v>3.0</v>
      </c>
      <c r="G3692" s="232"/>
    </row>
    <row r="3693">
      <c r="A3693" s="2"/>
      <c r="B3693" s="168" t="s">
        <v>247</v>
      </c>
      <c r="C3693" s="168" t="s">
        <v>3946</v>
      </c>
      <c r="D3693" s="229">
        <v>29.0</v>
      </c>
      <c r="E3693" s="229">
        <v>32.5</v>
      </c>
      <c r="F3693" s="230">
        <v>3.0</v>
      </c>
      <c r="G3693" s="232"/>
    </row>
    <row r="3694">
      <c r="A3694" s="2"/>
      <c r="B3694" s="168" t="s">
        <v>254</v>
      </c>
      <c r="C3694" s="168" t="s">
        <v>3947</v>
      </c>
      <c r="D3694" s="229">
        <v>26.5</v>
      </c>
      <c r="E3694" s="229">
        <v>30.0</v>
      </c>
      <c r="F3694" s="230">
        <v>3.0</v>
      </c>
      <c r="G3694" s="232"/>
    </row>
    <row r="3695">
      <c r="A3695" s="2"/>
      <c r="B3695" s="168" t="s">
        <v>296</v>
      </c>
      <c r="C3695" s="168" t="s">
        <v>3948</v>
      </c>
      <c r="D3695" s="229">
        <v>26.5</v>
      </c>
      <c r="E3695" s="229">
        <v>30.0</v>
      </c>
      <c r="F3695" s="230">
        <v>3.0</v>
      </c>
      <c r="G3695" s="232"/>
    </row>
    <row r="3696">
      <c r="A3696" s="2"/>
      <c r="B3696" s="168" t="s">
        <v>217</v>
      </c>
      <c r="C3696" s="168" t="s">
        <v>3949</v>
      </c>
      <c r="D3696" s="229">
        <v>27.5</v>
      </c>
      <c r="E3696" s="229">
        <v>31.0</v>
      </c>
      <c r="F3696" s="230">
        <v>3.0</v>
      </c>
      <c r="G3696" s="232"/>
    </row>
    <row r="3697">
      <c r="A3697" s="2"/>
      <c r="B3697" s="168" t="s">
        <v>285</v>
      </c>
      <c r="C3697" s="168" t="s">
        <v>3950</v>
      </c>
      <c r="D3697" s="229">
        <v>24.5</v>
      </c>
      <c r="E3697" s="229">
        <v>28.0</v>
      </c>
      <c r="F3697" s="230">
        <v>3.0</v>
      </c>
      <c r="G3697" s="232"/>
    </row>
    <row r="3698">
      <c r="A3698" s="2"/>
      <c r="B3698" s="168" t="s">
        <v>280</v>
      </c>
      <c r="C3698" s="168" t="s">
        <v>3951</v>
      </c>
      <c r="D3698" s="229">
        <v>28.5</v>
      </c>
      <c r="E3698" s="229">
        <v>32.0</v>
      </c>
      <c r="F3698" s="230">
        <v>3.0</v>
      </c>
      <c r="G3698" s="232"/>
    </row>
    <row r="3699">
      <c r="A3699" s="2"/>
      <c r="B3699" s="168" t="s">
        <v>217</v>
      </c>
      <c r="C3699" s="168" t="s">
        <v>3952</v>
      </c>
      <c r="D3699" s="229">
        <v>27.5</v>
      </c>
      <c r="E3699" s="229">
        <v>31.0</v>
      </c>
      <c r="F3699" s="230">
        <v>3.0</v>
      </c>
      <c r="G3699" s="232"/>
    </row>
    <row r="3700">
      <c r="A3700" s="2"/>
      <c r="B3700" s="168" t="s">
        <v>290</v>
      </c>
      <c r="C3700" s="168" t="s">
        <v>3953</v>
      </c>
      <c r="D3700" s="229">
        <v>29.5</v>
      </c>
      <c r="E3700" s="229">
        <v>33.0</v>
      </c>
      <c r="F3700" s="230">
        <v>3.0</v>
      </c>
      <c r="G3700" s="232"/>
    </row>
    <row r="3701">
      <c r="A3701" s="2"/>
      <c r="B3701" s="168" t="s">
        <v>215</v>
      </c>
      <c r="C3701" s="168" t="s">
        <v>3954</v>
      </c>
      <c r="D3701" s="229">
        <v>27.5</v>
      </c>
      <c r="E3701" s="229">
        <v>31.0</v>
      </c>
      <c r="F3701" s="230">
        <v>3.0</v>
      </c>
      <c r="G3701" s="232"/>
    </row>
    <row r="3702">
      <c r="A3702" s="2"/>
      <c r="B3702" s="168" t="s">
        <v>288</v>
      </c>
      <c r="C3702" s="168" t="s">
        <v>3955</v>
      </c>
      <c r="D3702" s="229">
        <v>16.5</v>
      </c>
      <c r="E3702" s="229">
        <v>20.0</v>
      </c>
      <c r="F3702" s="230">
        <v>3.0</v>
      </c>
      <c r="G3702" s="232"/>
    </row>
    <row r="3703">
      <c r="A3703" s="2"/>
      <c r="B3703" s="168" t="s">
        <v>296</v>
      </c>
      <c r="C3703" s="168" t="s">
        <v>3956</v>
      </c>
      <c r="D3703" s="229">
        <v>26.5</v>
      </c>
      <c r="E3703" s="229">
        <v>30.0</v>
      </c>
      <c r="F3703" s="230">
        <v>3.0</v>
      </c>
      <c r="G3703" s="232"/>
    </row>
    <row r="3704">
      <c r="A3704" s="2"/>
      <c r="B3704" s="168" t="s">
        <v>221</v>
      </c>
      <c r="C3704" s="168" t="s">
        <v>3957</v>
      </c>
      <c r="D3704" s="229">
        <v>27.5</v>
      </c>
      <c r="E3704" s="229">
        <v>31.0</v>
      </c>
      <c r="F3704" s="230">
        <v>3.0</v>
      </c>
      <c r="G3704" s="232"/>
    </row>
    <row r="3705">
      <c r="A3705" s="2"/>
      <c r="B3705" s="168" t="s">
        <v>290</v>
      </c>
      <c r="C3705" s="168" t="s">
        <v>3958</v>
      </c>
      <c r="D3705" s="229">
        <v>29.5</v>
      </c>
      <c r="E3705" s="229">
        <v>33.0</v>
      </c>
      <c r="F3705" s="230">
        <v>3.0</v>
      </c>
      <c r="G3705" s="232"/>
    </row>
    <row r="3706">
      <c r="A3706" s="2"/>
      <c r="B3706" s="168" t="s">
        <v>280</v>
      </c>
      <c r="C3706" s="168" t="s">
        <v>3959</v>
      </c>
      <c r="D3706" s="229">
        <v>28.5</v>
      </c>
      <c r="E3706" s="229">
        <v>32.0</v>
      </c>
      <c r="F3706" s="230">
        <v>3.0</v>
      </c>
      <c r="G3706" s="232"/>
    </row>
    <row r="3707">
      <c r="A3707" s="2"/>
      <c r="B3707" s="168" t="s">
        <v>255</v>
      </c>
      <c r="C3707" s="168" t="s">
        <v>3960</v>
      </c>
      <c r="D3707" s="229">
        <v>31.5</v>
      </c>
      <c r="E3707" s="229">
        <v>35.0</v>
      </c>
      <c r="F3707" s="230">
        <v>3.0</v>
      </c>
      <c r="G3707" s="232"/>
    </row>
    <row r="3708">
      <c r="A3708" s="2"/>
      <c r="B3708" s="168" t="s">
        <v>381</v>
      </c>
      <c r="C3708" s="168" t="s">
        <v>3961</v>
      </c>
      <c r="D3708" s="229">
        <v>23.5</v>
      </c>
      <c r="E3708" s="229">
        <v>27.0</v>
      </c>
      <c r="F3708" s="230">
        <v>3.0</v>
      </c>
      <c r="G3708" s="232"/>
    </row>
    <row r="3709">
      <c r="A3709" s="2"/>
      <c r="B3709" s="168" t="s">
        <v>285</v>
      </c>
      <c r="C3709" s="168" t="s">
        <v>3962</v>
      </c>
      <c r="D3709" s="229">
        <v>24.5</v>
      </c>
      <c r="E3709" s="229">
        <v>28.0</v>
      </c>
      <c r="F3709" s="230">
        <v>3.0</v>
      </c>
      <c r="G3709" s="232"/>
    </row>
    <row r="3710">
      <c r="A3710" s="2"/>
      <c r="B3710" s="168" t="s">
        <v>245</v>
      </c>
      <c r="C3710" s="168" t="s">
        <v>3963</v>
      </c>
      <c r="D3710" s="229">
        <v>29.5</v>
      </c>
      <c r="E3710" s="229">
        <v>33.0</v>
      </c>
      <c r="F3710" s="230">
        <v>3.0</v>
      </c>
      <c r="G3710" s="232"/>
    </row>
    <row r="3711">
      <c r="A3711" s="2"/>
      <c r="B3711" s="168" t="s">
        <v>243</v>
      </c>
      <c r="C3711" s="168" t="s">
        <v>3964</v>
      </c>
      <c r="D3711" s="229">
        <v>29.5</v>
      </c>
      <c r="E3711" s="229">
        <v>33.0</v>
      </c>
      <c r="F3711" s="230">
        <v>3.0</v>
      </c>
      <c r="G3711" s="232"/>
    </row>
    <row r="3712">
      <c r="A3712" s="2"/>
      <c r="B3712" s="168" t="s">
        <v>230</v>
      </c>
      <c r="C3712" s="168" t="s">
        <v>3965</v>
      </c>
      <c r="D3712" s="229">
        <v>21.5</v>
      </c>
      <c r="E3712" s="229">
        <v>25.0</v>
      </c>
      <c r="F3712" s="230">
        <v>3.0</v>
      </c>
      <c r="G3712" s="232"/>
    </row>
    <row r="3713">
      <c r="A3713" s="2"/>
      <c r="B3713" s="168" t="s">
        <v>290</v>
      </c>
      <c r="C3713" s="168" t="s">
        <v>3966</v>
      </c>
      <c r="D3713" s="229">
        <v>29.5</v>
      </c>
      <c r="E3713" s="229">
        <v>33.0</v>
      </c>
      <c r="F3713" s="230">
        <v>3.0</v>
      </c>
      <c r="G3713" s="232"/>
    </row>
    <row r="3714">
      <c r="A3714" s="2"/>
      <c r="B3714" s="168" t="s">
        <v>241</v>
      </c>
      <c r="C3714" s="168" t="s">
        <v>3967</v>
      </c>
      <c r="D3714" s="229">
        <v>27.5</v>
      </c>
      <c r="E3714" s="229">
        <v>31.0</v>
      </c>
      <c r="F3714" s="230">
        <v>3.0</v>
      </c>
      <c r="G3714" s="232"/>
    </row>
    <row r="3715">
      <c r="A3715" s="2"/>
      <c r="B3715" s="168" t="s">
        <v>275</v>
      </c>
      <c r="C3715" s="168" t="s">
        <v>3968</v>
      </c>
      <c r="D3715" s="229">
        <v>26.5</v>
      </c>
      <c r="E3715" s="229">
        <v>30.0</v>
      </c>
      <c r="F3715" s="230">
        <v>3.0</v>
      </c>
      <c r="G3715" s="232"/>
    </row>
    <row r="3716">
      <c r="A3716" s="2"/>
      <c r="B3716" s="168" t="s">
        <v>377</v>
      </c>
      <c r="C3716" s="168" t="s">
        <v>3969</v>
      </c>
      <c r="D3716" s="229">
        <v>29.5</v>
      </c>
      <c r="E3716" s="229">
        <v>33.0</v>
      </c>
      <c r="F3716" s="230">
        <v>3.0</v>
      </c>
      <c r="G3716" s="232"/>
    </row>
    <row r="3717">
      <c r="A3717" s="2"/>
      <c r="B3717" s="168" t="s">
        <v>269</v>
      </c>
      <c r="C3717" s="168" t="s">
        <v>3970</v>
      </c>
      <c r="D3717" s="229">
        <v>26.5</v>
      </c>
      <c r="E3717" s="229">
        <v>30.0</v>
      </c>
      <c r="F3717" s="230">
        <v>3.0</v>
      </c>
      <c r="G3717" s="232"/>
    </row>
    <row r="3718">
      <c r="A3718" s="2"/>
      <c r="B3718" s="168" t="s">
        <v>255</v>
      </c>
      <c r="C3718" s="168" t="s">
        <v>3971</v>
      </c>
      <c r="D3718" s="229">
        <v>31.5</v>
      </c>
      <c r="E3718" s="229">
        <v>35.0</v>
      </c>
      <c r="F3718" s="230">
        <v>3.0</v>
      </c>
      <c r="G3718" s="232"/>
    </row>
    <row r="3719">
      <c r="A3719" s="2"/>
      <c r="B3719" s="168" t="s">
        <v>232</v>
      </c>
      <c r="C3719" s="168" t="s">
        <v>3972</v>
      </c>
      <c r="D3719" s="229">
        <v>25.5</v>
      </c>
      <c r="E3719" s="229">
        <v>29.0</v>
      </c>
      <c r="F3719" s="230">
        <v>3.0</v>
      </c>
      <c r="G3719" s="232"/>
    </row>
    <row r="3720">
      <c r="A3720" s="2"/>
      <c r="B3720" s="168" t="s">
        <v>241</v>
      </c>
      <c r="C3720" s="168" t="s">
        <v>3973</v>
      </c>
      <c r="D3720" s="229">
        <v>32.5</v>
      </c>
      <c r="E3720" s="229">
        <v>36.0</v>
      </c>
      <c r="F3720" s="230">
        <v>3.0</v>
      </c>
      <c r="G3720" s="232"/>
    </row>
    <row r="3721">
      <c r="A3721" s="2"/>
      <c r="B3721" s="168" t="s">
        <v>260</v>
      </c>
      <c r="C3721" s="168" t="s">
        <v>3974</v>
      </c>
      <c r="D3721" s="229">
        <v>28.5</v>
      </c>
      <c r="E3721" s="229">
        <v>32.0</v>
      </c>
      <c r="F3721" s="230">
        <v>3.0</v>
      </c>
      <c r="G3721" s="232"/>
    </row>
    <row r="3722">
      <c r="A3722" s="2"/>
      <c r="B3722" s="168" t="s">
        <v>230</v>
      </c>
      <c r="C3722" s="168" t="s">
        <v>3975</v>
      </c>
      <c r="D3722" s="229">
        <v>16.5</v>
      </c>
      <c r="E3722" s="229">
        <v>20.0</v>
      </c>
      <c r="F3722" s="230">
        <v>3.0</v>
      </c>
      <c r="G3722" s="232"/>
    </row>
    <row r="3723">
      <c r="A3723" s="2"/>
      <c r="B3723" s="168" t="s">
        <v>285</v>
      </c>
      <c r="C3723" s="168" t="s">
        <v>3976</v>
      </c>
      <c r="D3723" s="229">
        <v>24.5</v>
      </c>
      <c r="E3723" s="229">
        <v>28.0</v>
      </c>
      <c r="F3723" s="230">
        <v>3.0</v>
      </c>
      <c r="G3723" s="232"/>
    </row>
    <row r="3724">
      <c r="A3724" s="2"/>
      <c r="B3724" s="168" t="s">
        <v>337</v>
      </c>
      <c r="C3724" s="168" t="s">
        <v>3977</v>
      </c>
      <c r="D3724" s="229">
        <v>28.5</v>
      </c>
      <c r="E3724" s="229">
        <v>32.0</v>
      </c>
      <c r="F3724" s="230">
        <v>3.0</v>
      </c>
      <c r="G3724" s="232"/>
    </row>
    <row r="3725">
      <c r="A3725" s="2"/>
      <c r="B3725" s="168" t="s">
        <v>296</v>
      </c>
      <c r="C3725" s="168" t="s">
        <v>3978</v>
      </c>
      <c r="D3725" s="229">
        <v>26.5</v>
      </c>
      <c r="E3725" s="229">
        <v>30.0</v>
      </c>
      <c r="F3725" s="230">
        <v>3.0</v>
      </c>
      <c r="G3725" s="232"/>
    </row>
    <row r="3726">
      <c r="A3726" s="2"/>
      <c r="B3726" s="168" t="s">
        <v>241</v>
      </c>
      <c r="C3726" s="168" t="s">
        <v>3979</v>
      </c>
      <c r="D3726" s="229">
        <v>32.5</v>
      </c>
      <c r="E3726" s="229">
        <v>36.0</v>
      </c>
      <c r="F3726" s="230">
        <v>3.0</v>
      </c>
      <c r="G3726" s="232"/>
    </row>
    <row r="3727">
      <c r="A3727" s="2"/>
      <c r="B3727" s="168" t="s">
        <v>290</v>
      </c>
      <c r="C3727" s="168" t="s">
        <v>3980</v>
      </c>
      <c r="D3727" s="229">
        <v>29.5</v>
      </c>
      <c r="E3727" s="229">
        <v>33.0</v>
      </c>
      <c r="F3727" s="230">
        <v>3.0</v>
      </c>
      <c r="G3727" s="232"/>
    </row>
    <row r="3728">
      <c r="A3728" s="2"/>
      <c r="B3728" s="168" t="s">
        <v>260</v>
      </c>
      <c r="C3728" s="168" t="s">
        <v>3981</v>
      </c>
      <c r="D3728" s="229">
        <v>28.5</v>
      </c>
      <c r="E3728" s="229">
        <v>32.0</v>
      </c>
      <c r="F3728" s="230">
        <v>3.0</v>
      </c>
      <c r="G3728" s="232"/>
    </row>
    <row r="3729">
      <c r="A3729" s="2"/>
      <c r="B3729" s="168" t="s">
        <v>427</v>
      </c>
      <c r="C3729" s="168" t="s">
        <v>3982</v>
      </c>
      <c r="D3729" s="229">
        <v>26.5</v>
      </c>
      <c r="E3729" s="229">
        <v>30.0</v>
      </c>
      <c r="F3729" s="230">
        <v>3.0</v>
      </c>
      <c r="G3729" s="232"/>
    </row>
    <row r="3730">
      <c r="A3730" s="2"/>
      <c r="B3730" s="168" t="s">
        <v>288</v>
      </c>
      <c r="C3730" s="168" t="s">
        <v>3983</v>
      </c>
      <c r="D3730" s="229">
        <v>21.5</v>
      </c>
      <c r="E3730" s="229">
        <v>25.0</v>
      </c>
      <c r="F3730" s="230">
        <v>3.0</v>
      </c>
      <c r="G3730" s="232"/>
    </row>
    <row r="3731">
      <c r="A3731" s="2"/>
      <c r="B3731" s="168" t="s">
        <v>269</v>
      </c>
      <c r="C3731" s="168" t="s">
        <v>3984</v>
      </c>
      <c r="D3731" s="229">
        <v>26.5</v>
      </c>
      <c r="E3731" s="229">
        <v>30.0</v>
      </c>
      <c r="F3731" s="230">
        <v>3.0</v>
      </c>
      <c r="G3731" s="232"/>
    </row>
    <row r="3732">
      <c r="A3732" s="2"/>
      <c r="B3732" s="168" t="s">
        <v>430</v>
      </c>
      <c r="C3732" s="168" t="s">
        <v>3985</v>
      </c>
      <c r="D3732" s="229">
        <v>34.5</v>
      </c>
      <c r="E3732" s="229">
        <v>38.0</v>
      </c>
      <c r="F3732" s="230">
        <v>3.0</v>
      </c>
      <c r="G3732" s="232"/>
    </row>
    <row r="3733">
      <c r="A3733" s="2"/>
      <c r="B3733" s="168" t="s">
        <v>245</v>
      </c>
      <c r="C3733" s="168" t="s">
        <v>3986</v>
      </c>
      <c r="D3733" s="229">
        <v>29.5</v>
      </c>
      <c r="E3733" s="229">
        <v>33.0</v>
      </c>
      <c r="F3733" s="230">
        <v>3.0</v>
      </c>
      <c r="G3733" s="232"/>
    </row>
    <row r="3734">
      <c r="A3734" s="2"/>
      <c r="B3734" s="168" t="s">
        <v>241</v>
      </c>
      <c r="C3734" s="168" t="s">
        <v>3987</v>
      </c>
      <c r="D3734" s="229">
        <v>32.5</v>
      </c>
      <c r="E3734" s="229">
        <v>36.0</v>
      </c>
      <c r="F3734" s="230">
        <v>3.0</v>
      </c>
      <c r="G3734" s="232"/>
    </row>
    <row r="3735">
      <c r="A3735" s="2"/>
      <c r="B3735" s="168" t="s">
        <v>215</v>
      </c>
      <c r="C3735" s="168" t="s">
        <v>3988</v>
      </c>
      <c r="D3735" s="229">
        <v>27.5</v>
      </c>
      <c r="E3735" s="229">
        <v>31.0</v>
      </c>
      <c r="F3735" s="230">
        <v>3.0</v>
      </c>
      <c r="G3735" s="232"/>
    </row>
    <row r="3736">
      <c r="A3736" s="2"/>
      <c r="B3736" s="168" t="s">
        <v>245</v>
      </c>
      <c r="C3736" s="168" t="s">
        <v>3989</v>
      </c>
      <c r="D3736" s="229">
        <v>27.5</v>
      </c>
      <c r="E3736" s="229">
        <v>31.0</v>
      </c>
      <c r="F3736" s="230">
        <v>3.0</v>
      </c>
      <c r="G3736" s="232"/>
    </row>
    <row r="3737">
      <c r="A3737" s="2"/>
      <c r="B3737" s="168" t="s">
        <v>232</v>
      </c>
      <c r="C3737" s="168" t="s">
        <v>3990</v>
      </c>
      <c r="D3737" s="229">
        <v>25.5</v>
      </c>
      <c r="E3737" s="229">
        <v>29.0</v>
      </c>
      <c r="F3737" s="230">
        <v>3.0</v>
      </c>
      <c r="G3737" s="232"/>
    </row>
    <row r="3738">
      <c r="A3738" s="2"/>
      <c r="B3738" s="168" t="s">
        <v>337</v>
      </c>
      <c r="C3738" s="168" t="s">
        <v>3991</v>
      </c>
      <c r="D3738" s="229">
        <v>28.5</v>
      </c>
      <c r="E3738" s="229">
        <v>32.0</v>
      </c>
      <c r="F3738" s="230">
        <v>3.0</v>
      </c>
      <c r="G3738" s="232"/>
    </row>
    <row r="3739">
      <c r="A3739" s="2"/>
      <c r="B3739" s="168" t="s">
        <v>223</v>
      </c>
      <c r="C3739" s="168" t="s">
        <v>3992</v>
      </c>
      <c r="D3739" s="229">
        <v>26.5</v>
      </c>
      <c r="E3739" s="229">
        <v>30.0</v>
      </c>
      <c r="F3739" s="230">
        <v>3.0</v>
      </c>
      <c r="G3739" s="232"/>
    </row>
    <row r="3740">
      <c r="A3740" s="2"/>
      <c r="B3740" s="168" t="s">
        <v>217</v>
      </c>
      <c r="C3740" s="168" t="s">
        <v>3993</v>
      </c>
      <c r="D3740" s="229">
        <v>27.5</v>
      </c>
      <c r="E3740" s="229">
        <v>31.0</v>
      </c>
      <c r="F3740" s="230">
        <v>3.0</v>
      </c>
      <c r="G3740" s="232"/>
    </row>
    <row r="3741">
      <c r="A3741" s="2"/>
      <c r="B3741" s="168" t="s">
        <v>260</v>
      </c>
      <c r="C3741" s="168" t="s">
        <v>3994</v>
      </c>
      <c r="D3741" s="229">
        <v>28.5</v>
      </c>
      <c r="E3741" s="229">
        <v>32.0</v>
      </c>
      <c r="F3741" s="230">
        <v>3.0</v>
      </c>
      <c r="G3741" s="232"/>
    </row>
    <row r="3742">
      <c r="A3742" s="2"/>
      <c r="B3742" s="168" t="s">
        <v>217</v>
      </c>
      <c r="C3742" s="168" t="s">
        <v>3995</v>
      </c>
      <c r="D3742" s="229">
        <v>27.5</v>
      </c>
      <c r="E3742" s="229">
        <v>31.0</v>
      </c>
      <c r="F3742" s="230">
        <v>3.0</v>
      </c>
      <c r="G3742" s="232"/>
    </row>
    <row r="3743">
      <c r="A3743" s="2"/>
      <c r="B3743" s="168" t="s">
        <v>221</v>
      </c>
      <c r="C3743" s="168" t="s">
        <v>3996</v>
      </c>
      <c r="D3743" s="229">
        <v>27.5</v>
      </c>
      <c r="E3743" s="229">
        <v>31.0</v>
      </c>
      <c r="F3743" s="230">
        <v>3.0</v>
      </c>
      <c r="G3743" s="232"/>
    </row>
    <row r="3744">
      <c r="A3744" s="2"/>
      <c r="B3744" s="168" t="s">
        <v>243</v>
      </c>
      <c r="C3744" s="168" t="s">
        <v>3997</v>
      </c>
      <c r="D3744" s="229">
        <v>29.5</v>
      </c>
      <c r="E3744" s="229">
        <v>33.0</v>
      </c>
      <c r="F3744" s="230">
        <v>3.0</v>
      </c>
      <c r="G3744" s="232"/>
    </row>
    <row r="3745">
      <c r="A3745" s="2"/>
      <c r="B3745" s="168" t="s">
        <v>230</v>
      </c>
      <c r="C3745" s="168" t="s">
        <v>3998</v>
      </c>
      <c r="D3745" s="229">
        <v>16.5</v>
      </c>
      <c r="E3745" s="229">
        <v>20.0</v>
      </c>
      <c r="F3745" s="230">
        <v>3.0</v>
      </c>
      <c r="G3745" s="232"/>
    </row>
    <row r="3746">
      <c r="A3746" s="2"/>
      <c r="B3746" s="168" t="s">
        <v>381</v>
      </c>
      <c r="C3746" s="168" t="s">
        <v>3999</v>
      </c>
      <c r="D3746" s="229">
        <v>28.5</v>
      </c>
      <c r="E3746" s="229">
        <v>32.0</v>
      </c>
      <c r="F3746" s="230">
        <v>3.0</v>
      </c>
      <c r="G3746" s="232"/>
    </row>
    <row r="3747">
      <c r="A3747" s="2"/>
      <c r="B3747" s="168" t="s">
        <v>381</v>
      </c>
      <c r="C3747" s="168" t="s">
        <v>4000</v>
      </c>
      <c r="D3747" s="229">
        <v>28.5</v>
      </c>
      <c r="E3747" s="229">
        <v>32.0</v>
      </c>
      <c r="F3747" s="230">
        <v>3.0</v>
      </c>
      <c r="G3747" s="232"/>
    </row>
    <row r="3748">
      <c r="A3748" s="2"/>
      <c r="B3748" s="168" t="s">
        <v>241</v>
      </c>
      <c r="C3748" s="168" t="s">
        <v>4001</v>
      </c>
      <c r="D3748" s="229">
        <v>32.5</v>
      </c>
      <c r="E3748" s="229">
        <v>36.0</v>
      </c>
      <c r="F3748" s="230">
        <v>3.0</v>
      </c>
      <c r="G3748" s="232"/>
    </row>
    <row r="3749">
      <c r="A3749" s="2"/>
      <c r="B3749" s="168" t="s">
        <v>257</v>
      </c>
      <c r="C3749" s="168" t="s">
        <v>4002</v>
      </c>
      <c r="D3749" s="229">
        <v>28.5</v>
      </c>
      <c r="E3749" s="229">
        <v>32.0</v>
      </c>
      <c r="F3749" s="230">
        <v>3.0</v>
      </c>
      <c r="G3749" s="232"/>
    </row>
    <row r="3750">
      <c r="A3750" s="2"/>
      <c r="B3750" s="168" t="s">
        <v>381</v>
      </c>
      <c r="C3750" s="168" t="s">
        <v>4003</v>
      </c>
      <c r="D3750" s="229">
        <v>28.5</v>
      </c>
      <c r="E3750" s="229">
        <v>32.0</v>
      </c>
      <c r="F3750" s="230">
        <v>3.0</v>
      </c>
      <c r="G3750" s="232"/>
    </row>
    <row r="3751">
      <c r="A3751" s="2"/>
      <c r="B3751" s="168" t="s">
        <v>337</v>
      </c>
      <c r="C3751" s="168" t="s">
        <v>4004</v>
      </c>
      <c r="D3751" s="229">
        <v>28.5</v>
      </c>
      <c r="E3751" s="229">
        <v>32.0</v>
      </c>
      <c r="F3751" s="230">
        <v>3.0</v>
      </c>
      <c r="G3751" s="232"/>
    </row>
    <row r="3752">
      <c r="A3752" s="2"/>
      <c r="B3752" s="168" t="s">
        <v>269</v>
      </c>
      <c r="C3752" s="168" t="s">
        <v>4005</v>
      </c>
      <c r="D3752" s="229">
        <v>26.5</v>
      </c>
      <c r="E3752" s="229">
        <v>30.0</v>
      </c>
      <c r="F3752" s="230">
        <v>3.0</v>
      </c>
      <c r="G3752" s="232"/>
    </row>
    <row r="3753">
      <c r="A3753" s="2"/>
      <c r="B3753" s="168" t="s">
        <v>215</v>
      </c>
      <c r="C3753" s="168" t="s">
        <v>4006</v>
      </c>
      <c r="D3753" s="229">
        <v>27.5</v>
      </c>
      <c r="E3753" s="229">
        <v>31.0</v>
      </c>
      <c r="F3753" s="230">
        <v>3.0</v>
      </c>
      <c r="G3753" s="232"/>
    </row>
    <row r="3754">
      <c r="A3754" s="2"/>
      <c r="B3754" s="168" t="s">
        <v>273</v>
      </c>
      <c r="C3754" s="168" t="s">
        <v>4007</v>
      </c>
      <c r="D3754" s="229">
        <v>24.5</v>
      </c>
      <c r="E3754" s="229">
        <v>28.0</v>
      </c>
      <c r="F3754" s="230">
        <v>3.0</v>
      </c>
      <c r="G3754" s="232"/>
    </row>
    <row r="3755">
      <c r="A3755" s="2"/>
      <c r="B3755" s="168" t="s">
        <v>243</v>
      </c>
      <c r="C3755" s="168" t="s">
        <v>4008</v>
      </c>
      <c r="D3755" s="229">
        <v>29.5</v>
      </c>
      <c r="E3755" s="229">
        <v>33.0</v>
      </c>
      <c r="F3755" s="230">
        <v>3.0</v>
      </c>
      <c r="G3755" s="232"/>
    </row>
    <row r="3756">
      <c r="A3756" s="2"/>
      <c r="B3756" s="168" t="s">
        <v>592</v>
      </c>
      <c r="C3756" s="168" t="s">
        <v>4009</v>
      </c>
      <c r="D3756" s="229">
        <v>34.5</v>
      </c>
      <c r="E3756" s="229">
        <v>38.0</v>
      </c>
      <c r="F3756" s="230">
        <v>3.0</v>
      </c>
      <c r="G3756" s="232"/>
    </row>
    <row r="3757">
      <c r="A3757" s="2"/>
      <c r="B3757" s="168" t="s">
        <v>341</v>
      </c>
      <c r="C3757" s="168" t="s">
        <v>4010</v>
      </c>
      <c r="D3757" s="229">
        <v>29.0</v>
      </c>
      <c r="E3757" s="229">
        <v>29.0</v>
      </c>
      <c r="F3757" s="230">
        <v>3.0</v>
      </c>
      <c r="G3757" s="232"/>
    </row>
    <row r="3758">
      <c r="A3758" s="2"/>
      <c r="B3758" s="168" t="s">
        <v>230</v>
      </c>
      <c r="C3758" s="168" t="s">
        <v>4011</v>
      </c>
      <c r="D3758" s="229">
        <v>16.5</v>
      </c>
      <c r="E3758" s="229">
        <v>20.0</v>
      </c>
      <c r="F3758" s="230">
        <v>3.0</v>
      </c>
      <c r="G3758" s="232"/>
    </row>
    <row r="3759">
      <c r="A3759" s="2"/>
      <c r="B3759" s="168" t="s">
        <v>337</v>
      </c>
      <c r="C3759" s="168" t="s">
        <v>4012</v>
      </c>
      <c r="D3759" s="229">
        <v>20.5</v>
      </c>
      <c r="E3759" s="229">
        <v>24.0</v>
      </c>
      <c r="F3759" s="230">
        <v>3.0</v>
      </c>
      <c r="G3759" s="232"/>
    </row>
    <row r="3760">
      <c r="A3760" s="2"/>
      <c r="B3760" s="168" t="s">
        <v>413</v>
      </c>
      <c r="C3760" s="168" t="s">
        <v>4013</v>
      </c>
      <c r="D3760" s="229">
        <v>29.5</v>
      </c>
      <c r="E3760" s="229">
        <v>33.0</v>
      </c>
      <c r="F3760" s="230">
        <v>3.0</v>
      </c>
      <c r="G3760" s="232"/>
    </row>
    <row r="3761">
      <c r="A3761" s="2"/>
      <c r="B3761" s="168" t="s">
        <v>254</v>
      </c>
      <c r="C3761" s="168" t="s">
        <v>4014</v>
      </c>
      <c r="D3761" s="229">
        <v>26.5</v>
      </c>
      <c r="E3761" s="229">
        <v>30.0</v>
      </c>
      <c r="F3761" s="230">
        <v>3.0</v>
      </c>
      <c r="G3761" s="232"/>
    </row>
    <row r="3762">
      <c r="A3762" s="2"/>
      <c r="B3762" s="168" t="s">
        <v>239</v>
      </c>
      <c r="C3762" s="168" t="s">
        <v>4015</v>
      </c>
      <c r="D3762" s="229">
        <v>29.5</v>
      </c>
      <c r="E3762" s="229">
        <v>33.0</v>
      </c>
      <c r="F3762" s="230">
        <v>3.0</v>
      </c>
      <c r="G3762" s="232"/>
    </row>
    <row r="3763">
      <c r="A3763" s="2"/>
      <c r="B3763" s="168" t="s">
        <v>318</v>
      </c>
      <c r="C3763" s="168" t="s">
        <v>4016</v>
      </c>
      <c r="D3763" s="229">
        <v>25.5</v>
      </c>
      <c r="E3763" s="229">
        <v>29.0</v>
      </c>
      <c r="F3763" s="230">
        <v>3.0</v>
      </c>
      <c r="G3763" s="232"/>
    </row>
    <row r="3764">
      <c r="A3764" s="2"/>
      <c r="B3764" s="168" t="s">
        <v>332</v>
      </c>
      <c r="C3764" s="168" t="s">
        <v>4017</v>
      </c>
      <c r="D3764" s="229">
        <v>28.5</v>
      </c>
      <c r="E3764" s="229">
        <v>32.0</v>
      </c>
      <c r="F3764" s="230">
        <v>3.0</v>
      </c>
      <c r="G3764" s="232"/>
    </row>
    <row r="3765">
      <c r="A3765" s="2"/>
      <c r="B3765" s="168" t="s">
        <v>430</v>
      </c>
      <c r="C3765" s="168" t="s">
        <v>4018</v>
      </c>
      <c r="D3765" s="229">
        <v>34.5</v>
      </c>
      <c r="E3765" s="229">
        <v>38.0</v>
      </c>
      <c r="F3765" s="230">
        <v>3.0</v>
      </c>
      <c r="G3765" s="232"/>
    </row>
    <row r="3766">
      <c r="A3766" s="2"/>
      <c r="B3766" s="168" t="s">
        <v>273</v>
      </c>
      <c r="C3766" s="168" t="s">
        <v>4019</v>
      </c>
      <c r="D3766" s="229">
        <v>29.5</v>
      </c>
      <c r="E3766" s="229">
        <v>33.0</v>
      </c>
      <c r="F3766" s="230">
        <v>3.0</v>
      </c>
      <c r="G3766" s="232"/>
    </row>
    <row r="3767">
      <c r="A3767" s="2"/>
      <c r="B3767" s="168" t="s">
        <v>232</v>
      </c>
      <c r="C3767" s="168" t="s">
        <v>4020</v>
      </c>
      <c r="D3767" s="229">
        <v>31.5</v>
      </c>
      <c r="E3767" s="229">
        <v>35.0</v>
      </c>
      <c r="F3767" s="230">
        <v>3.0</v>
      </c>
      <c r="G3767" s="232"/>
    </row>
    <row r="3768">
      <c r="A3768" s="2"/>
      <c r="B3768" s="168" t="s">
        <v>296</v>
      </c>
      <c r="C3768" s="168" t="s">
        <v>4021</v>
      </c>
      <c r="D3768" s="229">
        <v>26.5</v>
      </c>
      <c r="E3768" s="229">
        <v>30.0</v>
      </c>
      <c r="F3768" s="230">
        <v>3.0</v>
      </c>
      <c r="G3768" s="232"/>
    </row>
    <row r="3769">
      <c r="A3769" s="2"/>
      <c r="B3769" s="168" t="s">
        <v>337</v>
      </c>
      <c r="C3769" s="168" t="s">
        <v>4022</v>
      </c>
      <c r="D3769" s="229">
        <v>28.5</v>
      </c>
      <c r="E3769" s="229">
        <v>32.0</v>
      </c>
      <c r="F3769" s="230">
        <v>3.0</v>
      </c>
      <c r="G3769" s="232"/>
    </row>
    <row r="3770">
      <c r="A3770" s="2"/>
      <c r="B3770" s="168" t="s">
        <v>290</v>
      </c>
      <c r="C3770" s="168" t="s">
        <v>4023</v>
      </c>
      <c r="D3770" s="229">
        <v>29.5</v>
      </c>
      <c r="E3770" s="229">
        <v>33.0</v>
      </c>
      <c r="F3770" s="230">
        <v>3.0</v>
      </c>
      <c r="G3770" s="232"/>
    </row>
    <row r="3771">
      <c r="A3771" s="2"/>
      <c r="B3771" s="168" t="s">
        <v>430</v>
      </c>
      <c r="C3771" s="168" t="s">
        <v>4024</v>
      </c>
      <c r="D3771" s="229">
        <v>34.5</v>
      </c>
      <c r="E3771" s="229">
        <v>38.0</v>
      </c>
      <c r="F3771" s="230">
        <v>3.0</v>
      </c>
      <c r="G3771" s="232"/>
    </row>
    <row r="3772">
      <c r="A3772" s="2"/>
      <c r="B3772" s="168" t="s">
        <v>239</v>
      </c>
      <c r="C3772" s="168" t="s">
        <v>4025</v>
      </c>
      <c r="D3772" s="229">
        <v>29.5</v>
      </c>
      <c r="E3772" s="229">
        <v>33.0</v>
      </c>
      <c r="F3772" s="230">
        <v>3.0</v>
      </c>
      <c r="G3772" s="232"/>
    </row>
    <row r="3773">
      <c r="A3773" s="2"/>
      <c r="B3773" s="168" t="s">
        <v>318</v>
      </c>
      <c r="C3773" s="168" t="s">
        <v>4026</v>
      </c>
      <c r="D3773" s="229">
        <v>25.5</v>
      </c>
      <c r="E3773" s="229">
        <v>29.0</v>
      </c>
      <c r="F3773" s="230">
        <v>3.0</v>
      </c>
      <c r="G3773" s="232"/>
    </row>
    <row r="3774">
      <c r="A3774" s="2"/>
      <c r="B3774" s="168" t="s">
        <v>377</v>
      </c>
      <c r="C3774" s="168" t="s">
        <v>4027</v>
      </c>
      <c r="D3774" s="229">
        <v>29.5</v>
      </c>
      <c r="E3774" s="229">
        <v>33.0</v>
      </c>
      <c r="F3774" s="230">
        <v>3.0</v>
      </c>
      <c r="G3774" s="232"/>
    </row>
    <row r="3775">
      <c r="A3775" s="2"/>
      <c r="B3775" s="168" t="s">
        <v>215</v>
      </c>
      <c r="C3775" s="168" t="s">
        <v>4028</v>
      </c>
      <c r="D3775" s="229">
        <v>27.5</v>
      </c>
      <c r="E3775" s="229">
        <v>31.0</v>
      </c>
      <c r="F3775" s="230">
        <v>3.0</v>
      </c>
      <c r="G3775" s="232"/>
    </row>
    <row r="3776">
      <c r="A3776" s="2"/>
      <c r="B3776" s="168" t="s">
        <v>288</v>
      </c>
      <c r="C3776" s="168" t="s">
        <v>4029</v>
      </c>
      <c r="D3776" s="229">
        <v>21.5</v>
      </c>
      <c r="E3776" s="229">
        <v>25.0</v>
      </c>
      <c r="F3776" s="230">
        <v>3.0</v>
      </c>
      <c r="G3776" s="232"/>
    </row>
    <row r="3777">
      <c r="A3777" s="2"/>
      <c r="B3777" s="168" t="s">
        <v>215</v>
      </c>
      <c r="C3777" s="168" t="s">
        <v>4030</v>
      </c>
      <c r="D3777" s="229">
        <v>27.5</v>
      </c>
      <c r="E3777" s="229">
        <v>31.0</v>
      </c>
      <c r="F3777" s="230">
        <v>3.0</v>
      </c>
      <c r="G3777" s="232"/>
    </row>
    <row r="3778">
      <c r="A3778" s="2"/>
      <c r="B3778" s="168" t="s">
        <v>811</v>
      </c>
      <c r="C3778" s="168" t="s">
        <v>4031</v>
      </c>
      <c r="D3778" s="229">
        <v>29.5</v>
      </c>
      <c r="E3778" s="229">
        <v>33.0</v>
      </c>
      <c r="F3778" s="230">
        <v>3.0</v>
      </c>
      <c r="G3778" s="232"/>
    </row>
    <row r="3779">
      <c r="A3779" s="2"/>
      <c r="B3779" s="168" t="s">
        <v>288</v>
      </c>
      <c r="C3779" s="168" t="s">
        <v>4032</v>
      </c>
      <c r="D3779" s="229">
        <v>21.5</v>
      </c>
      <c r="E3779" s="229">
        <v>25.0</v>
      </c>
      <c r="F3779" s="230">
        <v>3.0</v>
      </c>
      <c r="G3779" s="232"/>
    </row>
    <row r="3780">
      <c r="A3780" s="2"/>
      <c r="B3780" s="168" t="s">
        <v>239</v>
      </c>
      <c r="C3780" s="168" t="s">
        <v>4033</v>
      </c>
      <c r="D3780" s="229">
        <v>29.5</v>
      </c>
      <c r="E3780" s="229">
        <v>33.0</v>
      </c>
      <c r="F3780" s="230">
        <v>3.0</v>
      </c>
      <c r="G3780" s="232"/>
    </row>
    <row r="3781">
      <c r="A3781" s="2"/>
      <c r="B3781" s="168" t="s">
        <v>328</v>
      </c>
      <c r="C3781" s="168" t="s">
        <v>4034</v>
      </c>
      <c r="D3781" s="229">
        <v>34.5</v>
      </c>
      <c r="E3781" s="229">
        <v>38.0</v>
      </c>
      <c r="F3781" s="230">
        <v>3.0</v>
      </c>
      <c r="G3781" s="232"/>
    </row>
    <row r="3782">
      <c r="A3782" s="2"/>
      <c r="B3782" s="168" t="s">
        <v>257</v>
      </c>
      <c r="C3782" s="168" t="s">
        <v>4035</v>
      </c>
      <c r="D3782" s="229">
        <v>28.5</v>
      </c>
      <c r="E3782" s="229">
        <v>32.0</v>
      </c>
      <c r="F3782" s="230">
        <v>3.0</v>
      </c>
      <c r="G3782" s="232"/>
    </row>
    <row r="3783">
      <c r="A3783" s="2"/>
      <c r="B3783" s="168" t="s">
        <v>245</v>
      </c>
      <c r="C3783" s="168" t="s">
        <v>4036</v>
      </c>
      <c r="D3783" s="229">
        <v>29.5</v>
      </c>
      <c r="E3783" s="229">
        <v>33.0</v>
      </c>
      <c r="F3783" s="230">
        <v>3.0</v>
      </c>
      <c r="G3783" s="232"/>
    </row>
    <row r="3784">
      <c r="A3784" s="2"/>
      <c r="B3784" s="168" t="s">
        <v>217</v>
      </c>
      <c r="C3784" s="168" t="s">
        <v>4037</v>
      </c>
      <c r="D3784" s="229">
        <v>27.5</v>
      </c>
      <c r="E3784" s="229">
        <v>31.0</v>
      </c>
      <c r="F3784" s="230">
        <v>3.0</v>
      </c>
      <c r="G3784" s="232"/>
    </row>
    <row r="3785">
      <c r="A3785" s="2"/>
      <c r="B3785" s="168" t="s">
        <v>245</v>
      </c>
      <c r="C3785" s="168" t="s">
        <v>4038</v>
      </c>
      <c r="D3785" s="229">
        <v>29.5</v>
      </c>
      <c r="E3785" s="229">
        <v>33.0</v>
      </c>
      <c r="F3785" s="230">
        <v>3.0</v>
      </c>
      <c r="G3785" s="232"/>
    </row>
    <row r="3786">
      <c r="A3786" s="2"/>
      <c r="B3786" s="168" t="s">
        <v>234</v>
      </c>
      <c r="C3786" s="168" t="s">
        <v>4039</v>
      </c>
      <c r="D3786" s="229">
        <v>29.5</v>
      </c>
      <c r="E3786" s="229">
        <v>33.0</v>
      </c>
      <c r="F3786" s="230">
        <v>3.0</v>
      </c>
      <c r="G3786" s="232"/>
    </row>
    <row r="3787">
      <c r="A3787" s="2"/>
      <c r="B3787" s="168" t="s">
        <v>337</v>
      </c>
      <c r="C3787" s="168" t="s">
        <v>4040</v>
      </c>
      <c r="D3787" s="229">
        <v>20.5</v>
      </c>
      <c r="E3787" s="229">
        <v>24.0</v>
      </c>
      <c r="F3787" s="230">
        <v>3.0</v>
      </c>
      <c r="G3787" s="232"/>
    </row>
    <row r="3788">
      <c r="A3788" s="2"/>
      <c r="B3788" s="168" t="s">
        <v>243</v>
      </c>
      <c r="C3788" s="168" t="s">
        <v>4041</v>
      </c>
      <c r="D3788" s="229">
        <v>29.5</v>
      </c>
      <c r="E3788" s="229">
        <v>33.0</v>
      </c>
      <c r="F3788" s="230">
        <v>3.0</v>
      </c>
      <c r="G3788" s="232"/>
    </row>
    <row r="3789">
      <c r="A3789" s="2"/>
      <c r="B3789" s="168" t="s">
        <v>241</v>
      </c>
      <c r="C3789" s="168" t="s">
        <v>4042</v>
      </c>
      <c r="D3789" s="229">
        <v>32.5</v>
      </c>
      <c r="E3789" s="229">
        <v>36.0</v>
      </c>
      <c r="F3789" s="230">
        <v>3.0</v>
      </c>
      <c r="G3789" s="232"/>
    </row>
    <row r="3790">
      <c r="A3790" s="2"/>
      <c r="B3790" s="168" t="s">
        <v>245</v>
      </c>
      <c r="C3790" s="168" t="s">
        <v>4043</v>
      </c>
      <c r="D3790" s="229">
        <v>24.5</v>
      </c>
      <c r="E3790" s="229">
        <v>28.0</v>
      </c>
      <c r="F3790" s="230">
        <v>3.0</v>
      </c>
      <c r="G3790" s="232"/>
    </row>
    <row r="3791">
      <c r="A3791" s="2"/>
      <c r="B3791" s="168" t="s">
        <v>592</v>
      </c>
      <c r="C3791" s="168" t="s">
        <v>4044</v>
      </c>
      <c r="D3791" s="229">
        <v>34.5</v>
      </c>
      <c r="E3791" s="229">
        <v>38.0</v>
      </c>
      <c r="F3791" s="230">
        <v>3.0</v>
      </c>
      <c r="G3791" s="232"/>
    </row>
    <row r="3792">
      <c r="A3792" s="2"/>
      <c r="B3792" s="168" t="s">
        <v>296</v>
      </c>
      <c r="C3792" s="168" t="s">
        <v>4045</v>
      </c>
      <c r="D3792" s="229">
        <v>26.5</v>
      </c>
      <c r="E3792" s="229">
        <v>30.0</v>
      </c>
      <c r="F3792" s="230">
        <v>3.0</v>
      </c>
      <c r="G3792" s="232"/>
    </row>
    <row r="3793">
      <c r="A3793" s="2"/>
      <c r="B3793" s="168" t="s">
        <v>345</v>
      </c>
      <c r="C3793" s="168" t="s">
        <v>4046</v>
      </c>
      <c r="D3793" s="229">
        <v>26.5</v>
      </c>
      <c r="E3793" s="229">
        <v>30.0</v>
      </c>
      <c r="F3793" s="230">
        <v>3.0</v>
      </c>
      <c r="G3793" s="232"/>
    </row>
    <row r="3794">
      <c r="A3794" s="2"/>
      <c r="B3794" s="168" t="s">
        <v>232</v>
      </c>
      <c r="C3794" s="168" t="s">
        <v>4047</v>
      </c>
      <c r="D3794" s="229">
        <v>31.5</v>
      </c>
      <c r="E3794" s="229">
        <v>35.0</v>
      </c>
      <c r="F3794" s="230">
        <v>3.0</v>
      </c>
      <c r="G3794" s="232"/>
    </row>
    <row r="3795">
      <c r="A3795" s="2"/>
      <c r="B3795" s="168" t="s">
        <v>290</v>
      </c>
      <c r="C3795" s="168" t="s">
        <v>4048</v>
      </c>
      <c r="D3795" s="229">
        <v>29.5</v>
      </c>
      <c r="E3795" s="229">
        <v>33.0</v>
      </c>
      <c r="F3795" s="230">
        <v>3.0</v>
      </c>
      <c r="G3795" s="232"/>
    </row>
    <row r="3796">
      <c r="A3796" s="2"/>
      <c r="B3796" s="168" t="s">
        <v>280</v>
      </c>
      <c r="C3796" s="168" t="s">
        <v>4049</v>
      </c>
      <c r="D3796" s="229">
        <v>31.0</v>
      </c>
      <c r="E3796" s="229">
        <v>34.5</v>
      </c>
      <c r="F3796" s="230">
        <v>3.0</v>
      </c>
      <c r="G3796" s="232"/>
    </row>
    <row r="3797">
      <c r="A3797" s="2"/>
      <c r="B3797" s="168" t="s">
        <v>937</v>
      </c>
      <c r="C3797" s="168" t="s">
        <v>4050</v>
      </c>
      <c r="D3797" s="229">
        <v>21.5</v>
      </c>
      <c r="E3797" s="229">
        <v>25.0</v>
      </c>
      <c r="F3797" s="230">
        <v>3.0</v>
      </c>
      <c r="G3797" s="232"/>
    </row>
    <row r="3798">
      <c r="A3798" s="2"/>
      <c r="B3798" s="168" t="s">
        <v>241</v>
      </c>
      <c r="C3798" s="168" t="s">
        <v>4051</v>
      </c>
      <c r="D3798" s="229">
        <v>27.5</v>
      </c>
      <c r="E3798" s="229">
        <v>31.0</v>
      </c>
      <c r="F3798" s="230">
        <v>3.0</v>
      </c>
      <c r="G3798" s="232"/>
    </row>
    <row r="3799">
      <c r="A3799" s="2"/>
      <c r="B3799" s="168" t="s">
        <v>318</v>
      </c>
      <c r="C3799" s="168" t="s">
        <v>4052</v>
      </c>
      <c r="D3799" s="229">
        <v>25.5</v>
      </c>
      <c r="E3799" s="229">
        <v>29.0</v>
      </c>
      <c r="F3799" s="230">
        <v>3.0</v>
      </c>
      <c r="G3799" s="232"/>
    </row>
    <row r="3800">
      <c r="A3800" s="2"/>
      <c r="B3800" s="168" t="s">
        <v>565</v>
      </c>
      <c r="C3800" s="168" t="s">
        <v>4053</v>
      </c>
      <c r="D3800" s="229">
        <v>24.5</v>
      </c>
      <c r="E3800" s="229">
        <v>28.0</v>
      </c>
      <c r="F3800" s="230">
        <v>3.0</v>
      </c>
      <c r="G3800" s="232"/>
    </row>
    <row r="3801">
      <c r="A3801" s="2"/>
      <c r="B3801" s="168" t="s">
        <v>217</v>
      </c>
      <c r="C3801" s="168" t="s">
        <v>4054</v>
      </c>
      <c r="D3801" s="229">
        <v>27.5</v>
      </c>
      <c r="E3801" s="229">
        <v>31.0</v>
      </c>
      <c r="F3801" s="230">
        <v>3.0</v>
      </c>
      <c r="G3801" s="232"/>
    </row>
    <row r="3802">
      <c r="A3802" s="2"/>
      <c r="B3802" s="168" t="s">
        <v>232</v>
      </c>
      <c r="C3802" s="168" t="s">
        <v>4055</v>
      </c>
      <c r="D3802" s="229">
        <v>31.5</v>
      </c>
      <c r="E3802" s="229">
        <v>35.0</v>
      </c>
      <c r="F3802" s="230">
        <v>3.0</v>
      </c>
      <c r="G3802" s="232"/>
    </row>
    <row r="3803">
      <c r="A3803" s="2"/>
      <c r="B3803" s="168" t="s">
        <v>318</v>
      </c>
      <c r="C3803" s="168" t="s">
        <v>4056</v>
      </c>
      <c r="D3803" s="229">
        <v>25.5</v>
      </c>
      <c r="E3803" s="229">
        <v>29.0</v>
      </c>
      <c r="F3803" s="230">
        <v>3.0</v>
      </c>
      <c r="G3803" s="232"/>
    </row>
    <row r="3804">
      <c r="A3804" s="2"/>
      <c r="B3804" s="168" t="s">
        <v>260</v>
      </c>
      <c r="C3804" s="168" t="s">
        <v>4057</v>
      </c>
      <c r="D3804" s="229">
        <v>28.5</v>
      </c>
      <c r="E3804" s="229">
        <v>32.0</v>
      </c>
      <c r="F3804" s="230">
        <v>3.0</v>
      </c>
      <c r="G3804" s="232"/>
    </row>
    <row r="3805">
      <c r="A3805" s="2"/>
      <c r="B3805" s="168" t="s">
        <v>257</v>
      </c>
      <c r="C3805" s="168" t="s">
        <v>4058</v>
      </c>
      <c r="D3805" s="229">
        <v>28.5</v>
      </c>
      <c r="E3805" s="229">
        <v>32.0</v>
      </c>
      <c r="F3805" s="230">
        <v>3.0</v>
      </c>
      <c r="G3805" s="232"/>
    </row>
    <row r="3806">
      <c r="A3806" s="2"/>
      <c r="B3806" s="168" t="s">
        <v>243</v>
      </c>
      <c r="C3806" s="168" t="s">
        <v>4059</v>
      </c>
      <c r="D3806" s="229">
        <v>29.5</v>
      </c>
      <c r="E3806" s="229">
        <v>33.0</v>
      </c>
      <c r="F3806" s="230">
        <v>3.0</v>
      </c>
      <c r="G3806" s="232"/>
    </row>
    <row r="3807">
      <c r="A3807" s="2"/>
      <c r="B3807" s="168" t="s">
        <v>290</v>
      </c>
      <c r="C3807" s="168" t="s">
        <v>4060</v>
      </c>
      <c r="D3807" s="229">
        <v>29.5</v>
      </c>
      <c r="E3807" s="229">
        <v>33.0</v>
      </c>
      <c r="F3807" s="230">
        <v>3.0</v>
      </c>
      <c r="G3807" s="232"/>
    </row>
    <row r="3808">
      <c r="A3808" s="2"/>
      <c r="B3808" s="168" t="s">
        <v>438</v>
      </c>
      <c r="C3808" s="168" t="s">
        <v>4061</v>
      </c>
      <c r="D3808" s="229">
        <v>29.5</v>
      </c>
      <c r="E3808" s="229">
        <v>33.0</v>
      </c>
      <c r="F3808" s="230">
        <v>3.0</v>
      </c>
      <c r="G3808" s="232"/>
    </row>
    <row r="3809">
      <c r="A3809" s="2"/>
      <c r="B3809" s="168" t="s">
        <v>413</v>
      </c>
      <c r="C3809" s="168" t="s">
        <v>4062</v>
      </c>
      <c r="D3809" s="229">
        <v>29.5</v>
      </c>
      <c r="E3809" s="229">
        <v>33.0</v>
      </c>
      <c r="F3809" s="230">
        <v>3.0</v>
      </c>
      <c r="G3809" s="232"/>
    </row>
    <row r="3810">
      <c r="A3810" s="2"/>
      <c r="B3810" s="168" t="s">
        <v>430</v>
      </c>
      <c r="C3810" s="168" t="s">
        <v>4063</v>
      </c>
      <c r="D3810" s="229">
        <v>34.5</v>
      </c>
      <c r="E3810" s="229">
        <v>38.0</v>
      </c>
      <c r="F3810" s="230">
        <v>3.0</v>
      </c>
      <c r="G3810" s="232"/>
    </row>
    <row r="3811">
      <c r="A3811" s="2"/>
      <c r="B3811" s="168" t="s">
        <v>449</v>
      </c>
      <c r="C3811" s="168" t="s">
        <v>4064</v>
      </c>
      <c r="D3811" s="229">
        <v>28.5</v>
      </c>
      <c r="E3811" s="229">
        <v>32.0</v>
      </c>
      <c r="F3811" s="230">
        <v>3.0</v>
      </c>
      <c r="G3811" s="232"/>
    </row>
    <row r="3812">
      <c r="A3812" s="2"/>
      <c r="B3812" s="168" t="s">
        <v>413</v>
      </c>
      <c r="C3812" s="168" t="s">
        <v>4065</v>
      </c>
      <c r="D3812" s="229">
        <v>29.5</v>
      </c>
      <c r="E3812" s="229">
        <v>33.0</v>
      </c>
      <c r="F3812" s="230">
        <v>3.0</v>
      </c>
      <c r="G3812" s="232"/>
    </row>
    <row r="3813">
      <c r="A3813" s="2"/>
      <c r="B3813" s="168" t="s">
        <v>239</v>
      </c>
      <c r="C3813" s="168" t="s">
        <v>4066</v>
      </c>
      <c r="D3813" s="229">
        <v>29.5</v>
      </c>
      <c r="E3813" s="229">
        <v>33.0</v>
      </c>
      <c r="F3813" s="230">
        <v>3.0</v>
      </c>
      <c r="G3813" s="232"/>
    </row>
    <row r="3814">
      <c r="A3814" s="2"/>
      <c r="B3814" s="168" t="s">
        <v>290</v>
      </c>
      <c r="C3814" s="168" t="s">
        <v>4067</v>
      </c>
      <c r="D3814" s="229">
        <v>29.5</v>
      </c>
      <c r="E3814" s="229">
        <v>33.0</v>
      </c>
      <c r="F3814" s="230">
        <v>3.0</v>
      </c>
      <c r="G3814" s="232"/>
    </row>
    <row r="3815">
      <c r="A3815" s="2"/>
      <c r="B3815" s="168" t="s">
        <v>332</v>
      </c>
      <c r="C3815" s="168" t="s">
        <v>4068</v>
      </c>
      <c r="D3815" s="229">
        <v>28.0</v>
      </c>
      <c r="E3815" s="229">
        <v>31.5</v>
      </c>
      <c r="F3815" s="230">
        <v>3.0</v>
      </c>
      <c r="G3815" s="232"/>
    </row>
    <row r="3816">
      <c r="A3816" s="2"/>
      <c r="B3816" s="168" t="s">
        <v>337</v>
      </c>
      <c r="C3816" s="168" t="s">
        <v>4069</v>
      </c>
      <c r="D3816" s="229">
        <v>23.5</v>
      </c>
      <c r="E3816" s="229">
        <v>27.0</v>
      </c>
      <c r="F3816" s="230">
        <v>3.0</v>
      </c>
      <c r="G3816" s="232"/>
    </row>
    <row r="3817">
      <c r="A3817" s="2"/>
      <c r="B3817" s="168" t="s">
        <v>215</v>
      </c>
      <c r="C3817" s="168" t="s">
        <v>4070</v>
      </c>
      <c r="D3817" s="229">
        <v>29.5</v>
      </c>
      <c r="E3817" s="229">
        <v>33.0</v>
      </c>
      <c r="F3817" s="230">
        <v>3.0</v>
      </c>
      <c r="G3817" s="232"/>
    </row>
    <row r="3818">
      <c r="A3818" s="2"/>
      <c r="B3818" s="168" t="s">
        <v>318</v>
      </c>
      <c r="C3818" s="168" t="s">
        <v>4071</v>
      </c>
      <c r="D3818" s="229">
        <v>25.5</v>
      </c>
      <c r="E3818" s="229">
        <v>29.0</v>
      </c>
      <c r="F3818" s="230">
        <v>3.0</v>
      </c>
      <c r="G3818" s="232"/>
    </row>
    <row r="3819">
      <c r="A3819" s="2"/>
      <c r="B3819" s="168" t="s">
        <v>243</v>
      </c>
      <c r="C3819" s="168" t="s">
        <v>4072</v>
      </c>
      <c r="D3819" s="229">
        <v>29.5</v>
      </c>
      <c r="E3819" s="229">
        <v>33.0</v>
      </c>
      <c r="F3819" s="230">
        <v>3.0</v>
      </c>
      <c r="G3819" s="232"/>
    </row>
    <row r="3820">
      <c r="A3820" s="2"/>
      <c r="B3820" s="168" t="s">
        <v>830</v>
      </c>
      <c r="C3820" s="168" t="s">
        <v>4073</v>
      </c>
      <c r="D3820" s="229">
        <v>24.5</v>
      </c>
      <c r="E3820" s="229">
        <v>28.0</v>
      </c>
      <c r="F3820" s="230">
        <v>3.0</v>
      </c>
      <c r="G3820" s="232"/>
    </row>
    <row r="3821">
      <c r="A3821" s="2"/>
      <c r="B3821" s="168" t="s">
        <v>288</v>
      </c>
      <c r="C3821" s="168" t="s">
        <v>4074</v>
      </c>
      <c r="D3821" s="229">
        <v>21.5</v>
      </c>
      <c r="E3821" s="229">
        <v>25.0</v>
      </c>
      <c r="F3821" s="230">
        <v>3.0</v>
      </c>
      <c r="G3821" s="232"/>
    </row>
    <row r="3822">
      <c r="A3822" s="2"/>
      <c r="B3822" s="168" t="s">
        <v>449</v>
      </c>
      <c r="C3822" s="168" t="s">
        <v>4075</v>
      </c>
      <c r="D3822" s="229">
        <v>28.5</v>
      </c>
      <c r="E3822" s="229">
        <v>32.0</v>
      </c>
      <c r="F3822" s="230">
        <v>3.0</v>
      </c>
      <c r="G3822" s="232"/>
    </row>
    <row r="3823">
      <c r="A3823" s="2"/>
      <c r="B3823" s="168" t="s">
        <v>215</v>
      </c>
      <c r="C3823" s="168" t="s">
        <v>4076</v>
      </c>
      <c r="D3823" s="229">
        <v>29.5</v>
      </c>
      <c r="E3823" s="229">
        <v>33.0</v>
      </c>
      <c r="F3823" s="230">
        <v>3.0</v>
      </c>
      <c r="G3823" s="232"/>
    </row>
    <row r="3824">
      <c r="A3824" s="2"/>
      <c r="B3824" s="168" t="s">
        <v>241</v>
      </c>
      <c r="C3824" s="168" t="s">
        <v>4077</v>
      </c>
      <c r="D3824" s="229">
        <v>32.5</v>
      </c>
      <c r="E3824" s="229">
        <v>36.0</v>
      </c>
      <c r="F3824" s="230">
        <v>3.0</v>
      </c>
      <c r="G3824" s="232"/>
    </row>
    <row r="3825">
      <c r="A3825" s="2"/>
      <c r="B3825" s="168" t="s">
        <v>328</v>
      </c>
      <c r="C3825" s="168" t="s">
        <v>4078</v>
      </c>
      <c r="D3825" s="229">
        <v>34.5</v>
      </c>
      <c r="E3825" s="229">
        <v>38.0</v>
      </c>
      <c r="F3825" s="230">
        <v>3.0</v>
      </c>
      <c r="G3825" s="232"/>
    </row>
    <row r="3826">
      <c r="A3826" s="2"/>
      <c r="B3826" s="168" t="s">
        <v>381</v>
      </c>
      <c r="C3826" s="168" t="s">
        <v>4079</v>
      </c>
      <c r="D3826" s="229">
        <v>28.5</v>
      </c>
      <c r="E3826" s="229">
        <v>32.0</v>
      </c>
      <c r="F3826" s="230">
        <v>3.0</v>
      </c>
      <c r="G3826" s="232"/>
    </row>
    <row r="3827">
      <c r="A3827" s="2"/>
      <c r="B3827" s="168" t="s">
        <v>288</v>
      </c>
      <c r="C3827" s="168" t="s">
        <v>4080</v>
      </c>
      <c r="D3827" s="229">
        <v>16.5</v>
      </c>
      <c r="E3827" s="229">
        <v>20.0</v>
      </c>
      <c r="F3827" s="230">
        <v>3.0</v>
      </c>
      <c r="G3827" s="232"/>
    </row>
    <row r="3828">
      <c r="A3828" s="2"/>
      <c r="B3828" s="168" t="s">
        <v>332</v>
      </c>
      <c r="C3828" s="168" t="s">
        <v>4081</v>
      </c>
      <c r="D3828" s="229">
        <v>28.5</v>
      </c>
      <c r="E3828" s="229">
        <v>32.0</v>
      </c>
      <c r="F3828" s="230">
        <v>3.0</v>
      </c>
      <c r="G3828" s="232"/>
    </row>
    <row r="3829">
      <c r="A3829" s="2"/>
      <c r="B3829" s="168" t="s">
        <v>215</v>
      </c>
      <c r="C3829" s="168" t="s">
        <v>4082</v>
      </c>
      <c r="D3829" s="229">
        <v>27.5</v>
      </c>
      <c r="E3829" s="229">
        <v>31.0</v>
      </c>
      <c r="F3829" s="230">
        <v>3.0</v>
      </c>
      <c r="G3829" s="232"/>
    </row>
    <row r="3830">
      <c r="A3830" s="2"/>
      <c r="B3830" s="168" t="s">
        <v>1432</v>
      </c>
      <c r="C3830" s="168" t="s">
        <v>4083</v>
      </c>
      <c r="D3830" s="229">
        <v>26.5</v>
      </c>
      <c r="E3830" s="229">
        <v>30.0</v>
      </c>
      <c r="F3830" s="230">
        <v>3.0</v>
      </c>
      <c r="G3830" s="232"/>
    </row>
    <row r="3831">
      <c r="A3831" s="2"/>
      <c r="B3831" s="168" t="s">
        <v>232</v>
      </c>
      <c r="C3831" s="168" t="s">
        <v>4084</v>
      </c>
      <c r="D3831" s="229">
        <v>25.5</v>
      </c>
      <c r="E3831" s="229">
        <v>29.0</v>
      </c>
      <c r="F3831" s="230">
        <v>3.0</v>
      </c>
      <c r="G3831" s="232"/>
    </row>
    <row r="3832">
      <c r="A3832" s="2"/>
      <c r="B3832" s="168" t="s">
        <v>430</v>
      </c>
      <c r="C3832" s="168" t="s">
        <v>4085</v>
      </c>
      <c r="D3832" s="229">
        <v>34.5</v>
      </c>
      <c r="E3832" s="229">
        <v>38.0</v>
      </c>
      <c r="F3832" s="230">
        <v>3.0</v>
      </c>
      <c r="G3832" s="232"/>
    </row>
    <row r="3833">
      <c r="A3833" s="2"/>
      <c r="B3833" s="168" t="s">
        <v>243</v>
      </c>
      <c r="C3833" s="168" t="s">
        <v>4086</v>
      </c>
      <c r="D3833" s="229">
        <v>29.5</v>
      </c>
      <c r="E3833" s="229">
        <v>33.0</v>
      </c>
      <c r="F3833" s="230">
        <v>3.0</v>
      </c>
      <c r="G3833" s="232"/>
    </row>
    <row r="3834">
      <c r="A3834" s="2"/>
      <c r="B3834" s="168" t="s">
        <v>288</v>
      </c>
      <c r="C3834" s="168" t="s">
        <v>4087</v>
      </c>
      <c r="D3834" s="229">
        <v>21.5</v>
      </c>
      <c r="E3834" s="229">
        <v>25.0</v>
      </c>
      <c r="F3834" s="230">
        <v>3.0</v>
      </c>
      <c r="G3834" s="232"/>
    </row>
    <row r="3835">
      <c r="A3835" s="2"/>
      <c r="B3835" s="168" t="s">
        <v>296</v>
      </c>
      <c r="C3835" s="168" t="s">
        <v>4088</v>
      </c>
      <c r="D3835" s="229">
        <v>26.5</v>
      </c>
      <c r="E3835" s="229">
        <v>30.0</v>
      </c>
      <c r="F3835" s="230">
        <v>3.0</v>
      </c>
      <c r="G3835" s="232"/>
    </row>
    <row r="3836">
      <c r="A3836" s="2"/>
      <c r="B3836" s="168" t="s">
        <v>230</v>
      </c>
      <c r="C3836" s="168" t="s">
        <v>4089</v>
      </c>
      <c r="D3836" s="229">
        <v>21.5</v>
      </c>
      <c r="E3836" s="229">
        <v>25.0</v>
      </c>
      <c r="F3836" s="230">
        <v>3.0</v>
      </c>
      <c r="G3836" s="232"/>
    </row>
    <row r="3837">
      <c r="A3837" s="2"/>
      <c r="B3837" s="168" t="s">
        <v>290</v>
      </c>
      <c r="C3837" s="168" t="s">
        <v>4090</v>
      </c>
      <c r="D3837" s="229">
        <v>29.5</v>
      </c>
      <c r="E3837" s="229">
        <v>33.0</v>
      </c>
      <c r="F3837" s="230">
        <v>3.0</v>
      </c>
      <c r="G3837" s="232"/>
    </row>
    <row r="3838">
      <c r="A3838" s="2"/>
      <c r="B3838" s="168" t="s">
        <v>438</v>
      </c>
      <c r="C3838" s="168" t="s">
        <v>4091</v>
      </c>
      <c r="D3838" s="229">
        <v>29.5</v>
      </c>
      <c r="E3838" s="229">
        <v>33.0</v>
      </c>
      <c r="F3838" s="230">
        <v>3.0</v>
      </c>
      <c r="G3838" s="232"/>
    </row>
    <row r="3839">
      <c r="A3839" s="2"/>
      <c r="B3839" s="168" t="s">
        <v>217</v>
      </c>
      <c r="C3839" s="168" t="s">
        <v>4092</v>
      </c>
      <c r="D3839" s="229">
        <v>27.5</v>
      </c>
      <c r="E3839" s="229">
        <v>31.0</v>
      </c>
      <c r="F3839" s="230">
        <v>3.0</v>
      </c>
      <c r="G3839" s="232"/>
    </row>
    <row r="3840">
      <c r="A3840" s="2"/>
      <c r="B3840" s="168" t="s">
        <v>446</v>
      </c>
      <c r="C3840" s="168" t="s">
        <v>4093</v>
      </c>
      <c r="D3840" s="229">
        <v>4.5</v>
      </c>
      <c r="E3840" s="229">
        <v>4.5</v>
      </c>
      <c r="F3840" s="230">
        <v>3.0</v>
      </c>
      <c r="G3840" s="232"/>
    </row>
    <row r="3841">
      <c r="A3841" s="2"/>
      <c r="B3841" s="168" t="s">
        <v>592</v>
      </c>
      <c r="C3841" s="168" t="s">
        <v>4094</v>
      </c>
      <c r="D3841" s="229">
        <v>34.5</v>
      </c>
      <c r="E3841" s="229">
        <v>38.0</v>
      </c>
      <c r="F3841" s="230">
        <v>3.0</v>
      </c>
      <c r="G3841" s="232"/>
    </row>
    <row r="3842">
      <c r="A3842" s="2"/>
      <c r="B3842" s="168" t="s">
        <v>223</v>
      </c>
      <c r="C3842" s="168" t="s">
        <v>4095</v>
      </c>
      <c r="D3842" s="229">
        <v>26.5</v>
      </c>
      <c r="E3842" s="229">
        <v>30.0</v>
      </c>
      <c r="F3842" s="230">
        <v>3.0</v>
      </c>
      <c r="G3842" s="232"/>
    </row>
    <row r="3843">
      <c r="A3843" s="2"/>
      <c r="B3843" s="168" t="s">
        <v>296</v>
      </c>
      <c r="C3843" s="168" t="s">
        <v>4096</v>
      </c>
      <c r="D3843" s="229">
        <v>26.5</v>
      </c>
      <c r="E3843" s="229">
        <v>30.0</v>
      </c>
      <c r="F3843" s="230">
        <v>3.0</v>
      </c>
      <c r="G3843" s="232"/>
    </row>
    <row r="3844">
      <c r="A3844" s="2"/>
      <c r="B3844" s="168" t="s">
        <v>368</v>
      </c>
      <c r="C3844" s="168" t="s">
        <v>4097</v>
      </c>
      <c r="D3844" s="229">
        <v>32.5</v>
      </c>
      <c r="E3844" s="229">
        <v>36.0</v>
      </c>
      <c r="F3844" s="230">
        <v>3.0</v>
      </c>
      <c r="G3844" s="232"/>
    </row>
    <row r="3845">
      <c r="A3845" s="2"/>
      <c r="B3845" s="168" t="s">
        <v>243</v>
      </c>
      <c r="C3845" s="168" t="s">
        <v>4098</v>
      </c>
      <c r="D3845" s="229">
        <v>29.5</v>
      </c>
      <c r="E3845" s="229">
        <v>33.0</v>
      </c>
      <c r="F3845" s="230">
        <v>3.0</v>
      </c>
      <c r="G3845" s="232"/>
    </row>
    <row r="3846">
      <c r="A3846" s="2"/>
      <c r="B3846" s="168" t="s">
        <v>223</v>
      </c>
      <c r="C3846" s="168" t="s">
        <v>4099</v>
      </c>
      <c r="D3846" s="229">
        <v>26.5</v>
      </c>
      <c r="E3846" s="229">
        <v>30.0</v>
      </c>
      <c r="F3846" s="230">
        <v>3.0</v>
      </c>
      <c r="G3846" s="232"/>
    </row>
    <row r="3847">
      <c r="A3847" s="2"/>
      <c r="B3847" s="168" t="s">
        <v>215</v>
      </c>
      <c r="C3847" s="168" t="s">
        <v>4100</v>
      </c>
      <c r="D3847" s="229">
        <v>25.5</v>
      </c>
      <c r="E3847" s="229">
        <v>29.0</v>
      </c>
      <c r="F3847" s="230">
        <v>3.0</v>
      </c>
      <c r="G3847" s="232"/>
    </row>
    <row r="3848">
      <c r="A3848" s="2"/>
      <c r="B3848" s="168" t="s">
        <v>406</v>
      </c>
      <c r="C3848" s="168" t="s">
        <v>4101</v>
      </c>
      <c r="D3848" s="229">
        <v>27.5</v>
      </c>
      <c r="E3848" s="229">
        <v>31.0</v>
      </c>
      <c r="F3848" s="230">
        <v>3.0</v>
      </c>
      <c r="G3848" s="232"/>
    </row>
    <row r="3849">
      <c r="A3849" s="2"/>
      <c r="B3849" s="168" t="s">
        <v>456</v>
      </c>
      <c r="C3849" s="168" t="s">
        <v>4102</v>
      </c>
      <c r="D3849" s="229">
        <v>21.5</v>
      </c>
      <c r="E3849" s="229">
        <v>25.0</v>
      </c>
      <c r="F3849" s="230">
        <v>3.0</v>
      </c>
      <c r="G3849" s="232"/>
    </row>
    <row r="3850">
      <c r="A3850" s="2"/>
      <c r="B3850" s="168" t="s">
        <v>269</v>
      </c>
      <c r="C3850" s="168" t="s">
        <v>4103</v>
      </c>
      <c r="D3850" s="229">
        <v>26.5</v>
      </c>
      <c r="E3850" s="229">
        <v>30.0</v>
      </c>
      <c r="F3850" s="230">
        <v>3.0</v>
      </c>
      <c r="G3850" s="232"/>
    </row>
    <row r="3851">
      <c r="A3851" s="2"/>
      <c r="B3851" s="168" t="s">
        <v>280</v>
      </c>
      <c r="C3851" s="168" t="s">
        <v>4104</v>
      </c>
      <c r="D3851" s="229">
        <v>34.5</v>
      </c>
      <c r="E3851" s="229">
        <v>38.0</v>
      </c>
      <c r="F3851" s="230">
        <v>3.0</v>
      </c>
      <c r="G3851" s="232"/>
    </row>
    <row r="3852">
      <c r="A3852" s="2"/>
      <c r="B3852" s="168" t="s">
        <v>318</v>
      </c>
      <c r="C3852" s="168" t="s">
        <v>4105</v>
      </c>
      <c r="D3852" s="229">
        <v>25.5</v>
      </c>
      <c r="E3852" s="229">
        <v>29.0</v>
      </c>
      <c r="F3852" s="230">
        <v>3.0</v>
      </c>
      <c r="G3852" s="232"/>
    </row>
    <row r="3853">
      <c r="A3853" s="2"/>
      <c r="B3853" s="168" t="s">
        <v>217</v>
      </c>
      <c r="C3853" s="168" t="s">
        <v>4106</v>
      </c>
      <c r="D3853" s="229">
        <v>22.5</v>
      </c>
      <c r="E3853" s="229">
        <v>26.0</v>
      </c>
      <c r="F3853" s="230">
        <v>3.0</v>
      </c>
      <c r="G3853" s="232"/>
    </row>
    <row r="3854">
      <c r="A3854" s="2"/>
      <c r="B3854" s="168" t="s">
        <v>332</v>
      </c>
      <c r="C3854" s="168" t="s">
        <v>4107</v>
      </c>
      <c r="D3854" s="229">
        <v>28.5</v>
      </c>
      <c r="E3854" s="229">
        <v>32.0</v>
      </c>
      <c r="F3854" s="230">
        <v>3.0</v>
      </c>
      <c r="G3854" s="232"/>
    </row>
    <row r="3855">
      <c r="A3855" s="2"/>
      <c r="B3855" s="168" t="s">
        <v>217</v>
      </c>
      <c r="C3855" s="168" t="s">
        <v>4108</v>
      </c>
      <c r="D3855" s="229">
        <v>22.5</v>
      </c>
      <c r="E3855" s="229">
        <v>26.0</v>
      </c>
      <c r="F3855" s="230">
        <v>3.0</v>
      </c>
      <c r="G3855" s="232"/>
    </row>
    <row r="3856">
      <c r="A3856" s="2"/>
      <c r="B3856" s="168" t="s">
        <v>288</v>
      </c>
      <c r="C3856" s="168" t="s">
        <v>4109</v>
      </c>
      <c r="D3856" s="229">
        <v>21.5</v>
      </c>
      <c r="E3856" s="229">
        <v>25.0</v>
      </c>
      <c r="F3856" s="230">
        <v>3.0</v>
      </c>
      <c r="G3856" s="232"/>
    </row>
    <row r="3857">
      <c r="A3857" s="2"/>
      <c r="B3857" s="168" t="s">
        <v>260</v>
      </c>
      <c r="C3857" s="168" t="s">
        <v>4110</v>
      </c>
      <c r="D3857" s="229">
        <v>28.5</v>
      </c>
      <c r="E3857" s="229">
        <v>32.0</v>
      </c>
      <c r="F3857" s="230">
        <v>3.0</v>
      </c>
      <c r="G3857" s="232"/>
    </row>
    <row r="3858">
      <c r="A3858" s="2"/>
      <c r="B3858" s="168" t="s">
        <v>251</v>
      </c>
      <c r="C3858" s="168" t="s">
        <v>4111</v>
      </c>
      <c r="D3858" s="229">
        <v>34.5</v>
      </c>
      <c r="E3858" s="229">
        <v>38.0</v>
      </c>
      <c r="F3858" s="230">
        <v>3.0</v>
      </c>
      <c r="G3858" s="232"/>
    </row>
    <row r="3859">
      <c r="A3859" s="2"/>
      <c r="B3859" s="168" t="s">
        <v>234</v>
      </c>
      <c r="C3859" s="168" t="s">
        <v>4112</v>
      </c>
      <c r="D3859" s="229">
        <v>29.5</v>
      </c>
      <c r="E3859" s="229">
        <v>33.0</v>
      </c>
      <c r="F3859" s="230">
        <v>3.0</v>
      </c>
      <c r="G3859" s="232"/>
    </row>
    <row r="3860">
      <c r="A3860" s="2"/>
      <c r="B3860" s="168" t="s">
        <v>381</v>
      </c>
      <c r="C3860" s="168" t="s">
        <v>4113</v>
      </c>
      <c r="D3860" s="229">
        <v>28.5</v>
      </c>
      <c r="E3860" s="229">
        <v>32.0</v>
      </c>
      <c r="F3860" s="230">
        <v>3.0</v>
      </c>
      <c r="G3860" s="232"/>
    </row>
    <row r="3861">
      <c r="A3861" s="2"/>
      <c r="B3861" s="168" t="s">
        <v>269</v>
      </c>
      <c r="C3861" s="168" t="s">
        <v>4114</v>
      </c>
      <c r="D3861" s="229">
        <v>26.5</v>
      </c>
      <c r="E3861" s="229">
        <v>30.0</v>
      </c>
      <c r="F3861" s="230">
        <v>3.0</v>
      </c>
      <c r="G3861" s="232"/>
    </row>
    <row r="3862">
      <c r="A3862" s="2"/>
      <c r="B3862" s="168" t="s">
        <v>217</v>
      </c>
      <c r="C3862" s="168" t="s">
        <v>4115</v>
      </c>
      <c r="D3862" s="229">
        <v>27.5</v>
      </c>
      <c r="E3862" s="229">
        <v>31.0</v>
      </c>
      <c r="F3862" s="230">
        <v>3.0</v>
      </c>
      <c r="G3862" s="232"/>
    </row>
    <row r="3863">
      <c r="A3863" s="2"/>
      <c r="B3863" s="168" t="s">
        <v>386</v>
      </c>
      <c r="C3863" s="168" t="s">
        <v>4116</v>
      </c>
      <c r="D3863" s="229">
        <v>34.5</v>
      </c>
      <c r="E3863" s="229">
        <v>38.0</v>
      </c>
      <c r="F3863" s="230">
        <v>3.0</v>
      </c>
      <c r="G3863" s="232"/>
    </row>
    <row r="3864">
      <c r="A3864" s="2"/>
      <c r="B3864" s="168" t="s">
        <v>247</v>
      </c>
      <c r="C3864" s="168" t="s">
        <v>4117</v>
      </c>
      <c r="D3864" s="229">
        <v>29.5</v>
      </c>
      <c r="E3864" s="229">
        <v>33.0</v>
      </c>
      <c r="F3864" s="230">
        <v>3.0</v>
      </c>
      <c r="G3864" s="232"/>
    </row>
    <row r="3865">
      <c r="A3865" s="2"/>
      <c r="B3865" s="168" t="s">
        <v>234</v>
      </c>
      <c r="C3865" s="168" t="s">
        <v>4118</v>
      </c>
      <c r="D3865" s="229">
        <v>29.5</v>
      </c>
      <c r="E3865" s="229">
        <v>33.0</v>
      </c>
      <c r="F3865" s="230">
        <v>3.0</v>
      </c>
      <c r="G3865" s="232"/>
    </row>
    <row r="3866">
      <c r="A3866" s="2"/>
      <c r="B3866" s="168" t="s">
        <v>386</v>
      </c>
      <c r="C3866" s="168" t="s">
        <v>4119</v>
      </c>
      <c r="D3866" s="229">
        <v>34.5</v>
      </c>
      <c r="E3866" s="229">
        <v>38.0</v>
      </c>
      <c r="F3866" s="230">
        <v>3.0</v>
      </c>
      <c r="G3866" s="232"/>
    </row>
    <row r="3867">
      <c r="A3867" s="2"/>
      <c r="B3867" s="168" t="s">
        <v>255</v>
      </c>
      <c r="C3867" s="168" t="s">
        <v>4120</v>
      </c>
      <c r="D3867" s="229">
        <v>26.5</v>
      </c>
      <c r="E3867" s="229">
        <v>30.0</v>
      </c>
      <c r="F3867" s="230">
        <v>3.0</v>
      </c>
      <c r="G3867" s="232"/>
    </row>
    <row r="3868">
      <c r="A3868" s="2"/>
      <c r="B3868" s="168" t="s">
        <v>288</v>
      </c>
      <c r="C3868" s="168" t="s">
        <v>4121</v>
      </c>
      <c r="D3868" s="229">
        <v>21.5</v>
      </c>
      <c r="E3868" s="229">
        <v>25.0</v>
      </c>
      <c r="F3868" s="230">
        <v>3.0</v>
      </c>
      <c r="G3868" s="232"/>
    </row>
    <row r="3869">
      <c r="A3869" s="2"/>
      <c r="B3869" s="168" t="s">
        <v>280</v>
      </c>
      <c r="C3869" s="168" t="s">
        <v>4122</v>
      </c>
      <c r="D3869" s="229">
        <v>33.5</v>
      </c>
      <c r="E3869" s="229">
        <v>37.0</v>
      </c>
      <c r="F3869" s="230">
        <v>3.0</v>
      </c>
      <c r="G3869" s="232"/>
    </row>
    <row r="3870">
      <c r="A3870" s="2"/>
      <c r="B3870" s="168" t="s">
        <v>381</v>
      </c>
      <c r="C3870" s="168" t="s">
        <v>4123</v>
      </c>
      <c r="D3870" s="229">
        <v>28.5</v>
      </c>
      <c r="E3870" s="229">
        <v>32.0</v>
      </c>
      <c r="F3870" s="230">
        <v>3.0</v>
      </c>
      <c r="G3870" s="232"/>
    </row>
    <row r="3871">
      <c r="A3871" s="2"/>
      <c r="B3871" s="168" t="s">
        <v>318</v>
      </c>
      <c r="C3871" s="168" t="s">
        <v>4124</v>
      </c>
      <c r="D3871" s="229">
        <v>25.5</v>
      </c>
      <c r="E3871" s="229">
        <v>29.0</v>
      </c>
      <c r="F3871" s="230">
        <v>3.0</v>
      </c>
      <c r="G3871" s="232"/>
    </row>
    <row r="3872">
      <c r="A3872" s="2"/>
      <c r="B3872" s="168" t="s">
        <v>257</v>
      </c>
      <c r="C3872" s="168" t="s">
        <v>4125</v>
      </c>
      <c r="D3872" s="229">
        <v>28.5</v>
      </c>
      <c r="E3872" s="229">
        <v>32.0</v>
      </c>
      <c r="F3872" s="230">
        <v>3.0</v>
      </c>
      <c r="G3872" s="232"/>
    </row>
    <row r="3873">
      <c r="A3873" s="2"/>
      <c r="B3873" s="168" t="s">
        <v>449</v>
      </c>
      <c r="C3873" s="168" t="s">
        <v>4126</v>
      </c>
      <c r="D3873" s="229">
        <v>28.5</v>
      </c>
      <c r="E3873" s="229">
        <v>32.0</v>
      </c>
      <c r="F3873" s="230">
        <v>3.0</v>
      </c>
      <c r="G3873" s="232"/>
    </row>
    <row r="3874">
      <c r="A3874" s="2"/>
      <c r="B3874" s="168" t="s">
        <v>288</v>
      </c>
      <c r="C3874" s="168" t="s">
        <v>4127</v>
      </c>
      <c r="D3874" s="229">
        <v>21.5</v>
      </c>
      <c r="E3874" s="229">
        <v>25.0</v>
      </c>
      <c r="F3874" s="230">
        <v>3.0</v>
      </c>
      <c r="G3874" s="232"/>
    </row>
    <row r="3875">
      <c r="A3875" s="2"/>
      <c r="B3875" s="168" t="s">
        <v>217</v>
      </c>
      <c r="C3875" s="168" t="s">
        <v>4128</v>
      </c>
      <c r="D3875" s="229">
        <v>27.5</v>
      </c>
      <c r="E3875" s="229">
        <v>31.0</v>
      </c>
      <c r="F3875" s="230">
        <v>3.0</v>
      </c>
      <c r="G3875" s="232"/>
    </row>
    <row r="3876">
      <c r="A3876" s="2"/>
      <c r="B3876" s="168" t="s">
        <v>288</v>
      </c>
      <c r="C3876" s="168" t="s">
        <v>4129</v>
      </c>
      <c r="D3876" s="229">
        <v>21.5</v>
      </c>
      <c r="E3876" s="229">
        <v>25.0</v>
      </c>
      <c r="F3876" s="230">
        <v>3.0</v>
      </c>
      <c r="G3876" s="232"/>
    </row>
    <row r="3877">
      <c r="A3877" s="2"/>
      <c r="B3877" s="168" t="s">
        <v>406</v>
      </c>
      <c r="C3877" s="168" t="s">
        <v>4130</v>
      </c>
      <c r="D3877" s="229">
        <v>28.0</v>
      </c>
      <c r="E3877" s="229">
        <v>31.5</v>
      </c>
      <c r="F3877" s="230">
        <v>3.0</v>
      </c>
      <c r="G3877" s="232"/>
    </row>
    <row r="3878">
      <c r="A3878" s="2"/>
      <c r="B3878" s="168" t="s">
        <v>269</v>
      </c>
      <c r="C3878" s="168" t="s">
        <v>4131</v>
      </c>
      <c r="D3878" s="229">
        <v>26.5</v>
      </c>
      <c r="E3878" s="229">
        <v>30.0</v>
      </c>
      <c r="F3878" s="230">
        <v>3.0</v>
      </c>
      <c r="G3878" s="232"/>
    </row>
    <row r="3879">
      <c r="A3879" s="2"/>
      <c r="B3879" s="168" t="s">
        <v>217</v>
      </c>
      <c r="C3879" s="168" t="s">
        <v>4132</v>
      </c>
      <c r="D3879" s="229">
        <v>27.5</v>
      </c>
      <c r="E3879" s="229">
        <v>31.0</v>
      </c>
      <c r="F3879" s="230">
        <v>3.0</v>
      </c>
      <c r="G3879" s="232"/>
    </row>
    <row r="3880">
      <c r="A3880" s="2"/>
      <c r="B3880" s="168" t="s">
        <v>294</v>
      </c>
      <c r="C3880" s="168" t="s">
        <v>4133</v>
      </c>
      <c r="D3880" s="229">
        <v>19.5</v>
      </c>
      <c r="E3880" s="229">
        <v>19.5</v>
      </c>
      <c r="F3880" s="230">
        <v>3.0</v>
      </c>
      <c r="G3880" s="232"/>
    </row>
    <row r="3881">
      <c r="A3881" s="2"/>
      <c r="B3881" s="168" t="s">
        <v>230</v>
      </c>
      <c r="C3881" s="168" t="s">
        <v>4134</v>
      </c>
      <c r="D3881" s="229">
        <v>16.5</v>
      </c>
      <c r="E3881" s="229">
        <v>20.0</v>
      </c>
      <c r="F3881" s="230">
        <v>3.0</v>
      </c>
      <c r="G3881" s="232"/>
    </row>
    <row r="3882">
      <c r="A3882" s="2"/>
      <c r="B3882" s="168" t="s">
        <v>221</v>
      </c>
      <c r="C3882" s="168" t="s">
        <v>4135</v>
      </c>
      <c r="D3882" s="229">
        <v>27.5</v>
      </c>
      <c r="E3882" s="229">
        <v>31.0</v>
      </c>
      <c r="F3882" s="230">
        <v>3.0</v>
      </c>
      <c r="G3882" s="232"/>
    </row>
    <row r="3883">
      <c r="A3883" s="2"/>
      <c r="B3883" s="168" t="s">
        <v>288</v>
      </c>
      <c r="C3883" s="168" t="s">
        <v>4136</v>
      </c>
      <c r="D3883" s="229">
        <v>21.5</v>
      </c>
      <c r="E3883" s="229">
        <v>25.0</v>
      </c>
      <c r="F3883" s="230">
        <v>3.0</v>
      </c>
      <c r="G3883" s="232"/>
    </row>
    <row r="3884">
      <c r="A3884" s="2"/>
      <c r="B3884" s="168" t="s">
        <v>288</v>
      </c>
      <c r="C3884" s="168" t="s">
        <v>4137</v>
      </c>
      <c r="D3884" s="229">
        <v>21.5</v>
      </c>
      <c r="E3884" s="229">
        <v>25.0</v>
      </c>
      <c r="F3884" s="230">
        <v>3.0</v>
      </c>
      <c r="G3884" s="232"/>
    </row>
    <row r="3885">
      <c r="A3885" s="2"/>
      <c r="B3885" s="168" t="s">
        <v>296</v>
      </c>
      <c r="C3885" s="168" t="s">
        <v>4138</v>
      </c>
      <c r="D3885" s="229">
        <v>26.5</v>
      </c>
      <c r="E3885" s="229">
        <v>30.0</v>
      </c>
      <c r="F3885" s="230">
        <v>3.0</v>
      </c>
      <c r="G3885" s="232"/>
    </row>
    <row r="3886">
      <c r="A3886" s="2"/>
      <c r="B3886" s="168" t="s">
        <v>430</v>
      </c>
      <c r="C3886" s="168" t="s">
        <v>4139</v>
      </c>
      <c r="D3886" s="229">
        <v>34.5</v>
      </c>
      <c r="E3886" s="229">
        <v>38.0</v>
      </c>
      <c r="F3886" s="230">
        <v>3.0</v>
      </c>
      <c r="G3886" s="232"/>
    </row>
    <row r="3887">
      <c r="A3887" s="2"/>
      <c r="B3887" s="168" t="s">
        <v>255</v>
      </c>
      <c r="C3887" s="168" t="s">
        <v>4140</v>
      </c>
      <c r="D3887" s="229">
        <v>31.5</v>
      </c>
      <c r="E3887" s="229">
        <v>35.0</v>
      </c>
      <c r="F3887" s="230">
        <v>3.0</v>
      </c>
      <c r="G3887" s="232"/>
    </row>
    <row r="3888">
      <c r="A3888" s="2"/>
      <c r="B3888" s="168" t="s">
        <v>273</v>
      </c>
      <c r="C3888" s="168" t="s">
        <v>4141</v>
      </c>
      <c r="D3888" s="229">
        <v>29.5</v>
      </c>
      <c r="E3888" s="229">
        <v>33.0</v>
      </c>
      <c r="F3888" s="230">
        <v>3.0</v>
      </c>
      <c r="G3888" s="232"/>
    </row>
    <row r="3889">
      <c r="A3889" s="2"/>
      <c r="B3889" s="168" t="s">
        <v>811</v>
      </c>
      <c r="C3889" s="168" t="s">
        <v>4142</v>
      </c>
      <c r="D3889" s="229">
        <v>29.5</v>
      </c>
      <c r="E3889" s="229">
        <v>33.0</v>
      </c>
      <c r="F3889" s="230">
        <v>3.0</v>
      </c>
      <c r="G3889" s="232"/>
    </row>
    <row r="3890">
      <c r="A3890" s="2"/>
      <c r="B3890" s="168" t="s">
        <v>296</v>
      </c>
      <c r="C3890" s="168" t="s">
        <v>4143</v>
      </c>
      <c r="D3890" s="229">
        <v>26.5</v>
      </c>
      <c r="E3890" s="229">
        <v>30.0</v>
      </c>
      <c r="F3890" s="230">
        <v>3.0</v>
      </c>
      <c r="G3890" s="232"/>
    </row>
    <row r="3891">
      <c r="A3891" s="2"/>
      <c r="B3891" s="168" t="s">
        <v>430</v>
      </c>
      <c r="C3891" s="168" t="s">
        <v>4144</v>
      </c>
      <c r="D3891" s="229">
        <v>29.5</v>
      </c>
      <c r="E3891" s="229">
        <v>33.0</v>
      </c>
      <c r="F3891" s="230">
        <v>3.0</v>
      </c>
      <c r="G3891" s="232"/>
    </row>
    <row r="3892">
      <c r="A3892" s="2"/>
      <c r="B3892" s="168" t="s">
        <v>217</v>
      </c>
      <c r="C3892" s="168" t="s">
        <v>4145</v>
      </c>
      <c r="D3892" s="229">
        <v>27.5</v>
      </c>
      <c r="E3892" s="229">
        <v>31.0</v>
      </c>
      <c r="F3892" s="230">
        <v>3.0</v>
      </c>
      <c r="G3892" s="232"/>
    </row>
    <row r="3893">
      <c r="A3893" s="2"/>
      <c r="B3893" s="168" t="s">
        <v>288</v>
      </c>
      <c r="C3893" s="168" t="s">
        <v>4146</v>
      </c>
      <c r="D3893" s="229">
        <v>21.5</v>
      </c>
      <c r="E3893" s="229">
        <v>25.0</v>
      </c>
      <c r="F3893" s="230">
        <v>3.0</v>
      </c>
      <c r="G3893" s="232"/>
    </row>
    <row r="3894">
      <c r="A3894" s="2"/>
      <c r="B3894" s="168" t="s">
        <v>255</v>
      </c>
      <c r="C3894" s="168" t="s">
        <v>4147</v>
      </c>
      <c r="D3894" s="229">
        <v>31.5</v>
      </c>
      <c r="E3894" s="229">
        <v>35.0</v>
      </c>
      <c r="F3894" s="230">
        <v>3.0</v>
      </c>
      <c r="G3894" s="232"/>
    </row>
    <row r="3895">
      <c r="A3895" s="2"/>
      <c r="B3895" s="168" t="s">
        <v>535</v>
      </c>
      <c r="C3895" s="168" t="s">
        <v>4148</v>
      </c>
      <c r="D3895" s="229">
        <v>26.5</v>
      </c>
      <c r="E3895" s="229">
        <v>30.0</v>
      </c>
      <c r="F3895" s="230">
        <v>3.0</v>
      </c>
      <c r="G3895" s="232"/>
    </row>
    <row r="3896">
      <c r="A3896" s="2"/>
      <c r="B3896" s="168" t="s">
        <v>438</v>
      </c>
      <c r="C3896" s="168" t="s">
        <v>4149</v>
      </c>
      <c r="D3896" s="229">
        <v>29.5</v>
      </c>
      <c r="E3896" s="229">
        <v>33.0</v>
      </c>
      <c r="F3896" s="230">
        <v>3.0</v>
      </c>
      <c r="G3896" s="232"/>
    </row>
    <row r="3897">
      <c r="A3897" s="2"/>
      <c r="B3897" s="168" t="s">
        <v>328</v>
      </c>
      <c r="C3897" s="168" t="s">
        <v>4150</v>
      </c>
      <c r="D3897" s="229">
        <v>34.5</v>
      </c>
      <c r="E3897" s="229">
        <v>38.0</v>
      </c>
      <c r="F3897" s="230">
        <v>3.0</v>
      </c>
      <c r="G3897" s="232"/>
    </row>
    <row r="3898">
      <c r="A3898" s="2"/>
      <c r="B3898" s="168" t="s">
        <v>215</v>
      </c>
      <c r="C3898" s="168" t="s">
        <v>4151</v>
      </c>
      <c r="D3898" s="229">
        <v>28.5</v>
      </c>
      <c r="E3898" s="229">
        <v>32.0</v>
      </c>
      <c r="F3898" s="230">
        <v>3.0</v>
      </c>
      <c r="G3898" s="232"/>
    </row>
    <row r="3899">
      <c r="A3899" s="2"/>
      <c r="B3899" s="168" t="s">
        <v>332</v>
      </c>
      <c r="C3899" s="168" t="s">
        <v>4152</v>
      </c>
      <c r="D3899" s="229">
        <v>28.5</v>
      </c>
      <c r="E3899" s="229">
        <v>32.0</v>
      </c>
      <c r="F3899" s="230">
        <v>3.0</v>
      </c>
      <c r="G3899" s="232"/>
    </row>
    <row r="3900">
      <c r="A3900" s="2"/>
      <c r="B3900" s="168" t="s">
        <v>254</v>
      </c>
      <c r="C3900" s="168" t="s">
        <v>4153</v>
      </c>
      <c r="D3900" s="229">
        <v>26.5</v>
      </c>
      <c r="E3900" s="229">
        <v>30.0</v>
      </c>
      <c r="F3900" s="230">
        <v>3.0</v>
      </c>
      <c r="G3900" s="232"/>
    </row>
    <row r="3901">
      <c r="A3901" s="2"/>
      <c r="B3901" s="168" t="s">
        <v>234</v>
      </c>
      <c r="C3901" s="168" t="s">
        <v>4154</v>
      </c>
      <c r="D3901" s="229">
        <v>29.5</v>
      </c>
      <c r="E3901" s="229">
        <v>33.0</v>
      </c>
      <c r="F3901" s="230">
        <v>3.0</v>
      </c>
      <c r="G3901" s="232"/>
    </row>
    <row r="3902">
      <c r="A3902" s="2"/>
      <c r="B3902" s="168" t="s">
        <v>221</v>
      </c>
      <c r="C3902" s="168" t="s">
        <v>4155</v>
      </c>
      <c r="D3902" s="229">
        <v>27.5</v>
      </c>
      <c r="E3902" s="229">
        <v>31.0</v>
      </c>
      <c r="F3902" s="230">
        <v>3.0</v>
      </c>
      <c r="G3902" s="232"/>
    </row>
    <row r="3903">
      <c r="A3903" s="2"/>
      <c r="B3903" s="168" t="s">
        <v>245</v>
      </c>
      <c r="C3903" s="168" t="s">
        <v>4156</v>
      </c>
      <c r="D3903" s="229">
        <v>29.5</v>
      </c>
      <c r="E3903" s="229">
        <v>33.0</v>
      </c>
      <c r="F3903" s="230">
        <v>3.0</v>
      </c>
      <c r="G3903" s="232"/>
    </row>
    <row r="3904">
      <c r="A3904" s="2"/>
      <c r="B3904" s="168" t="s">
        <v>232</v>
      </c>
      <c r="C3904" s="168" t="s">
        <v>4157</v>
      </c>
      <c r="D3904" s="229">
        <v>25.5</v>
      </c>
      <c r="E3904" s="229">
        <v>29.0</v>
      </c>
      <c r="F3904" s="230">
        <v>3.0</v>
      </c>
      <c r="G3904" s="232"/>
    </row>
    <row r="3905">
      <c r="A3905" s="2"/>
      <c r="B3905" s="168" t="s">
        <v>241</v>
      </c>
      <c r="C3905" s="168" t="s">
        <v>4158</v>
      </c>
      <c r="D3905" s="229">
        <v>31.5</v>
      </c>
      <c r="E3905" s="229">
        <v>35.0</v>
      </c>
      <c r="F3905" s="230">
        <v>3.0</v>
      </c>
      <c r="G3905" s="232"/>
    </row>
    <row r="3906">
      <c r="A3906" s="2"/>
      <c r="B3906" s="168" t="s">
        <v>217</v>
      </c>
      <c r="C3906" s="168" t="s">
        <v>4159</v>
      </c>
      <c r="D3906" s="229">
        <v>27.5</v>
      </c>
      <c r="E3906" s="229">
        <v>31.0</v>
      </c>
      <c r="F3906" s="230">
        <v>3.0</v>
      </c>
      <c r="G3906" s="232"/>
    </row>
    <row r="3907">
      <c r="A3907" s="2"/>
      <c r="B3907" s="168" t="s">
        <v>230</v>
      </c>
      <c r="C3907" s="168" t="s">
        <v>4160</v>
      </c>
      <c r="D3907" s="229">
        <v>16.5</v>
      </c>
      <c r="E3907" s="229">
        <v>20.0</v>
      </c>
      <c r="F3907" s="230">
        <v>3.0</v>
      </c>
      <c r="G3907" s="232"/>
    </row>
    <row r="3908">
      <c r="A3908" s="2"/>
      <c r="B3908" s="168" t="s">
        <v>215</v>
      </c>
      <c r="C3908" s="168" t="s">
        <v>4161</v>
      </c>
      <c r="D3908" s="229">
        <v>29.5</v>
      </c>
      <c r="E3908" s="229">
        <v>33.0</v>
      </c>
      <c r="F3908" s="230">
        <v>3.0</v>
      </c>
      <c r="G3908" s="232"/>
    </row>
    <row r="3909">
      <c r="A3909" s="2"/>
      <c r="B3909" s="168" t="s">
        <v>288</v>
      </c>
      <c r="C3909" s="168" t="s">
        <v>4162</v>
      </c>
      <c r="D3909" s="229">
        <v>21.5</v>
      </c>
      <c r="E3909" s="229">
        <v>25.0</v>
      </c>
      <c r="F3909" s="230">
        <v>3.0</v>
      </c>
      <c r="G3909" s="232"/>
    </row>
    <row r="3910">
      <c r="A3910" s="2"/>
      <c r="B3910" s="168" t="s">
        <v>386</v>
      </c>
      <c r="C3910" s="168" t="s">
        <v>4163</v>
      </c>
      <c r="D3910" s="229">
        <v>29.5</v>
      </c>
      <c r="E3910" s="229">
        <v>33.0</v>
      </c>
      <c r="F3910" s="230">
        <v>3.0</v>
      </c>
      <c r="G3910" s="232"/>
    </row>
    <row r="3911">
      <c r="A3911" s="2"/>
      <c r="B3911" s="168" t="s">
        <v>230</v>
      </c>
      <c r="C3911" s="168" t="s">
        <v>4164</v>
      </c>
      <c r="D3911" s="229">
        <v>20.5</v>
      </c>
      <c r="E3911" s="229">
        <v>24.0</v>
      </c>
      <c r="F3911" s="230">
        <v>3.0</v>
      </c>
      <c r="G3911" s="232"/>
    </row>
    <row r="3912">
      <c r="A3912" s="2"/>
      <c r="B3912" s="168" t="s">
        <v>565</v>
      </c>
      <c r="C3912" s="168" t="s">
        <v>4165</v>
      </c>
      <c r="D3912" s="229">
        <v>24.5</v>
      </c>
      <c r="E3912" s="229">
        <v>28.0</v>
      </c>
      <c r="F3912" s="230">
        <v>3.0</v>
      </c>
      <c r="G3912" s="232"/>
    </row>
    <row r="3913">
      <c r="A3913" s="2"/>
      <c r="B3913" s="168" t="s">
        <v>223</v>
      </c>
      <c r="C3913" s="168" t="s">
        <v>4166</v>
      </c>
      <c r="D3913" s="229">
        <v>26.5</v>
      </c>
      <c r="E3913" s="229">
        <v>30.0</v>
      </c>
      <c r="F3913" s="230">
        <v>3.0</v>
      </c>
      <c r="G3913" s="232"/>
    </row>
    <row r="3914">
      <c r="A3914" s="2"/>
      <c r="B3914" s="168" t="s">
        <v>290</v>
      </c>
      <c r="C3914" s="168" t="s">
        <v>4167</v>
      </c>
      <c r="D3914" s="229">
        <v>29.5</v>
      </c>
      <c r="E3914" s="229">
        <v>33.0</v>
      </c>
      <c r="F3914" s="230">
        <v>3.0</v>
      </c>
      <c r="G3914" s="232"/>
    </row>
    <row r="3915">
      <c r="A3915" s="2"/>
      <c r="B3915" s="168" t="s">
        <v>243</v>
      </c>
      <c r="C3915" s="168" t="s">
        <v>4168</v>
      </c>
      <c r="D3915" s="229">
        <v>29.5</v>
      </c>
      <c r="E3915" s="229">
        <v>33.0</v>
      </c>
      <c r="F3915" s="230">
        <v>3.0</v>
      </c>
      <c r="G3915" s="232"/>
    </row>
    <row r="3916">
      <c r="A3916" s="2"/>
      <c r="B3916" s="168" t="s">
        <v>241</v>
      </c>
      <c r="C3916" s="168" t="s">
        <v>4169</v>
      </c>
      <c r="D3916" s="229">
        <v>32.5</v>
      </c>
      <c r="E3916" s="229">
        <v>36.0</v>
      </c>
      <c r="F3916" s="230">
        <v>3.0</v>
      </c>
      <c r="G3916" s="232"/>
    </row>
    <row r="3917">
      <c r="A3917" s="2"/>
      <c r="B3917" s="168" t="s">
        <v>318</v>
      </c>
      <c r="C3917" s="168" t="s">
        <v>4170</v>
      </c>
      <c r="D3917" s="229">
        <v>25.5</v>
      </c>
      <c r="E3917" s="229">
        <v>29.0</v>
      </c>
      <c r="F3917" s="230">
        <v>3.0</v>
      </c>
      <c r="G3917" s="232"/>
    </row>
    <row r="3918">
      <c r="A3918" s="2"/>
      <c r="B3918" s="168" t="s">
        <v>332</v>
      </c>
      <c r="C3918" s="168" t="s">
        <v>4171</v>
      </c>
      <c r="D3918" s="229">
        <v>28.5</v>
      </c>
      <c r="E3918" s="229">
        <v>32.0</v>
      </c>
      <c r="F3918" s="230">
        <v>3.0</v>
      </c>
      <c r="G3918" s="232"/>
    </row>
    <row r="3919">
      <c r="A3919" s="2"/>
      <c r="B3919" s="168" t="s">
        <v>219</v>
      </c>
      <c r="C3919" s="168" t="s">
        <v>4172</v>
      </c>
      <c r="D3919" s="229">
        <v>28.5</v>
      </c>
      <c r="E3919" s="229">
        <v>32.0</v>
      </c>
      <c r="F3919" s="230">
        <v>3.0</v>
      </c>
      <c r="G3919" s="232"/>
    </row>
    <row r="3920">
      <c r="A3920" s="2"/>
      <c r="B3920" s="168" t="s">
        <v>255</v>
      </c>
      <c r="C3920" s="168" t="s">
        <v>4173</v>
      </c>
      <c r="D3920" s="229">
        <v>23.5</v>
      </c>
      <c r="E3920" s="229">
        <v>27.0</v>
      </c>
      <c r="F3920" s="230">
        <v>3.0</v>
      </c>
      <c r="G3920" s="232"/>
    </row>
    <row r="3921">
      <c r="A3921" s="2"/>
      <c r="B3921" s="168" t="s">
        <v>230</v>
      </c>
      <c r="C3921" s="168" t="s">
        <v>4174</v>
      </c>
      <c r="D3921" s="229">
        <v>16.5</v>
      </c>
      <c r="E3921" s="229">
        <v>20.0</v>
      </c>
      <c r="F3921" s="230">
        <v>3.0</v>
      </c>
      <c r="G3921" s="232"/>
    </row>
    <row r="3922">
      <c r="A3922" s="2"/>
      <c r="B3922" s="168" t="s">
        <v>234</v>
      </c>
      <c r="C3922" s="168" t="s">
        <v>4175</v>
      </c>
      <c r="D3922" s="229">
        <v>29.5</v>
      </c>
      <c r="E3922" s="229">
        <v>33.0</v>
      </c>
      <c r="F3922" s="230">
        <v>3.0</v>
      </c>
      <c r="G3922" s="232"/>
    </row>
    <row r="3923">
      <c r="A3923" s="2"/>
      <c r="B3923" s="168" t="s">
        <v>348</v>
      </c>
      <c r="C3923" s="168" t="s">
        <v>4176</v>
      </c>
      <c r="D3923" s="229">
        <v>21.5</v>
      </c>
      <c r="E3923" s="229">
        <v>25.0</v>
      </c>
      <c r="F3923" s="230">
        <v>3.0</v>
      </c>
      <c r="G3923" s="232"/>
    </row>
    <row r="3924">
      <c r="A3924" s="2"/>
      <c r="B3924" s="168" t="s">
        <v>290</v>
      </c>
      <c r="C3924" s="168" t="s">
        <v>4177</v>
      </c>
      <c r="D3924" s="229">
        <v>24.5</v>
      </c>
      <c r="E3924" s="229">
        <v>28.0</v>
      </c>
      <c r="F3924" s="230">
        <v>3.0</v>
      </c>
      <c r="G3924" s="232"/>
    </row>
    <row r="3925">
      <c r="A3925" s="2"/>
      <c r="B3925" s="168" t="s">
        <v>234</v>
      </c>
      <c r="C3925" s="168" t="s">
        <v>4178</v>
      </c>
      <c r="D3925" s="229">
        <v>29.5</v>
      </c>
      <c r="E3925" s="229">
        <v>33.0</v>
      </c>
      <c r="F3925" s="230">
        <v>3.0</v>
      </c>
      <c r="G3925" s="232"/>
    </row>
    <row r="3926">
      <c r="A3926" s="2"/>
      <c r="B3926" s="168" t="s">
        <v>230</v>
      </c>
      <c r="C3926" s="168" t="s">
        <v>4179</v>
      </c>
      <c r="D3926" s="229">
        <v>21.5</v>
      </c>
      <c r="E3926" s="229">
        <v>25.0</v>
      </c>
      <c r="F3926" s="230">
        <v>3.0</v>
      </c>
      <c r="G3926" s="232"/>
    </row>
    <row r="3927">
      <c r="A3927" s="2"/>
      <c r="B3927" s="168" t="s">
        <v>1311</v>
      </c>
      <c r="C3927" s="168" t="s">
        <v>4180</v>
      </c>
      <c r="D3927" s="229">
        <v>28.5</v>
      </c>
      <c r="E3927" s="229">
        <v>32.0</v>
      </c>
      <c r="F3927" s="230">
        <v>3.0</v>
      </c>
      <c r="G3927" s="232"/>
    </row>
    <row r="3928">
      <c r="A3928" s="2"/>
      <c r="B3928" s="168" t="s">
        <v>275</v>
      </c>
      <c r="C3928" s="168" t="s">
        <v>4181</v>
      </c>
      <c r="D3928" s="229">
        <v>26.5</v>
      </c>
      <c r="E3928" s="229">
        <v>30.0</v>
      </c>
      <c r="F3928" s="230">
        <v>3.0</v>
      </c>
      <c r="G3928" s="232"/>
    </row>
    <row r="3929">
      <c r="A3929" s="2"/>
      <c r="B3929" s="168" t="s">
        <v>236</v>
      </c>
      <c r="C3929" s="168" t="s">
        <v>4182</v>
      </c>
      <c r="D3929" s="229">
        <v>34.5</v>
      </c>
      <c r="E3929" s="229">
        <v>38.0</v>
      </c>
      <c r="F3929" s="230">
        <v>3.0</v>
      </c>
      <c r="G3929" s="232"/>
    </row>
    <row r="3930">
      <c r="A3930" s="2"/>
      <c r="B3930" s="168" t="s">
        <v>273</v>
      </c>
      <c r="C3930" s="168" t="s">
        <v>4183</v>
      </c>
      <c r="D3930" s="229">
        <v>29.5</v>
      </c>
      <c r="E3930" s="229">
        <v>33.0</v>
      </c>
      <c r="F3930" s="230">
        <v>3.0</v>
      </c>
      <c r="G3930" s="232"/>
    </row>
    <row r="3931">
      <c r="A3931" s="2"/>
      <c r="B3931" s="168" t="s">
        <v>219</v>
      </c>
      <c r="C3931" s="168" t="s">
        <v>4184</v>
      </c>
      <c r="D3931" s="229">
        <v>19.5</v>
      </c>
      <c r="E3931" s="229">
        <v>23.0</v>
      </c>
      <c r="F3931" s="230">
        <v>3.0</v>
      </c>
      <c r="G3931" s="232"/>
    </row>
    <row r="3932">
      <c r="A3932" s="2"/>
      <c r="B3932" s="168" t="s">
        <v>230</v>
      </c>
      <c r="C3932" s="168" t="s">
        <v>4185</v>
      </c>
      <c r="D3932" s="229">
        <v>21.5</v>
      </c>
      <c r="E3932" s="229">
        <v>25.0</v>
      </c>
      <c r="F3932" s="230">
        <v>3.0</v>
      </c>
      <c r="G3932" s="232"/>
    </row>
    <row r="3933">
      <c r="A3933" s="2"/>
      <c r="B3933" s="168" t="s">
        <v>245</v>
      </c>
      <c r="C3933" s="168" t="s">
        <v>4186</v>
      </c>
      <c r="D3933" s="229">
        <v>29.5</v>
      </c>
      <c r="E3933" s="229">
        <v>33.0</v>
      </c>
      <c r="F3933" s="230">
        <v>3.0</v>
      </c>
      <c r="G3933" s="232"/>
    </row>
    <row r="3934">
      <c r="A3934" s="2"/>
      <c r="B3934" s="168" t="s">
        <v>230</v>
      </c>
      <c r="C3934" s="168" t="s">
        <v>4187</v>
      </c>
      <c r="D3934" s="229">
        <v>16.5</v>
      </c>
      <c r="E3934" s="229">
        <v>20.0</v>
      </c>
      <c r="F3934" s="230">
        <v>3.0</v>
      </c>
      <c r="G3934" s="232"/>
    </row>
    <row r="3935">
      <c r="A3935" s="2"/>
      <c r="B3935" s="168" t="s">
        <v>446</v>
      </c>
      <c r="C3935" s="168" t="s">
        <v>4188</v>
      </c>
      <c r="D3935" s="229">
        <v>4.5</v>
      </c>
      <c r="E3935" s="229">
        <v>4.5</v>
      </c>
      <c r="F3935" s="230">
        <v>3.0</v>
      </c>
      <c r="G3935" s="232"/>
    </row>
    <row r="3936">
      <c r="A3936" s="2"/>
      <c r="B3936" s="168" t="s">
        <v>217</v>
      </c>
      <c r="C3936" s="168" t="s">
        <v>4189</v>
      </c>
      <c r="D3936" s="229">
        <v>27.5</v>
      </c>
      <c r="E3936" s="229">
        <v>31.0</v>
      </c>
      <c r="F3936" s="230">
        <v>3.0</v>
      </c>
      <c r="G3936" s="232"/>
    </row>
    <row r="3937">
      <c r="A3937" s="2"/>
      <c r="B3937" s="168" t="s">
        <v>239</v>
      </c>
      <c r="C3937" s="168" t="s">
        <v>4190</v>
      </c>
      <c r="D3937" s="229">
        <v>29.5</v>
      </c>
      <c r="E3937" s="229">
        <v>33.0</v>
      </c>
      <c r="F3937" s="230">
        <v>3.0</v>
      </c>
      <c r="G3937" s="232"/>
    </row>
    <row r="3938">
      <c r="A3938" s="2"/>
      <c r="B3938" s="168" t="s">
        <v>217</v>
      </c>
      <c r="C3938" s="168" t="s">
        <v>4191</v>
      </c>
      <c r="D3938" s="229">
        <v>27.5</v>
      </c>
      <c r="E3938" s="229">
        <v>31.0</v>
      </c>
      <c r="F3938" s="230">
        <v>3.0</v>
      </c>
      <c r="G3938" s="232"/>
    </row>
    <row r="3939">
      <c r="A3939" s="2"/>
      <c r="B3939" s="168" t="s">
        <v>318</v>
      </c>
      <c r="C3939" s="168" t="s">
        <v>4192</v>
      </c>
      <c r="D3939" s="229">
        <v>25.5</v>
      </c>
      <c r="E3939" s="229">
        <v>29.0</v>
      </c>
      <c r="F3939" s="230">
        <v>3.0</v>
      </c>
      <c r="G3939" s="232"/>
    </row>
    <row r="3940">
      <c r="A3940" s="2"/>
      <c r="B3940" s="168" t="s">
        <v>217</v>
      </c>
      <c r="C3940" s="168" t="s">
        <v>4193</v>
      </c>
      <c r="D3940" s="229">
        <v>27.0</v>
      </c>
      <c r="E3940" s="229">
        <v>30.5</v>
      </c>
      <c r="F3940" s="230">
        <v>3.0</v>
      </c>
      <c r="G3940" s="232"/>
    </row>
    <row r="3941">
      <c r="A3941" s="2"/>
      <c r="B3941" s="168" t="s">
        <v>236</v>
      </c>
      <c r="C3941" s="168" t="s">
        <v>4194</v>
      </c>
      <c r="D3941" s="229">
        <v>34.5</v>
      </c>
      <c r="E3941" s="229">
        <v>38.0</v>
      </c>
      <c r="F3941" s="230">
        <v>3.0</v>
      </c>
      <c r="G3941" s="232"/>
    </row>
    <row r="3942">
      <c r="A3942" s="2"/>
      <c r="B3942" s="168" t="s">
        <v>581</v>
      </c>
      <c r="C3942" s="168" t="s">
        <v>4195</v>
      </c>
      <c r="D3942" s="229">
        <v>24.5</v>
      </c>
      <c r="E3942" s="229">
        <v>28.0</v>
      </c>
      <c r="F3942" s="230">
        <v>3.0</v>
      </c>
      <c r="G3942" s="232"/>
    </row>
    <row r="3943">
      <c r="A3943" s="2"/>
      <c r="B3943" s="168" t="s">
        <v>269</v>
      </c>
      <c r="C3943" s="168" t="s">
        <v>4196</v>
      </c>
      <c r="D3943" s="229">
        <v>26.5</v>
      </c>
      <c r="E3943" s="229">
        <v>30.0</v>
      </c>
      <c r="F3943" s="230">
        <v>3.0</v>
      </c>
      <c r="G3943" s="232"/>
    </row>
    <row r="3944">
      <c r="A3944" s="2"/>
      <c r="B3944" s="168" t="s">
        <v>386</v>
      </c>
      <c r="C3944" s="168" t="s">
        <v>4197</v>
      </c>
      <c r="D3944" s="229">
        <v>34.5</v>
      </c>
      <c r="E3944" s="229">
        <v>38.0</v>
      </c>
      <c r="F3944" s="230">
        <v>3.0</v>
      </c>
      <c r="G3944" s="232"/>
    </row>
    <row r="3945">
      <c r="A3945" s="2"/>
      <c r="B3945" s="168" t="s">
        <v>377</v>
      </c>
      <c r="C3945" s="168" t="s">
        <v>4198</v>
      </c>
      <c r="D3945" s="229">
        <v>29.5</v>
      </c>
      <c r="E3945" s="229">
        <v>33.0</v>
      </c>
      <c r="F3945" s="230">
        <v>3.0</v>
      </c>
      <c r="G3945" s="232"/>
    </row>
    <row r="3946">
      <c r="A3946" s="2"/>
      <c r="B3946" s="168" t="s">
        <v>269</v>
      </c>
      <c r="C3946" s="168" t="s">
        <v>4199</v>
      </c>
      <c r="D3946" s="229">
        <v>26.5</v>
      </c>
      <c r="E3946" s="229">
        <v>30.0</v>
      </c>
      <c r="F3946" s="230">
        <v>3.0</v>
      </c>
      <c r="G3946" s="232"/>
    </row>
    <row r="3947">
      <c r="A3947" s="2"/>
      <c r="B3947" s="168" t="s">
        <v>438</v>
      </c>
      <c r="C3947" s="168" t="s">
        <v>4200</v>
      </c>
      <c r="D3947" s="229">
        <v>29.5</v>
      </c>
      <c r="E3947" s="229">
        <v>33.0</v>
      </c>
      <c r="F3947" s="230">
        <v>3.0</v>
      </c>
      <c r="G3947" s="232"/>
    </row>
    <row r="3948">
      <c r="A3948" s="2"/>
      <c r="B3948" s="168" t="s">
        <v>232</v>
      </c>
      <c r="C3948" s="168" t="s">
        <v>4201</v>
      </c>
      <c r="D3948" s="229">
        <v>25.5</v>
      </c>
      <c r="E3948" s="229">
        <v>29.0</v>
      </c>
      <c r="F3948" s="230">
        <v>3.0</v>
      </c>
      <c r="G3948" s="232"/>
    </row>
    <row r="3949">
      <c r="A3949" s="2"/>
      <c r="B3949" s="168" t="s">
        <v>255</v>
      </c>
      <c r="C3949" s="168" t="s">
        <v>4202</v>
      </c>
      <c r="D3949" s="229">
        <v>31.5</v>
      </c>
      <c r="E3949" s="229">
        <v>35.0</v>
      </c>
      <c r="F3949" s="230">
        <v>3.0</v>
      </c>
      <c r="G3949" s="232"/>
    </row>
    <row r="3950">
      <c r="A3950" s="2"/>
      <c r="B3950" s="168" t="s">
        <v>404</v>
      </c>
      <c r="C3950" s="168" t="s">
        <v>4203</v>
      </c>
      <c r="D3950" s="229">
        <v>29.5</v>
      </c>
      <c r="E3950" s="229">
        <v>33.0</v>
      </c>
      <c r="F3950" s="230">
        <v>3.0</v>
      </c>
      <c r="G3950" s="232"/>
    </row>
    <row r="3951">
      <c r="A3951" s="2"/>
      <c r="B3951" s="168" t="s">
        <v>310</v>
      </c>
      <c r="C3951" s="168" t="s">
        <v>4204</v>
      </c>
      <c r="D3951" s="229">
        <v>34.5</v>
      </c>
      <c r="E3951" s="229">
        <v>38.0</v>
      </c>
      <c r="F3951" s="230">
        <v>3.0</v>
      </c>
      <c r="G3951" s="232"/>
    </row>
    <row r="3952">
      <c r="A3952" s="2"/>
      <c r="B3952" s="168" t="s">
        <v>234</v>
      </c>
      <c r="C3952" s="168" t="s">
        <v>4205</v>
      </c>
      <c r="D3952" s="229">
        <v>24.5</v>
      </c>
      <c r="E3952" s="229">
        <v>28.0</v>
      </c>
      <c r="F3952" s="230">
        <v>3.0</v>
      </c>
      <c r="G3952" s="232"/>
    </row>
    <row r="3953">
      <c r="A3953" s="2"/>
      <c r="B3953" s="168" t="s">
        <v>230</v>
      </c>
      <c r="C3953" s="168" t="s">
        <v>4206</v>
      </c>
      <c r="D3953" s="229">
        <v>21.5</v>
      </c>
      <c r="E3953" s="229">
        <v>25.0</v>
      </c>
      <c r="F3953" s="230">
        <v>3.0</v>
      </c>
      <c r="G3953" s="232"/>
    </row>
    <row r="3954">
      <c r="A3954" s="2"/>
      <c r="B3954" s="168" t="s">
        <v>241</v>
      </c>
      <c r="C3954" s="168" t="s">
        <v>4207</v>
      </c>
      <c r="D3954" s="229">
        <v>32.5</v>
      </c>
      <c r="E3954" s="229">
        <v>36.0</v>
      </c>
      <c r="F3954" s="230">
        <v>3.0</v>
      </c>
      <c r="G3954" s="232"/>
    </row>
    <row r="3955">
      <c r="A3955" s="2"/>
      <c r="B3955" s="168" t="s">
        <v>257</v>
      </c>
      <c r="C3955" s="168" t="s">
        <v>4208</v>
      </c>
      <c r="D3955" s="229">
        <v>28.5</v>
      </c>
      <c r="E3955" s="229">
        <v>32.0</v>
      </c>
      <c r="F3955" s="230">
        <v>3.0</v>
      </c>
      <c r="G3955" s="232"/>
    </row>
    <row r="3956">
      <c r="A3956" s="2"/>
      <c r="B3956" s="168" t="s">
        <v>318</v>
      </c>
      <c r="C3956" s="168" t="s">
        <v>4209</v>
      </c>
      <c r="D3956" s="229">
        <v>25.5</v>
      </c>
      <c r="E3956" s="229">
        <v>29.0</v>
      </c>
      <c r="F3956" s="230">
        <v>3.0</v>
      </c>
      <c r="G3956" s="232"/>
    </row>
    <row r="3957">
      <c r="A3957" s="2"/>
      <c r="B3957" s="168" t="s">
        <v>269</v>
      </c>
      <c r="C3957" s="168" t="s">
        <v>4210</v>
      </c>
      <c r="D3957" s="229">
        <v>21.5</v>
      </c>
      <c r="E3957" s="229">
        <v>25.0</v>
      </c>
      <c r="F3957" s="230">
        <v>3.0</v>
      </c>
      <c r="G3957" s="232"/>
    </row>
    <row r="3958">
      <c r="A3958" s="2"/>
      <c r="B3958" s="168" t="s">
        <v>269</v>
      </c>
      <c r="C3958" s="168" t="s">
        <v>4211</v>
      </c>
      <c r="D3958" s="229">
        <v>26.5</v>
      </c>
      <c r="E3958" s="229">
        <v>30.0</v>
      </c>
      <c r="F3958" s="230">
        <v>3.0</v>
      </c>
      <c r="G3958" s="232"/>
    </row>
    <row r="3959">
      <c r="A3959" s="2"/>
      <c r="B3959" s="168" t="s">
        <v>257</v>
      </c>
      <c r="C3959" s="168" t="s">
        <v>4212</v>
      </c>
      <c r="D3959" s="229">
        <v>28.5</v>
      </c>
      <c r="E3959" s="229">
        <v>32.0</v>
      </c>
      <c r="F3959" s="230">
        <v>3.0</v>
      </c>
      <c r="G3959" s="232"/>
    </row>
    <row r="3960">
      <c r="A3960" s="2"/>
      <c r="B3960" s="168" t="s">
        <v>215</v>
      </c>
      <c r="C3960" s="168" t="s">
        <v>4213</v>
      </c>
      <c r="D3960" s="229">
        <v>29.5</v>
      </c>
      <c r="E3960" s="229">
        <v>33.0</v>
      </c>
      <c r="F3960" s="230">
        <v>3.0</v>
      </c>
      <c r="G3960" s="232"/>
    </row>
    <row r="3961">
      <c r="A3961" s="2"/>
      <c r="B3961" s="168" t="s">
        <v>269</v>
      </c>
      <c r="C3961" s="168" t="s">
        <v>4214</v>
      </c>
      <c r="D3961" s="229">
        <v>26.5</v>
      </c>
      <c r="E3961" s="229">
        <v>30.0</v>
      </c>
      <c r="F3961" s="230">
        <v>3.0</v>
      </c>
      <c r="G3961" s="232"/>
    </row>
    <row r="3962">
      <c r="A3962" s="2"/>
      <c r="B3962" s="168" t="s">
        <v>269</v>
      </c>
      <c r="C3962" s="168" t="s">
        <v>4215</v>
      </c>
      <c r="D3962" s="229">
        <v>26.5</v>
      </c>
      <c r="E3962" s="229">
        <v>30.0</v>
      </c>
      <c r="F3962" s="230">
        <v>3.0</v>
      </c>
      <c r="G3962" s="232"/>
    </row>
    <row r="3963">
      <c r="A3963" s="2"/>
      <c r="B3963" s="168" t="s">
        <v>241</v>
      </c>
      <c r="C3963" s="168" t="s">
        <v>4216</v>
      </c>
      <c r="D3963" s="229">
        <v>32.5</v>
      </c>
      <c r="E3963" s="229">
        <v>36.0</v>
      </c>
      <c r="F3963" s="230">
        <v>3.0</v>
      </c>
      <c r="G3963" s="232"/>
    </row>
    <row r="3964">
      <c r="A3964" s="2"/>
      <c r="B3964" s="168" t="s">
        <v>290</v>
      </c>
      <c r="C3964" s="168" t="s">
        <v>4217</v>
      </c>
      <c r="D3964" s="229">
        <v>29.0</v>
      </c>
      <c r="E3964" s="229">
        <v>32.5</v>
      </c>
      <c r="F3964" s="230">
        <v>3.0</v>
      </c>
      <c r="G3964" s="232"/>
    </row>
    <row r="3965">
      <c r="A3965" s="2"/>
      <c r="B3965" s="168" t="s">
        <v>217</v>
      </c>
      <c r="C3965" s="168" t="s">
        <v>4218</v>
      </c>
      <c r="D3965" s="229">
        <v>27.5</v>
      </c>
      <c r="E3965" s="229">
        <v>31.0</v>
      </c>
      <c r="F3965" s="230">
        <v>3.0</v>
      </c>
      <c r="G3965" s="232"/>
    </row>
    <row r="3966">
      <c r="A3966" s="2"/>
      <c r="B3966" s="168" t="s">
        <v>241</v>
      </c>
      <c r="C3966" s="168" t="s">
        <v>4219</v>
      </c>
      <c r="D3966" s="229">
        <v>32.5</v>
      </c>
      <c r="E3966" s="229">
        <v>36.0</v>
      </c>
      <c r="F3966" s="230">
        <v>3.0</v>
      </c>
      <c r="G3966" s="232"/>
    </row>
    <row r="3967">
      <c r="A3967" s="2"/>
      <c r="B3967" s="168" t="s">
        <v>275</v>
      </c>
      <c r="C3967" s="168" t="s">
        <v>4220</v>
      </c>
      <c r="D3967" s="229">
        <v>26.5</v>
      </c>
      <c r="E3967" s="229">
        <v>30.0</v>
      </c>
      <c r="F3967" s="230">
        <v>3.0</v>
      </c>
      <c r="G3967" s="232"/>
    </row>
    <row r="3968">
      <c r="A3968" s="2"/>
      <c r="B3968" s="168" t="s">
        <v>337</v>
      </c>
      <c r="C3968" s="168" t="s">
        <v>4221</v>
      </c>
      <c r="D3968" s="229">
        <v>28.5</v>
      </c>
      <c r="E3968" s="229">
        <v>32.0</v>
      </c>
      <c r="F3968" s="230">
        <v>3.0</v>
      </c>
      <c r="G3968" s="232"/>
    </row>
    <row r="3969">
      <c r="A3969" s="2"/>
      <c r="B3969" s="168" t="s">
        <v>236</v>
      </c>
      <c r="C3969" s="168" t="s">
        <v>4222</v>
      </c>
      <c r="D3969" s="229">
        <v>34.5</v>
      </c>
      <c r="E3969" s="229">
        <v>38.0</v>
      </c>
      <c r="F3969" s="230">
        <v>3.0</v>
      </c>
      <c r="G3969" s="232"/>
    </row>
    <row r="3970">
      <c r="A3970" s="2"/>
      <c r="B3970" s="168" t="s">
        <v>232</v>
      </c>
      <c r="C3970" s="168" t="s">
        <v>4223</v>
      </c>
      <c r="D3970" s="229">
        <v>30.5</v>
      </c>
      <c r="E3970" s="229">
        <v>34.0</v>
      </c>
      <c r="F3970" s="230">
        <v>3.0</v>
      </c>
      <c r="G3970" s="232"/>
    </row>
    <row r="3971">
      <c r="A3971" s="2"/>
      <c r="B3971" s="168" t="s">
        <v>381</v>
      </c>
      <c r="C3971" s="168" t="s">
        <v>4224</v>
      </c>
      <c r="D3971" s="229">
        <v>28.5</v>
      </c>
      <c r="E3971" s="229">
        <v>32.0</v>
      </c>
      <c r="F3971" s="230">
        <v>3.0</v>
      </c>
      <c r="G3971" s="232"/>
    </row>
    <row r="3972">
      <c r="A3972" s="2"/>
      <c r="B3972" s="168" t="s">
        <v>269</v>
      </c>
      <c r="C3972" s="168" t="s">
        <v>4225</v>
      </c>
      <c r="D3972" s="229">
        <v>26.5</v>
      </c>
      <c r="E3972" s="229">
        <v>30.0</v>
      </c>
      <c r="F3972" s="230">
        <v>3.0</v>
      </c>
      <c r="G3972" s="232"/>
    </row>
    <row r="3973">
      <c r="A3973" s="2"/>
      <c r="B3973" s="168" t="s">
        <v>223</v>
      </c>
      <c r="C3973" s="168" t="s">
        <v>4226</v>
      </c>
      <c r="D3973" s="229">
        <v>26.5</v>
      </c>
      <c r="E3973" s="229">
        <v>30.0</v>
      </c>
      <c r="F3973" s="230">
        <v>3.0</v>
      </c>
      <c r="G3973" s="232"/>
    </row>
    <row r="3974">
      <c r="A3974" s="2"/>
      <c r="B3974" s="168" t="s">
        <v>269</v>
      </c>
      <c r="C3974" s="168" t="s">
        <v>4227</v>
      </c>
      <c r="D3974" s="229">
        <v>26.5</v>
      </c>
      <c r="E3974" s="229">
        <v>30.0</v>
      </c>
      <c r="F3974" s="230">
        <v>3.0</v>
      </c>
      <c r="G3974" s="232"/>
    </row>
    <row r="3975">
      <c r="A3975" s="2"/>
      <c r="B3975" s="168" t="s">
        <v>290</v>
      </c>
      <c r="C3975" s="168" t="s">
        <v>4228</v>
      </c>
      <c r="D3975" s="229">
        <v>29.5</v>
      </c>
      <c r="E3975" s="229">
        <v>33.0</v>
      </c>
      <c r="F3975" s="230">
        <v>3.0</v>
      </c>
      <c r="G3975" s="232"/>
    </row>
    <row r="3976">
      <c r="A3976" s="2"/>
      <c r="B3976" s="168" t="s">
        <v>288</v>
      </c>
      <c r="C3976" s="168" t="s">
        <v>4229</v>
      </c>
      <c r="D3976" s="229">
        <v>21.5</v>
      </c>
      <c r="E3976" s="229">
        <v>25.0</v>
      </c>
      <c r="F3976" s="230">
        <v>3.0</v>
      </c>
      <c r="G3976" s="232"/>
    </row>
    <row r="3977">
      <c r="A3977" s="2"/>
      <c r="B3977" s="168" t="s">
        <v>345</v>
      </c>
      <c r="C3977" s="168" t="s">
        <v>4230</v>
      </c>
      <c r="D3977" s="229">
        <v>26.5</v>
      </c>
      <c r="E3977" s="229">
        <v>30.0</v>
      </c>
      <c r="F3977" s="230">
        <v>3.0</v>
      </c>
      <c r="G3977" s="232"/>
    </row>
    <row r="3978">
      <c r="A3978" s="2"/>
      <c r="B3978" s="168" t="s">
        <v>290</v>
      </c>
      <c r="C3978" s="168" t="s">
        <v>4231</v>
      </c>
      <c r="D3978" s="229">
        <v>29.5</v>
      </c>
      <c r="E3978" s="229">
        <v>33.0</v>
      </c>
      <c r="F3978" s="230">
        <v>3.0</v>
      </c>
      <c r="G3978" s="232"/>
    </row>
    <row r="3979">
      <c r="A3979" s="2"/>
      <c r="B3979" s="168" t="s">
        <v>330</v>
      </c>
      <c r="C3979" s="168" t="s">
        <v>4232</v>
      </c>
      <c r="D3979" s="229">
        <v>24.5</v>
      </c>
      <c r="E3979" s="229">
        <v>28.0</v>
      </c>
      <c r="F3979" s="230">
        <v>3.0</v>
      </c>
      <c r="G3979" s="232"/>
    </row>
    <row r="3980">
      <c r="A3980" s="2"/>
      <c r="B3980" s="168" t="s">
        <v>288</v>
      </c>
      <c r="C3980" s="168" t="s">
        <v>4233</v>
      </c>
      <c r="D3980" s="229">
        <v>16.5</v>
      </c>
      <c r="E3980" s="229">
        <v>20.0</v>
      </c>
      <c r="F3980" s="230">
        <v>3.0</v>
      </c>
      <c r="G3980" s="232"/>
    </row>
    <row r="3981">
      <c r="A3981" s="2"/>
      <c r="B3981" s="168" t="s">
        <v>241</v>
      </c>
      <c r="C3981" s="168" t="s">
        <v>4234</v>
      </c>
      <c r="D3981" s="229">
        <v>32.5</v>
      </c>
      <c r="E3981" s="229">
        <v>36.0</v>
      </c>
      <c r="F3981" s="230">
        <v>3.0</v>
      </c>
      <c r="G3981" s="232"/>
    </row>
    <row r="3982">
      <c r="A3982" s="2"/>
      <c r="B3982" s="168" t="s">
        <v>241</v>
      </c>
      <c r="C3982" s="168" t="s">
        <v>4235</v>
      </c>
      <c r="D3982" s="229">
        <v>32.5</v>
      </c>
      <c r="E3982" s="229">
        <v>36.0</v>
      </c>
      <c r="F3982" s="230">
        <v>3.0</v>
      </c>
      <c r="G3982" s="232"/>
    </row>
    <row r="3983">
      <c r="A3983" s="2"/>
      <c r="B3983" s="168" t="s">
        <v>255</v>
      </c>
      <c r="C3983" s="168" t="s">
        <v>4236</v>
      </c>
      <c r="D3983" s="229">
        <v>31.0</v>
      </c>
      <c r="E3983" s="229">
        <v>34.5</v>
      </c>
      <c r="F3983" s="230">
        <v>3.0</v>
      </c>
      <c r="G3983" s="232"/>
    </row>
    <row r="3984">
      <c r="A3984" s="2"/>
      <c r="B3984" s="168" t="s">
        <v>217</v>
      </c>
      <c r="C3984" s="168" t="s">
        <v>4237</v>
      </c>
      <c r="D3984" s="229">
        <v>27.5</v>
      </c>
      <c r="E3984" s="229">
        <v>31.0</v>
      </c>
      <c r="F3984" s="230">
        <v>3.0</v>
      </c>
      <c r="G3984" s="232"/>
    </row>
    <row r="3985">
      <c r="A3985" s="2"/>
      <c r="B3985" s="168" t="s">
        <v>232</v>
      </c>
      <c r="C3985" s="168" t="s">
        <v>4238</v>
      </c>
      <c r="D3985" s="229">
        <v>27.5</v>
      </c>
      <c r="E3985" s="229">
        <v>31.0</v>
      </c>
      <c r="F3985" s="230">
        <v>3.0</v>
      </c>
      <c r="G3985" s="232"/>
    </row>
    <row r="3986">
      <c r="A3986" s="2"/>
      <c r="B3986" s="168" t="s">
        <v>581</v>
      </c>
      <c r="C3986" s="168" t="s">
        <v>4239</v>
      </c>
      <c r="D3986" s="229">
        <v>23.5</v>
      </c>
      <c r="E3986" s="229">
        <v>27.0</v>
      </c>
      <c r="F3986" s="230">
        <v>3.0</v>
      </c>
      <c r="G3986" s="232"/>
    </row>
    <row r="3987">
      <c r="A3987" s="2"/>
      <c r="B3987" s="168" t="s">
        <v>230</v>
      </c>
      <c r="C3987" s="168" t="s">
        <v>4240</v>
      </c>
      <c r="D3987" s="229">
        <v>16.5</v>
      </c>
      <c r="E3987" s="229">
        <v>20.0</v>
      </c>
      <c r="F3987" s="230">
        <v>3.0</v>
      </c>
      <c r="G3987" s="232"/>
    </row>
    <row r="3988">
      <c r="A3988" s="2"/>
      <c r="B3988" s="168" t="s">
        <v>236</v>
      </c>
      <c r="C3988" s="168" t="s">
        <v>4241</v>
      </c>
      <c r="D3988" s="229">
        <v>34.5</v>
      </c>
      <c r="E3988" s="229">
        <v>38.0</v>
      </c>
      <c r="F3988" s="230">
        <v>3.0</v>
      </c>
      <c r="G3988" s="232"/>
    </row>
    <row r="3989">
      <c r="A3989" s="2"/>
      <c r="B3989" s="168" t="s">
        <v>230</v>
      </c>
      <c r="C3989" s="168" t="s">
        <v>4242</v>
      </c>
      <c r="D3989" s="229">
        <v>16.5</v>
      </c>
      <c r="E3989" s="229">
        <v>20.0</v>
      </c>
      <c r="F3989" s="230">
        <v>3.0</v>
      </c>
      <c r="G3989" s="232"/>
    </row>
    <row r="3990">
      <c r="A3990" s="2"/>
      <c r="B3990" s="168" t="s">
        <v>430</v>
      </c>
      <c r="C3990" s="168" t="s">
        <v>4243</v>
      </c>
      <c r="D3990" s="229">
        <v>34.5</v>
      </c>
      <c r="E3990" s="229">
        <v>38.0</v>
      </c>
      <c r="F3990" s="230">
        <v>3.0</v>
      </c>
      <c r="G3990" s="232"/>
    </row>
    <row r="3991">
      <c r="A3991" s="2"/>
      <c r="B3991" s="168" t="s">
        <v>230</v>
      </c>
      <c r="C3991" s="168" t="s">
        <v>4244</v>
      </c>
      <c r="D3991" s="229">
        <v>21.5</v>
      </c>
      <c r="E3991" s="229">
        <v>25.0</v>
      </c>
      <c r="F3991" s="230">
        <v>3.0</v>
      </c>
      <c r="G3991" s="232"/>
    </row>
    <row r="3992">
      <c r="A3992" s="2"/>
      <c r="B3992" s="168" t="s">
        <v>234</v>
      </c>
      <c r="C3992" s="168" t="s">
        <v>4245</v>
      </c>
      <c r="D3992" s="229">
        <v>29.5</v>
      </c>
      <c r="E3992" s="229">
        <v>33.0</v>
      </c>
      <c r="F3992" s="230">
        <v>3.0</v>
      </c>
      <c r="G3992" s="232"/>
    </row>
    <row r="3993">
      <c r="A3993" s="2"/>
      <c r="B3993" s="168" t="s">
        <v>427</v>
      </c>
      <c r="C3993" s="168" t="s">
        <v>4246</v>
      </c>
      <c r="D3993" s="229">
        <v>26.5</v>
      </c>
      <c r="E3993" s="229">
        <v>30.0</v>
      </c>
      <c r="F3993" s="230">
        <v>3.0</v>
      </c>
      <c r="G3993" s="232"/>
    </row>
    <row r="3994">
      <c r="A3994" s="2"/>
      <c r="B3994" s="168" t="s">
        <v>243</v>
      </c>
      <c r="C3994" s="168" t="s">
        <v>4247</v>
      </c>
      <c r="D3994" s="229">
        <v>29.5</v>
      </c>
      <c r="E3994" s="229">
        <v>33.0</v>
      </c>
      <c r="F3994" s="230">
        <v>3.0</v>
      </c>
      <c r="G3994" s="232"/>
    </row>
    <row r="3995">
      <c r="A3995" s="2"/>
      <c r="B3995" s="168" t="s">
        <v>232</v>
      </c>
      <c r="C3995" s="168" t="s">
        <v>4248</v>
      </c>
      <c r="D3995" s="229">
        <v>26.5</v>
      </c>
      <c r="E3995" s="229">
        <v>30.0</v>
      </c>
      <c r="F3995" s="230">
        <v>3.0</v>
      </c>
      <c r="G3995" s="232"/>
    </row>
    <row r="3996">
      <c r="A3996" s="2"/>
      <c r="B3996" s="168" t="s">
        <v>230</v>
      </c>
      <c r="C3996" s="168" t="s">
        <v>4249</v>
      </c>
      <c r="D3996" s="229">
        <v>21.5</v>
      </c>
      <c r="E3996" s="229">
        <v>25.0</v>
      </c>
      <c r="F3996" s="230">
        <v>3.0</v>
      </c>
      <c r="G3996" s="232"/>
    </row>
    <row r="3997">
      <c r="A3997" s="2"/>
      <c r="B3997" s="168" t="s">
        <v>300</v>
      </c>
      <c r="C3997" s="168" t="s">
        <v>4250</v>
      </c>
      <c r="D3997" s="229">
        <v>28.0</v>
      </c>
      <c r="E3997" s="229">
        <v>31.5</v>
      </c>
      <c r="F3997" s="230">
        <v>3.0</v>
      </c>
      <c r="G3997" s="232"/>
    </row>
    <row r="3998">
      <c r="A3998" s="2"/>
      <c r="B3998" s="168" t="s">
        <v>273</v>
      </c>
      <c r="C3998" s="168" t="s">
        <v>4251</v>
      </c>
      <c r="D3998" s="229">
        <v>29.5</v>
      </c>
      <c r="E3998" s="229">
        <v>33.0</v>
      </c>
      <c r="F3998" s="230">
        <v>3.0</v>
      </c>
      <c r="G3998" s="232"/>
    </row>
    <row r="3999">
      <c r="A3999" s="2"/>
      <c r="B3999" s="168" t="s">
        <v>230</v>
      </c>
      <c r="C3999" s="168" t="s">
        <v>4252</v>
      </c>
      <c r="D3999" s="229">
        <v>21.5</v>
      </c>
      <c r="E3999" s="229">
        <v>25.0</v>
      </c>
      <c r="F3999" s="230">
        <v>3.0</v>
      </c>
      <c r="G3999" s="232"/>
    </row>
    <row r="4000">
      <c r="A4000" s="2"/>
      <c r="B4000" s="168" t="s">
        <v>535</v>
      </c>
      <c r="C4000" s="168" t="s">
        <v>4253</v>
      </c>
      <c r="D4000" s="229">
        <v>26.5</v>
      </c>
      <c r="E4000" s="229">
        <v>30.0</v>
      </c>
      <c r="F4000" s="230">
        <v>3.0</v>
      </c>
      <c r="G4000" s="232"/>
    </row>
    <row r="4001">
      <c r="A4001" s="2"/>
      <c r="B4001" s="168" t="s">
        <v>280</v>
      </c>
      <c r="C4001" s="168" t="s">
        <v>4254</v>
      </c>
      <c r="D4001" s="229">
        <v>31.0</v>
      </c>
      <c r="E4001" s="229">
        <v>34.5</v>
      </c>
      <c r="F4001" s="230">
        <v>3.0</v>
      </c>
      <c r="G4001" s="232"/>
    </row>
    <row r="4002">
      <c r="A4002" s="2"/>
      <c r="B4002" s="168" t="s">
        <v>345</v>
      </c>
      <c r="C4002" s="168" t="s">
        <v>4255</v>
      </c>
      <c r="D4002" s="229">
        <v>26.5</v>
      </c>
      <c r="E4002" s="229">
        <v>30.0</v>
      </c>
      <c r="F4002" s="230">
        <v>3.0</v>
      </c>
      <c r="G4002" s="232"/>
    </row>
    <row r="4003">
      <c r="A4003" s="2"/>
      <c r="B4003" s="168" t="s">
        <v>269</v>
      </c>
      <c r="C4003" s="168" t="s">
        <v>4256</v>
      </c>
      <c r="D4003" s="229">
        <v>21.5</v>
      </c>
      <c r="E4003" s="229">
        <v>25.0</v>
      </c>
      <c r="F4003" s="230">
        <v>3.0</v>
      </c>
      <c r="G4003" s="232"/>
    </row>
    <row r="4004">
      <c r="A4004" s="2"/>
      <c r="B4004" s="168" t="s">
        <v>337</v>
      </c>
      <c r="C4004" s="168" t="s">
        <v>4257</v>
      </c>
      <c r="D4004" s="229">
        <v>28.0</v>
      </c>
      <c r="E4004" s="229">
        <v>31.5</v>
      </c>
      <c r="F4004" s="230">
        <v>3.0</v>
      </c>
      <c r="G4004" s="232"/>
    </row>
    <row r="4005">
      <c r="A4005" s="2"/>
      <c r="B4005" s="168" t="s">
        <v>2416</v>
      </c>
      <c r="C4005" s="168" t="s">
        <v>4258</v>
      </c>
      <c r="D4005" s="229">
        <v>18.5</v>
      </c>
      <c r="E4005" s="229">
        <v>22.0</v>
      </c>
      <c r="F4005" s="230">
        <v>3.0</v>
      </c>
      <c r="G4005" s="232"/>
    </row>
    <row r="4006">
      <c r="A4006" s="2"/>
      <c r="B4006" s="168" t="s">
        <v>221</v>
      </c>
      <c r="C4006" s="168" t="s">
        <v>4259</v>
      </c>
      <c r="D4006" s="229">
        <v>27.5</v>
      </c>
      <c r="E4006" s="229">
        <v>31.0</v>
      </c>
      <c r="F4006" s="230">
        <v>3.0</v>
      </c>
      <c r="G4006" s="232"/>
    </row>
    <row r="4007">
      <c r="A4007" s="2"/>
      <c r="B4007" s="168" t="s">
        <v>217</v>
      </c>
      <c r="C4007" s="168" t="s">
        <v>4260</v>
      </c>
      <c r="D4007" s="229">
        <v>27.5</v>
      </c>
      <c r="E4007" s="229">
        <v>31.0</v>
      </c>
      <c r="F4007" s="230">
        <v>3.0</v>
      </c>
      <c r="G4007" s="232"/>
    </row>
    <row r="4008">
      <c r="A4008" s="2"/>
      <c r="B4008" s="168" t="s">
        <v>243</v>
      </c>
      <c r="C4008" s="168" t="s">
        <v>4261</v>
      </c>
      <c r="D4008" s="229">
        <v>29.5</v>
      </c>
      <c r="E4008" s="229">
        <v>33.0</v>
      </c>
      <c r="F4008" s="230">
        <v>3.0</v>
      </c>
      <c r="G4008" s="232"/>
    </row>
    <row r="4009">
      <c r="A4009" s="2"/>
      <c r="B4009" s="168" t="s">
        <v>245</v>
      </c>
      <c r="C4009" s="168" t="s">
        <v>4262</v>
      </c>
      <c r="D4009" s="229">
        <v>29.5</v>
      </c>
      <c r="E4009" s="229">
        <v>33.0</v>
      </c>
      <c r="F4009" s="230">
        <v>3.0</v>
      </c>
      <c r="G4009" s="232"/>
    </row>
    <row r="4010">
      <c r="A4010" s="2"/>
      <c r="B4010" s="168" t="s">
        <v>230</v>
      </c>
      <c r="C4010" s="168" t="s">
        <v>4263</v>
      </c>
      <c r="D4010" s="229">
        <v>21.5</v>
      </c>
      <c r="E4010" s="229">
        <v>25.0</v>
      </c>
      <c r="F4010" s="230">
        <v>3.0</v>
      </c>
      <c r="G4010" s="232"/>
    </row>
    <row r="4011">
      <c r="A4011" s="2"/>
      <c r="B4011" s="168" t="s">
        <v>262</v>
      </c>
      <c r="C4011" s="168" t="s">
        <v>4264</v>
      </c>
      <c r="D4011" s="229">
        <v>29.5</v>
      </c>
      <c r="E4011" s="229">
        <v>33.0</v>
      </c>
      <c r="F4011" s="230">
        <v>3.0</v>
      </c>
      <c r="G4011" s="232"/>
    </row>
    <row r="4012">
      <c r="A4012" s="2"/>
      <c r="B4012" s="168" t="s">
        <v>574</v>
      </c>
      <c r="C4012" s="168" t="s">
        <v>4265</v>
      </c>
      <c r="D4012" s="229">
        <v>34.5</v>
      </c>
      <c r="E4012" s="229">
        <v>38.0</v>
      </c>
      <c r="F4012" s="230">
        <v>3.0</v>
      </c>
      <c r="G4012" s="232"/>
    </row>
    <row r="4013">
      <c r="A4013" s="2"/>
      <c r="B4013" s="168" t="s">
        <v>241</v>
      </c>
      <c r="C4013" s="168" t="s">
        <v>4266</v>
      </c>
      <c r="D4013" s="229">
        <v>32.5</v>
      </c>
      <c r="E4013" s="229">
        <v>36.0</v>
      </c>
      <c r="F4013" s="230">
        <v>3.0</v>
      </c>
      <c r="G4013" s="232"/>
    </row>
    <row r="4014">
      <c r="A4014" s="2"/>
      <c r="B4014" s="168" t="s">
        <v>341</v>
      </c>
      <c r="C4014" s="168" t="s">
        <v>4267</v>
      </c>
      <c r="D4014" s="229">
        <v>29.5</v>
      </c>
      <c r="E4014" s="229">
        <v>29.5</v>
      </c>
      <c r="F4014" s="230">
        <v>3.0</v>
      </c>
      <c r="G4014" s="232"/>
    </row>
    <row r="4015">
      <c r="A4015" s="2"/>
      <c r="B4015" s="168" t="s">
        <v>230</v>
      </c>
      <c r="C4015" s="168" t="s">
        <v>4268</v>
      </c>
      <c r="D4015" s="229">
        <v>16.5</v>
      </c>
      <c r="E4015" s="229">
        <v>20.0</v>
      </c>
      <c r="F4015" s="230">
        <v>3.0</v>
      </c>
      <c r="G4015" s="232"/>
    </row>
    <row r="4016">
      <c r="A4016" s="2"/>
      <c r="B4016" s="168" t="s">
        <v>230</v>
      </c>
      <c r="C4016" s="168" t="s">
        <v>4269</v>
      </c>
      <c r="D4016" s="229">
        <v>21.5</v>
      </c>
      <c r="E4016" s="229">
        <v>25.0</v>
      </c>
      <c r="F4016" s="230">
        <v>3.0</v>
      </c>
      <c r="G4016" s="232"/>
    </row>
    <row r="4017">
      <c r="A4017" s="2"/>
      <c r="B4017" s="168" t="s">
        <v>241</v>
      </c>
      <c r="C4017" s="168" t="s">
        <v>4270</v>
      </c>
      <c r="D4017" s="229">
        <v>32.5</v>
      </c>
      <c r="E4017" s="229">
        <v>36.0</v>
      </c>
      <c r="F4017" s="230">
        <v>3.0</v>
      </c>
      <c r="G4017" s="232"/>
    </row>
    <row r="4018">
      <c r="A4018" s="2"/>
      <c r="B4018" s="168" t="s">
        <v>337</v>
      </c>
      <c r="C4018" s="168" t="s">
        <v>4271</v>
      </c>
      <c r="D4018" s="229">
        <v>20.5</v>
      </c>
      <c r="E4018" s="229">
        <v>24.0</v>
      </c>
      <c r="F4018" s="230">
        <v>3.0</v>
      </c>
      <c r="G4018" s="232"/>
    </row>
    <row r="4019">
      <c r="A4019" s="2"/>
      <c r="B4019" s="168" t="s">
        <v>245</v>
      </c>
      <c r="C4019" s="168" t="s">
        <v>4272</v>
      </c>
      <c r="D4019" s="229">
        <v>29.5</v>
      </c>
      <c r="E4019" s="229">
        <v>33.0</v>
      </c>
      <c r="F4019" s="230">
        <v>3.0</v>
      </c>
      <c r="G4019" s="232"/>
    </row>
    <row r="4020">
      <c r="A4020" s="2"/>
      <c r="B4020" s="168" t="s">
        <v>288</v>
      </c>
      <c r="C4020" s="168" t="s">
        <v>4273</v>
      </c>
      <c r="D4020" s="229">
        <v>21.5</v>
      </c>
      <c r="E4020" s="229">
        <v>25.0</v>
      </c>
      <c r="F4020" s="230">
        <v>3.0</v>
      </c>
      <c r="G4020" s="232"/>
    </row>
    <row r="4021">
      <c r="A4021" s="2"/>
      <c r="B4021" s="168" t="s">
        <v>811</v>
      </c>
      <c r="C4021" s="168" t="s">
        <v>4274</v>
      </c>
      <c r="D4021" s="229">
        <v>29.5</v>
      </c>
      <c r="E4021" s="229">
        <v>33.0</v>
      </c>
      <c r="F4021" s="230">
        <v>3.0</v>
      </c>
      <c r="G4021" s="232"/>
    </row>
    <row r="4022">
      <c r="A4022" s="2"/>
      <c r="B4022" s="168" t="s">
        <v>337</v>
      </c>
      <c r="C4022" s="168" t="s">
        <v>4275</v>
      </c>
      <c r="D4022" s="229">
        <v>28.5</v>
      </c>
      <c r="E4022" s="229">
        <v>32.0</v>
      </c>
      <c r="F4022" s="230">
        <v>3.0</v>
      </c>
      <c r="G4022" s="232"/>
    </row>
    <row r="4023">
      <c r="A4023" s="2"/>
      <c r="B4023" s="168" t="s">
        <v>249</v>
      </c>
      <c r="C4023" s="168" t="s">
        <v>4276</v>
      </c>
      <c r="D4023" s="229">
        <v>3.0</v>
      </c>
      <c r="E4023" s="229">
        <v>3.0</v>
      </c>
      <c r="F4023" s="230">
        <v>3.0</v>
      </c>
      <c r="G4023" s="232"/>
    </row>
    <row r="4024">
      <c r="A4024" s="2"/>
      <c r="B4024" s="168" t="s">
        <v>1311</v>
      </c>
      <c r="C4024" s="168" t="s">
        <v>4277</v>
      </c>
      <c r="D4024" s="229">
        <v>28.5</v>
      </c>
      <c r="E4024" s="229">
        <v>32.0</v>
      </c>
      <c r="F4024" s="230">
        <v>3.0</v>
      </c>
      <c r="G4024" s="232"/>
    </row>
    <row r="4025">
      <c r="A4025" s="2"/>
      <c r="B4025" s="168" t="s">
        <v>446</v>
      </c>
      <c r="C4025" s="168" t="s">
        <v>446</v>
      </c>
      <c r="D4025" s="229">
        <v>9.5</v>
      </c>
      <c r="E4025" s="229">
        <v>9.5</v>
      </c>
      <c r="F4025" s="230">
        <v>3.0</v>
      </c>
      <c r="G4025" s="232"/>
    </row>
    <row r="4026">
      <c r="A4026" s="2"/>
      <c r="B4026" s="168" t="s">
        <v>592</v>
      </c>
      <c r="C4026" s="168" t="s">
        <v>4278</v>
      </c>
      <c r="D4026" s="229">
        <v>34.5</v>
      </c>
      <c r="E4026" s="229">
        <v>38.0</v>
      </c>
      <c r="F4026" s="230">
        <v>3.0</v>
      </c>
      <c r="G4026" s="232"/>
    </row>
    <row r="4027">
      <c r="A4027" s="2"/>
      <c r="B4027" s="168" t="s">
        <v>230</v>
      </c>
      <c r="C4027" s="168" t="s">
        <v>4279</v>
      </c>
      <c r="D4027" s="229">
        <v>16.5</v>
      </c>
      <c r="E4027" s="229">
        <v>20.0</v>
      </c>
      <c r="F4027" s="230">
        <v>3.0</v>
      </c>
      <c r="G4027" s="232"/>
    </row>
    <row r="4028">
      <c r="A4028" s="2"/>
      <c r="B4028" s="168" t="s">
        <v>684</v>
      </c>
      <c r="C4028" s="168" t="s">
        <v>4280</v>
      </c>
      <c r="D4028" s="229">
        <v>25.5</v>
      </c>
      <c r="E4028" s="229">
        <v>29.0</v>
      </c>
      <c r="F4028" s="230">
        <v>3.0</v>
      </c>
      <c r="G4028" s="232"/>
    </row>
    <row r="4029">
      <c r="A4029" s="2"/>
      <c r="B4029" s="168" t="s">
        <v>273</v>
      </c>
      <c r="C4029" s="168" t="s">
        <v>4281</v>
      </c>
      <c r="D4029" s="229">
        <v>29.5</v>
      </c>
      <c r="E4029" s="229">
        <v>33.0</v>
      </c>
      <c r="F4029" s="230">
        <v>3.0</v>
      </c>
      <c r="G4029" s="232"/>
    </row>
    <row r="4030">
      <c r="A4030" s="2"/>
      <c r="B4030" s="168" t="s">
        <v>269</v>
      </c>
      <c r="C4030" s="168" t="s">
        <v>4282</v>
      </c>
      <c r="D4030" s="229">
        <v>26.5</v>
      </c>
      <c r="E4030" s="229">
        <v>30.0</v>
      </c>
      <c r="F4030" s="230">
        <v>3.0</v>
      </c>
      <c r="G4030" s="232"/>
    </row>
    <row r="4031">
      <c r="A4031" s="2"/>
      <c r="B4031" s="168" t="s">
        <v>332</v>
      </c>
      <c r="C4031" s="168" t="s">
        <v>4283</v>
      </c>
      <c r="D4031" s="229">
        <v>28.0</v>
      </c>
      <c r="E4031" s="229">
        <v>31.5</v>
      </c>
      <c r="F4031" s="230">
        <v>3.0</v>
      </c>
      <c r="G4031" s="232"/>
    </row>
    <row r="4032">
      <c r="A4032" s="2"/>
      <c r="B4032" s="168" t="s">
        <v>232</v>
      </c>
      <c r="C4032" s="168" t="s">
        <v>4284</v>
      </c>
      <c r="D4032" s="229">
        <v>32.5</v>
      </c>
      <c r="E4032" s="229">
        <v>36.0</v>
      </c>
      <c r="F4032" s="230">
        <v>3.0</v>
      </c>
      <c r="G4032" s="232"/>
    </row>
    <row r="4033">
      <c r="A4033" s="2"/>
      <c r="B4033" s="168" t="s">
        <v>230</v>
      </c>
      <c r="C4033" s="168" t="s">
        <v>4285</v>
      </c>
      <c r="D4033" s="229">
        <v>21.5</v>
      </c>
      <c r="E4033" s="229">
        <v>25.0</v>
      </c>
      <c r="F4033" s="230">
        <v>3.0</v>
      </c>
      <c r="G4033" s="232"/>
    </row>
    <row r="4034">
      <c r="A4034" s="2"/>
      <c r="B4034" s="168" t="s">
        <v>288</v>
      </c>
      <c r="C4034" s="168" t="s">
        <v>4286</v>
      </c>
      <c r="D4034" s="229">
        <v>21.5</v>
      </c>
      <c r="E4034" s="229">
        <v>25.0</v>
      </c>
      <c r="F4034" s="230">
        <v>3.0</v>
      </c>
      <c r="G4034" s="232"/>
    </row>
    <row r="4035">
      <c r="A4035" s="2"/>
      <c r="B4035" s="168" t="s">
        <v>300</v>
      </c>
      <c r="C4035" s="168" t="s">
        <v>4287</v>
      </c>
      <c r="D4035" s="229">
        <v>28.5</v>
      </c>
      <c r="E4035" s="229">
        <v>32.0</v>
      </c>
      <c r="F4035" s="230">
        <v>3.0</v>
      </c>
      <c r="G4035" s="232"/>
    </row>
    <row r="4036">
      <c r="A4036" s="2"/>
      <c r="B4036" s="168" t="s">
        <v>446</v>
      </c>
      <c r="C4036" s="168" t="s">
        <v>4288</v>
      </c>
      <c r="D4036" s="229">
        <v>9.5</v>
      </c>
      <c r="E4036" s="229">
        <v>9.5</v>
      </c>
      <c r="F4036" s="230">
        <v>3.0</v>
      </c>
      <c r="G4036" s="232"/>
    </row>
    <row r="4037">
      <c r="A4037" s="2"/>
      <c r="B4037" s="168" t="s">
        <v>296</v>
      </c>
      <c r="C4037" s="168" t="s">
        <v>4289</v>
      </c>
      <c r="D4037" s="229">
        <v>26.0</v>
      </c>
      <c r="E4037" s="229">
        <v>29.5</v>
      </c>
      <c r="F4037" s="230">
        <v>3.0</v>
      </c>
      <c r="G4037" s="232"/>
    </row>
    <row r="4038">
      <c r="A4038" s="2"/>
      <c r="B4038" s="168" t="s">
        <v>565</v>
      </c>
      <c r="C4038" s="168" t="s">
        <v>4290</v>
      </c>
      <c r="D4038" s="229">
        <v>24.5</v>
      </c>
      <c r="E4038" s="229">
        <v>28.0</v>
      </c>
      <c r="F4038" s="230">
        <v>3.0</v>
      </c>
      <c r="G4038" s="232"/>
    </row>
    <row r="4039">
      <c r="A4039" s="2"/>
      <c r="B4039" s="168" t="s">
        <v>241</v>
      </c>
      <c r="C4039" s="168" t="s">
        <v>4291</v>
      </c>
      <c r="D4039" s="229">
        <v>32.5</v>
      </c>
      <c r="E4039" s="229">
        <v>36.0</v>
      </c>
      <c r="F4039" s="230">
        <v>3.0</v>
      </c>
      <c r="G4039" s="232"/>
    </row>
    <row r="4040">
      <c r="A4040" s="2"/>
      <c r="B4040" s="168" t="s">
        <v>230</v>
      </c>
      <c r="C4040" s="168" t="s">
        <v>4292</v>
      </c>
      <c r="D4040" s="229">
        <v>16.5</v>
      </c>
      <c r="E4040" s="229">
        <v>20.0</v>
      </c>
      <c r="F4040" s="230">
        <v>3.0</v>
      </c>
      <c r="G4040" s="232"/>
    </row>
    <row r="4041">
      <c r="A4041" s="2"/>
      <c r="B4041" s="168" t="s">
        <v>592</v>
      </c>
      <c r="C4041" s="168" t="s">
        <v>4293</v>
      </c>
      <c r="D4041" s="229">
        <v>34.5</v>
      </c>
      <c r="E4041" s="229">
        <v>38.0</v>
      </c>
      <c r="F4041" s="230">
        <v>3.0</v>
      </c>
      <c r="G4041" s="232"/>
    </row>
    <row r="4042">
      <c r="A4042" s="2"/>
      <c r="B4042" s="168" t="s">
        <v>245</v>
      </c>
      <c r="C4042" s="168" t="s">
        <v>4294</v>
      </c>
      <c r="D4042" s="229">
        <v>29.5</v>
      </c>
      <c r="E4042" s="229">
        <v>33.0</v>
      </c>
      <c r="F4042" s="230">
        <v>3.0</v>
      </c>
      <c r="G4042" s="232"/>
    </row>
    <row r="4043">
      <c r="A4043" s="2"/>
      <c r="B4043" s="168" t="s">
        <v>296</v>
      </c>
      <c r="C4043" s="168" t="s">
        <v>4295</v>
      </c>
      <c r="D4043" s="229">
        <v>26.5</v>
      </c>
      <c r="E4043" s="229">
        <v>30.0</v>
      </c>
      <c r="F4043" s="230">
        <v>3.0</v>
      </c>
      <c r="G4043" s="232"/>
    </row>
    <row r="4044">
      <c r="A4044" s="2"/>
      <c r="B4044" s="168" t="s">
        <v>269</v>
      </c>
      <c r="C4044" s="168" t="s">
        <v>4296</v>
      </c>
      <c r="D4044" s="229">
        <v>26.5</v>
      </c>
      <c r="E4044" s="229">
        <v>30.0</v>
      </c>
      <c r="F4044" s="230">
        <v>3.0</v>
      </c>
      <c r="G4044" s="232"/>
    </row>
    <row r="4045">
      <c r="A4045" s="2"/>
      <c r="B4045" s="168" t="s">
        <v>260</v>
      </c>
      <c r="C4045" s="168" t="s">
        <v>4297</v>
      </c>
      <c r="D4045" s="229">
        <v>28.5</v>
      </c>
      <c r="E4045" s="229">
        <v>32.0</v>
      </c>
      <c r="F4045" s="230">
        <v>3.0</v>
      </c>
      <c r="G4045" s="232"/>
    </row>
    <row r="4046">
      <c r="A4046" s="2"/>
      <c r="B4046" s="168" t="s">
        <v>275</v>
      </c>
      <c r="C4046" s="168" t="s">
        <v>4298</v>
      </c>
      <c r="D4046" s="229">
        <v>26.5</v>
      </c>
      <c r="E4046" s="229">
        <v>30.0</v>
      </c>
      <c r="F4046" s="230">
        <v>3.0</v>
      </c>
      <c r="G4046" s="232"/>
    </row>
    <row r="4047">
      <c r="A4047" s="2"/>
      <c r="B4047" s="168" t="s">
        <v>234</v>
      </c>
      <c r="C4047" s="168" t="s">
        <v>4299</v>
      </c>
      <c r="D4047" s="229">
        <v>29.5</v>
      </c>
      <c r="E4047" s="229">
        <v>33.0</v>
      </c>
      <c r="F4047" s="230">
        <v>3.0</v>
      </c>
      <c r="G4047" s="232"/>
    </row>
    <row r="4048">
      <c r="A4048" s="2"/>
      <c r="B4048" s="168" t="s">
        <v>230</v>
      </c>
      <c r="C4048" s="168" t="s">
        <v>4300</v>
      </c>
      <c r="D4048" s="229">
        <v>21.5</v>
      </c>
      <c r="E4048" s="229">
        <v>25.0</v>
      </c>
      <c r="F4048" s="230">
        <v>3.0</v>
      </c>
      <c r="G4048" s="232"/>
    </row>
    <row r="4049">
      <c r="A4049" s="2"/>
      <c r="B4049" s="168" t="s">
        <v>232</v>
      </c>
      <c r="C4049" s="168" t="s">
        <v>4301</v>
      </c>
      <c r="D4049" s="229">
        <v>27.5</v>
      </c>
      <c r="E4049" s="229">
        <v>31.0</v>
      </c>
      <c r="F4049" s="230">
        <v>3.0</v>
      </c>
      <c r="G4049" s="232"/>
    </row>
    <row r="4050">
      <c r="A4050" s="2"/>
      <c r="B4050" s="168" t="s">
        <v>275</v>
      </c>
      <c r="C4050" s="168" t="s">
        <v>4302</v>
      </c>
      <c r="D4050" s="229">
        <v>26.5</v>
      </c>
      <c r="E4050" s="229">
        <v>30.0</v>
      </c>
      <c r="F4050" s="230">
        <v>3.0</v>
      </c>
      <c r="G4050" s="232"/>
    </row>
    <row r="4051">
      <c r="A4051" s="2"/>
      <c r="B4051" s="168" t="s">
        <v>215</v>
      </c>
      <c r="C4051" s="168" t="s">
        <v>4303</v>
      </c>
      <c r="D4051" s="229">
        <v>29.5</v>
      </c>
      <c r="E4051" s="229">
        <v>33.0</v>
      </c>
      <c r="F4051" s="230">
        <v>3.0</v>
      </c>
      <c r="G4051" s="232"/>
    </row>
    <row r="4052">
      <c r="A4052" s="2"/>
      <c r="B4052" s="168" t="s">
        <v>221</v>
      </c>
      <c r="C4052" s="168" t="s">
        <v>4304</v>
      </c>
      <c r="D4052" s="229">
        <v>27.5</v>
      </c>
      <c r="E4052" s="229">
        <v>31.0</v>
      </c>
      <c r="F4052" s="230">
        <v>3.0</v>
      </c>
      <c r="G4052" s="232"/>
    </row>
    <row r="4053">
      <c r="A4053" s="2"/>
      <c r="B4053" s="168" t="s">
        <v>811</v>
      </c>
      <c r="C4053" s="168" t="s">
        <v>4305</v>
      </c>
      <c r="D4053" s="229">
        <v>24.5</v>
      </c>
      <c r="E4053" s="229">
        <v>28.0</v>
      </c>
      <c r="F4053" s="230">
        <v>3.0</v>
      </c>
      <c r="G4053" s="232"/>
    </row>
    <row r="4054">
      <c r="A4054" s="2"/>
      <c r="B4054" s="168" t="s">
        <v>381</v>
      </c>
      <c r="C4054" s="168" t="s">
        <v>4306</v>
      </c>
      <c r="D4054" s="229">
        <v>28.5</v>
      </c>
      <c r="E4054" s="229">
        <v>32.0</v>
      </c>
      <c r="F4054" s="230">
        <v>3.0</v>
      </c>
      <c r="G4054" s="232"/>
    </row>
    <row r="4055">
      <c r="A4055" s="2"/>
      <c r="B4055" s="168" t="s">
        <v>234</v>
      </c>
      <c r="C4055" s="168" t="s">
        <v>4307</v>
      </c>
      <c r="D4055" s="229">
        <v>24.5</v>
      </c>
      <c r="E4055" s="229">
        <v>28.0</v>
      </c>
      <c r="F4055" s="230">
        <v>3.0</v>
      </c>
      <c r="G4055" s="232"/>
    </row>
    <row r="4056">
      <c r="A4056" s="2"/>
      <c r="B4056" s="168" t="s">
        <v>245</v>
      </c>
      <c r="C4056" s="168" t="s">
        <v>4308</v>
      </c>
      <c r="D4056" s="229">
        <v>24.5</v>
      </c>
      <c r="E4056" s="229">
        <v>28.0</v>
      </c>
      <c r="F4056" s="230">
        <v>3.0</v>
      </c>
      <c r="G4056" s="232"/>
    </row>
    <row r="4057">
      <c r="A4057" s="2"/>
      <c r="B4057" s="168" t="s">
        <v>217</v>
      </c>
      <c r="C4057" s="168" t="s">
        <v>4309</v>
      </c>
      <c r="D4057" s="229">
        <v>27.5</v>
      </c>
      <c r="E4057" s="229">
        <v>31.0</v>
      </c>
      <c r="F4057" s="230">
        <v>3.0</v>
      </c>
      <c r="G4057" s="232"/>
    </row>
    <row r="4058">
      <c r="A4058" s="2"/>
      <c r="B4058" s="168" t="s">
        <v>230</v>
      </c>
      <c r="C4058" s="168" t="s">
        <v>4310</v>
      </c>
      <c r="D4058" s="229">
        <v>21.5</v>
      </c>
      <c r="E4058" s="229">
        <v>25.0</v>
      </c>
      <c r="F4058" s="230">
        <v>3.0</v>
      </c>
      <c r="G4058" s="232"/>
    </row>
    <row r="4059">
      <c r="A4059" s="2"/>
      <c r="B4059" s="168" t="s">
        <v>269</v>
      </c>
      <c r="C4059" s="168" t="s">
        <v>4311</v>
      </c>
      <c r="D4059" s="229">
        <v>26.0</v>
      </c>
      <c r="E4059" s="229">
        <v>29.5</v>
      </c>
      <c r="F4059" s="230">
        <v>3.0</v>
      </c>
      <c r="G4059" s="232"/>
    </row>
    <row r="4060">
      <c r="A4060" s="2"/>
      <c r="B4060" s="168" t="s">
        <v>269</v>
      </c>
      <c r="C4060" s="168" t="s">
        <v>4312</v>
      </c>
      <c r="D4060" s="229">
        <v>26.5</v>
      </c>
      <c r="E4060" s="229">
        <v>30.0</v>
      </c>
      <c r="F4060" s="230">
        <v>3.0</v>
      </c>
      <c r="G4060" s="232"/>
    </row>
    <row r="4061">
      <c r="A4061" s="2"/>
      <c r="B4061" s="168" t="s">
        <v>368</v>
      </c>
      <c r="C4061" s="168" t="s">
        <v>4313</v>
      </c>
      <c r="D4061" s="229">
        <v>32.5</v>
      </c>
      <c r="E4061" s="229">
        <v>36.0</v>
      </c>
      <c r="F4061" s="230">
        <v>3.0</v>
      </c>
      <c r="G4061" s="232"/>
    </row>
    <row r="4062">
      <c r="A4062" s="2"/>
      <c r="B4062" s="168" t="s">
        <v>232</v>
      </c>
      <c r="C4062" s="168" t="s">
        <v>4314</v>
      </c>
      <c r="D4062" s="229">
        <v>32.0</v>
      </c>
      <c r="E4062" s="229">
        <v>35.5</v>
      </c>
      <c r="F4062" s="230">
        <v>3.0</v>
      </c>
      <c r="G4062" s="232"/>
    </row>
    <row r="4063">
      <c r="A4063" s="2"/>
      <c r="B4063" s="168" t="s">
        <v>221</v>
      </c>
      <c r="C4063" s="168" t="s">
        <v>4315</v>
      </c>
      <c r="D4063" s="229">
        <v>27.5</v>
      </c>
      <c r="E4063" s="229">
        <v>31.0</v>
      </c>
      <c r="F4063" s="230">
        <v>3.0</v>
      </c>
      <c r="G4063" s="232"/>
    </row>
    <row r="4064">
      <c r="A4064" s="2"/>
      <c r="B4064" s="168" t="s">
        <v>330</v>
      </c>
      <c r="C4064" s="168" t="s">
        <v>4316</v>
      </c>
      <c r="D4064" s="229">
        <v>24.5</v>
      </c>
      <c r="E4064" s="229">
        <v>28.0</v>
      </c>
      <c r="F4064" s="230">
        <v>3.0</v>
      </c>
      <c r="G4064" s="232"/>
    </row>
    <row r="4065">
      <c r="A4065" s="2"/>
      <c r="B4065" s="168" t="s">
        <v>241</v>
      </c>
      <c r="C4065" s="168" t="s">
        <v>4317</v>
      </c>
      <c r="D4065" s="229">
        <v>32.5</v>
      </c>
      <c r="E4065" s="229">
        <v>36.0</v>
      </c>
      <c r="F4065" s="230">
        <v>3.0</v>
      </c>
      <c r="G4065" s="232"/>
    </row>
    <row r="4066">
      <c r="A4066" s="2"/>
      <c r="B4066" s="168" t="s">
        <v>592</v>
      </c>
      <c r="C4066" s="168" t="s">
        <v>4318</v>
      </c>
      <c r="D4066" s="229">
        <v>34.5</v>
      </c>
      <c r="E4066" s="229">
        <v>38.0</v>
      </c>
      <c r="F4066" s="230">
        <v>3.0</v>
      </c>
      <c r="G4066" s="232"/>
    </row>
    <row r="4067">
      <c r="A4067" s="2"/>
      <c r="B4067" s="168" t="s">
        <v>337</v>
      </c>
      <c r="C4067" s="168" t="s">
        <v>4319</v>
      </c>
      <c r="D4067" s="229">
        <v>28.5</v>
      </c>
      <c r="E4067" s="229">
        <v>32.0</v>
      </c>
      <c r="F4067" s="230">
        <v>3.0</v>
      </c>
      <c r="G4067" s="232"/>
    </row>
    <row r="4068">
      <c r="A4068" s="2"/>
      <c r="B4068" s="168" t="s">
        <v>217</v>
      </c>
      <c r="C4068" s="168" t="s">
        <v>4320</v>
      </c>
      <c r="D4068" s="229">
        <v>27.5</v>
      </c>
      <c r="E4068" s="229">
        <v>31.0</v>
      </c>
      <c r="F4068" s="230">
        <v>3.0</v>
      </c>
      <c r="G4068" s="232"/>
    </row>
    <row r="4069">
      <c r="A4069" s="2"/>
      <c r="B4069" s="168" t="s">
        <v>215</v>
      </c>
      <c r="C4069" s="168" t="s">
        <v>4321</v>
      </c>
      <c r="D4069" s="229">
        <v>19.5</v>
      </c>
      <c r="E4069" s="229">
        <v>23.0</v>
      </c>
      <c r="F4069" s="230">
        <v>3.0</v>
      </c>
      <c r="G4069" s="232"/>
    </row>
    <row r="4070">
      <c r="A4070" s="2"/>
      <c r="B4070" s="168" t="s">
        <v>285</v>
      </c>
      <c r="C4070" s="168" t="s">
        <v>4322</v>
      </c>
      <c r="D4070" s="229">
        <v>24.5</v>
      </c>
      <c r="E4070" s="229">
        <v>28.0</v>
      </c>
      <c r="F4070" s="230">
        <v>3.0</v>
      </c>
      <c r="G4070" s="232"/>
    </row>
    <row r="4071">
      <c r="A4071" s="2"/>
      <c r="B4071" s="168" t="s">
        <v>430</v>
      </c>
      <c r="C4071" s="168" t="s">
        <v>4323</v>
      </c>
      <c r="D4071" s="229">
        <v>34.5</v>
      </c>
      <c r="E4071" s="229">
        <v>38.0</v>
      </c>
      <c r="F4071" s="230">
        <v>3.0</v>
      </c>
      <c r="G4071" s="232"/>
    </row>
    <row r="4072">
      <c r="A4072" s="2"/>
      <c r="B4072" s="168" t="s">
        <v>217</v>
      </c>
      <c r="C4072" s="168" t="s">
        <v>4324</v>
      </c>
      <c r="D4072" s="229">
        <v>27.5</v>
      </c>
      <c r="E4072" s="229">
        <v>31.0</v>
      </c>
      <c r="F4072" s="230">
        <v>3.0</v>
      </c>
      <c r="G4072" s="232"/>
    </row>
    <row r="4073">
      <c r="A4073" s="2"/>
      <c r="B4073" s="168" t="s">
        <v>576</v>
      </c>
      <c r="C4073" s="168" t="s">
        <v>4325</v>
      </c>
      <c r="D4073" s="229">
        <v>24.5</v>
      </c>
      <c r="E4073" s="229">
        <v>28.0</v>
      </c>
      <c r="F4073" s="230">
        <v>3.0</v>
      </c>
      <c r="G4073" s="232"/>
    </row>
    <row r="4074">
      <c r="A4074" s="2"/>
      <c r="B4074" s="168" t="s">
        <v>288</v>
      </c>
      <c r="C4074" s="168" t="s">
        <v>4326</v>
      </c>
      <c r="D4074" s="229">
        <v>16.5</v>
      </c>
      <c r="E4074" s="229">
        <v>20.0</v>
      </c>
      <c r="F4074" s="230">
        <v>3.0</v>
      </c>
      <c r="G4074" s="232"/>
    </row>
    <row r="4075">
      <c r="A4075" s="2"/>
      <c r="B4075" s="168" t="s">
        <v>296</v>
      </c>
      <c r="C4075" s="168" t="s">
        <v>4327</v>
      </c>
      <c r="D4075" s="229">
        <v>26.5</v>
      </c>
      <c r="E4075" s="229">
        <v>30.0</v>
      </c>
      <c r="F4075" s="230">
        <v>3.0</v>
      </c>
      <c r="G4075" s="232"/>
    </row>
    <row r="4076">
      <c r="A4076" s="2"/>
      <c r="B4076" s="168" t="s">
        <v>377</v>
      </c>
      <c r="C4076" s="168" t="s">
        <v>4328</v>
      </c>
      <c r="D4076" s="229">
        <v>29.5</v>
      </c>
      <c r="E4076" s="229">
        <v>33.0</v>
      </c>
      <c r="F4076" s="230">
        <v>3.0</v>
      </c>
      <c r="G4076" s="232"/>
    </row>
    <row r="4077">
      <c r="A4077" s="2"/>
      <c r="B4077" s="168" t="s">
        <v>230</v>
      </c>
      <c r="C4077" s="168" t="s">
        <v>4329</v>
      </c>
      <c r="D4077" s="229">
        <v>21.5</v>
      </c>
      <c r="E4077" s="229">
        <v>25.0</v>
      </c>
      <c r="F4077" s="230">
        <v>3.0</v>
      </c>
      <c r="G4077" s="232"/>
    </row>
    <row r="4078">
      <c r="A4078" s="2"/>
      <c r="B4078" s="168" t="s">
        <v>337</v>
      </c>
      <c r="C4078" s="168" t="s">
        <v>4330</v>
      </c>
      <c r="D4078" s="229">
        <v>20.5</v>
      </c>
      <c r="E4078" s="229">
        <v>24.0</v>
      </c>
      <c r="F4078" s="230">
        <v>3.0</v>
      </c>
      <c r="G4078" s="232"/>
    </row>
    <row r="4079">
      <c r="A4079" s="2"/>
      <c r="B4079" s="168" t="s">
        <v>230</v>
      </c>
      <c r="C4079" s="168" t="s">
        <v>4331</v>
      </c>
      <c r="D4079" s="229">
        <v>16.5</v>
      </c>
      <c r="E4079" s="229">
        <v>20.0</v>
      </c>
      <c r="F4079" s="230">
        <v>3.0</v>
      </c>
      <c r="G4079" s="232"/>
    </row>
    <row r="4080">
      <c r="A4080" s="2"/>
      <c r="B4080" s="168" t="s">
        <v>328</v>
      </c>
      <c r="C4080" s="168" t="s">
        <v>4332</v>
      </c>
      <c r="D4080" s="229">
        <v>34.5</v>
      </c>
      <c r="E4080" s="229">
        <v>38.0</v>
      </c>
      <c r="F4080" s="230">
        <v>3.0</v>
      </c>
      <c r="G4080" s="232"/>
    </row>
    <row r="4081">
      <c r="A4081" s="2"/>
      <c r="B4081" s="168" t="s">
        <v>232</v>
      </c>
      <c r="C4081" s="168" t="s">
        <v>4333</v>
      </c>
      <c r="D4081" s="229">
        <v>29.5</v>
      </c>
      <c r="E4081" s="229">
        <v>33.0</v>
      </c>
      <c r="F4081" s="230">
        <v>3.0</v>
      </c>
      <c r="G4081" s="232"/>
    </row>
    <row r="4082">
      <c r="A4082" s="2"/>
      <c r="B4082" s="168" t="s">
        <v>230</v>
      </c>
      <c r="C4082" s="168" t="s">
        <v>4334</v>
      </c>
      <c r="D4082" s="229">
        <v>16.5</v>
      </c>
      <c r="E4082" s="229">
        <v>20.0</v>
      </c>
      <c r="F4082" s="230">
        <v>3.0</v>
      </c>
      <c r="G4082" s="232"/>
    </row>
    <row r="4083">
      <c r="A4083" s="2"/>
      <c r="B4083" s="168" t="s">
        <v>234</v>
      </c>
      <c r="C4083" s="168" t="s">
        <v>4335</v>
      </c>
      <c r="D4083" s="229">
        <v>24.5</v>
      </c>
      <c r="E4083" s="229">
        <v>28.0</v>
      </c>
      <c r="F4083" s="230">
        <v>3.0</v>
      </c>
      <c r="G4083" s="232"/>
    </row>
    <row r="4084">
      <c r="A4084" s="2"/>
      <c r="B4084" s="168" t="s">
        <v>239</v>
      </c>
      <c r="C4084" s="168" t="s">
        <v>4336</v>
      </c>
      <c r="D4084" s="229">
        <v>29.5</v>
      </c>
      <c r="E4084" s="229">
        <v>33.0</v>
      </c>
      <c r="F4084" s="230">
        <v>3.0</v>
      </c>
      <c r="G4084" s="232"/>
    </row>
    <row r="4085">
      <c r="A4085" s="2"/>
      <c r="B4085" s="168" t="s">
        <v>438</v>
      </c>
      <c r="C4085" s="168" t="s">
        <v>4337</v>
      </c>
      <c r="D4085" s="229">
        <v>29.5</v>
      </c>
      <c r="E4085" s="229">
        <v>33.0</v>
      </c>
      <c r="F4085" s="230">
        <v>3.0</v>
      </c>
      <c r="G4085" s="232"/>
    </row>
    <row r="4086">
      <c r="A4086" s="2"/>
      <c r="B4086" s="168" t="s">
        <v>230</v>
      </c>
      <c r="C4086" s="168" t="s">
        <v>4338</v>
      </c>
      <c r="D4086" s="229">
        <v>21.5</v>
      </c>
      <c r="E4086" s="229">
        <v>25.0</v>
      </c>
      <c r="F4086" s="230">
        <v>3.0</v>
      </c>
      <c r="G4086" s="232"/>
    </row>
    <row r="4087">
      <c r="A4087" s="2"/>
      <c r="B4087" s="168" t="s">
        <v>269</v>
      </c>
      <c r="C4087" s="168" t="s">
        <v>4339</v>
      </c>
      <c r="D4087" s="229">
        <v>26.5</v>
      </c>
      <c r="E4087" s="229">
        <v>30.0</v>
      </c>
      <c r="F4087" s="230">
        <v>3.0</v>
      </c>
      <c r="G4087" s="232"/>
    </row>
    <row r="4088">
      <c r="A4088" s="2"/>
      <c r="B4088" s="168" t="s">
        <v>377</v>
      </c>
      <c r="C4088" s="168" t="s">
        <v>4340</v>
      </c>
      <c r="D4088" s="229">
        <v>25.5</v>
      </c>
      <c r="E4088" s="229">
        <v>29.0</v>
      </c>
      <c r="F4088" s="230">
        <v>3.0</v>
      </c>
      <c r="G4088" s="232"/>
    </row>
    <row r="4089">
      <c r="A4089" s="2"/>
      <c r="B4089" s="168" t="s">
        <v>241</v>
      </c>
      <c r="C4089" s="168" t="s">
        <v>4341</v>
      </c>
      <c r="D4089" s="229">
        <v>32.5</v>
      </c>
      <c r="E4089" s="229">
        <v>36.0</v>
      </c>
      <c r="F4089" s="230">
        <v>3.0</v>
      </c>
      <c r="G4089" s="232"/>
    </row>
    <row r="4090">
      <c r="A4090" s="2"/>
      <c r="B4090" s="168" t="s">
        <v>337</v>
      </c>
      <c r="C4090" s="168" t="s">
        <v>4342</v>
      </c>
      <c r="D4090" s="229">
        <v>28.5</v>
      </c>
      <c r="E4090" s="229">
        <v>32.0</v>
      </c>
      <c r="F4090" s="230">
        <v>3.0</v>
      </c>
      <c r="G4090" s="232"/>
    </row>
    <row r="4091">
      <c r="A4091" s="2"/>
      <c r="B4091" s="168" t="s">
        <v>273</v>
      </c>
      <c r="C4091" s="168" t="s">
        <v>4343</v>
      </c>
      <c r="D4091" s="229">
        <v>29.5</v>
      </c>
      <c r="E4091" s="229">
        <v>33.0</v>
      </c>
      <c r="F4091" s="230">
        <v>3.0</v>
      </c>
      <c r="G4091" s="232"/>
    </row>
    <row r="4092">
      <c r="A4092" s="2"/>
      <c r="B4092" s="168" t="s">
        <v>230</v>
      </c>
      <c r="C4092" s="168" t="s">
        <v>4344</v>
      </c>
      <c r="D4092" s="229">
        <v>16.5</v>
      </c>
      <c r="E4092" s="229">
        <v>20.0</v>
      </c>
      <c r="F4092" s="230">
        <v>3.0</v>
      </c>
      <c r="G4092" s="232"/>
    </row>
    <row r="4093">
      <c r="A4093" s="2"/>
      <c r="B4093" s="168" t="s">
        <v>300</v>
      </c>
      <c r="C4093" s="168" t="s">
        <v>4345</v>
      </c>
      <c r="D4093" s="229">
        <v>28.5</v>
      </c>
      <c r="E4093" s="229">
        <v>32.0</v>
      </c>
      <c r="F4093" s="230">
        <v>3.0</v>
      </c>
      <c r="G4093" s="232"/>
    </row>
    <row r="4094">
      <c r="A4094" s="2"/>
      <c r="B4094" s="168" t="s">
        <v>230</v>
      </c>
      <c r="C4094" s="168" t="s">
        <v>4346</v>
      </c>
      <c r="D4094" s="229">
        <v>21.5</v>
      </c>
      <c r="E4094" s="229">
        <v>25.0</v>
      </c>
      <c r="F4094" s="230">
        <v>3.0</v>
      </c>
      <c r="G4094" s="232"/>
    </row>
    <row r="4095">
      <c r="A4095" s="2"/>
      <c r="B4095" s="168" t="s">
        <v>288</v>
      </c>
      <c r="C4095" s="168" t="s">
        <v>4347</v>
      </c>
      <c r="D4095" s="229">
        <v>21.5</v>
      </c>
      <c r="E4095" s="229">
        <v>25.0</v>
      </c>
      <c r="F4095" s="230">
        <v>3.0</v>
      </c>
      <c r="G4095" s="232"/>
    </row>
    <row r="4096">
      <c r="A4096" s="2"/>
      <c r="B4096" s="168" t="s">
        <v>368</v>
      </c>
      <c r="C4096" s="168" t="s">
        <v>4348</v>
      </c>
      <c r="D4096" s="229">
        <v>32.5</v>
      </c>
      <c r="E4096" s="229">
        <v>36.0</v>
      </c>
      <c r="F4096" s="230">
        <v>3.0</v>
      </c>
      <c r="G4096" s="232"/>
    </row>
    <row r="4097">
      <c r="A4097" s="2"/>
      <c r="B4097" s="168" t="s">
        <v>345</v>
      </c>
      <c r="C4097" s="168" t="s">
        <v>4349</v>
      </c>
      <c r="D4097" s="229">
        <v>26.5</v>
      </c>
      <c r="E4097" s="229">
        <v>30.0</v>
      </c>
      <c r="F4097" s="230">
        <v>3.0</v>
      </c>
      <c r="G4097" s="232"/>
    </row>
    <row r="4098">
      <c r="A4098" s="2"/>
      <c r="B4098" s="168" t="s">
        <v>937</v>
      </c>
      <c r="C4098" s="168" t="s">
        <v>4350</v>
      </c>
      <c r="D4098" s="229">
        <v>21.5</v>
      </c>
      <c r="E4098" s="229">
        <v>25.0</v>
      </c>
      <c r="F4098" s="230">
        <v>3.0</v>
      </c>
      <c r="G4098" s="232"/>
    </row>
    <row r="4099">
      <c r="A4099" s="2"/>
      <c r="B4099" s="168" t="s">
        <v>221</v>
      </c>
      <c r="C4099" s="168" t="s">
        <v>4351</v>
      </c>
      <c r="D4099" s="229">
        <v>27.5</v>
      </c>
      <c r="E4099" s="229">
        <v>31.0</v>
      </c>
      <c r="F4099" s="230">
        <v>3.0</v>
      </c>
      <c r="G4099" s="232"/>
    </row>
    <row r="4100">
      <c r="A4100" s="2"/>
      <c r="B4100" s="168" t="s">
        <v>241</v>
      </c>
      <c r="C4100" s="168" t="s">
        <v>4352</v>
      </c>
      <c r="D4100" s="229">
        <v>27.5</v>
      </c>
      <c r="E4100" s="229">
        <v>31.0</v>
      </c>
      <c r="F4100" s="230">
        <v>3.0</v>
      </c>
      <c r="G4100" s="232"/>
    </row>
    <row r="4101">
      <c r="A4101" s="2"/>
      <c r="B4101" s="168" t="s">
        <v>381</v>
      </c>
      <c r="C4101" s="168" t="s">
        <v>4353</v>
      </c>
      <c r="D4101" s="229">
        <v>28.5</v>
      </c>
      <c r="E4101" s="229">
        <v>32.0</v>
      </c>
      <c r="F4101" s="230">
        <v>3.0</v>
      </c>
      <c r="G4101" s="232"/>
    </row>
    <row r="4102">
      <c r="A4102" s="2"/>
      <c r="B4102" s="168" t="s">
        <v>574</v>
      </c>
      <c r="C4102" s="168" t="s">
        <v>4354</v>
      </c>
      <c r="D4102" s="229">
        <v>34.5</v>
      </c>
      <c r="E4102" s="229">
        <v>38.0</v>
      </c>
      <c r="F4102" s="230">
        <v>3.0</v>
      </c>
      <c r="G4102" s="232"/>
    </row>
    <row r="4103">
      <c r="A4103" s="2"/>
      <c r="B4103" s="168" t="s">
        <v>232</v>
      </c>
      <c r="C4103" s="168" t="s">
        <v>4355</v>
      </c>
      <c r="D4103" s="229">
        <v>25.5</v>
      </c>
      <c r="E4103" s="229">
        <v>29.0</v>
      </c>
      <c r="F4103" s="230">
        <v>3.0</v>
      </c>
      <c r="G4103" s="232"/>
    </row>
    <row r="4104">
      <c r="A4104" s="2"/>
      <c r="B4104" s="168" t="s">
        <v>337</v>
      </c>
      <c r="C4104" s="168" t="s">
        <v>4356</v>
      </c>
      <c r="D4104" s="229">
        <v>28.5</v>
      </c>
      <c r="E4104" s="229">
        <v>32.0</v>
      </c>
      <c r="F4104" s="230">
        <v>3.0</v>
      </c>
      <c r="G4104" s="232"/>
    </row>
    <row r="4105">
      <c r="A4105" s="2"/>
      <c r="B4105" s="168" t="s">
        <v>427</v>
      </c>
      <c r="C4105" s="168" t="s">
        <v>4357</v>
      </c>
      <c r="D4105" s="229">
        <v>26.5</v>
      </c>
      <c r="E4105" s="229">
        <v>30.0</v>
      </c>
      <c r="F4105" s="230">
        <v>3.0</v>
      </c>
      <c r="G4105" s="232"/>
    </row>
    <row r="4106">
      <c r="A4106" s="2"/>
      <c r="B4106" s="168" t="s">
        <v>255</v>
      </c>
      <c r="C4106" s="168" t="s">
        <v>4358</v>
      </c>
      <c r="D4106" s="229">
        <v>31.5</v>
      </c>
      <c r="E4106" s="229">
        <v>35.0</v>
      </c>
      <c r="F4106" s="230">
        <v>3.0</v>
      </c>
      <c r="G4106" s="232"/>
    </row>
    <row r="4107">
      <c r="A4107" s="2"/>
      <c r="B4107" s="168" t="s">
        <v>288</v>
      </c>
      <c r="C4107" s="168" t="s">
        <v>4359</v>
      </c>
      <c r="D4107" s="229">
        <v>21.5</v>
      </c>
      <c r="E4107" s="229">
        <v>25.0</v>
      </c>
      <c r="F4107" s="230">
        <v>3.0</v>
      </c>
      <c r="G4107" s="232"/>
    </row>
    <row r="4108">
      <c r="A4108" s="2"/>
      <c r="B4108" s="168" t="s">
        <v>438</v>
      </c>
      <c r="C4108" s="168" t="s">
        <v>4360</v>
      </c>
      <c r="D4108" s="229">
        <v>29.5</v>
      </c>
      <c r="E4108" s="229">
        <v>33.0</v>
      </c>
      <c r="F4108" s="230">
        <v>3.0</v>
      </c>
      <c r="G4108" s="232"/>
    </row>
    <row r="4109">
      <c r="A4109" s="2"/>
      <c r="B4109" s="168" t="s">
        <v>318</v>
      </c>
      <c r="C4109" s="168" t="s">
        <v>4361</v>
      </c>
      <c r="D4109" s="229">
        <v>20.5</v>
      </c>
      <c r="E4109" s="229">
        <v>24.0</v>
      </c>
      <c r="F4109" s="230">
        <v>3.0</v>
      </c>
      <c r="G4109" s="232"/>
    </row>
    <row r="4110">
      <c r="A4110" s="2"/>
      <c r="B4110" s="168" t="s">
        <v>269</v>
      </c>
      <c r="C4110" s="168" t="s">
        <v>4362</v>
      </c>
      <c r="D4110" s="229">
        <v>26.5</v>
      </c>
      <c r="E4110" s="229">
        <v>30.0</v>
      </c>
      <c r="F4110" s="230">
        <v>3.0</v>
      </c>
      <c r="G4110" s="232"/>
    </row>
    <row r="4111">
      <c r="A4111" s="2"/>
      <c r="B4111" s="168" t="s">
        <v>427</v>
      </c>
      <c r="C4111" s="168" t="s">
        <v>4363</v>
      </c>
      <c r="D4111" s="229">
        <v>26.5</v>
      </c>
      <c r="E4111" s="229">
        <v>30.0</v>
      </c>
      <c r="F4111" s="230">
        <v>3.0</v>
      </c>
      <c r="G4111" s="232"/>
    </row>
    <row r="4112">
      <c r="A4112" s="2"/>
      <c r="B4112" s="168" t="s">
        <v>427</v>
      </c>
      <c r="C4112" s="168" t="s">
        <v>4364</v>
      </c>
      <c r="D4112" s="229">
        <v>26.5</v>
      </c>
      <c r="E4112" s="229">
        <v>30.0</v>
      </c>
      <c r="F4112" s="230">
        <v>3.0</v>
      </c>
      <c r="G4112" s="232"/>
    </row>
    <row r="4113">
      <c r="A4113" s="2"/>
      <c r="B4113" s="168" t="s">
        <v>215</v>
      </c>
      <c r="C4113" s="168" t="s">
        <v>4365</v>
      </c>
      <c r="D4113" s="229">
        <v>29.5</v>
      </c>
      <c r="E4113" s="229">
        <v>33.0</v>
      </c>
      <c r="F4113" s="230">
        <v>3.0</v>
      </c>
      <c r="G4113" s="232"/>
    </row>
    <row r="4114">
      <c r="A4114" s="2"/>
      <c r="B4114" s="168" t="s">
        <v>243</v>
      </c>
      <c r="C4114" s="168" t="s">
        <v>4366</v>
      </c>
      <c r="D4114" s="229">
        <v>29.5</v>
      </c>
      <c r="E4114" s="229">
        <v>33.0</v>
      </c>
      <c r="F4114" s="230">
        <v>3.0</v>
      </c>
      <c r="G4114" s="232"/>
    </row>
    <row r="4115">
      <c r="A4115" s="2"/>
      <c r="B4115" s="168" t="s">
        <v>269</v>
      </c>
      <c r="C4115" s="168" t="s">
        <v>4367</v>
      </c>
      <c r="D4115" s="229">
        <v>21.5</v>
      </c>
      <c r="E4115" s="229">
        <v>25.0</v>
      </c>
      <c r="F4115" s="230">
        <v>3.0</v>
      </c>
      <c r="G4115" s="232"/>
    </row>
    <row r="4116">
      <c r="A4116" s="2"/>
      <c r="B4116" s="168" t="s">
        <v>217</v>
      </c>
      <c r="C4116" s="168" t="s">
        <v>4368</v>
      </c>
      <c r="D4116" s="229">
        <v>27.5</v>
      </c>
      <c r="E4116" s="229">
        <v>31.0</v>
      </c>
      <c r="F4116" s="230">
        <v>3.0</v>
      </c>
      <c r="G4116" s="232"/>
    </row>
    <row r="4117">
      <c r="A4117" s="2"/>
      <c r="B4117" s="168" t="s">
        <v>273</v>
      </c>
      <c r="C4117" s="168" t="s">
        <v>4369</v>
      </c>
      <c r="D4117" s="229">
        <v>29.5</v>
      </c>
      <c r="E4117" s="229">
        <v>33.0</v>
      </c>
      <c r="F4117" s="230">
        <v>3.0</v>
      </c>
      <c r="G4117" s="232"/>
    </row>
    <row r="4118">
      <c r="A4118" s="2"/>
      <c r="B4118" s="168" t="s">
        <v>273</v>
      </c>
      <c r="C4118" s="168" t="s">
        <v>4370</v>
      </c>
      <c r="D4118" s="229">
        <v>24.5</v>
      </c>
      <c r="E4118" s="229">
        <v>28.0</v>
      </c>
      <c r="F4118" s="230">
        <v>3.0</v>
      </c>
      <c r="G4118" s="232"/>
    </row>
    <row r="4119">
      <c r="A4119" s="2"/>
      <c r="B4119" s="168" t="s">
        <v>232</v>
      </c>
      <c r="C4119" s="168" t="s">
        <v>4371</v>
      </c>
      <c r="D4119" s="229">
        <v>25.5</v>
      </c>
      <c r="E4119" s="229">
        <v>29.0</v>
      </c>
      <c r="F4119" s="230">
        <v>3.0</v>
      </c>
      <c r="G4119" s="232"/>
    </row>
    <row r="4120">
      <c r="A4120" s="2"/>
      <c r="B4120" s="168" t="s">
        <v>223</v>
      </c>
      <c r="C4120" s="168" t="s">
        <v>4372</v>
      </c>
      <c r="D4120" s="229">
        <v>26.5</v>
      </c>
      <c r="E4120" s="229">
        <v>30.0</v>
      </c>
      <c r="F4120" s="230">
        <v>3.0</v>
      </c>
      <c r="G4120" s="232"/>
    </row>
    <row r="4121">
      <c r="A4121" s="2"/>
      <c r="B4121" s="168" t="s">
        <v>232</v>
      </c>
      <c r="C4121" s="168" t="s">
        <v>4373</v>
      </c>
      <c r="D4121" s="229">
        <v>27.5</v>
      </c>
      <c r="E4121" s="229">
        <v>31.0</v>
      </c>
      <c r="F4121" s="230">
        <v>3.0</v>
      </c>
      <c r="G4121" s="232"/>
    </row>
    <row r="4122">
      <c r="A4122" s="2"/>
      <c r="B4122" s="168" t="s">
        <v>254</v>
      </c>
      <c r="C4122" s="168" t="s">
        <v>4374</v>
      </c>
      <c r="D4122" s="229">
        <v>21.5</v>
      </c>
      <c r="E4122" s="229">
        <v>25.0</v>
      </c>
      <c r="F4122" s="230">
        <v>3.0</v>
      </c>
      <c r="G4122" s="232"/>
    </row>
    <row r="4123">
      <c r="A4123" s="2"/>
      <c r="B4123" s="168" t="s">
        <v>269</v>
      </c>
      <c r="C4123" s="168" t="s">
        <v>4375</v>
      </c>
      <c r="D4123" s="229">
        <v>26.5</v>
      </c>
      <c r="E4123" s="229">
        <v>30.0</v>
      </c>
      <c r="F4123" s="230">
        <v>3.0</v>
      </c>
      <c r="G4123" s="232"/>
    </row>
    <row r="4124">
      <c r="A4124" s="2"/>
      <c r="B4124" s="168" t="s">
        <v>221</v>
      </c>
      <c r="C4124" s="168" t="s">
        <v>4376</v>
      </c>
      <c r="D4124" s="229">
        <v>27.5</v>
      </c>
      <c r="E4124" s="229">
        <v>31.0</v>
      </c>
      <c r="F4124" s="230">
        <v>3.0</v>
      </c>
      <c r="G4124" s="232"/>
    </row>
    <row r="4125">
      <c r="A4125" s="2"/>
      <c r="B4125" s="168" t="s">
        <v>255</v>
      </c>
      <c r="C4125" s="168" t="s">
        <v>4377</v>
      </c>
      <c r="D4125" s="229">
        <v>31.5</v>
      </c>
      <c r="E4125" s="229">
        <v>35.0</v>
      </c>
      <c r="F4125" s="230">
        <v>3.0</v>
      </c>
      <c r="G4125" s="232"/>
    </row>
    <row r="4126">
      <c r="A4126" s="2"/>
      <c r="B4126" s="168" t="s">
        <v>368</v>
      </c>
      <c r="C4126" s="168" t="s">
        <v>4378</v>
      </c>
      <c r="D4126" s="229">
        <v>32.5</v>
      </c>
      <c r="E4126" s="229">
        <v>36.0</v>
      </c>
      <c r="F4126" s="230">
        <v>3.0</v>
      </c>
      <c r="G4126" s="232"/>
    </row>
    <row r="4127">
      <c r="A4127" s="2"/>
      <c r="B4127" s="168" t="s">
        <v>269</v>
      </c>
      <c r="C4127" s="168" t="s">
        <v>4379</v>
      </c>
      <c r="D4127" s="229">
        <v>26.5</v>
      </c>
      <c r="E4127" s="229">
        <v>30.0</v>
      </c>
      <c r="F4127" s="230">
        <v>3.0</v>
      </c>
      <c r="G4127" s="232"/>
    </row>
    <row r="4128">
      <c r="A4128" s="2"/>
      <c r="B4128" s="168" t="s">
        <v>230</v>
      </c>
      <c r="C4128" s="168" t="s">
        <v>4380</v>
      </c>
      <c r="D4128" s="229">
        <v>21.5</v>
      </c>
      <c r="E4128" s="229">
        <v>25.0</v>
      </c>
      <c r="F4128" s="230">
        <v>3.0</v>
      </c>
      <c r="G4128" s="232"/>
    </row>
    <row r="4129">
      <c r="A4129" s="2"/>
      <c r="B4129" s="168" t="s">
        <v>381</v>
      </c>
      <c r="C4129" s="168" t="s">
        <v>4381</v>
      </c>
      <c r="D4129" s="229">
        <v>28.5</v>
      </c>
      <c r="E4129" s="229">
        <v>32.0</v>
      </c>
      <c r="F4129" s="230">
        <v>3.0</v>
      </c>
      <c r="G4129" s="232"/>
    </row>
    <row r="4130">
      <c r="A4130" s="2"/>
      <c r="B4130" s="168" t="s">
        <v>413</v>
      </c>
      <c r="C4130" s="168" t="s">
        <v>4382</v>
      </c>
      <c r="D4130" s="229">
        <v>28.0</v>
      </c>
      <c r="E4130" s="229">
        <v>31.5</v>
      </c>
      <c r="F4130" s="230">
        <v>3.0</v>
      </c>
      <c r="G4130" s="232"/>
    </row>
    <row r="4131">
      <c r="A4131" s="2"/>
      <c r="B4131" s="168" t="s">
        <v>296</v>
      </c>
      <c r="C4131" s="168" t="s">
        <v>4383</v>
      </c>
      <c r="D4131" s="229">
        <v>26.5</v>
      </c>
      <c r="E4131" s="229">
        <v>30.0</v>
      </c>
      <c r="F4131" s="230">
        <v>3.0</v>
      </c>
      <c r="G4131" s="232"/>
    </row>
    <row r="4132">
      <c r="A4132" s="2"/>
      <c r="B4132" s="168" t="s">
        <v>221</v>
      </c>
      <c r="C4132" s="168" t="s">
        <v>4384</v>
      </c>
      <c r="D4132" s="229">
        <v>27.5</v>
      </c>
      <c r="E4132" s="229">
        <v>31.0</v>
      </c>
      <c r="F4132" s="230">
        <v>3.0</v>
      </c>
      <c r="G4132" s="232"/>
    </row>
    <row r="4133">
      <c r="A4133" s="2"/>
      <c r="B4133" s="168" t="s">
        <v>427</v>
      </c>
      <c r="C4133" s="168" t="s">
        <v>4385</v>
      </c>
      <c r="D4133" s="229">
        <v>26.5</v>
      </c>
      <c r="E4133" s="229">
        <v>30.0</v>
      </c>
      <c r="F4133" s="230">
        <v>3.0</v>
      </c>
      <c r="G4133" s="232"/>
    </row>
    <row r="4134">
      <c r="A4134" s="2"/>
      <c r="B4134" s="168" t="s">
        <v>280</v>
      </c>
      <c r="C4134" s="168" t="s">
        <v>4386</v>
      </c>
      <c r="D4134" s="229">
        <v>34.5</v>
      </c>
      <c r="E4134" s="229">
        <v>38.0</v>
      </c>
      <c r="F4134" s="230">
        <v>3.0</v>
      </c>
      <c r="G4134" s="232"/>
    </row>
    <row r="4135">
      <c r="A4135" s="2"/>
      <c r="B4135" s="168" t="s">
        <v>811</v>
      </c>
      <c r="C4135" s="168" t="s">
        <v>4387</v>
      </c>
      <c r="D4135" s="229">
        <v>29.5</v>
      </c>
      <c r="E4135" s="229">
        <v>33.0</v>
      </c>
      <c r="F4135" s="230">
        <v>3.0</v>
      </c>
      <c r="G4135" s="232"/>
    </row>
    <row r="4136">
      <c r="A4136" s="2"/>
      <c r="B4136" s="168" t="s">
        <v>345</v>
      </c>
      <c r="C4136" s="168" t="s">
        <v>4388</v>
      </c>
      <c r="D4136" s="229">
        <v>26.5</v>
      </c>
      <c r="E4136" s="229">
        <v>30.0</v>
      </c>
      <c r="F4136" s="230">
        <v>3.0</v>
      </c>
      <c r="G4136" s="232"/>
    </row>
    <row r="4137">
      <c r="A4137" s="2"/>
      <c r="B4137" s="168" t="s">
        <v>215</v>
      </c>
      <c r="C4137" s="168" t="s">
        <v>4389</v>
      </c>
      <c r="D4137" s="229">
        <v>25.5</v>
      </c>
      <c r="E4137" s="229">
        <v>29.0</v>
      </c>
      <c r="F4137" s="230">
        <v>3.0</v>
      </c>
      <c r="G4137" s="232"/>
    </row>
    <row r="4138">
      <c r="A4138" s="2"/>
      <c r="B4138" s="168" t="s">
        <v>345</v>
      </c>
      <c r="C4138" s="168" t="s">
        <v>4390</v>
      </c>
      <c r="D4138" s="229">
        <v>26.5</v>
      </c>
      <c r="E4138" s="229">
        <v>30.0</v>
      </c>
      <c r="F4138" s="230">
        <v>3.0</v>
      </c>
      <c r="G4138" s="232"/>
    </row>
    <row r="4139">
      <c r="A4139" s="2"/>
      <c r="B4139" s="168" t="s">
        <v>381</v>
      </c>
      <c r="C4139" s="168" t="s">
        <v>4391</v>
      </c>
      <c r="D4139" s="229">
        <v>28.5</v>
      </c>
      <c r="E4139" s="229">
        <v>32.0</v>
      </c>
      <c r="F4139" s="230">
        <v>3.0</v>
      </c>
      <c r="G4139" s="232"/>
    </row>
    <row r="4140">
      <c r="A4140" s="2"/>
      <c r="B4140" s="168" t="s">
        <v>269</v>
      </c>
      <c r="C4140" s="168" t="s">
        <v>4392</v>
      </c>
      <c r="D4140" s="229">
        <v>26.5</v>
      </c>
      <c r="E4140" s="229">
        <v>30.0</v>
      </c>
      <c r="F4140" s="230">
        <v>3.0</v>
      </c>
      <c r="G4140" s="232"/>
    </row>
    <row r="4141">
      <c r="A4141" s="2"/>
      <c r="B4141" s="168" t="s">
        <v>232</v>
      </c>
      <c r="C4141" s="168" t="s">
        <v>4393</v>
      </c>
      <c r="D4141" s="229">
        <v>25.5</v>
      </c>
      <c r="E4141" s="229">
        <v>29.0</v>
      </c>
      <c r="F4141" s="230">
        <v>3.0</v>
      </c>
      <c r="G4141" s="232"/>
    </row>
    <row r="4142">
      <c r="A4142" s="2"/>
      <c r="B4142" s="168" t="s">
        <v>255</v>
      </c>
      <c r="C4142" s="168" t="s">
        <v>4394</v>
      </c>
      <c r="D4142" s="229">
        <v>31.5</v>
      </c>
      <c r="E4142" s="229">
        <v>35.0</v>
      </c>
      <c r="F4142" s="230">
        <v>3.0</v>
      </c>
      <c r="G4142" s="232"/>
    </row>
    <row r="4143">
      <c r="A4143" s="2"/>
      <c r="B4143" s="168" t="s">
        <v>243</v>
      </c>
      <c r="C4143" s="168" t="s">
        <v>4395</v>
      </c>
      <c r="D4143" s="229">
        <v>29.5</v>
      </c>
      <c r="E4143" s="229">
        <v>33.0</v>
      </c>
      <c r="F4143" s="230">
        <v>3.0</v>
      </c>
      <c r="G4143" s="232"/>
    </row>
    <row r="4144">
      <c r="A4144" s="2"/>
      <c r="B4144" s="168" t="s">
        <v>234</v>
      </c>
      <c r="C4144" s="168" t="s">
        <v>4396</v>
      </c>
      <c r="D4144" s="229">
        <v>24.5</v>
      </c>
      <c r="E4144" s="229">
        <v>28.0</v>
      </c>
      <c r="F4144" s="230">
        <v>3.0</v>
      </c>
      <c r="G4144" s="232"/>
    </row>
    <row r="4145">
      <c r="A4145" s="2"/>
      <c r="B4145" s="168" t="s">
        <v>255</v>
      </c>
      <c r="C4145" s="168" t="s">
        <v>4397</v>
      </c>
      <c r="D4145" s="229">
        <v>31.5</v>
      </c>
      <c r="E4145" s="229">
        <v>35.0</v>
      </c>
      <c r="F4145" s="230">
        <v>3.0</v>
      </c>
      <c r="G4145" s="232"/>
    </row>
    <row r="4146">
      <c r="A4146" s="2"/>
      <c r="B4146" s="168" t="s">
        <v>269</v>
      </c>
      <c r="C4146" s="168" t="s">
        <v>4398</v>
      </c>
      <c r="D4146" s="229">
        <v>26.5</v>
      </c>
      <c r="E4146" s="229">
        <v>30.0</v>
      </c>
      <c r="F4146" s="230">
        <v>3.0</v>
      </c>
      <c r="G4146" s="232"/>
    </row>
    <row r="4147">
      <c r="A4147" s="2"/>
      <c r="B4147" s="168" t="s">
        <v>255</v>
      </c>
      <c r="C4147" s="168" t="s">
        <v>4399</v>
      </c>
      <c r="D4147" s="229">
        <v>31.5</v>
      </c>
      <c r="E4147" s="229">
        <v>35.0</v>
      </c>
      <c r="F4147" s="230">
        <v>3.0</v>
      </c>
      <c r="G4147" s="232"/>
    </row>
    <row r="4148">
      <c r="A4148" s="2"/>
      <c r="B4148" s="168" t="s">
        <v>275</v>
      </c>
      <c r="C4148" s="168" t="s">
        <v>4400</v>
      </c>
      <c r="D4148" s="229">
        <v>26.5</v>
      </c>
      <c r="E4148" s="229">
        <v>30.0</v>
      </c>
      <c r="F4148" s="230">
        <v>3.0</v>
      </c>
      <c r="G4148" s="232"/>
    </row>
    <row r="4149">
      <c r="A4149" s="2"/>
      <c r="B4149" s="168" t="s">
        <v>243</v>
      </c>
      <c r="C4149" s="168" t="s">
        <v>4401</v>
      </c>
      <c r="D4149" s="229">
        <v>24.5</v>
      </c>
      <c r="E4149" s="229">
        <v>28.0</v>
      </c>
      <c r="F4149" s="230">
        <v>3.0</v>
      </c>
      <c r="G4149" s="232"/>
    </row>
    <row r="4150">
      <c r="A4150" s="2"/>
      <c r="B4150" s="168" t="s">
        <v>337</v>
      </c>
      <c r="C4150" s="168" t="s">
        <v>4402</v>
      </c>
      <c r="D4150" s="229">
        <v>32.5</v>
      </c>
      <c r="E4150" s="229">
        <v>36.0</v>
      </c>
      <c r="F4150" s="230">
        <v>3.0</v>
      </c>
      <c r="G4150" s="232"/>
    </row>
    <row r="4151">
      <c r="A4151" s="2"/>
      <c r="B4151" s="168" t="s">
        <v>337</v>
      </c>
      <c r="C4151" s="168" t="s">
        <v>4403</v>
      </c>
      <c r="D4151" s="229">
        <v>20.5</v>
      </c>
      <c r="E4151" s="229">
        <v>24.0</v>
      </c>
      <c r="F4151" s="230">
        <v>3.0</v>
      </c>
      <c r="G4151" s="232"/>
    </row>
    <row r="4152">
      <c r="A4152" s="2"/>
      <c r="B4152" s="168" t="s">
        <v>332</v>
      </c>
      <c r="C4152" s="168" t="s">
        <v>4404</v>
      </c>
      <c r="D4152" s="229">
        <v>28.5</v>
      </c>
      <c r="E4152" s="229">
        <v>32.0</v>
      </c>
      <c r="F4152" s="230">
        <v>3.0</v>
      </c>
      <c r="G4152" s="232"/>
    </row>
    <row r="4153">
      <c r="A4153" s="2"/>
      <c r="B4153" s="168" t="s">
        <v>280</v>
      </c>
      <c r="C4153" s="168" t="s">
        <v>4405</v>
      </c>
      <c r="D4153" s="229">
        <v>28.5</v>
      </c>
      <c r="E4153" s="229">
        <v>32.0</v>
      </c>
      <c r="F4153" s="230">
        <v>3.0</v>
      </c>
      <c r="G4153" s="232"/>
    </row>
    <row r="4154">
      <c r="A4154" s="2"/>
      <c r="B4154" s="168" t="s">
        <v>337</v>
      </c>
      <c r="C4154" s="168" t="s">
        <v>4406</v>
      </c>
      <c r="D4154" s="229">
        <v>28.5</v>
      </c>
      <c r="E4154" s="229">
        <v>32.0</v>
      </c>
      <c r="F4154" s="230">
        <v>3.0</v>
      </c>
      <c r="G4154" s="232"/>
    </row>
    <row r="4155">
      <c r="A4155" s="2"/>
      <c r="B4155" s="168" t="s">
        <v>247</v>
      </c>
      <c r="C4155" s="168" t="s">
        <v>4407</v>
      </c>
      <c r="D4155" s="229">
        <v>29.5</v>
      </c>
      <c r="E4155" s="229">
        <v>33.0</v>
      </c>
      <c r="F4155" s="230">
        <v>3.0</v>
      </c>
      <c r="G4155" s="232"/>
    </row>
    <row r="4156">
      <c r="A4156" s="2"/>
      <c r="B4156" s="168" t="s">
        <v>345</v>
      </c>
      <c r="C4156" s="168" t="s">
        <v>4408</v>
      </c>
      <c r="D4156" s="229">
        <v>26.5</v>
      </c>
      <c r="E4156" s="229">
        <v>30.0</v>
      </c>
      <c r="F4156" s="230">
        <v>3.0</v>
      </c>
      <c r="G4156" s="232"/>
    </row>
    <row r="4157">
      <c r="A4157" s="2"/>
      <c r="B4157" s="168" t="s">
        <v>285</v>
      </c>
      <c r="C4157" s="168" t="s">
        <v>4409</v>
      </c>
      <c r="D4157" s="229">
        <v>24.5</v>
      </c>
      <c r="E4157" s="229">
        <v>28.0</v>
      </c>
      <c r="F4157" s="230">
        <v>3.0</v>
      </c>
      <c r="G4157" s="232"/>
    </row>
    <row r="4158">
      <c r="A4158" s="2"/>
      <c r="B4158" s="168" t="s">
        <v>241</v>
      </c>
      <c r="C4158" s="168" t="s">
        <v>4410</v>
      </c>
      <c r="D4158" s="229">
        <v>32.5</v>
      </c>
      <c r="E4158" s="229">
        <v>36.0</v>
      </c>
      <c r="F4158" s="230">
        <v>3.0</v>
      </c>
      <c r="G4158" s="232"/>
    </row>
    <row r="4159">
      <c r="A4159" s="2"/>
      <c r="B4159" s="168" t="s">
        <v>269</v>
      </c>
      <c r="C4159" s="168" t="s">
        <v>4411</v>
      </c>
      <c r="D4159" s="229">
        <v>26.5</v>
      </c>
      <c r="E4159" s="229">
        <v>30.0</v>
      </c>
      <c r="F4159" s="230">
        <v>3.0</v>
      </c>
      <c r="G4159" s="232"/>
    </row>
    <row r="4160">
      <c r="A4160" s="2"/>
      <c r="B4160" s="168" t="s">
        <v>217</v>
      </c>
      <c r="C4160" s="168" t="s">
        <v>4412</v>
      </c>
      <c r="D4160" s="229">
        <v>27.5</v>
      </c>
      <c r="E4160" s="229">
        <v>31.0</v>
      </c>
      <c r="F4160" s="230">
        <v>3.0</v>
      </c>
      <c r="G4160" s="232"/>
    </row>
    <row r="4161">
      <c r="A4161" s="2"/>
      <c r="B4161" s="168" t="s">
        <v>217</v>
      </c>
      <c r="C4161" s="168" t="s">
        <v>4413</v>
      </c>
      <c r="D4161" s="229">
        <v>27.5</v>
      </c>
      <c r="E4161" s="229">
        <v>31.0</v>
      </c>
      <c r="F4161" s="230">
        <v>3.0</v>
      </c>
      <c r="G4161" s="232"/>
    </row>
    <row r="4162">
      <c r="A4162" s="2"/>
      <c r="B4162" s="168" t="s">
        <v>290</v>
      </c>
      <c r="C4162" s="168" t="s">
        <v>4414</v>
      </c>
      <c r="D4162" s="229">
        <v>24.5</v>
      </c>
      <c r="E4162" s="229">
        <v>28.0</v>
      </c>
      <c r="F4162" s="230">
        <v>3.0</v>
      </c>
      <c r="G4162" s="232"/>
    </row>
    <row r="4163">
      <c r="A4163" s="2"/>
      <c r="B4163" s="168" t="s">
        <v>219</v>
      </c>
      <c r="C4163" s="168" t="s">
        <v>4415</v>
      </c>
      <c r="D4163" s="229">
        <v>28.5</v>
      </c>
      <c r="E4163" s="229">
        <v>32.0</v>
      </c>
      <c r="F4163" s="230">
        <v>3.0</v>
      </c>
      <c r="G4163" s="232"/>
    </row>
    <row r="4164">
      <c r="A4164" s="2"/>
      <c r="B4164" s="168" t="s">
        <v>377</v>
      </c>
      <c r="C4164" s="168" t="s">
        <v>4416</v>
      </c>
      <c r="D4164" s="229">
        <v>29.5</v>
      </c>
      <c r="E4164" s="229">
        <v>33.0</v>
      </c>
      <c r="F4164" s="230">
        <v>3.0</v>
      </c>
      <c r="G4164" s="232"/>
    </row>
    <row r="4165">
      <c r="A4165" s="2"/>
      <c r="B4165" s="168" t="s">
        <v>217</v>
      </c>
      <c r="C4165" s="168" t="s">
        <v>4417</v>
      </c>
      <c r="D4165" s="229">
        <v>27.5</v>
      </c>
      <c r="E4165" s="229">
        <v>31.0</v>
      </c>
      <c r="F4165" s="230">
        <v>3.0</v>
      </c>
      <c r="G4165" s="232"/>
    </row>
    <row r="4166">
      <c r="A4166" s="2"/>
      <c r="B4166" s="168" t="s">
        <v>328</v>
      </c>
      <c r="C4166" s="168" t="s">
        <v>4418</v>
      </c>
      <c r="D4166" s="229">
        <v>34.5</v>
      </c>
      <c r="E4166" s="229">
        <v>38.0</v>
      </c>
      <c r="F4166" s="230">
        <v>3.0</v>
      </c>
      <c r="G4166" s="232"/>
    </row>
    <row r="4167">
      <c r="A4167" s="2"/>
      <c r="B4167" s="168" t="s">
        <v>296</v>
      </c>
      <c r="C4167" s="168" t="s">
        <v>4419</v>
      </c>
      <c r="D4167" s="229">
        <v>26.5</v>
      </c>
      <c r="E4167" s="229">
        <v>30.0</v>
      </c>
      <c r="F4167" s="230">
        <v>3.0</v>
      </c>
      <c r="G4167" s="232"/>
    </row>
    <row r="4168">
      <c r="A4168" s="2"/>
      <c r="B4168" s="168" t="s">
        <v>232</v>
      </c>
      <c r="C4168" s="168" t="s">
        <v>4420</v>
      </c>
      <c r="D4168" s="229">
        <v>31.5</v>
      </c>
      <c r="E4168" s="229">
        <v>35.0</v>
      </c>
      <c r="F4168" s="230">
        <v>3.0</v>
      </c>
      <c r="G4168" s="232"/>
    </row>
    <row r="4169">
      <c r="A4169" s="2"/>
      <c r="B4169" s="168" t="s">
        <v>830</v>
      </c>
      <c r="C4169" s="168" t="s">
        <v>4421</v>
      </c>
      <c r="D4169" s="229">
        <v>24.5</v>
      </c>
      <c r="E4169" s="229">
        <v>28.0</v>
      </c>
      <c r="F4169" s="230">
        <v>3.0</v>
      </c>
      <c r="G4169" s="232"/>
    </row>
    <row r="4170">
      <c r="A4170" s="2"/>
      <c r="B4170" s="168" t="s">
        <v>255</v>
      </c>
      <c r="C4170" s="168" t="s">
        <v>4422</v>
      </c>
      <c r="D4170" s="229">
        <v>31.5</v>
      </c>
      <c r="E4170" s="229">
        <v>35.0</v>
      </c>
      <c r="F4170" s="230">
        <v>3.0</v>
      </c>
      <c r="G4170" s="232"/>
    </row>
    <row r="4171">
      <c r="A4171" s="2"/>
      <c r="B4171" s="168" t="s">
        <v>288</v>
      </c>
      <c r="C4171" s="168" t="s">
        <v>4423</v>
      </c>
      <c r="D4171" s="229">
        <v>21.5</v>
      </c>
      <c r="E4171" s="229">
        <v>25.0</v>
      </c>
      <c r="F4171" s="230">
        <v>3.0</v>
      </c>
      <c r="G4171" s="232"/>
    </row>
    <row r="4172">
      <c r="A4172" s="2"/>
      <c r="B4172" s="168" t="s">
        <v>271</v>
      </c>
      <c r="C4172" s="168" t="s">
        <v>4424</v>
      </c>
      <c r="D4172" s="229">
        <v>28.5</v>
      </c>
      <c r="E4172" s="229">
        <v>32.0</v>
      </c>
      <c r="F4172" s="230">
        <v>3.0</v>
      </c>
      <c r="G4172" s="232"/>
    </row>
    <row r="4173">
      <c r="A4173" s="2"/>
      <c r="B4173" s="168" t="s">
        <v>427</v>
      </c>
      <c r="C4173" s="168" t="s">
        <v>4425</v>
      </c>
      <c r="D4173" s="229">
        <v>26.5</v>
      </c>
      <c r="E4173" s="229">
        <v>30.0</v>
      </c>
      <c r="F4173" s="230">
        <v>3.0</v>
      </c>
      <c r="G4173" s="232"/>
    </row>
    <row r="4174">
      <c r="A4174" s="2"/>
      <c r="B4174" s="168" t="s">
        <v>375</v>
      </c>
      <c r="C4174" s="168" t="s">
        <v>4426</v>
      </c>
      <c r="D4174" s="229">
        <v>26.5</v>
      </c>
      <c r="E4174" s="229">
        <v>30.0</v>
      </c>
      <c r="F4174" s="230">
        <v>3.0</v>
      </c>
      <c r="G4174" s="232"/>
    </row>
    <row r="4175">
      <c r="A4175" s="2"/>
      <c r="B4175" s="168" t="s">
        <v>318</v>
      </c>
      <c r="C4175" s="168" t="s">
        <v>4427</v>
      </c>
      <c r="D4175" s="229">
        <v>25.5</v>
      </c>
      <c r="E4175" s="229">
        <v>29.0</v>
      </c>
      <c r="F4175" s="230">
        <v>3.0</v>
      </c>
      <c r="G4175" s="232"/>
    </row>
    <row r="4176">
      <c r="A4176" s="2"/>
      <c r="B4176" s="168" t="s">
        <v>271</v>
      </c>
      <c r="C4176" s="168" t="s">
        <v>4428</v>
      </c>
      <c r="D4176" s="229">
        <v>30.5</v>
      </c>
      <c r="E4176" s="229">
        <v>34.0</v>
      </c>
      <c r="F4176" s="230">
        <v>3.0</v>
      </c>
      <c r="G4176" s="232"/>
    </row>
    <row r="4177">
      <c r="A4177" s="2"/>
      <c r="B4177" s="168" t="s">
        <v>232</v>
      </c>
      <c r="C4177" s="168" t="s">
        <v>4429</v>
      </c>
      <c r="D4177" s="229">
        <v>27.5</v>
      </c>
      <c r="E4177" s="229">
        <v>31.0</v>
      </c>
      <c r="F4177" s="230">
        <v>3.0</v>
      </c>
      <c r="G4177" s="232"/>
    </row>
    <row r="4178">
      <c r="A4178" s="2"/>
      <c r="B4178" s="168" t="s">
        <v>269</v>
      </c>
      <c r="C4178" s="168" t="s">
        <v>4430</v>
      </c>
      <c r="D4178" s="229">
        <v>26.5</v>
      </c>
      <c r="E4178" s="229">
        <v>30.0</v>
      </c>
      <c r="F4178" s="230">
        <v>3.0</v>
      </c>
      <c r="G4178" s="232"/>
    </row>
    <row r="4179">
      <c r="A4179" s="2"/>
      <c r="B4179" s="168" t="s">
        <v>255</v>
      </c>
      <c r="C4179" s="168" t="s">
        <v>4431</v>
      </c>
      <c r="D4179" s="229">
        <v>23.5</v>
      </c>
      <c r="E4179" s="229">
        <v>27.0</v>
      </c>
      <c r="F4179" s="230">
        <v>3.0</v>
      </c>
      <c r="G4179" s="232"/>
    </row>
    <row r="4180">
      <c r="A4180" s="2"/>
      <c r="B4180" s="168" t="s">
        <v>288</v>
      </c>
      <c r="C4180" s="168" t="s">
        <v>4432</v>
      </c>
      <c r="D4180" s="229">
        <v>21.5</v>
      </c>
      <c r="E4180" s="229">
        <v>25.0</v>
      </c>
      <c r="F4180" s="230">
        <v>3.0</v>
      </c>
      <c r="G4180" s="232"/>
    </row>
    <row r="4181">
      <c r="A4181" s="2"/>
      <c r="B4181" s="168" t="s">
        <v>290</v>
      </c>
      <c r="C4181" s="168" t="s">
        <v>4433</v>
      </c>
      <c r="D4181" s="229">
        <v>29.5</v>
      </c>
      <c r="E4181" s="229">
        <v>33.0</v>
      </c>
      <c r="F4181" s="230">
        <v>3.0</v>
      </c>
      <c r="G4181" s="232"/>
    </row>
    <row r="4182">
      <c r="A4182" s="2"/>
      <c r="B4182" s="168" t="s">
        <v>230</v>
      </c>
      <c r="C4182" s="168" t="s">
        <v>4434</v>
      </c>
      <c r="D4182" s="229">
        <v>21.5</v>
      </c>
      <c r="E4182" s="229">
        <v>25.0</v>
      </c>
      <c r="F4182" s="230">
        <v>3.0</v>
      </c>
      <c r="G4182" s="232"/>
    </row>
    <row r="4183">
      <c r="A4183" s="2"/>
      <c r="B4183" s="168" t="s">
        <v>269</v>
      </c>
      <c r="C4183" s="168" t="s">
        <v>4435</v>
      </c>
      <c r="D4183" s="229">
        <v>26.5</v>
      </c>
      <c r="E4183" s="229">
        <v>30.0</v>
      </c>
      <c r="F4183" s="230">
        <v>3.0</v>
      </c>
      <c r="G4183" s="232"/>
    </row>
    <row r="4184">
      <c r="A4184" s="2"/>
      <c r="B4184" s="168" t="s">
        <v>313</v>
      </c>
      <c r="C4184" s="168" t="s">
        <v>4436</v>
      </c>
      <c r="D4184" s="229">
        <v>5.0</v>
      </c>
      <c r="E4184" s="229">
        <v>5.0</v>
      </c>
      <c r="F4184" s="230">
        <v>5.0</v>
      </c>
      <c r="G4184" s="232"/>
    </row>
    <row r="4185">
      <c r="A4185" s="2"/>
      <c r="B4185" s="168" t="s">
        <v>413</v>
      </c>
      <c r="C4185" s="168" t="s">
        <v>4437</v>
      </c>
      <c r="D4185" s="229">
        <v>29.5</v>
      </c>
      <c r="E4185" s="229">
        <v>33.0</v>
      </c>
      <c r="F4185" s="230">
        <v>3.0</v>
      </c>
      <c r="G4185" s="232"/>
    </row>
    <row r="4186">
      <c r="A4186" s="2"/>
      <c r="B4186" s="168" t="s">
        <v>341</v>
      </c>
      <c r="C4186" s="168" t="s">
        <v>4438</v>
      </c>
      <c r="D4186" s="229">
        <v>29.5</v>
      </c>
      <c r="E4186" s="229">
        <v>29.5</v>
      </c>
      <c r="F4186" s="230">
        <v>3.0</v>
      </c>
      <c r="G4186" s="232"/>
    </row>
    <row r="4187">
      <c r="A4187" s="2"/>
      <c r="B4187" s="168" t="s">
        <v>230</v>
      </c>
      <c r="C4187" s="168" t="s">
        <v>4439</v>
      </c>
      <c r="D4187" s="229">
        <v>21.5</v>
      </c>
      <c r="E4187" s="229">
        <v>25.0</v>
      </c>
      <c r="F4187" s="230">
        <v>3.0</v>
      </c>
      <c r="G4187" s="232"/>
    </row>
    <row r="4188">
      <c r="A4188" s="2"/>
      <c r="B4188" s="168" t="s">
        <v>269</v>
      </c>
      <c r="C4188" s="168" t="s">
        <v>4440</v>
      </c>
      <c r="D4188" s="229">
        <v>26.5</v>
      </c>
      <c r="E4188" s="229">
        <v>30.0</v>
      </c>
      <c r="F4188" s="230">
        <v>3.0</v>
      </c>
      <c r="G4188" s="232"/>
    </row>
    <row r="4189">
      <c r="A4189" s="2"/>
      <c r="B4189" s="168" t="s">
        <v>271</v>
      </c>
      <c r="C4189" s="168" t="s">
        <v>4441</v>
      </c>
      <c r="D4189" s="229">
        <v>30.5</v>
      </c>
      <c r="E4189" s="229">
        <v>34.0</v>
      </c>
      <c r="F4189" s="230">
        <v>3.0</v>
      </c>
      <c r="G4189" s="232"/>
    </row>
    <row r="4190">
      <c r="A4190" s="2"/>
      <c r="B4190" s="168" t="s">
        <v>464</v>
      </c>
      <c r="C4190" s="168" t="s">
        <v>4442</v>
      </c>
      <c r="D4190" s="229">
        <v>0.5</v>
      </c>
      <c r="E4190" s="229">
        <v>0.5</v>
      </c>
      <c r="F4190" s="230">
        <v>0.5</v>
      </c>
      <c r="G4190" s="232"/>
    </row>
    <row r="4191">
      <c r="A4191" s="2"/>
      <c r="B4191" s="168" t="s">
        <v>345</v>
      </c>
      <c r="C4191" s="168" t="s">
        <v>4443</v>
      </c>
      <c r="D4191" s="229">
        <v>26.5</v>
      </c>
      <c r="E4191" s="229">
        <v>30.0</v>
      </c>
      <c r="F4191" s="230">
        <v>3.0</v>
      </c>
      <c r="G4191" s="232"/>
    </row>
    <row r="4192">
      <c r="A4192" s="2"/>
      <c r="B4192" s="168" t="s">
        <v>337</v>
      </c>
      <c r="C4192" s="168" t="s">
        <v>4444</v>
      </c>
      <c r="D4192" s="229">
        <v>26.0</v>
      </c>
      <c r="E4192" s="229">
        <v>29.5</v>
      </c>
      <c r="F4192" s="230">
        <v>3.0</v>
      </c>
      <c r="G4192" s="232"/>
    </row>
    <row r="4193">
      <c r="A4193" s="2"/>
      <c r="B4193" s="168" t="s">
        <v>341</v>
      </c>
      <c r="C4193" s="168" t="s">
        <v>4445</v>
      </c>
      <c r="D4193" s="229">
        <v>29.5</v>
      </c>
      <c r="E4193" s="229">
        <v>29.5</v>
      </c>
      <c r="F4193" s="230">
        <v>3.0</v>
      </c>
      <c r="G4193" s="232"/>
    </row>
    <row r="4194">
      <c r="A4194" s="2"/>
      <c r="B4194" s="168" t="s">
        <v>221</v>
      </c>
      <c r="C4194" s="168" t="s">
        <v>4446</v>
      </c>
      <c r="D4194" s="229">
        <v>27.5</v>
      </c>
      <c r="E4194" s="229">
        <v>31.0</v>
      </c>
      <c r="F4194" s="230">
        <v>3.0</v>
      </c>
      <c r="G4194" s="232"/>
    </row>
    <row r="4195">
      <c r="A4195" s="2"/>
      <c r="B4195" s="168" t="s">
        <v>241</v>
      </c>
      <c r="C4195" s="168" t="s">
        <v>4447</v>
      </c>
      <c r="D4195" s="229">
        <v>32.5</v>
      </c>
      <c r="E4195" s="229">
        <v>36.0</v>
      </c>
      <c r="F4195" s="230">
        <v>3.0</v>
      </c>
      <c r="G4195" s="232"/>
    </row>
    <row r="4196">
      <c r="A4196" s="2"/>
      <c r="B4196" s="168" t="s">
        <v>341</v>
      </c>
      <c r="C4196" s="168" t="s">
        <v>4448</v>
      </c>
      <c r="D4196" s="229">
        <v>29.5</v>
      </c>
      <c r="E4196" s="229">
        <v>29.5</v>
      </c>
      <c r="F4196" s="230">
        <v>3.0</v>
      </c>
      <c r="G4196" s="232"/>
    </row>
    <row r="4197">
      <c r="A4197" s="2"/>
      <c r="B4197" s="168" t="s">
        <v>345</v>
      </c>
      <c r="C4197" s="168" t="s">
        <v>4449</v>
      </c>
      <c r="D4197" s="229">
        <v>26.0</v>
      </c>
      <c r="E4197" s="229">
        <v>29.5</v>
      </c>
      <c r="F4197" s="230">
        <v>3.0</v>
      </c>
      <c r="G4197" s="232"/>
    </row>
    <row r="4198">
      <c r="A4198" s="2"/>
      <c r="B4198" s="168" t="s">
        <v>296</v>
      </c>
      <c r="C4198" s="168" t="s">
        <v>4450</v>
      </c>
      <c r="D4198" s="229">
        <v>26.5</v>
      </c>
      <c r="E4198" s="229">
        <v>30.0</v>
      </c>
      <c r="F4198" s="230">
        <v>3.0</v>
      </c>
      <c r="G4198" s="232"/>
    </row>
    <row r="4199">
      <c r="A4199" s="2"/>
      <c r="B4199" s="168" t="s">
        <v>386</v>
      </c>
      <c r="C4199" s="168" t="s">
        <v>4451</v>
      </c>
      <c r="D4199" s="229">
        <v>34.5</v>
      </c>
      <c r="E4199" s="229">
        <v>38.0</v>
      </c>
      <c r="F4199" s="230">
        <v>3.0</v>
      </c>
      <c r="G4199" s="232"/>
    </row>
    <row r="4200">
      <c r="A4200" s="2"/>
      <c r="B4200" s="168" t="s">
        <v>217</v>
      </c>
      <c r="C4200" s="168" t="s">
        <v>4452</v>
      </c>
      <c r="D4200" s="229">
        <v>27.5</v>
      </c>
      <c r="E4200" s="229">
        <v>31.0</v>
      </c>
      <c r="F4200" s="230">
        <v>3.0</v>
      </c>
      <c r="G4200" s="232"/>
    </row>
    <row r="4201">
      <c r="A4201" s="2"/>
      <c r="B4201" s="168" t="s">
        <v>332</v>
      </c>
      <c r="C4201" s="168" t="s">
        <v>4453</v>
      </c>
      <c r="D4201" s="229">
        <v>28.5</v>
      </c>
      <c r="E4201" s="229">
        <v>32.0</v>
      </c>
      <c r="F4201" s="230">
        <v>3.0</v>
      </c>
      <c r="G4201" s="232"/>
    </row>
    <row r="4202">
      <c r="A4202" s="2"/>
      <c r="B4202" s="168" t="s">
        <v>269</v>
      </c>
      <c r="C4202" s="168" t="s">
        <v>4454</v>
      </c>
      <c r="D4202" s="229">
        <v>26.5</v>
      </c>
      <c r="E4202" s="229">
        <v>30.0</v>
      </c>
      <c r="F4202" s="230">
        <v>3.0</v>
      </c>
      <c r="G4202" s="232"/>
    </row>
    <row r="4203">
      <c r="A4203" s="2"/>
      <c r="B4203" s="168" t="s">
        <v>221</v>
      </c>
      <c r="C4203" s="168" t="s">
        <v>4455</v>
      </c>
      <c r="D4203" s="229">
        <v>27.5</v>
      </c>
      <c r="E4203" s="229">
        <v>31.0</v>
      </c>
      <c r="F4203" s="230">
        <v>3.0</v>
      </c>
      <c r="G4203" s="232"/>
    </row>
    <row r="4204">
      <c r="A4204" s="2"/>
      <c r="B4204" s="168" t="s">
        <v>381</v>
      </c>
      <c r="C4204" s="168" t="s">
        <v>4456</v>
      </c>
      <c r="D4204" s="229">
        <v>28.5</v>
      </c>
      <c r="E4204" s="229">
        <v>32.0</v>
      </c>
      <c r="F4204" s="230">
        <v>3.0</v>
      </c>
      <c r="G4204" s="232"/>
    </row>
    <row r="4205">
      <c r="A4205" s="2"/>
      <c r="B4205" s="168" t="s">
        <v>239</v>
      </c>
      <c r="C4205" s="168" t="s">
        <v>4457</v>
      </c>
      <c r="D4205" s="229">
        <v>29.5</v>
      </c>
      <c r="E4205" s="229">
        <v>33.0</v>
      </c>
      <c r="F4205" s="230">
        <v>3.0</v>
      </c>
      <c r="G4205" s="232"/>
    </row>
    <row r="4206">
      <c r="A4206" s="2"/>
      <c r="B4206" s="168" t="s">
        <v>294</v>
      </c>
      <c r="C4206" s="168" t="s">
        <v>4458</v>
      </c>
      <c r="D4206" s="229">
        <v>19.5</v>
      </c>
      <c r="E4206" s="229">
        <v>19.5</v>
      </c>
      <c r="F4206" s="230">
        <v>3.0</v>
      </c>
      <c r="G4206" s="232"/>
    </row>
    <row r="4207">
      <c r="A4207" s="2"/>
      <c r="B4207" s="168" t="s">
        <v>241</v>
      </c>
      <c r="C4207" s="168" t="s">
        <v>4459</v>
      </c>
      <c r="D4207" s="229">
        <v>32.5</v>
      </c>
      <c r="E4207" s="229">
        <v>36.0</v>
      </c>
      <c r="F4207" s="230">
        <v>3.0</v>
      </c>
      <c r="G4207" s="232"/>
    </row>
    <row r="4208">
      <c r="A4208" s="2"/>
      <c r="B4208" s="168" t="s">
        <v>290</v>
      </c>
      <c r="C4208" s="168" t="s">
        <v>4460</v>
      </c>
      <c r="D4208" s="229">
        <v>29.5</v>
      </c>
      <c r="E4208" s="229">
        <v>33.0</v>
      </c>
      <c r="F4208" s="230">
        <v>3.0</v>
      </c>
      <c r="G4208" s="232"/>
    </row>
    <row r="4209">
      <c r="A4209" s="2"/>
      <c r="B4209" s="168" t="s">
        <v>337</v>
      </c>
      <c r="C4209" s="168" t="s">
        <v>4461</v>
      </c>
      <c r="D4209" s="229">
        <v>28.5</v>
      </c>
      <c r="E4209" s="229">
        <v>32.0</v>
      </c>
      <c r="F4209" s="230">
        <v>3.0</v>
      </c>
      <c r="G4209" s="232"/>
    </row>
    <row r="4210">
      <c r="A4210" s="2"/>
      <c r="B4210" s="168" t="s">
        <v>247</v>
      </c>
      <c r="C4210" s="168" t="s">
        <v>4462</v>
      </c>
      <c r="D4210" s="229">
        <v>23.5</v>
      </c>
      <c r="E4210" s="229">
        <v>27.0</v>
      </c>
      <c r="F4210" s="230">
        <v>3.0</v>
      </c>
      <c r="G4210" s="232"/>
    </row>
    <row r="4211">
      <c r="A4211" s="2"/>
      <c r="B4211" s="168" t="s">
        <v>290</v>
      </c>
      <c r="C4211" s="168" t="s">
        <v>4463</v>
      </c>
      <c r="D4211" s="229">
        <v>29.5</v>
      </c>
      <c r="E4211" s="229">
        <v>33.0</v>
      </c>
      <c r="F4211" s="230">
        <v>3.0</v>
      </c>
      <c r="G4211" s="232"/>
    </row>
    <row r="4212">
      <c r="A4212" s="2"/>
      <c r="B4212" s="168" t="s">
        <v>296</v>
      </c>
      <c r="C4212" s="168" t="s">
        <v>4464</v>
      </c>
      <c r="D4212" s="229">
        <v>26.5</v>
      </c>
      <c r="E4212" s="229">
        <v>30.0</v>
      </c>
      <c r="F4212" s="230">
        <v>3.0</v>
      </c>
      <c r="G4212" s="232"/>
    </row>
    <row r="4213">
      <c r="A4213" s="2"/>
      <c r="B4213" s="168" t="s">
        <v>427</v>
      </c>
      <c r="C4213" s="168" t="s">
        <v>4465</v>
      </c>
      <c r="D4213" s="229">
        <v>26.5</v>
      </c>
      <c r="E4213" s="229">
        <v>30.0</v>
      </c>
      <c r="F4213" s="230">
        <v>3.0</v>
      </c>
      <c r="G4213" s="232"/>
    </row>
    <row r="4214">
      <c r="A4214" s="2"/>
      <c r="B4214" s="168" t="s">
        <v>290</v>
      </c>
      <c r="C4214" s="168" t="s">
        <v>4466</v>
      </c>
      <c r="D4214" s="229">
        <v>29.5</v>
      </c>
      <c r="E4214" s="229">
        <v>33.0</v>
      </c>
      <c r="F4214" s="230">
        <v>3.0</v>
      </c>
      <c r="G4214" s="232"/>
    </row>
    <row r="4215">
      <c r="A4215" s="2"/>
      <c r="B4215" s="168" t="s">
        <v>217</v>
      </c>
      <c r="C4215" s="168" t="s">
        <v>4467</v>
      </c>
      <c r="D4215" s="229">
        <v>27.0</v>
      </c>
      <c r="E4215" s="229">
        <v>30.5</v>
      </c>
      <c r="F4215" s="230">
        <v>3.0</v>
      </c>
      <c r="G4215" s="232"/>
    </row>
    <row r="4216">
      <c r="A4216" s="2"/>
      <c r="B4216" s="168" t="s">
        <v>260</v>
      </c>
      <c r="C4216" s="168" t="s">
        <v>4468</v>
      </c>
      <c r="D4216" s="229">
        <v>28.5</v>
      </c>
      <c r="E4216" s="229">
        <v>32.0</v>
      </c>
      <c r="F4216" s="230">
        <v>3.0</v>
      </c>
      <c r="G4216" s="232"/>
    </row>
    <row r="4217">
      <c r="A4217" s="2"/>
      <c r="B4217" s="168" t="s">
        <v>234</v>
      </c>
      <c r="C4217" s="168" t="s">
        <v>4469</v>
      </c>
      <c r="D4217" s="229">
        <v>24.5</v>
      </c>
      <c r="E4217" s="229">
        <v>28.0</v>
      </c>
      <c r="F4217" s="230">
        <v>3.0</v>
      </c>
      <c r="G4217" s="232"/>
    </row>
    <row r="4218">
      <c r="A4218" s="2"/>
      <c r="B4218" s="168" t="s">
        <v>215</v>
      </c>
      <c r="C4218" s="168" t="s">
        <v>4470</v>
      </c>
      <c r="D4218" s="229">
        <v>28.5</v>
      </c>
      <c r="E4218" s="229">
        <v>32.0</v>
      </c>
      <c r="F4218" s="230">
        <v>3.0</v>
      </c>
      <c r="G4218" s="232"/>
    </row>
    <row r="4219">
      <c r="A4219" s="2"/>
      <c r="B4219" s="168" t="s">
        <v>576</v>
      </c>
      <c r="C4219" s="168" t="s">
        <v>4471</v>
      </c>
      <c r="D4219" s="229">
        <v>19.5</v>
      </c>
      <c r="E4219" s="229">
        <v>23.0</v>
      </c>
      <c r="F4219" s="230">
        <v>3.0</v>
      </c>
      <c r="G4219" s="232"/>
    </row>
    <row r="4220">
      <c r="A4220" s="2"/>
      <c r="B4220" s="168" t="s">
        <v>215</v>
      </c>
      <c r="C4220" s="168" t="s">
        <v>4472</v>
      </c>
      <c r="D4220" s="229">
        <v>27.5</v>
      </c>
      <c r="E4220" s="229">
        <v>31.0</v>
      </c>
      <c r="F4220" s="230">
        <v>3.0</v>
      </c>
      <c r="G4220" s="232"/>
    </row>
    <row r="4221">
      <c r="A4221" s="2"/>
      <c r="B4221" s="168" t="s">
        <v>234</v>
      </c>
      <c r="C4221" s="168" t="s">
        <v>4473</v>
      </c>
      <c r="D4221" s="229">
        <v>29.5</v>
      </c>
      <c r="E4221" s="229">
        <v>33.0</v>
      </c>
      <c r="F4221" s="230">
        <v>3.0</v>
      </c>
      <c r="G4221" s="232"/>
    </row>
    <row r="4222">
      <c r="A4222" s="2"/>
      <c r="B4222" s="168" t="s">
        <v>266</v>
      </c>
      <c r="C4222" s="168" t="s">
        <v>4474</v>
      </c>
      <c r="D4222" s="229">
        <v>33.0</v>
      </c>
      <c r="E4222" s="229">
        <v>33.0</v>
      </c>
      <c r="F4222" s="230">
        <v>3.0</v>
      </c>
      <c r="G4222" s="232"/>
    </row>
    <row r="4223">
      <c r="A4223" s="2"/>
      <c r="B4223" s="168" t="s">
        <v>318</v>
      </c>
      <c r="C4223" s="168" t="s">
        <v>4475</v>
      </c>
      <c r="D4223" s="229">
        <v>25.5</v>
      </c>
      <c r="E4223" s="229">
        <v>29.0</v>
      </c>
      <c r="F4223" s="230">
        <v>3.0</v>
      </c>
      <c r="G4223" s="232"/>
    </row>
    <row r="4224">
      <c r="A4224" s="2"/>
      <c r="B4224" s="168" t="s">
        <v>296</v>
      </c>
      <c r="C4224" s="168" t="s">
        <v>4476</v>
      </c>
      <c r="D4224" s="229">
        <v>26.5</v>
      </c>
      <c r="E4224" s="229">
        <v>30.0</v>
      </c>
      <c r="F4224" s="230">
        <v>3.0</v>
      </c>
      <c r="G4224" s="232"/>
    </row>
    <row r="4225">
      <c r="A4225" s="2"/>
      <c r="B4225" s="168" t="s">
        <v>260</v>
      </c>
      <c r="C4225" s="168" t="s">
        <v>4477</v>
      </c>
      <c r="D4225" s="229">
        <v>28.5</v>
      </c>
      <c r="E4225" s="229">
        <v>32.0</v>
      </c>
      <c r="F4225" s="230">
        <v>3.0</v>
      </c>
      <c r="G4225" s="232"/>
    </row>
    <row r="4226">
      <c r="A4226" s="2"/>
      <c r="B4226" s="168" t="s">
        <v>288</v>
      </c>
      <c r="C4226" s="168" t="s">
        <v>4478</v>
      </c>
      <c r="D4226" s="229">
        <v>21.5</v>
      </c>
      <c r="E4226" s="229">
        <v>25.0</v>
      </c>
      <c r="F4226" s="230">
        <v>3.0</v>
      </c>
      <c r="G4226" s="232"/>
    </row>
    <row r="4227">
      <c r="A4227" s="2"/>
      <c r="B4227" s="168" t="s">
        <v>296</v>
      </c>
      <c r="C4227" s="168" t="s">
        <v>4479</v>
      </c>
      <c r="D4227" s="229">
        <v>26.5</v>
      </c>
      <c r="E4227" s="229">
        <v>30.0</v>
      </c>
      <c r="F4227" s="230">
        <v>3.0</v>
      </c>
      <c r="G4227" s="232"/>
    </row>
    <row r="4228">
      <c r="A4228" s="2"/>
      <c r="B4228" s="168" t="s">
        <v>236</v>
      </c>
      <c r="C4228" s="168" t="s">
        <v>4480</v>
      </c>
      <c r="D4228" s="229">
        <v>34.5</v>
      </c>
      <c r="E4228" s="229">
        <v>38.0</v>
      </c>
      <c r="F4228" s="230">
        <v>3.0</v>
      </c>
      <c r="G4228" s="232"/>
    </row>
    <row r="4229">
      <c r="A4229" s="2"/>
      <c r="B4229" s="168" t="s">
        <v>335</v>
      </c>
      <c r="C4229" s="168" t="s">
        <v>4481</v>
      </c>
      <c r="D4229" s="229">
        <v>34.5</v>
      </c>
      <c r="E4229" s="229">
        <v>38.0</v>
      </c>
      <c r="F4229" s="230">
        <v>3.0</v>
      </c>
      <c r="G4229" s="232"/>
    </row>
    <row r="4230">
      <c r="A4230" s="2"/>
      <c r="B4230" s="168" t="s">
        <v>1311</v>
      </c>
      <c r="C4230" s="168" t="s">
        <v>4482</v>
      </c>
      <c r="D4230" s="229">
        <v>28.5</v>
      </c>
      <c r="E4230" s="229">
        <v>32.0</v>
      </c>
      <c r="F4230" s="230">
        <v>3.0</v>
      </c>
      <c r="G4230" s="232"/>
    </row>
    <row r="4231">
      <c r="A4231" s="2"/>
      <c r="B4231" s="168" t="s">
        <v>318</v>
      </c>
      <c r="C4231" s="168" t="s">
        <v>4483</v>
      </c>
      <c r="D4231" s="229">
        <v>25.5</v>
      </c>
      <c r="E4231" s="229">
        <v>29.0</v>
      </c>
      <c r="F4231" s="230">
        <v>3.0</v>
      </c>
      <c r="G4231" s="232"/>
    </row>
    <row r="4232">
      <c r="A4232" s="2"/>
      <c r="B4232" s="168" t="s">
        <v>273</v>
      </c>
      <c r="C4232" s="168" t="s">
        <v>4484</v>
      </c>
      <c r="D4232" s="229">
        <v>24.5</v>
      </c>
      <c r="E4232" s="229">
        <v>28.0</v>
      </c>
      <c r="F4232" s="230">
        <v>3.0</v>
      </c>
      <c r="G4232" s="232"/>
    </row>
    <row r="4233">
      <c r="A4233" s="2"/>
      <c r="B4233" s="168" t="s">
        <v>811</v>
      </c>
      <c r="C4233" s="168" t="s">
        <v>4485</v>
      </c>
      <c r="D4233" s="229">
        <v>29.5</v>
      </c>
      <c r="E4233" s="229">
        <v>33.0</v>
      </c>
      <c r="F4233" s="230">
        <v>3.0</v>
      </c>
      <c r="G4233" s="232"/>
    </row>
    <row r="4234">
      <c r="A4234" s="2"/>
      <c r="B4234" s="168" t="s">
        <v>280</v>
      </c>
      <c r="C4234" s="168" t="s">
        <v>4486</v>
      </c>
      <c r="D4234" s="229">
        <v>34.5</v>
      </c>
      <c r="E4234" s="229">
        <v>38.0</v>
      </c>
      <c r="F4234" s="230">
        <v>3.0</v>
      </c>
      <c r="G4234" s="232"/>
    </row>
    <row r="4235">
      <c r="A4235" s="2"/>
      <c r="B4235" s="168" t="s">
        <v>2259</v>
      </c>
      <c r="C4235" s="168" t="s">
        <v>4487</v>
      </c>
      <c r="D4235" s="229">
        <v>16.5</v>
      </c>
      <c r="E4235" s="229">
        <v>20.0</v>
      </c>
      <c r="F4235" s="230">
        <v>3.0</v>
      </c>
      <c r="G4235" s="232"/>
    </row>
    <row r="4236">
      <c r="A4236" s="2"/>
      <c r="B4236" s="168" t="s">
        <v>4488</v>
      </c>
      <c r="C4236" s="168" t="s">
        <v>4489</v>
      </c>
      <c r="D4236" s="229">
        <v>29.5</v>
      </c>
      <c r="E4236" s="229">
        <v>29.5</v>
      </c>
      <c r="F4236" s="230">
        <v>5.0</v>
      </c>
      <c r="G4236" s="232"/>
    </row>
    <row r="4237">
      <c r="A4237" s="2"/>
      <c r="B4237" s="168" t="s">
        <v>269</v>
      </c>
      <c r="C4237" s="168" t="s">
        <v>4490</v>
      </c>
      <c r="D4237" s="229">
        <v>26.5</v>
      </c>
      <c r="E4237" s="229">
        <v>30.0</v>
      </c>
      <c r="F4237" s="230">
        <v>3.0</v>
      </c>
      <c r="G4237" s="232"/>
    </row>
    <row r="4238">
      <c r="A4238" s="2"/>
      <c r="B4238" s="168" t="s">
        <v>232</v>
      </c>
      <c r="C4238" s="168" t="s">
        <v>4491</v>
      </c>
      <c r="D4238" s="229">
        <v>25.5</v>
      </c>
      <c r="E4238" s="229">
        <v>29.0</v>
      </c>
      <c r="F4238" s="230">
        <v>3.0</v>
      </c>
      <c r="G4238" s="232"/>
    </row>
    <row r="4239">
      <c r="A4239" s="2"/>
      <c r="B4239" s="168" t="s">
        <v>273</v>
      </c>
      <c r="C4239" s="168" t="s">
        <v>4492</v>
      </c>
      <c r="D4239" s="229">
        <v>24.5</v>
      </c>
      <c r="E4239" s="229">
        <v>28.0</v>
      </c>
      <c r="F4239" s="230">
        <v>3.0</v>
      </c>
      <c r="G4239" s="232"/>
    </row>
    <row r="4240">
      <c r="A4240" s="2"/>
      <c r="B4240" s="168" t="s">
        <v>230</v>
      </c>
      <c r="C4240" s="168" t="s">
        <v>4493</v>
      </c>
      <c r="D4240" s="229">
        <v>21.5</v>
      </c>
      <c r="E4240" s="229">
        <v>25.0</v>
      </c>
      <c r="F4240" s="230">
        <v>3.0</v>
      </c>
      <c r="G4240" s="232"/>
    </row>
    <row r="4241">
      <c r="A4241" s="2"/>
      <c r="B4241" s="168" t="s">
        <v>288</v>
      </c>
      <c r="C4241" s="168" t="s">
        <v>4494</v>
      </c>
      <c r="D4241" s="229">
        <v>21.5</v>
      </c>
      <c r="E4241" s="229">
        <v>25.0</v>
      </c>
      <c r="F4241" s="230">
        <v>3.0</v>
      </c>
      <c r="G4241" s="232"/>
    </row>
    <row r="4242">
      <c r="A4242" s="2"/>
      <c r="B4242" s="168" t="s">
        <v>337</v>
      </c>
      <c r="C4242" s="168" t="s">
        <v>4495</v>
      </c>
      <c r="D4242" s="229">
        <v>28.5</v>
      </c>
      <c r="E4242" s="229">
        <v>32.0</v>
      </c>
      <c r="F4242" s="230">
        <v>3.0</v>
      </c>
      <c r="G4242" s="232"/>
    </row>
    <row r="4243">
      <c r="A4243" s="2"/>
      <c r="B4243" s="168" t="s">
        <v>217</v>
      </c>
      <c r="C4243" s="168" t="s">
        <v>4496</v>
      </c>
      <c r="D4243" s="229">
        <v>27.5</v>
      </c>
      <c r="E4243" s="229">
        <v>31.0</v>
      </c>
      <c r="F4243" s="230">
        <v>3.0</v>
      </c>
      <c r="G4243" s="232"/>
    </row>
    <row r="4244">
      <c r="A4244" s="2"/>
      <c r="B4244" s="168" t="s">
        <v>245</v>
      </c>
      <c r="C4244" s="168" t="s">
        <v>4497</v>
      </c>
      <c r="D4244" s="229">
        <v>29.5</v>
      </c>
      <c r="E4244" s="229">
        <v>33.0</v>
      </c>
      <c r="F4244" s="230">
        <v>3.0</v>
      </c>
      <c r="G4244" s="232"/>
    </row>
    <row r="4245">
      <c r="A4245" s="2"/>
      <c r="B4245" s="168" t="s">
        <v>328</v>
      </c>
      <c r="C4245" s="168" t="s">
        <v>4498</v>
      </c>
      <c r="D4245" s="229">
        <v>34.5</v>
      </c>
      <c r="E4245" s="229">
        <v>38.0</v>
      </c>
      <c r="F4245" s="230">
        <v>3.0</v>
      </c>
      <c r="G4245" s="232"/>
    </row>
    <row r="4246">
      <c r="A4246" s="2"/>
      <c r="B4246" s="168" t="s">
        <v>337</v>
      </c>
      <c r="C4246" s="168" t="s">
        <v>4499</v>
      </c>
      <c r="D4246" s="229">
        <v>20.5</v>
      </c>
      <c r="E4246" s="229">
        <v>24.0</v>
      </c>
      <c r="F4246" s="230">
        <v>3.0</v>
      </c>
      <c r="G4246" s="232"/>
    </row>
    <row r="4247">
      <c r="A4247" s="2"/>
      <c r="B4247" s="168" t="s">
        <v>223</v>
      </c>
      <c r="C4247" s="168" t="s">
        <v>4500</v>
      </c>
      <c r="D4247" s="229">
        <v>26.5</v>
      </c>
      <c r="E4247" s="229">
        <v>30.0</v>
      </c>
      <c r="F4247" s="230">
        <v>3.0</v>
      </c>
      <c r="G4247" s="232"/>
    </row>
    <row r="4248">
      <c r="A4248" s="2"/>
      <c r="B4248" s="168" t="s">
        <v>241</v>
      </c>
      <c r="C4248" s="168" t="s">
        <v>4501</v>
      </c>
      <c r="D4248" s="229">
        <v>32.5</v>
      </c>
      <c r="E4248" s="229">
        <v>36.0</v>
      </c>
      <c r="F4248" s="230">
        <v>3.0</v>
      </c>
      <c r="G4248" s="232"/>
    </row>
    <row r="4249">
      <c r="A4249" s="2"/>
      <c r="B4249" s="168" t="s">
        <v>255</v>
      </c>
      <c r="C4249" s="168" t="s">
        <v>4502</v>
      </c>
      <c r="D4249" s="229">
        <v>31.5</v>
      </c>
      <c r="E4249" s="229">
        <v>35.0</v>
      </c>
      <c r="F4249" s="230">
        <v>3.0</v>
      </c>
      <c r="G4249" s="232"/>
    </row>
    <row r="4250">
      <c r="A4250" s="2"/>
      <c r="B4250" s="168" t="s">
        <v>230</v>
      </c>
      <c r="C4250" s="168" t="s">
        <v>4503</v>
      </c>
      <c r="D4250" s="229">
        <v>16.5</v>
      </c>
      <c r="E4250" s="229">
        <v>20.0</v>
      </c>
      <c r="F4250" s="230">
        <v>3.0</v>
      </c>
      <c r="G4250" s="232"/>
    </row>
    <row r="4251">
      <c r="A4251" s="2"/>
      <c r="B4251" s="168" t="s">
        <v>285</v>
      </c>
      <c r="C4251" s="168" t="s">
        <v>4504</v>
      </c>
      <c r="D4251" s="229">
        <v>24.5</v>
      </c>
      <c r="E4251" s="229">
        <v>28.0</v>
      </c>
      <c r="F4251" s="230">
        <v>3.0</v>
      </c>
      <c r="G4251" s="232"/>
    </row>
    <row r="4252">
      <c r="A4252" s="2"/>
      <c r="B4252" s="168" t="s">
        <v>275</v>
      </c>
      <c r="C4252" s="168" t="s">
        <v>4505</v>
      </c>
      <c r="D4252" s="229">
        <v>26.5</v>
      </c>
      <c r="E4252" s="229">
        <v>30.0</v>
      </c>
      <c r="F4252" s="230">
        <v>3.0</v>
      </c>
      <c r="G4252" s="232"/>
    </row>
    <row r="4253">
      <c r="A4253" s="2"/>
      <c r="B4253" s="168" t="s">
        <v>318</v>
      </c>
      <c r="C4253" s="168" t="s">
        <v>4506</v>
      </c>
      <c r="D4253" s="229">
        <v>25.5</v>
      </c>
      <c r="E4253" s="229">
        <v>29.0</v>
      </c>
      <c r="F4253" s="230">
        <v>3.0</v>
      </c>
      <c r="G4253" s="232"/>
    </row>
    <row r="4254">
      <c r="A4254" s="2"/>
      <c r="B4254" s="168" t="s">
        <v>234</v>
      </c>
      <c r="C4254" s="168" t="s">
        <v>4507</v>
      </c>
      <c r="D4254" s="229">
        <v>29.5</v>
      </c>
      <c r="E4254" s="229">
        <v>33.0</v>
      </c>
      <c r="F4254" s="230">
        <v>3.0</v>
      </c>
      <c r="G4254" s="232"/>
    </row>
    <row r="4255">
      <c r="A4255" s="2"/>
      <c r="B4255" s="168" t="s">
        <v>404</v>
      </c>
      <c r="C4255" s="168" t="s">
        <v>4508</v>
      </c>
      <c r="D4255" s="229">
        <v>29.5</v>
      </c>
      <c r="E4255" s="229">
        <v>33.0</v>
      </c>
      <c r="F4255" s="230">
        <v>3.0</v>
      </c>
      <c r="G4255" s="232"/>
    </row>
    <row r="4256">
      <c r="A4256" s="2"/>
      <c r="B4256" s="168" t="s">
        <v>221</v>
      </c>
      <c r="C4256" s="168" t="s">
        <v>4509</v>
      </c>
      <c r="D4256" s="229">
        <v>27.5</v>
      </c>
      <c r="E4256" s="229">
        <v>31.0</v>
      </c>
      <c r="F4256" s="230">
        <v>3.0</v>
      </c>
      <c r="G4256" s="232"/>
    </row>
    <row r="4257">
      <c r="A4257" s="2"/>
      <c r="B4257" s="168" t="s">
        <v>288</v>
      </c>
      <c r="C4257" s="168" t="s">
        <v>4510</v>
      </c>
      <c r="D4257" s="229">
        <v>16.5</v>
      </c>
      <c r="E4257" s="229">
        <v>20.0</v>
      </c>
      <c r="F4257" s="230">
        <v>3.0</v>
      </c>
      <c r="G4257" s="232"/>
    </row>
    <row r="4258">
      <c r="A4258" s="2"/>
      <c r="B4258" s="168" t="s">
        <v>217</v>
      </c>
      <c r="C4258" s="168" t="s">
        <v>4511</v>
      </c>
      <c r="D4258" s="229">
        <v>27.5</v>
      </c>
      <c r="E4258" s="229">
        <v>31.0</v>
      </c>
      <c r="F4258" s="230">
        <v>3.0</v>
      </c>
      <c r="G4258" s="232"/>
    </row>
    <row r="4259">
      <c r="A4259" s="2"/>
      <c r="B4259" s="168" t="s">
        <v>230</v>
      </c>
      <c r="C4259" s="168" t="s">
        <v>4512</v>
      </c>
      <c r="D4259" s="229">
        <v>16.5</v>
      </c>
      <c r="E4259" s="229">
        <v>20.0</v>
      </c>
      <c r="F4259" s="230">
        <v>3.0</v>
      </c>
      <c r="G4259" s="232"/>
    </row>
    <row r="4260">
      <c r="A4260" s="2"/>
      <c r="B4260" s="168" t="s">
        <v>381</v>
      </c>
      <c r="C4260" s="168" t="s">
        <v>4513</v>
      </c>
      <c r="D4260" s="229">
        <v>28.5</v>
      </c>
      <c r="E4260" s="229">
        <v>32.0</v>
      </c>
      <c r="F4260" s="230">
        <v>3.0</v>
      </c>
      <c r="G4260" s="232"/>
    </row>
    <row r="4261">
      <c r="A4261" s="2"/>
      <c r="B4261" s="168" t="s">
        <v>328</v>
      </c>
      <c r="C4261" s="168" t="s">
        <v>4514</v>
      </c>
      <c r="D4261" s="229">
        <v>34.5</v>
      </c>
      <c r="E4261" s="229">
        <v>38.0</v>
      </c>
      <c r="F4261" s="230">
        <v>3.0</v>
      </c>
      <c r="G4261" s="232"/>
    </row>
    <row r="4262">
      <c r="A4262" s="2"/>
      <c r="B4262" s="168" t="s">
        <v>217</v>
      </c>
      <c r="C4262" s="168" t="s">
        <v>4515</v>
      </c>
      <c r="D4262" s="229">
        <v>27.5</v>
      </c>
      <c r="E4262" s="229">
        <v>31.0</v>
      </c>
      <c r="F4262" s="230">
        <v>3.0</v>
      </c>
      <c r="G4262" s="232"/>
    </row>
    <row r="4263">
      <c r="A4263" s="2"/>
      <c r="B4263" s="168" t="s">
        <v>245</v>
      </c>
      <c r="C4263" s="168" t="s">
        <v>4516</v>
      </c>
      <c r="D4263" s="229">
        <v>29.5</v>
      </c>
      <c r="E4263" s="229">
        <v>33.0</v>
      </c>
      <c r="F4263" s="230">
        <v>3.0</v>
      </c>
      <c r="G4263" s="232"/>
    </row>
    <row r="4264">
      <c r="A4264" s="2"/>
      <c r="B4264" s="168" t="s">
        <v>294</v>
      </c>
      <c r="C4264" s="168" t="s">
        <v>4517</v>
      </c>
      <c r="D4264" s="229">
        <v>19.5</v>
      </c>
      <c r="E4264" s="229">
        <v>19.5</v>
      </c>
      <c r="F4264" s="230">
        <v>3.0</v>
      </c>
      <c r="G4264" s="232"/>
    </row>
    <row r="4265">
      <c r="A4265" s="2"/>
      <c r="B4265" s="168" t="s">
        <v>247</v>
      </c>
      <c r="C4265" s="168" t="s">
        <v>4518</v>
      </c>
      <c r="D4265" s="229">
        <v>29.5</v>
      </c>
      <c r="E4265" s="229">
        <v>33.0</v>
      </c>
      <c r="F4265" s="230">
        <v>3.0</v>
      </c>
      <c r="G4265" s="232"/>
    </row>
    <row r="4266">
      <c r="A4266" s="2"/>
      <c r="B4266" s="168" t="s">
        <v>241</v>
      </c>
      <c r="C4266" s="168" t="s">
        <v>4519</v>
      </c>
      <c r="D4266" s="229">
        <v>32.5</v>
      </c>
      <c r="E4266" s="229">
        <v>36.0</v>
      </c>
      <c r="F4266" s="230">
        <v>3.0</v>
      </c>
      <c r="G4266" s="232"/>
    </row>
    <row r="4267">
      <c r="A4267" s="2"/>
      <c r="B4267" s="168" t="s">
        <v>302</v>
      </c>
      <c r="C4267" s="168" t="s">
        <v>4520</v>
      </c>
      <c r="D4267" s="229">
        <v>34.5</v>
      </c>
      <c r="E4267" s="229">
        <v>38.0</v>
      </c>
      <c r="F4267" s="230">
        <v>3.0</v>
      </c>
      <c r="G4267" s="232"/>
    </row>
    <row r="4268">
      <c r="A4268" s="2"/>
      <c r="B4268" s="168" t="s">
        <v>269</v>
      </c>
      <c r="C4268" s="168" t="s">
        <v>4521</v>
      </c>
      <c r="D4268" s="229">
        <v>21.5</v>
      </c>
      <c r="E4268" s="229">
        <v>25.0</v>
      </c>
      <c r="F4268" s="230">
        <v>3.0</v>
      </c>
      <c r="G4268" s="232"/>
    </row>
    <row r="4269">
      <c r="A4269" s="2"/>
      <c r="B4269" s="168" t="s">
        <v>223</v>
      </c>
      <c r="C4269" s="168" t="s">
        <v>4522</v>
      </c>
      <c r="D4269" s="229">
        <v>26.5</v>
      </c>
      <c r="E4269" s="229">
        <v>30.0</v>
      </c>
      <c r="F4269" s="230">
        <v>3.0</v>
      </c>
      <c r="G4269" s="232"/>
    </row>
    <row r="4270">
      <c r="A4270" s="2"/>
      <c r="B4270" s="168" t="s">
        <v>269</v>
      </c>
      <c r="C4270" s="168" t="s">
        <v>4523</v>
      </c>
      <c r="D4270" s="229">
        <v>26.5</v>
      </c>
      <c r="E4270" s="229">
        <v>30.0</v>
      </c>
      <c r="F4270" s="230">
        <v>3.0</v>
      </c>
      <c r="G4270" s="232"/>
    </row>
    <row r="4271">
      <c r="A4271" s="2"/>
      <c r="B4271" s="168" t="s">
        <v>565</v>
      </c>
      <c r="C4271" s="168" t="s">
        <v>4524</v>
      </c>
      <c r="D4271" s="229">
        <v>24.5</v>
      </c>
      <c r="E4271" s="229">
        <v>28.0</v>
      </c>
      <c r="F4271" s="230">
        <v>3.0</v>
      </c>
      <c r="G4271" s="232"/>
    </row>
    <row r="4272">
      <c r="A4272" s="2"/>
      <c r="B4272" s="168" t="s">
        <v>300</v>
      </c>
      <c r="C4272" s="168" t="s">
        <v>4525</v>
      </c>
      <c r="D4272" s="229">
        <v>28.5</v>
      </c>
      <c r="E4272" s="229">
        <v>32.0</v>
      </c>
      <c r="F4272" s="230">
        <v>3.0</v>
      </c>
      <c r="G4272" s="232"/>
    </row>
    <row r="4273">
      <c r="A4273" s="2"/>
      <c r="B4273" s="168" t="s">
        <v>318</v>
      </c>
      <c r="C4273" s="168" t="s">
        <v>4526</v>
      </c>
      <c r="D4273" s="229">
        <v>25.5</v>
      </c>
      <c r="E4273" s="229">
        <v>29.0</v>
      </c>
      <c r="F4273" s="230">
        <v>3.0</v>
      </c>
      <c r="G4273" s="232"/>
    </row>
    <row r="4274">
      <c r="A4274" s="2"/>
      <c r="B4274" s="168" t="s">
        <v>217</v>
      </c>
      <c r="C4274" s="168" t="s">
        <v>4527</v>
      </c>
      <c r="D4274" s="229">
        <v>27.5</v>
      </c>
      <c r="E4274" s="229">
        <v>31.0</v>
      </c>
      <c r="F4274" s="230">
        <v>3.0</v>
      </c>
      <c r="G4274" s="232"/>
    </row>
    <row r="4275">
      <c r="A4275" s="2"/>
      <c r="B4275" s="168" t="s">
        <v>574</v>
      </c>
      <c r="C4275" s="168" t="s">
        <v>4528</v>
      </c>
      <c r="D4275" s="229">
        <v>34.5</v>
      </c>
      <c r="E4275" s="229">
        <v>38.0</v>
      </c>
      <c r="F4275" s="230">
        <v>3.0</v>
      </c>
      <c r="G4275" s="232"/>
    </row>
    <row r="4276">
      <c r="A4276" s="2"/>
      <c r="B4276" s="168" t="s">
        <v>217</v>
      </c>
      <c r="C4276" s="168" t="s">
        <v>4529</v>
      </c>
      <c r="D4276" s="229">
        <v>27.5</v>
      </c>
      <c r="E4276" s="229">
        <v>31.0</v>
      </c>
      <c r="F4276" s="230">
        <v>3.0</v>
      </c>
      <c r="G4276" s="232"/>
    </row>
    <row r="4277">
      <c r="A4277" s="2"/>
      <c r="B4277" s="168" t="s">
        <v>288</v>
      </c>
      <c r="C4277" s="168" t="s">
        <v>4530</v>
      </c>
      <c r="D4277" s="229">
        <v>21.5</v>
      </c>
      <c r="E4277" s="229">
        <v>25.0</v>
      </c>
      <c r="F4277" s="230">
        <v>3.0</v>
      </c>
      <c r="G4277" s="232"/>
    </row>
    <row r="4278">
      <c r="A4278" s="2"/>
      <c r="B4278" s="168" t="s">
        <v>2259</v>
      </c>
      <c r="C4278" s="168" t="s">
        <v>4531</v>
      </c>
      <c r="D4278" s="229">
        <v>19.5</v>
      </c>
      <c r="E4278" s="229">
        <v>23.0</v>
      </c>
      <c r="F4278" s="230">
        <v>3.0</v>
      </c>
      <c r="G4278" s="232"/>
    </row>
    <row r="4279">
      <c r="A4279" s="2"/>
      <c r="B4279" s="168" t="s">
        <v>255</v>
      </c>
      <c r="C4279" s="168" t="s">
        <v>4532</v>
      </c>
      <c r="D4279" s="229">
        <v>31.5</v>
      </c>
      <c r="E4279" s="229">
        <v>35.0</v>
      </c>
      <c r="F4279" s="230">
        <v>3.0</v>
      </c>
      <c r="G4279" s="232"/>
    </row>
    <row r="4280">
      <c r="A4280" s="2"/>
      <c r="B4280" s="168" t="s">
        <v>234</v>
      </c>
      <c r="C4280" s="168" t="s">
        <v>4533</v>
      </c>
      <c r="D4280" s="229">
        <v>29.5</v>
      </c>
      <c r="E4280" s="229">
        <v>33.0</v>
      </c>
      <c r="F4280" s="230">
        <v>3.0</v>
      </c>
      <c r="G4280" s="232"/>
    </row>
    <row r="4281">
      <c r="A4281" s="2"/>
      <c r="B4281" s="168" t="s">
        <v>273</v>
      </c>
      <c r="C4281" s="168" t="s">
        <v>4534</v>
      </c>
      <c r="D4281" s="229">
        <v>29.5</v>
      </c>
      <c r="E4281" s="229">
        <v>33.0</v>
      </c>
      <c r="F4281" s="230">
        <v>3.0</v>
      </c>
      <c r="G4281" s="232"/>
    </row>
    <row r="4282">
      <c r="A4282" s="2"/>
      <c r="B4282" s="168" t="s">
        <v>232</v>
      </c>
      <c r="C4282" s="168" t="s">
        <v>4535</v>
      </c>
      <c r="D4282" s="229">
        <v>25.5</v>
      </c>
      <c r="E4282" s="229">
        <v>29.0</v>
      </c>
      <c r="F4282" s="230">
        <v>3.0</v>
      </c>
      <c r="G4282" s="232"/>
    </row>
    <row r="4283">
      <c r="A4283" s="2"/>
      <c r="B4283" s="168" t="s">
        <v>243</v>
      </c>
      <c r="C4283" s="168" t="s">
        <v>4536</v>
      </c>
      <c r="D4283" s="229">
        <v>29.5</v>
      </c>
      <c r="E4283" s="229">
        <v>33.0</v>
      </c>
      <c r="F4283" s="230">
        <v>3.0</v>
      </c>
      <c r="G4283" s="232"/>
    </row>
    <row r="4284">
      <c r="A4284" s="2"/>
      <c r="B4284" s="168" t="s">
        <v>269</v>
      </c>
      <c r="C4284" s="168" t="s">
        <v>4537</v>
      </c>
      <c r="D4284" s="229">
        <v>26.5</v>
      </c>
      <c r="E4284" s="229">
        <v>30.0</v>
      </c>
      <c r="F4284" s="230">
        <v>3.0</v>
      </c>
      <c r="G4284" s="232"/>
    </row>
    <row r="4285">
      <c r="A4285" s="2"/>
      <c r="B4285" s="168" t="s">
        <v>535</v>
      </c>
      <c r="C4285" s="168" t="s">
        <v>4538</v>
      </c>
      <c r="D4285" s="229">
        <v>26.5</v>
      </c>
      <c r="E4285" s="229">
        <v>30.0</v>
      </c>
      <c r="F4285" s="230">
        <v>3.0</v>
      </c>
      <c r="G4285" s="232"/>
    </row>
    <row r="4286">
      <c r="A4286" s="2"/>
      <c r="B4286" s="168" t="s">
        <v>1432</v>
      </c>
      <c r="C4286" s="168" t="s">
        <v>4539</v>
      </c>
      <c r="D4286" s="229">
        <v>26.5</v>
      </c>
      <c r="E4286" s="229">
        <v>30.0</v>
      </c>
      <c r="F4286" s="230">
        <v>3.0</v>
      </c>
      <c r="G4286" s="232"/>
    </row>
    <row r="4287">
      <c r="A4287" s="2"/>
      <c r="B4287" s="168" t="s">
        <v>269</v>
      </c>
      <c r="C4287" s="168" t="s">
        <v>4540</v>
      </c>
      <c r="D4287" s="229">
        <v>26.5</v>
      </c>
      <c r="E4287" s="229">
        <v>30.0</v>
      </c>
      <c r="F4287" s="230">
        <v>3.0</v>
      </c>
      <c r="G4287" s="232"/>
    </row>
    <row r="4288">
      <c r="A4288" s="2"/>
      <c r="B4288" s="168" t="s">
        <v>302</v>
      </c>
      <c r="C4288" s="168" t="s">
        <v>4541</v>
      </c>
      <c r="D4288" s="229">
        <v>34.5</v>
      </c>
      <c r="E4288" s="229">
        <v>38.0</v>
      </c>
      <c r="F4288" s="230">
        <v>3.0</v>
      </c>
      <c r="G4288" s="232"/>
    </row>
    <row r="4289">
      <c r="A4289" s="2"/>
      <c r="B4289" s="168" t="s">
        <v>215</v>
      </c>
      <c r="C4289" s="168" t="s">
        <v>4542</v>
      </c>
      <c r="D4289" s="229">
        <v>27.5</v>
      </c>
      <c r="E4289" s="229">
        <v>31.0</v>
      </c>
      <c r="F4289" s="230">
        <v>3.0</v>
      </c>
      <c r="G4289" s="232"/>
    </row>
    <row r="4290">
      <c r="A4290" s="2"/>
      <c r="B4290" s="168" t="s">
        <v>592</v>
      </c>
      <c r="C4290" s="168" t="s">
        <v>4543</v>
      </c>
      <c r="D4290" s="229">
        <v>34.5</v>
      </c>
      <c r="E4290" s="229">
        <v>38.0</v>
      </c>
      <c r="F4290" s="230">
        <v>3.0</v>
      </c>
      <c r="G4290" s="232"/>
    </row>
    <row r="4291">
      <c r="A4291" s="2"/>
      <c r="B4291" s="168" t="s">
        <v>388</v>
      </c>
      <c r="C4291" s="168" t="s">
        <v>388</v>
      </c>
      <c r="D4291" s="229">
        <v>21.5</v>
      </c>
      <c r="E4291" s="229">
        <v>25.0</v>
      </c>
      <c r="F4291" s="230">
        <v>3.0</v>
      </c>
      <c r="G4291" s="232"/>
    </row>
    <row r="4292">
      <c r="A4292" s="2"/>
      <c r="B4292" s="168" t="s">
        <v>236</v>
      </c>
      <c r="C4292" s="168" t="s">
        <v>4544</v>
      </c>
      <c r="D4292" s="229">
        <v>34.5</v>
      </c>
      <c r="E4292" s="229">
        <v>38.0</v>
      </c>
      <c r="F4292" s="230">
        <v>3.0</v>
      </c>
      <c r="G4292" s="232"/>
    </row>
    <row r="4293">
      <c r="A4293" s="2"/>
      <c r="B4293" s="168" t="s">
        <v>269</v>
      </c>
      <c r="C4293" s="168" t="s">
        <v>4545</v>
      </c>
      <c r="D4293" s="229">
        <v>26.5</v>
      </c>
      <c r="E4293" s="229">
        <v>30.0</v>
      </c>
      <c r="F4293" s="230">
        <v>3.0</v>
      </c>
      <c r="G4293" s="232"/>
    </row>
    <row r="4294">
      <c r="A4294" s="2"/>
      <c r="B4294" s="168" t="s">
        <v>330</v>
      </c>
      <c r="C4294" s="168" t="s">
        <v>4546</v>
      </c>
      <c r="D4294" s="229">
        <v>24.5</v>
      </c>
      <c r="E4294" s="229">
        <v>28.0</v>
      </c>
      <c r="F4294" s="230">
        <v>3.0</v>
      </c>
      <c r="G4294" s="232"/>
    </row>
    <row r="4295">
      <c r="A4295" s="2"/>
      <c r="B4295" s="168" t="s">
        <v>217</v>
      </c>
      <c r="C4295" s="168" t="s">
        <v>4547</v>
      </c>
      <c r="D4295" s="229">
        <v>27.5</v>
      </c>
      <c r="E4295" s="229">
        <v>31.0</v>
      </c>
      <c r="F4295" s="230">
        <v>3.0</v>
      </c>
      <c r="G4295" s="232"/>
    </row>
    <row r="4296">
      <c r="A4296" s="2"/>
      <c r="B4296" s="168" t="s">
        <v>239</v>
      </c>
      <c r="C4296" s="168" t="s">
        <v>4548</v>
      </c>
      <c r="D4296" s="229">
        <v>29.5</v>
      </c>
      <c r="E4296" s="229">
        <v>33.0</v>
      </c>
      <c r="F4296" s="230">
        <v>3.0</v>
      </c>
      <c r="G4296" s="232"/>
    </row>
    <row r="4297">
      <c r="A4297" s="2"/>
      <c r="B4297" s="168" t="s">
        <v>271</v>
      </c>
      <c r="C4297" s="168" t="s">
        <v>4549</v>
      </c>
      <c r="D4297" s="229">
        <v>31.5</v>
      </c>
      <c r="E4297" s="229">
        <v>35.0</v>
      </c>
      <c r="F4297" s="230">
        <v>3.0</v>
      </c>
      <c r="G4297" s="232"/>
    </row>
    <row r="4298">
      <c r="A4298" s="2"/>
      <c r="B4298" s="168" t="s">
        <v>223</v>
      </c>
      <c r="C4298" s="168" t="s">
        <v>4550</v>
      </c>
      <c r="D4298" s="229">
        <v>26.5</v>
      </c>
      <c r="E4298" s="229">
        <v>30.0</v>
      </c>
      <c r="F4298" s="230">
        <v>3.0</v>
      </c>
      <c r="G4298" s="232"/>
    </row>
    <row r="4299">
      <c r="A4299" s="2"/>
      <c r="B4299" s="168" t="s">
        <v>341</v>
      </c>
      <c r="C4299" s="168" t="s">
        <v>4551</v>
      </c>
      <c r="D4299" s="229">
        <v>29.5</v>
      </c>
      <c r="E4299" s="229">
        <v>29.5</v>
      </c>
      <c r="F4299" s="230">
        <v>3.0</v>
      </c>
      <c r="G4299" s="232"/>
    </row>
    <row r="4300">
      <c r="A4300" s="2"/>
      <c r="B4300" s="168" t="s">
        <v>296</v>
      </c>
      <c r="C4300" s="168" t="s">
        <v>4552</v>
      </c>
      <c r="D4300" s="229">
        <v>26.5</v>
      </c>
      <c r="E4300" s="229">
        <v>30.0</v>
      </c>
      <c r="F4300" s="230">
        <v>3.0</v>
      </c>
      <c r="G4300" s="232"/>
    </row>
    <row r="4301">
      <c r="A4301" s="2"/>
      <c r="B4301" s="168" t="s">
        <v>217</v>
      </c>
      <c r="C4301" s="168" t="s">
        <v>4553</v>
      </c>
      <c r="D4301" s="229">
        <v>27.5</v>
      </c>
      <c r="E4301" s="229">
        <v>31.0</v>
      </c>
      <c r="F4301" s="230">
        <v>3.0</v>
      </c>
      <c r="G4301" s="232"/>
    </row>
    <row r="4302">
      <c r="A4302" s="2"/>
      <c r="B4302" s="168" t="s">
        <v>381</v>
      </c>
      <c r="C4302" s="168" t="s">
        <v>4554</v>
      </c>
      <c r="D4302" s="229">
        <v>28.5</v>
      </c>
      <c r="E4302" s="229">
        <v>32.0</v>
      </c>
      <c r="F4302" s="230">
        <v>3.0</v>
      </c>
      <c r="G4302" s="232"/>
    </row>
    <row r="4303">
      <c r="A4303" s="2"/>
      <c r="B4303" s="168" t="s">
        <v>217</v>
      </c>
      <c r="C4303" s="168" t="s">
        <v>4555</v>
      </c>
      <c r="D4303" s="229">
        <v>27.5</v>
      </c>
      <c r="E4303" s="229">
        <v>31.0</v>
      </c>
      <c r="F4303" s="230">
        <v>3.0</v>
      </c>
      <c r="G4303" s="232"/>
    </row>
    <row r="4304">
      <c r="A4304" s="2"/>
      <c r="B4304" s="168" t="s">
        <v>230</v>
      </c>
      <c r="C4304" s="168" t="s">
        <v>4556</v>
      </c>
      <c r="D4304" s="229">
        <v>16.5</v>
      </c>
      <c r="E4304" s="229">
        <v>20.0</v>
      </c>
      <c r="F4304" s="230">
        <v>3.0</v>
      </c>
      <c r="G4304" s="232"/>
    </row>
    <row r="4305">
      <c r="A4305" s="2"/>
      <c r="B4305" s="168" t="s">
        <v>294</v>
      </c>
      <c r="C4305" s="168" t="s">
        <v>4557</v>
      </c>
      <c r="D4305" s="229">
        <v>19.5</v>
      </c>
      <c r="E4305" s="229">
        <v>19.5</v>
      </c>
      <c r="F4305" s="230">
        <v>3.0</v>
      </c>
      <c r="G4305" s="232"/>
    </row>
    <row r="4306">
      <c r="A4306" s="2"/>
      <c r="B4306" s="168" t="s">
        <v>290</v>
      </c>
      <c r="C4306" s="168" t="s">
        <v>4558</v>
      </c>
      <c r="D4306" s="229">
        <v>29.0</v>
      </c>
      <c r="E4306" s="229">
        <v>32.5</v>
      </c>
      <c r="F4306" s="230">
        <v>3.0</v>
      </c>
      <c r="G4306" s="232"/>
    </row>
    <row r="4307">
      <c r="A4307" s="2"/>
      <c r="B4307" s="168" t="s">
        <v>288</v>
      </c>
      <c r="C4307" s="168" t="s">
        <v>4559</v>
      </c>
      <c r="D4307" s="229">
        <v>21.5</v>
      </c>
      <c r="E4307" s="229">
        <v>25.0</v>
      </c>
      <c r="F4307" s="230">
        <v>3.0</v>
      </c>
      <c r="G4307" s="232"/>
    </row>
    <row r="4308">
      <c r="A4308" s="2"/>
      <c r="B4308" s="168" t="s">
        <v>230</v>
      </c>
      <c r="C4308" s="168" t="s">
        <v>4560</v>
      </c>
      <c r="D4308" s="229">
        <v>21.5</v>
      </c>
      <c r="E4308" s="229">
        <v>25.0</v>
      </c>
      <c r="F4308" s="230">
        <v>3.0</v>
      </c>
      <c r="G4308" s="232"/>
    </row>
    <row r="4309">
      <c r="A4309" s="2"/>
      <c r="B4309" s="168" t="s">
        <v>381</v>
      </c>
      <c r="C4309" s="168" t="s">
        <v>4561</v>
      </c>
      <c r="D4309" s="229">
        <v>23.5</v>
      </c>
      <c r="E4309" s="229">
        <v>27.0</v>
      </c>
      <c r="F4309" s="230">
        <v>3.0</v>
      </c>
      <c r="G4309" s="232"/>
    </row>
    <row r="4310">
      <c r="A4310" s="2"/>
      <c r="B4310" s="168" t="s">
        <v>273</v>
      </c>
      <c r="C4310" s="168" t="s">
        <v>4562</v>
      </c>
      <c r="D4310" s="229">
        <v>29.5</v>
      </c>
      <c r="E4310" s="229">
        <v>33.0</v>
      </c>
      <c r="F4310" s="230">
        <v>3.0</v>
      </c>
      <c r="G4310" s="232"/>
    </row>
    <row r="4311">
      <c r="A4311" s="2"/>
      <c r="B4311" s="168" t="s">
        <v>217</v>
      </c>
      <c r="C4311" s="168" t="s">
        <v>4563</v>
      </c>
      <c r="D4311" s="229">
        <v>27.5</v>
      </c>
      <c r="E4311" s="229">
        <v>31.0</v>
      </c>
      <c r="F4311" s="230">
        <v>3.0</v>
      </c>
      <c r="G4311" s="232"/>
    </row>
    <row r="4312">
      <c r="A4312" s="2"/>
      <c r="B4312" s="168" t="s">
        <v>275</v>
      </c>
      <c r="C4312" s="168" t="s">
        <v>4564</v>
      </c>
      <c r="D4312" s="229">
        <v>26.5</v>
      </c>
      <c r="E4312" s="229">
        <v>30.0</v>
      </c>
      <c r="F4312" s="230">
        <v>3.0</v>
      </c>
      <c r="G4312" s="232"/>
    </row>
    <row r="4313">
      <c r="A4313" s="2"/>
      <c r="B4313" s="168" t="s">
        <v>296</v>
      </c>
      <c r="C4313" s="168" t="s">
        <v>4565</v>
      </c>
      <c r="D4313" s="229">
        <v>26.5</v>
      </c>
      <c r="E4313" s="229">
        <v>30.0</v>
      </c>
      <c r="F4313" s="230">
        <v>3.0</v>
      </c>
      <c r="G4313" s="232"/>
    </row>
    <row r="4314">
      <c r="A4314" s="2"/>
      <c r="B4314" s="168" t="s">
        <v>337</v>
      </c>
      <c r="C4314" s="168" t="s">
        <v>4566</v>
      </c>
      <c r="D4314" s="229">
        <v>20.5</v>
      </c>
      <c r="E4314" s="229">
        <v>24.0</v>
      </c>
      <c r="F4314" s="230">
        <v>3.0</v>
      </c>
      <c r="G4314" s="232"/>
    </row>
    <row r="4315">
      <c r="A4315" s="2"/>
      <c r="B4315" s="168" t="s">
        <v>368</v>
      </c>
      <c r="C4315" s="168" t="s">
        <v>4567</v>
      </c>
      <c r="D4315" s="229">
        <v>32.5</v>
      </c>
      <c r="E4315" s="229">
        <v>36.0</v>
      </c>
      <c r="F4315" s="230">
        <v>3.0</v>
      </c>
      <c r="G4315" s="232"/>
    </row>
    <row r="4316">
      <c r="A4316" s="2"/>
      <c r="B4316" s="168" t="s">
        <v>217</v>
      </c>
      <c r="C4316" s="168" t="s">
        <v>4568</v>
      </c>
      <c r="D4316" s="229">
        <v>27.5</v>
      </c>
      <c r="E4316" s="229">
        <v>31.0</v>
      </c>
      <c r="F4316" s="230">
        <v>3.0</v>
      </c>
      <c r="G4316" s="232"/>
    </row>
    <row r="4317">
      <c r="A4317" s="2"/>
      <c r="B4317" s="168" t="s">
        <v>241</v>
      </c>
      <c r="C4317" s="168" t="s">
        <v>4569</v>
      </c>
      <c r="D4317" s="229">
        <v>32.5</v>
      </c>
      <c r="E4317" s="229">
        <v>36.0</v>
      </c>
      <c r="F4317" s="230">
        <v>3.0</v>
      </c>
      <c r="G4317" s="232"/>
    </row>
    <row r="4318">
      <c r="A4318" s="2"/>
      <c r="B4318" s="168" t="s">
        <v>247</v>
      </c>
      <c r="C4318" s="168" t="s">
        <v>4570</v>
      </c>
      <c r="D4318" s="229">
        <v>29.5</v>
      </c>
      <c r="E4318" s="229">
        <v>33.0</v>
      </c>
      <c r="F4318" s="230">
        <v>3.0</v>
      </c>
      <c r="G4318" s="232"/>
    </row>
    <row r="4319">
      <c r="A4319" s="2"/>
      <c r="B4319" s="168" t="s">
        <v>1329</v>
      </c>
      <c r="C4319" s="168" t="s">
        <v>4571</v>
      </c>
      <c r="D4319" s="229">
        <v>26.5</v>
      </c>
      <c r="E4319" s="229">
        <v>30.0</v>
      </c>
      <c r="F4319" s="230">
        <v>3.0</v>
      </c>
      <c r="G4319" s="232"/>
    </row>
    <row r="4320">
      <c r="A4320" s="2"/>
      <c r="B4320" s="168" t="s">
        <v>341</v>
      </c>
      <c r="C4320" s="168" t="s">
        <v>4572</v>
      </c>
      <c r="D4320" s="229">
        <v>24.5</v>
      </c>
      <c r="E4320" s="229">
        <v>24.5</v>
      </c>
      <c r="F4320" s="230">
        <v>3.0</v>
      </c>
      <c r="G4320" s="232"/>
    </row>
    <row r="4321">
      <c r="A4321" s="2"/>
      <c r="B4321" s="168" t="s">
        <v>332</v>
      </c>
      <c r="C4321" s="168" t="s">
        <v>4573</v>
      </c>
      <c r="D4321" s="229">
        <v>23.5</v>
      </c>
      <c r="E4321" s="229">
        <v>27.0</v>
      </c>
      <c r="F4321" s="230">
        <v>3.0</v>
      </c>
      <c r="G4321" s="232"/>
    </row>
    <row r="4322">
      <c r="A4322" s="2"/>
      <c r="B4322" s="168" t="s">
        <v>381</v>
      </c>
      <c r="C4322" s="168" t="s">
        <v>4574</v>
      </c>
      <c r="D4322" s="229">
        <v>28.5</v>
      </c>
      <c r="E4322" s="229">
        <v>32.0</v>
      </c>
      <c r="F4322" s="230">
        <v>3.0</v>
      </c>
      <c r="G4322" s="232"/>
    </row>
    <row r="4323">
      <c r="A4323" s="2"/>
      <c r="B4323" s="168" t="s">
        <v>262</v>
      </c>
      <c r="C4323" s="168" t="s">
        <v>4575</v>
      </c>
      <c r="D4323" s="229">
        <v>29.5</v>
      </c>
      <c r="E4323" s="229">
        <v>33.0</v>
      </c>
      <c r="F4323" s="230">
        <v>3.0</v>
      </c>
      <c r="G4323" s="232"/>
    </row>
    <row r="4324">
      <c r="A4324" s="2"/>
      <c r="B4324" s="168" t="s">
        <v>288</v>
      </c>
      <c r="C4324" s="168" t="s">
        <v>4576</v>
      </c>
      <c r="D4324" s="229">
        <v>21.5</v>
      </c>
      <c r="E4324" s="229">
        <v>25.0</v>
      </c>
      <c r="F4324" s="230">
        <v>3.0</v>
      </c>
      <c r="G4324" s="232"/>
    </row>
    <row r="4325">
      <c r="A4325" s="2"/>
      <c r="B4325" s="168" t="s">
        <v>273</v>
      </c>
      <c r="C4325" s="168" t="s">
        <v>4577</v>
      </c>
      <c r="D4325" s="229">
        <v>29.5</v>
      </c>
      <c r="E4325" s="229">
        <v>33.0</v>
      </c>
      <c r="F4325" s="230">
        <v>3.0</v>
      </c>
      <c r="G4325" s="232"/>
    </row>
    <row r="4326">
      <c r="A4326" s="2"/>
      <c r="B4326" s="168" t="s">
        <v>241</v>
      </c>
      <c r="C4326" s="168" t="s">
        <v>4578</v>
      </c>
      <c r="D4326" s="229">
        <v>32.5</v>
      </c>
      <c r="E4326" s="229">
        <v>36.0</v>
      </c>
      <c r="F4326" s="230">
        <v>3.0</v>
      </c>
      <c r="G4326" s="232"/>
    </row>
    <row r="4327">
      <c r="A4327" s="2"/>
      <c r="B4327" s="168" t="s">
        <v>332</v>
      </c>
      <c r="C4327" s="168" t="s">
        <v>4579</v>
      </c>
      <c r="D4327" s="229">
        <v>28.5</v>
      </c>
      <c r="E4327" s="229">
        <v>32.0</v>
      </c>
      <c r="F4327" s="230">
        <v>3.0</v>
      </c>
      <c r="G4327" s="232"/>
    </row>
    <row r="4328">
      <c r="A4328" s="2"/>
      <c r="B4328" s="168" t="s">
        <v>217</v>
      </c>
      <c r="C4328" s="168" t="s">
        <v>4580</v>
      </c>
      <c r="D4328" s="229">
        <v>27.5</v>
      </c>
      <c r="E4328" s="229">
        <v>31.0</v>
      </c>
      <c r="F4328" s="230">
        <v>3.0</v>
      </c>
      <c r="G4328" s="232"/>
    </row>
    <row r="4329">
      <c r="A4329" s="2"/>
      <c r="B4329" s="168" t="s">
        <v>241</v>
      </c>
      <c r="C4329" s="168" t="s">
        <v>4581</v>
      </c>
      <c r="D4329" s="229">
        <v>27.5</v>
      </c>
      <c r="E4329" s="229">
        <v>31.0</v>
      </c>
      <c r="F4329" s="230">
        <v>3.0</v>
      </c>
      <c r="G4329" s="232"/>
    </row>
    <row r="4330">
      <c r="A4330" s="2"/>
      <c r="B4330" s="168" t="s">
        <v>236</v>
      </c>
      <c r="C4330" s="168" t="s">
        <v>4582</v>
      </c>
      <c r="D4330" s="229">
        <v>34.5</v>
      </c>
      <c r="E4330" s="229">
        <v>38.0</v>
      </c>
      <c r="F4330" s="230">
        <v>3.0</v>
      </c>
      <c r="G4330" s="232"/>
    </row>
    <row r="4331">
      <c r="A4331" s="2"/>
      <c r="B4331" s="168" t="s">
        <v>381</v>
      </c>
      <c r="C4331" s="168" t="s">
        <v>4583</v>
      </c>
      <c r="D4331" s="229">
        <v>28.5</v>
      </c>
      <c r="E4331" s="229">
        <v>32.0</v>
      </c>
      <c r="F4331" s="230">
        <v>3.0</v>
      </c>
      <c r="G4331" s="232"/>
    </row>
    <row r="4332">
      <c r="A4332" s="2"/>
      <c r="B4332" s="168" t="s">
        <v>449</v>
      </c>
      <c r="C4332" s="168" t="s">
        <v>4584</v>
      </c>
      <c r="D4332" s="229">
        <v>28.5</v>
      </c>
      <c r="E4332" s="229">
        <v>32.0</v>
      </c>
      <c r="F4332" s="230">
        <v>3.0</v>
      </c>
      <c r="G4332" s="232"/>
    </row>
    <row r="4333">
      <c r="A4333" s="2"/>
      <c r="B4333" s="168" t="s">
        <v>241</v>
      </c>
      <c r="C4333" s="168" t="s">
        <v>4585</v>
      </c>
      <c r="D4333" s="229">
        <v>32.5</v>
      </c>
      <c r="E4333" s="229">
        <v>36.0</v>
      </c>
      <c r="F4333" s="230">
        <v>3.0</v>
      </c>
      <c r="G4333" s="232"/>
    </row>
    <row r="4334">
      <c r="A4334" s="2"/>
      <c r="B4334" s="168" t="s">
        <v>234</v>
      </c>
      <c r="C4334" s="168" t="s">
        <v>4586</v>
      </c>
      <c r="D4334" s="229">
        <v>29.5</v>
      </c>
      <c r="E4334" s="229">
        <v>33.0</v>
      </c>
      <c r="F4334" s="230">
        <v>3.0</v>
      </c>
      <c r="G4334" s="232"/>
    </row>
    <row r="4335">
      <c r="A4335" s="2"/>
      <c r="B4335" s="168" t="s">
        <v>337</v>
      </c>
      <c r="C4335" s="168" t="s">
        <v>4587</v>
      </c>
      <c r="D4335" s="229">
        <v>28.5</v>
      </c>
      <c r="E4335" s="229">
        <v>32.0</v>
      </c>
      <c r="F4335" s="230">
        <v>3.0</v>
      </c>
      <c r="G4335" s="232"/>
    </row>
    <row r="4336">
      <c r="A4336" s="2"/>
      <c r="B4336" s="168" t="s">
        <v>215</v>
      </c>
      <c r="C4336" s="168" t="s">
        <v>4588</v>
      </c>
      <c r="D4336" s="229">
        <v>27.5</v>
      </c>
      <c r="E4336" s="229">
        <v>31.0</v>
      </c>
      <c r="F4336" s="230">
        <v>3.0</v>
      </c>
      <c r="G4336" s="232"/>
    </row>
    <row r="4337">
      <c r="A4337" s="2"/>
      <c r="B4337" s="168" t="s">
        <v>230</v>
      </c>
      <c r="C4337" s="168" t="s">
        <v>4589</v>
      </c>
      <c r="D4337" s="229">
        <v>16.5</v>
      </c>
      <c r="E4337" s="229">
        <v>20.0</v>
      </c>
      <c r="F4337" s="230">
        <v>3.0</v>
      </c>
      <c r="G4337" s="232"/>
    </row>
    <row r="4338">
      <c r="A4338" s="2"/>
      <c r="B4338" s="168" t="s">
        <v>449</v>
      </c>
      <c r="C4338" s="168" t="s">
        <v>4590</v>
      </c>
      <c r="D4338" s="229">
        <v>28.5</v>
      </c>
      <c r="E4338" s="229">
        <v>32.0</v>
      </c>
      <c r="F4338" s="230">
        <v>3.0</v>
      </c>
      <c r="G4338" s="232"/>
    </row>
    <row r="4339">
      <c r="A4339" s="2"/>
      <c r="B4339" s="168" t="s">
        <v>217</v>
      </c>
      <c r="C4339" s="168" t="s">
        <v>4591</v>
      </c>
      <c r="D4339" s="229">
        <v>27.5</v>
      </c>
      <c r="E4339" s="229">
        <v>31.0</v>
      </c>
      <c r="F4339" s="230">
        <v>3.0</v>
      </c>
      <c r="G4339" s="232"/>
    </row>
    <row r="4340">
      <c r="A4340" s="2"/>
      <c r="B4340" s="168" t="s">
        <v>288</v>
      </c>
      <c r="C4340" s="168" t="s">
        <v>4592</v>
      </c>
      <c r="D4340" s="229">
        <v>16.5</v>
      </c>
      <c r="E4340" s="229">
        <v>20.0</v>
      </c>
      <c r="F4340" s="230">
        <v>3.0</v>
      </c>
      <c r="G4340" s="232"/>
    </row>
    <row r="4341">
      <c r="A4341" s="2"/>
      <c r="B4341" s="168" t="s">
        <v>257</v>
      </c>
      <c r="C4341" s="168" t="s">
        <v>197</v>
      </c>
      <c r="D4341" s="229">
        <v>28.5</v>
      </c>
      <c r="E4341" s="229">
        <v>32.0</v>
      </c>
      <c r="F4341" s="230">
        <v>3.0</v>
      </c>
      <c r="G4341" s="232"/>
    </row>
    <row r="4342">
      <c r="A4342" s="2"/>
      <c r="B4342" s="168" t="s">
        <v>290</v>
      </c>
      <c r="C4342" s="168" t="s">
        <v>4593</v>
      </c>
      <c r="D4342" s="229">
        <v>29.0</v>
      </c>
      <c r="E4342" s="229">
        <v>32.5</v>
      </c>
      <c r="F4342" s="230">
        <v>3.0</v>
      </c>
      <c r="G4342" s="232"/>
    </row>
    <row r="4343">
      <c r="A4343" s="2"/>
      <c r="B4343" s="168" t="s">
        <v>269</v>
      </c>
      <c r="C4343" s="168" t="s">
        <v>4594</v>
      </c>
      <c r="D4343" s="229">
        <v>26.5</v>
      </c>
      <c r="E4343" s="229">
        <v>30.0</v>
      </c>
      <c r="F4343" s="230">
        <v>3.0</v>
      </c>
      <c r="G4343" s="232"/>
    </row>
    <row r="4344">
      <c r="A4344" s="2"/>
      <c r="B4344" s="168" t="s">
        <v>230</v>
      </c>
      <c r="C4344" s="168" t="s">
        <v>4595</v>
      </c>
      <c r="D4344" s="229">
        <v>16.5</v>
      </c>
      <c r="E4344" s="229">
        <v>20.0</v>
      </c>
      <c r="F4344" s="230">
        <v>3.0</v>
      </c>
      <c r="G4344" s="232"/>
    </row>
    <row r="4345">
      <c r="A4345" s="2"/>
      <c r="B4345" s="168" t="s">
        <v>328</v>
      </c>
      <c r="C4345" s="168" t="s">
        <v>4596</v>
      </c>
      <c r="D4345" s="229">
        <v>34.5</v>
      </c>
      <c r="E4345" s="229">
        <v>38.0</v>
      </c>
      <c r="F4345" s="230">
        <v>3.0</v>
      </c>
      <c r="G4345" s="232"/>
    </row>
    <row r="4346">
      <c r="A4346" s="2"/>
      <c r="B4346" s="168" t="s">
        <v>337</v>
      </c>
      <c r="C4346" s="168" t="s">
        <v>4597</v>
      </c>
      <c r="D4346" s="229">
        <v>28.5</v>
      </c>
      <c r="E4346" s="229">
        <v>32.0</v>
      </c>
      <c r="F4346" s="230">
        <v>3.0</v>
      </c>
      <c r="G4346" s="232"/>
    </row>
    <row r="4347">
      <c r="A4347" s="2"/>
      <c r="B4347" s="168" t="s">
        <v>223</v>
      </c>
      <c r="C4347" s="168" t="s">
        <v>4598</v>
      </c>
      <c r="D4347" s="229">
        <v>21.5</v>
      </c>
      <c r="E4347" s="229">
        <v>25.0</v>
      </c>
      <c r="F4347" s="230">
        <v>3.0</v>
      </c>
      <c r="G4347" s="232"/>
    </row>
    <row r="4348">
      <c r="A4348" s="2"/>
      <c r="B4348" s="168" t="s">
        <v>221</v>
      </c>
      <c r="C4348" s="168" t="s">
        <v>4599</v>
      </c>
      <c r="D4348" s="229">
        <v>27.5</v>
      </c>
      <c r="E4348" s="229">
        <v>31.0</v>
      </c>
      <c r="F4348" s="230">
        <v>3.0</v>
      </c>
      <c r="G4348" s="232"/>
    </row>
    <row r="4349">
      <c r="A4349" s="2"/>
      <c r="B4349" s="168" t="s">
        <v>310</v>
      </c>
      <c r="C4349" s="168" t="s">
        <v>4600</v>
      </c>
      <c r="D4349" s="229">
        <v>34.5</v>
      </c>
      <c r="E4349" s="229">
        <v>38.0</v>
      </c>
      <c r="F4349" s="230">
        <v>3.0</v>
      </c>
      <c r="G4349" s="232"/>
    </row>
    <row r="4350">
      <c r="A4350" s="2"/>
      <c r="B4350" s="168" t="s">
        <v>221</v>
      </c>
      <c r="C4350" s="168" t="s">
        <v>4601</v>
      </c>
      <c r="D4350" s="229">
        <v>27.5</v>
      </c>
      <c r="E4350" s="229">
        <v>31.0</v>
      </c>
      <c r="F4350" s="230">
        <v>3.0</v>
      </c>
      <c r="G4350" s="232"/>
    </row>
    <row r="4351">
      <c r="A4351" s="2"/>
      <c r="B4351" s="168" t="s">
        <v>427</v>
      </c>
      <c r="C4351" s="168" t="s">
        <v>4602</v>
      </c>
      <c r="D4351" s="229">
        <v>26.5</v>
      </c>
      <c r="E4351" s="229">
        <v>30.0</v>
      </c>
      <c r="F4351" s="230">
        <v>3.0</v>
      </c>
      <c r="G4351" s="232"/>
    </row>
    <row r="4352">
      <c r="A4352" s="2"/>
      <c r="B4352" s="168" t="s">
        <v>1589</v>
      </c>
      <c r="C4352" s="168" t="s">
        <v>4603</v>
      </c>
      <c r="D4352" s="229">
        <v>19.5</v>
      </c>
      <c r="E4352" s="229">
        <v>19.5</v>
      </c>
      <c r="F4352" s="230">
        <v>3.0</v>
      </c>
      <c r="G4352" s="232"/>
    </row>
    <row r="4353">
      <c r="A4353" s="2"/>
      <c r="B4353" s="168" t="s">
        <v>221</v>
      </c>
      <c r="C4353" s="168" t="s">
        <v>4604</v>
      </c>
      <c r="D4353" s="229">
        <v>27.5</v>
      </c>
      <c r="E4353" s="229">
        <v>31.0</v>
      </c>
      <c r="F4353" s="230">
        <v>3.0</v>
      </c>
      <c r="G4353" s="232"/>
    </row>
    <row r="4354">
      <c r="A4354" s="2"/>
      <c r="B4354" s="168" t="s">
        <v>288</v>
      </c>
      <c r="C4354" s="168" t="s">
        <v>4605</v>
      </c>
      <c r="D4354" s="229">
        <v>21.5</v>
      </c>
      <c r="E4354" s="229">
        <v>25.0</v>
      </c>
      <c r="F4354" s="230">
        <v>3.0</v>
      </c>
      <c r="G4354" s="232"/>
    </row>
    <row r="4355">
      <c r="A4355" s="2"/>
      <c r="B4355" s="168" t="s">
        <v>335</v>
      </c>
      <c r="C4355" s="168" t="s">
        <v>4606</v>
      </c>
      <c r="D4355" s="229">
        <v>34.5</v>
      </c>
      <c r="E4355" s="229">
        <v>38.0</v>
      </c>
      <c r="F4355" s="230">
        <v>3.0</v>
      </c>
      <c r="G4355" s="232"/>
    </row>
    <row r="4356">
      <c r="A4356" s="2"/>
      <c r="B4356" s="168" t="s">
        <v>330</v>
      </c>
      <c r="C4356" s="168" t="s">
        <v>4607</v>
      </c>
      <c r="D4356" s="229">
        <v>24.5</v>
      </c>
      <c r="E4356" s="229">
        <v>28.0</v>
      </c>
      <c r="F4356" s="230">
        <v>3.0</v>
      </c>
      <c r="G4356" s="232"/>
    </row>
    <row r="4357">
      <c r="A4357" s="2"/>
      <c r="B4357" s="168" t="s">
        <v>230</v>
      </c>
      <c r="C4357" s="168" t="s">
        <v>4608</v>
      </c>
      <c r="D4357" s="229">
        <v>16.5</v>
      </c>
      <c r="E4357" s="229">
        <v>20.0</v>
      </c>
      <c r="F4357" s="230">
        <v>3.0</v>
      </c>
      <c r="G4357" s="232"/>
    </row>
    <row r="4358">
      <c r="A4358" s="2"/>
      <c r="B4358" s="168" t="s">
        <v>830</v>
      </c>
      <c r="C4358" s="168" t="s">
        <v>4609</v>
      </c>
      <c r="D4358" s="229">
        <v>24.5</v>
      </c>
      <c r="E4358" s="229">
        <v>28.0</v>
      </c>
      <c r="F4358" s="230">
        <v>3.0</v>
      </c>
      <c r="G4358" s="232"/>
    </row>
    <row r="4359">
      <c r="A4359" s="2"/>
      <c r="B4359" s="168" t="s">
        <v>221</v>
      </c>
      <c r="C4359" s="168" t="s">
        <v>4610</v>
      </c>
      <c r="D4359" s="229">
        <v>27.5</v>
      </c>
      <c r="E4359" s="229">
        <v>31.0</v>
      </c>
      <c r="F4359" s="230">
        <v>3.0</v>
      </c>
      <c r="G4359" s="232"/>
    </row>
    <row r="4360">
      <c r="A4360" s="2"/>
      <c r="B4360" s="168" t="s">
        <v>271</v>
      </c>
      <c r="C4360" s="168" t="s">
        <v>4611</v>
      </c>
      <c r="D4360" s="229">
        <v>30.5</v>
      </c>
      <c r="E4360" s="229">
        <v>34.0</v>
      </c>
      <c r="F4360" s="230">
        <v>3.0</v>
      </c>
      <c r="G4360" s="232"/>
    </row>
    <row r="4361">
      <c r="A4361" s="2"/>
      <c r="B4361" s="168" t="s">
        <v>565</v>
      </c>
      <c r="C4361" s="168" t="s">
        <v>4612</v>
      </c>
      <c r="D4361" s="229">
        <v>24.5</v>
      </c>
      <c r="E4361" s="229">
        <v>28.0</v>
      </c>
      <c r="F4361" s="230">
        <v>3.0</v>
      </c>
      <c r="G4361" s="232"/>
    </row>
    <row r="4362">
      <c r="A4362" s="2"/>
      <c r="B4362" s="168" t="s">
        <v>269</v>
      </c>
      <c r="C4362" s="168" t="s">
        <v>4613</v>
      </c>
      <c r="D4362" s="229">
        <v>26.5</v>
      </c>
      <c r="E4362" s="229">
        <v>30.0</v>
      </c>
      <c r="F4362" s="230">
        <v>3.0</v>
      </c>
      <c r="G4362" s="232"/>
    </row>
    <row r="4363">
      <c r="A4363" s="2"/>
      <c r="B4363" s="168" t="s">
        <v>228</v>
      </c>
      <c r="C4363" s="168" t="s">
        <v>4614</v>
      </c>
      <c r="D4363" s="229">
        <v>26.5</v>
      </c>
      <c r="E4363" s="229">
        <v>26.5</v>
      </c>
      <c r="F4363" s="230">
        <v>3.0</v>
      </c>
      <c r="G4363" s="232"/>
    </row>
    <row r="4364">
      <c r="A4364" s="2"/>
      <c r="B4364" s="168" t="s">
        <v>232</v>
      </c>
      <c r="C4364" s="168" t="s">
        <v>4615</v>
      </c>
      <c r="D4364" s="229">
        <v>26.5</v>
      </c>
      <c r="E4364" s="229">
        <v>30.0</v>
      </c>
      <c r="F4364" s="230">
        <v>3.0</v>
      </c>
      <c r="G4364" s="232"/>
    </row>
    <row r="4365">
      <c r="A4365" s="2"/>
      <c r="B4365" s="168" t="s">
        <v>296</v>
      </c>
      <c r="C4365" s="168" t="s">
        <v>4616</v>
      </c>
      <c r="D4365" s="229">
        <v>26.5</v>
      </c>
      <c r="E4365" s="229">
        <v>30.0</v>
      </c>
      <c r="F4365" s="230">
        <v>3.0</v>
      </c>
      <c r="G4365" s="232"/>
    </row>
    <row r="4366">
      <c r="A4366" s="2"/>
      <c r="B4366" s="168" t="s">
        <v>255</v>
      </c>
      <c r="C4366" s="168" t="s">
        <v>4617</v>
      </c>
      <c r="D4366" s="229">
        <v>31.5</v>
      </c>
      <c r="E4366" s="229">
        <v>35.0</v>
      </c>
      <c r="F4366" s="230">
        <v>3.0</v>
      </c>
      <c r="G4366" s="232"/>
    </row>
    <row r="4367">
      <c r="A4367" s="2"/>
      <c r="B4367" s="168" t="s">
        <v>535</v>
      </c>
      <c r="C4367" s="168" t="s">
        <v>4618</v>
      </c>
      <c r="D4367" s="229">
        <v>26.5</v>
      </c>
      <c r="E4367" s="229">
        <v>30.0</v>
      </c>
      <c r="F4367" s="230">
        <v>3.0</v>
      </c>
      <c r="G4367" s="232"/>
    </row>
    <row r="4368">
      <c r="A4368" s="2"/>
      <c r="B4368" s="168" t="s">
        <v>377</v>
      </c>
      <c r="C4368" s="168" t="s">
        <v>4619</v>
      </c>
      <c r="D4368" s="229">
        <v>29.5</v>
      </c>
      <c r="E4368" s="229">
        <v>33.0</v>
      </c>
      <c r="F4368" s="230">
        <v>3.0</v>
      </c>
      <c r="G4368" s="232"/>
    </row>
    <row r="4369">
      <c r="A4369" s="2"/>
      <c r="B4369" s="168" t="s">
        <v>241</v>
      </c>
      <c r="C4369" s="168" t="s">
        <v>4620</v>
      </c>
      <c r="D4369" s="229">
        <v>32.0</v>
      </c>
      <c r="E4369" s="229">
        <v>35.5</v>
      </c>
      <c r="F4369" s="230">
        <v>3.0</v>
      </c>
      <c r="G4369" s="232"/>
    </row>
    <row r="4370">
      <c r="A4370" s="2"/>
      <c r="B4370" s="168" t="s">
        <v>217</v>
      </c>
      <c r="C4370" s="168" t="s">
        <v>4621</v>
      </c>
      <c r="D4370" s="229">
        <v>27.5</v>
      </c>
      <c r="E4370" s="229">
        <v>31.0</v>
      </c>
      <c r="F4370" s="230">
        <v>3.0</v>
      </c>
      <c r="G4370" s="232"/>
    </row>
    <row r="4371">
      <c r="A4371" s="2"/>
      <c r="B4371" s="168" t="s">
        <v>288</v>
      </c>
      <c r="C4371" s="168" t="s">
        <v>4622</v>
      </c>
      <c r="D4371" s="229">
        <v>21.5</v>
      </c>
      <c r="E4371" s="229">
        <v>25.0</v>
      </c>
      <c r="F4371" s="230">
        <v>3.0</v>
      </c>
      <c r="G4371" s="232"/>
    </row>
    <row r="4372">
      <c r="A4372" s="2"/>
      <c r="B4372" s="168" t="s">
        <v>328</v>
      </c>
      <c r="C4372" s="168" t="s">
        <v>4623</v>
      </c>
      <c r="D4372" s="229">
        <v>34.5</v>
      </c>
      <c r="E4372" s="229">
        <v>38.0</v>
      </c>
      <c r="F4372" s="230">
        <v>3.0</v>
      </c>
      <c r="G4372" s="232"/>
    </row>
    <row r="4373">
      <c r="A4373" s="2"/>
      <c r="B4373" s="168" t="s">
        <v>217</v>
      </c>
      <c r="C4373" s="168" t="s">
        <v>4624</v>
      </c>
      <c r="D4373" s="229">
        <v>27.5</v>
      </c>
      <c r="E4373" s="229">
        <v>31.0</v>
      </c>
      <c r="F4373" s="230">
        <v>3.0</v>
      </c>
      <c r="G4373" s="232"/>
    </row>
    <row r="4374">
      <c r="A4374" s="2"/>
      <c r="B4374" s="168" t="s">
        <v>219</v>
      </c>
      <c r="C4374" s="168" t="s">
        <v>4625</v>
      </c>
      <c r="D4374" s="229">
        <v>25.5</v>
      </c>
      <c r="E4374" s="229">
        <v>29.0</v>
      </c>
      <c r="F4374" s="230">
        <v>3.0</v>
      </c>
      <c r="G4374" s="232"/>
    </row>
    <row r="4375">
      <c r="A4375" s="2"/>
      <c r="B4375" s="168" t="s">
        <v>230</v>
      </c>
      <c r="C4375" s="168" t="s">
        <v>4626</v>
      </c>
      <c r="D4375" s="229">
        <v>21.5</v>
      </c>
      <c r="E4375" s="229">
        <v>25.0</v>
      </c>
      <c r="F4375" s="230">
        <v>3.0</v>
      </c>
      <c r="G4375" s="232"/>
    </row>
    <row r="4376">
      <c r="A4376" s="2"/>
      <c r="B4376" s="168" t="s">
        <v>348</v>
      </c>
      <c r="C4376" s="168" t="s">
        <v>4627</v>
      </c>
      <c r="D4376" s="229">
        <v>21.5</v>
      </c>
      <c r="E4376" s="229">
        <v>25.0</v>
      </c>
      <c r="F4376" s="230">
        <v>3.0</v>
      </c>
      <c r="G4376" s="232"/>
    </row>
    <row r="4377">
      <c r="A4377" s="2"/>
      <c r="B4377" s="168" t="s">
        <v>273</v>
      </c>
      <c r="C4377" s="168" t="s">
        <v>4628</v>
      </c>
      <c r="D4377" s="229">
        <v>29.5</v>
      </c>
      <c r="E4377" s="229">
        <v>33.0</v>
      </c>
      <c r="F4377" s="230">
        <v>3.0</v>
      </c>
      <c r="G4377" s="232"/>
    </row>
    <row r="4378">
      <c r="A4378" s="2"/>
      <c r="B4378" s="168" t="s">
        <v>285</v>
      </c>
      <c r="C4378" s="168" t="s">
        <v>4629</v>
      </c>
      <c r="D4378" s="229">
        <v>24.5</v>
      </c>
      <c r="E4378" s="229">
        <v>28.0</v>
      </c>
      <c r="F4378" s="230">
        <v>3.0</v>
      </c>
      <c r="G4378" s="232"/>
    </row>
    <row r="4379">
      <c r="A4379" s="2"/>
      <c r="B4379" s="168" t="s">
        <v>290</v>
      </c>
      <c r="C4379" s="168" t="s">
        <v>4630</v>
      </c>
      <c r="D4379" s="229">
        <v>29.5</v>
      </c>
      <c r="E4379" s="229">
        <v>33.0</v>
      </c>
      <c r="F4379" s="230">
        <v>3.0</v>
      </c>
      <c r="G4379" s="232"/>
    </row>
    <row r="4380">
      <c r="A4380" s="2"/>
      <c r="B4380" s="168" t="s">
        <v>446</v>
      </c>
      <c r="C4380" s="168" t="s">
        <v>4631</v>
      </c>
      <c r="D4380" s="229">
        <v>9.5</v>
      </c>
      <c r="E4380" s="229">
        <v>9.5</v>
      </c>
      <c r="F4380" s="230">
        <v>3.0</v>
      </c>
      <c r="G4380" s="232"/>
    </row>
    <row r="4381">
      <c r="A4381" s="2"/>
      <c r="B4381" s="168" t="s">
        <v>337</v>
      </c>
      <c r="C4381" s="168" t="s">
        <v>4632</v>
      </c>
      <c r="D4381" s="229">
        <v>28.5</v>
      </c>
      <c r="E4381" s="229">
        <v>32.0</v>
      </c>
      <c r="F4381" s="230">
        <v>3.0</v>
      </c>
      <c r="G4381" s="232"/>
    </row>
    <row r="4382">
      <c r="A4382" s="2"/>
      <c r="B4382" s="168" t="s">
        <v>247</v>
      </c>
      <c r="C4382" s="168" t="s">
        <v>4633</v>
      </c>
      <c r="D4382" s="229">
        <v>29.5</v>
      </c>
      <c r="E4382" s="229">
        <v>33.0</v>
      </c>
      <c r="F4382" s="230">
        <v>3.0</v>
      </c>
      <c r="G4382" s="232"/>
    </row>
    <row r="4383">
      <c r="A4383" s="2"/>
      <c r="B4383" s="168" t="s">
        <v>296</v>
      </c>
      <c r="C4383" s="168" t="s">
        <v>4634</v>
      </c>
      <c r="D4383" s="229">
        <v>26.5</v>
      </c>
      <c r="E4383" s="229">
        <v>30.0</v>
      </c>
      <c r="F4383" s="230">
        <v>3.0</v>
      </c>
      <c r="G4383" s="232"/>
    </row>
    <row r="4384">
      <c r="A4384" s="2"/>
      <c r="B4384" s="168" t="s">
        <v>230</v>
      </c>
      <c r="C4384" s="168" t="s">
        <v>4635</v>
      </c>
      <c r="D4384" s="229">
        <v>21.5</v>
      </c>
      <c r="E4384" s="229">
        <v>25.0</v>
      </c>
      <c r="F4384" s="230">
        <v>3.0</v>
      </c>
      <c r="G4384" s="232"/>
    </row>
    <row r="4385">
      <c r="A4385" s="2"/>
      <c r="B4385" s="168" t="s">
        <v>1329</v>
      </c>
      <c r="C4385" s="168" t="s">
        <v>4636</v>
      </c>
      <c r="D4385" s="229">
        <v>26.5</v>
      </c>
      <c r="E4385" s="229">
        <v>30.0</v>
      </c>
      <c r="F4385" s="230">
        <v>3.0</v>
      </c>
      <c r="G4385" s="232"/>
    </row>
    <row r="4386">
      <c r="A4386" s="2"/>
      <c r="B4386" s="168" t="s">
        <v>388</v>
      </c>
      <c r="C4386" s="168" t="s">
        <v>4637</v>
      </c>
      <c r="D4386" s="229">
        <v>17.5</v>
      </c>
      <c r="E4386" s="229">
        <v>21.0</v>
      </c>
      <c r="F4386" s="230">
        <v>3.0</v>
      </c>
      <c r="G4386" s="232"/>
    </row>
    <row r="4387">
      <c r="A4387" s="2"/>
      <c r="B4387" s="168" t="s">
        <v>215</v>
      </c>
      <c r="C4387" s="168" t="s">
        <v>215</v>
      </c>
      <c r="D4387" s="229">
        <v>29.5</v>
      </c>
      <c r="E4387" s="229">
        <v>33.0</v>
      </c>
      <c r="F4387" s="230">
        <v>3.0</v>
      </c>
      <c r="G4387" s="232"/>
    </row>
    <row r="4388">
      <c r="A4388" s="2"/>
      <c r="B4388" s="168" t="s">
        <v>239</v>
      </c>
      <c r="C4388" s="168" t="s">
        <v>4638</v>
      </c>
      <c r="D4388" s="229">
        <v>29.5</v>
      </c>
      <c r="E4388" s="229">
        <v>33.0</v>
      </c>
      <c r="F4388" s="230">
        <v>3.0</v>
      </c>
      <c r="G4388" s="232"/>
    </row>
    <row r="4389">
      <c r="A4389" s="2"/>
      <c r="B4389" s="168" t="s">
        <v>290</v>
      </c>
      <c r="C4389" s="168" t="s">
        <v>4639</v>
      </c>
      <c r="D4389" s="229">
        <v>29.5</v>
      </c>
      <c r="E4389" s="229">
        <v>33.0</v>
      </c>
      <c r="F4389" s="230">
        <v>3.0</v>
      </c>
      <c r="G4389" s="232"/>
    </row>
    <row r="4390">
      <c r="A4390" s="2"/>
      <c r="B4390" s="168" t="s">
        <v>217</v>
      </c>
      <c r="C4390" s="168" t="s">
        <v>4640</v>
      </c>
      <c r="D4390" s="229">
        <v>27.5</v>
      </c>
      <c r="E4390" s="229">
        <v>31.0</v>
      </c>
      <c r="F4390" s="230">
        <v>3.0</v>
      </c>
      <c r="G4390" s="232"/>
    </row>
    <row r="4391">
      <c r="A4391" s="2"/>
      <c r="B4391" s="168" t="s">
        <v>217</v>
      </c>
      <c r="C4391" s="168" t="s">
        <v>4641</v>
      </c>
      <c r="D4391" s="229">
        <v>27.5</v>
      </c>
      <c r="E4391" s="229">
        <v>31.0</v>
      </c>
      <c r="F4391" s="230">
        <v>3.0</v>
      </c>
      <c r="G4391" s="232"/>
    </row>
    <row r="4392">
      <c r="A4392" s="2"/>
      <c r="B4392" s="168" t="s">
        <v>260</v>
      </c>
      <c r="C4392" s="168" t="s">
        <v>4642</v>
      </c>
      <c r="D4392" s="229">
        <v>28.5</v>
      </c>
      <c r="E4392" s="229">
        <v>32.0</v>
      </c>
      <c r="F4392" s="230">
        <v>3.0</v>
      </c>
      <c r="G4392" s="232"/>
    </row>
    <row r="4393">
      <c r="A4393" s="2"/>
      <c r="B4393" s="168" t="s">
        <v>245</v>
      </c>
      <c r="C4393" s="168" t="s">
        <v>4643</v>
      </c>
      <c r="D4393" s="229">
        <v>29.5</v>
      </c>
      <c r="E4393" s="229">
        <v>33.0</v>
      </c>
      <c r="F4393" s="230">
        <v>3.0</v>
      </c>
      <c r="G4393" s="232"/>
    </row>
    <row r="4394">
      <c r="A4394" s="2"/>
      <c r="B4394" s="168" t="s">
        <v>288</v>
      </c>
      <c r="C4394" s="168" t="s">
        <v>4644</v>
      </c>
      <c r="D4394" s="229">
        <v>21.5</v>
      </c>
      <c r="E4394" s="229">
        <v>25.0</v>
      </c>
      <c r="F4394" s="230">
        <v>3.0</v>
      </c>
      <c r="G4394" s="232"/>
    </row>
    <row r="4395">
      <c r="A4395" s="2"/>
      <c r="B4395" s="168" t="s">
        <v>290</v>
      </c>
      <c r="C4395" s="168" t="s">
        <v>4645</v>
      </c>
      <c r="D4395" s="229">
        <v>29.5</v>
      </c>
      <c r="E4395" s="229">
        <v>33.0</v>
      </c>
      <c r="F4395" s="230">
        <v>3.0</v>
      </c>
      <c r="G4395" s="232"/>
    </row>
    <row r="4396">
      <c r="A4396" s="2"/>
      <c r="B4396" s="168" t="s">
        <v>217</v>
      </c>
      <c r="C4396" s="168" t="s">
        <v>4646</v>
      </c>
      <c r="D4396" s="229">
        <v>27.5</v>
      </c>
      <c r="E4396" s="229">
        <v>31.0</v>
      </c>
      <c r="F4396" s="230">
        <v>3.0</v>
      </c>
      <c r="G4396" s="232"/>
    </row>
    <row r="4397">
      <c r="A4397" s="2"/>
      <c r="B4397" s="168" t="s">
        <v>257</v>
      </c>
      <c r="C4397" s="168" t="s">
        <v>4647</v>
      </c>
      <c r="D4397" s="229">
        <v>28.5</v>
      </c>
      <c r="E4397" s="229">
        <v>32.0</v>
      </c>
      <c r="F4397" s="230">
        <v>3.0</v>
      </c>
      <c r="G4397" s="232"/>
    </row>
    <row r="4398">
      <c r="A4398" s="2"/>
      <c r="B4398" s="168" t="s">
        <v>243</v>
      </c>
      <c r="C4398" s="168" t="s">
        <v>4648</v>
      </c>
      <c r="D4398" s="229">
        <v>29.5</v>
      </c>
      <c r="E4398" s="229">
        <v>33.0</v>
      </c>
      <c r="F4398" s="230">
        <v>3.0</v>
      </c>
      <c r="G4398" s="232"/>
    </row>
    <row r="4399">
      <c r="A4399" s="2"/>
      <c r="B4399" s="168" t="s">
        <v>302</v>
      </c>
      <c r="C4399" s="168" t="s">
        <v>4649</v>
      </c>
      <c r="D4399" s="229">
        <v>34.5</v>
      </c>
      <c r="E4399" s="229">
        <v>38.0</v>
      </c>
      <c r="F4399" s="230">
        <v>3.0</v>
      </c>
      <c r="G4399" s="232"/>
    </row>
    <row r="4400">
      <c r="A4400" s="2"/>
      <c r="B4400" s="168" t="s">
        <v>328</v>
      </c>
      <c r="C4400" s="168" t="s">
        <v>4650</v>
      </c>
      <c r="D4400" s="229">
        <v>34.5</v>
      </c>
      <c r="E4400" s="229">
        <v>38.0</v>
      </c>
      <c r="F4400" s="230">
        <v>3.0</v>
      </c>
      <c r="G4400" s="232"/>
    </row>
    <row r="4401">
      <c r="A4401" s="2"/>
      <c r="B4401" s="168" t="s">
        <v>337</v>
      </c>
      <c r="C4401" s="168" t="s">
        <v>4651</v>
      </c>
      <c r="D4401" s="229">
        <v>28.5</v>
      </c>
      <c r="E4401" s="229">
        <v>32.0</v>
      </c>
      <c r="F4401" s="230">
        <v>3.0</v>
      </c>
      <c r="G4401" s="232"/>
    </row>
    <row r="4402">
      <c r="A4402" s="2"/>
      <c r="B4402" s="168" t="s">
        <v>269</v>
      </c>
      <c r="C4402" s="168" t="s">
        <v>4652</v>
      </c>
      <c r="D4402" s="229">
        <v>26.5</v>
      </c>
      <c r="E4402" s="229">
        <v>30.0</v>
      </c>
      <c r="F4402" s="230">
        <v>3.0</v>
      </c>
      <c r="G4402" s="232"/>
    </row>
    <row r="4403">
      <c r="A4403" s="2"/>
      <c r="B4403" s="168" t="s">
        <v>217</v>
      </c>
      <c r="C4403" s="168" t="s">
        <v>4653</v>
      </c>
      <c r="D4403" s="229">
        <v>25.0</v>
      </c>
      <c r="E4403" s="229">
        <v>28.5</v>
      </c>
      <c r="F4403" s="230">
        <v>3.0</v>
      </c>
      <c r="G4403" s="232"/>
    </row>
    <row r="4404">
      <c r="A4404" s="2"/>
      <c r="B4404" s="168" t="s">
        <v>219</v>
      </c>
      <c r="C4404" s="168" t="s">
        <v>4654</v>
      </c>
      <c r="D4404" s="229">
        <v>3.0</v>
      </c>
      <c r="E4404" s="229">
        <v>3.0</v>
      </c>
      <c r="F4404" s="230">
        <v>3.0</v>
      </c>
      <c r="G4404" s="232"/>
    </row>
    <row r="4405">
      <c r="A4405" s="2"/>
      <c r="B4405" s="168" t="s">
        <v>430</v>
      </c>
      <c r="C4405" s="168" t="s">
        <v>4655</v>
      </c>
      <c r="D4405" s="229">
        <v>34.5</v>
      </c>
      <c r="E4405" s="229">
        <v>38.0</v>
      </c>
      <c r="F4405" s="230">
        <v>3.0</v>
      </c>
      <c r="G4405" s="232"/>
    </row>
    <row r="4406">
      <c r="A4406" s="2"/>
      <c r="B4406" s="168" t="s">
        <v>388</v>
      </c>
      <c r="C4406" s="168" t="s">
        <v>4656</v>
      </c>
      <c r="D4406" s="229">
        <v>16.5</v>
      </c>
      <c r="E4406" s="229">
        <v>20.0</v>
      </c>
      <c r="F4406" s="230">
        <v>3.0</v>
      </c>
      <c r="G4406" s="232"/>
    </row>
    <row r="4407">
      <c r="A4407" s="2"/>
      <c r="B4407" s="168" t="s">
        <v>288</v>
      </c>
      <c r="C4407" s="168" t="s">
        <v>4657</v>
      </c>
      <c r="D4407" s="229">
        <v>21.5</v>
      </c>
      <c r="E4407" s="229">
        <v>25.0</v>
      </c>
      <c r="F4407" s="230">
        <v>3.0</v>
      </c>
      <c r="G4407" s="232"/>
    </row>
    <row r="4408">
      <c r="A4408" s="2"/>
      <c r="B4408" s="168" t="s">
        <v>217</v>
      </c>
      <c r="C4408" s="168" t="s">
        <v>4658</v>
      </c>
      <c r="D4408" s="229">
        <v>27.5</v>
      </c>
      <c r="E4408" s="229">
        <v>31.0</v>
      </c>
      <c r="F4408" s="230">
        <v>3.0</v>
      </c>
      <c r="G4408" s="232"/>
    </row>
    <row r="4409">
      <c r="A4409" s="2"/>
      <c r="B4409" s="168" t="s">
        <v>223</v>
      </c>
      <c r="C4409" s="168" t="s">
        <v>4659</v>
      </c>
      <c r="D4409" s="229">
        <v>26.5</v>
      </c>
      <c r="E4409" s="229">
        <v>30.0</v>
      </c>
      <c r="F4409" s="230">
        <v>3.0</v>
      </c>
      <c r="G4409" s="232"/>
    </row>
    <row r="4410">
      <c r="A4410" s="2"/>
      <c r="B4410" s="168" t="s">
        <v>438</v>
      </c>
      <c r="C4410" s="168" t="s">
        <v>4660</v>
      </c>
      <c r="D4410" s="229">
        <v>29.5</v>
      </c>
      <c r="E4410" s="229">
        <v>33.0</v>
      </c>
      <c r="F4410" s="230">
        <v>3.0</v>
      </c>
      <c r="G4410" s="232"/>
    </row>
    <row r="4411">
      <c r="A4411" s="2"/>
      <c r="B4411" s="168" t="s">
        <v>230</v>
      </c>
      <c r="C4411" s="168" t="s">
        <v>4661</v>
      </c>
      <c r="D4411" s="229">
        <v>21.5</v>
      </c>
      <c r="E4411" s="229">
        <v>25.0</v>
      </c>
      <c r="F4411" s="230">
        <v>3.0</v>
      </c>
      <c r="G4411" s="232"/>
    </row>
    <row r="4412">
      <c r="A4412" s="2"/>
      <c r="B4412" s="168" t="s">
        <v>219</v>
      </c>
      <c r="C4412" s="168" t="s">
        <v>4662</v>
      </c>
      <c r="D4412" s="229">
        <v>19.5</v>
      </c>
      <c r="E4412" s="229">
        <v>23.0</v>
      </c>
      <c r="F4412" s="230">
        <v>3.0</v>
      </c>
      <c r="G4412" s="232"/>
    </row>
    <row r="4413">
      <c r="A4413" s="2"/>
      <c r="B4413" s="168" t="s">
        <v>217</v>
      </c>
      <c r="C4413" s="168" t="s">
        <v>4663</v>
      </c>
      <c r="D4413" s="229">
        <v>22.5</v>
      </c>
      <c r="E4413" s="229">
        <v>26.0</v>
      </c>
      <c r="F4413" s="230">
        <v>3.0</v>
      </c>
      <c r="G4413" s="232"/>
    </row>
    <row r="4414">
      <c r="A4414" s="2"/>
      <c r="B4414" s="168" t="s">
        <v>254</v>
      </c>
      <c r="C4414" s="168" t="s">
        <v>4664</v>
      </c>
      <c r="D4414" s="229">
        <v>21.5</v>
      </c>
      <c r="E4414" s="229">
        <v>25.0</v>
      </c>
      <c r="F4414" s="230">
        <v>3.0</v>
      </c>
      <c r="G4414" s="232"/>
    </row>
    <row r="4415">
      <c r="A4415" s="2"/>
      <c r="B4415" s="168" t="s">
        <v>232</v>
      </c>
      <c r="C4415" s="168" t="s">
        <v>4665</v>
      </c>
      <c r="D4415" s="229">
        <v>29.0</v>
      </c>
      <c r="E4415" s="229">
        <v>32.5</v>
      </c>
      <c r="F4415" s="230">
        <v>3.0</v>
      </c>
      <c r="G4415" s="232"/>
    </row>
    <row r="4416">
      <c r="A4416" s="2"/>
      <c r="B4416" s="168" t="s">
        <v>257</v>
      </c>
      <c r="C4416" s="168" t="s">
        <v>4666</v>
      </c>
      <c r="D4416" s="229">
        <v>28.5</v>
      </c>
      <c r="E4416" s="229">
        <v>32.0</v>
      </c>
      <c r="F4416" s="230">
        <v>3.0</v>
      </c>
      <c r="G4416" s="232"/>
    </row>
    <row r="4417">
      <c r="A4417" s="2"/>
      <c r="B4417" s="168" t="s">
        <v>269</v>
      </c>
      <c r="C4417" s="168" t="s">
        <v>4667</v>
      </c>
      <c r="D4417" s="229">
        <v>26.5</v>
      </c>
      <c r="E4417" s="229">
        <v>30.0</v>
      </c>
      <c r="F4417" s="230">
        <v>3.0</v>
      </c>
      <c r="G4417" s="232"/>
    </row>
    <row r="4418">
      <c r="A4418" s="2"/>
      <c r="B4418" s="168" t="s">
        <v>1432</v>
      </c>
      <c r="C4418" s="168" t="s">
        <v>4668</v>
      </c>
      <c r="D4418" s="229">
        <v>26.5</v>
      </c>
      <c r="E4418" s="229">
        <v>30.0</v>
      </c>
      <c r="F4418" s="230">
        <v>3.0</v>
      </c>
      <c r="G4418" s="232"/>
    </row>
    <row r="4419">
      <c r="A4419" s="2"/>
      <c r="B4419" s="168" t="s">
        <v>241</v>
      </c>
      <c r="C4419" s="168" t="s">
        <v>4669</v>
      </c>
      <c r="D4419" s="229">
        <v>30.5</v>
      </c>
      <c r="E4419" s="229">
        <v>34.0</v>
      </c>
      <c r="F4419" s="230">
        <v>3.0</v>
      </c>
      <c r="G4419" s="232"/>
    </row>
    <row r="4420">
      <c r="A4420" s="2"/>
      <c r="B4420" s="168" t="s">
        <v>241</v>
      </c>
      <c r="C4420" s="168" t="s">
        <v>4670</v>
      </c>
      <c r="D4420" s="229">
        <v>31.5</v>
      </c>
      <c r="E4420" s="229">
        <v>35.0</v>
      </c>
      <c r="F4420" s="230">
        <v>3.0</v>
      </c>
      <c r="G4420" s="232"/>
    </row>
    <row r="4421">
      <c r="A4421" s="2"/>
      <c r="B4421" s="168" t="s">
        <v>290</v>
      </c>
      <c r="C4421" s="168" t="s">
        <v>4671</v>
      </c>
      <c r="D4421" s="229">
        <v>29.5</v>
      </c>
      <c r="E4421" s="229">
        <v>33.0</v>
      </c>
      <c r="F4421" s="230">
        <v>3.0</v>
      </c>
      <c r="G4421" s="232"/>
    </row>
    <row r="4422">
      <c r="A4422" s="2"/>
      <c r="B4422" s="168" t="s">
        <v>337</v>
      </c>
      <c r="C4422" s="168" t="s">
        <v>4672</v>
      </c>
      <c r="D4422" s="229">
        <v>22.5</v>
      </c>
      <c r="E4422" s="229">
        <v>26.0</v>
      </c>
      <c r="F4422" s="230">
        <v>3.0</v>
      </c>
      <c r="G4422" s="232"/>
    </row>
    <row r="4423">
      <c r="A4423" s="2"/>
      <c r="B4423" s="168" t="s">
        <v>288</v>
      </c>
      <c r="C4423" s="168" t="s">
        <v>4673</v>
      </c>
      <c r="D4423" s="229">
        <v>21.5</v>
      </c>
      <c r="E4423" s="229">
        <v>25.0</v>
      </c>
      <c r="F4423" s="230">
        <v>3.0</v>
      </c>
      <c r="G4423" s="232"/>
    </row>
    <row r="4424">
      <c r="A4424" s="2"/>
      <c r="B4424" s="168" t="s">
        <v>449</v>
      </c>
      <c r="C4424" s="168" t="s">
        <v>4674</v>
      </c>
      <c r="D4424" s="229">
        <v>23.5</v>
      </c>
      <c r="E4424" s="229">
        <v>27.0</v>
      </c>
      <c r="F4424" s="230">
        <v>3.0</v>
      </c>
      <c r="G4424" s="232"/>
    </row>
    <row r="4425">
      <c r="A4425" s="2"/>
      <c r="B4425" s="168" t="s">
        <v>241</v>
      </c>
      <c r="C4425" s="168" t="s">
        <v>4675</v>
      </c>
      <c r="D4425" s="229">
        <v>32.5</v>
      </c>
      <c r="E4425" s="229">
        <v>36.0</v>
      </c>
      <c r="F4425" s="230">
        <v>3.0</v>
      </c>
      <c r="G4425" s="232"/>
    </row>
    <row r="4426">
      <c r="A4426" s="2"/>
      <c r="B4426" s="168" t="s">
        <v>375</v>
      </c>
      <c r="C4426" s="168" t="s">
        <v>4676</v>
      </c>
      <c r="D4426" s="229">
        <v>26.5</v>
      </c>
      <c r="E4426" s="229">
        <v>30.0</v>
      </c>
      <c r="F4426" s="230">
        <v>3.0</v>
      </c>
      <c r="G4426" s="232"/>
    </row>
    <row r="4427">
      <c r="A4427" s="2"/>
      <c r="B4427" s="168" t="s">
        <v>241</v>
      </c>
      <c r="C4427" s="168" t="s">
        <v>4677</v>
      </c>
      <c r="D4427" s="229">
        <v>32.5</v>
      </c>
      <c r="E4427" s="229">
        <v>36.0</v>
      </c>
      <c r="F4427" s="230">
        <v>3.0</v>
      </c>
      <c r="G4427" s="232"/>
    </row>
    <row r="4428">
      <c r="A4428" s="2"/>
      <c r="B4428" s="168" t="s">
        <v>377</v>
      </c>
      <c r="C4428" s="168" t="s">
        <v>4678</v>
      </c>
      <c r="D4428" s="229">
        <v>29.5</v>
      </c>
      <c r="E4428" s="229">
        <v>33.0</v>
      </c>
      <c r="F4428" s="230">
        <v>3.0</v>
      </c>
      <c r="G4428" s="232"/>
    </row>
    <row r="4429">
      <c r="A4429" s="2"/>
      <c r="B4429" s="168" t="s">
        <v>269</v>
      </c>
      <c r="C4429" s="168" t="s">
        <v>4679</v>
      </c>
      <c r="D4429" s="229">
        <v>26.5</v>
      </c>
      <c r="E4429" s="229">
        <v>30.0</v>
      </c>
      <c r="F4429" s="230">
        <v>3.0</v>
      </c>
      <c r="G4429" s="232"/>
    </row>
    <row r="4430">
      <c r="A4430" s="2"/>
      <c r="B4430" s="168" t="s">
        <v>438</v>
      </c>
      <c r="C4430" s="168" t="s">
        <v>4680</v>
      </c>
      <c r="D4430" s="229">
        <v>29.5</v>
      </c>
      <c r="E4430" s="229">
        <v>33.0</v>
      </c>
      <c r="F4430" s="230">
        <v>3.0</v>
      </c>
      <c r="G4430" s="232"/>
    </row>
    <row r="4431">
      <c r="A4431" s="2"/>
      <c r="B4431" s="168" t="s">
        <v>288</v>
      </c>
      <c r="C4431" s="168" t="s">
        <v>4681</v>
      </c>
      <c r="D4431" s="229">
        <v>21.5</v>
      </c>
      <c r="E4431" s="229">
        <v>25.0</v>
      </c>
      <c r="F4431" s="230">
        <v>3.0</v>
      </c>
      <c r="G4431" s="232"/>
    </row>
    <row r="4432">
      <c r="A4432" s="2"/>
      <c r="B4432" s="168" t="s">
        <v>239</v>
      </c>
      <c r="C4432" s="168" t="s">
        <v>4682</v>
      </c>
      <c r="D4432" s="229">
        <v>29.5</v>
      </c>
      <c r="E4432" s="229">
        <v>33.0</v>
      </c>
      <c r="F4432" s="230">
        <v>3.0</v>
      </c>
      <c r="G4432" s="232"/>
    </row>
    <row r="4433">
      <c r="A4433" s="2"/>
      <c r="B4433" s="168" t="s">
        <v>296</v>
      </c>
      <c r="C4433" s="168" t="s">
        <v>4683</v>
      </c>
      <c r="D4433" s="229">
        <v>26.5</v>
      </c>
      <c r="E4433" s="229">
        <v>30.0</v>
      </c>
      <c r="F4433" s="230">
        <v>3.0</v>
      </c>
      <c r="G4433" s="232"/>
    </row>
    <row r="4434">
      <c r="A4434" s="2"/>
      <c r="B4434" s="168" t="s">
        <v>217</v>
      </c>
      <c r="C4434" s="168" t="s">
        <v>4684</v>
      </c>
      <c r="D4434" s="229">
        <v>27.5</v>
      </c>
      <c r="E4434" s="229">
        <v>31.0</v>
      </c>
      <c r="F4434" s="230">
        <v>3.0</v>
      </c>
      <c r="G4434" s="232"/>
    </row>
    <row r="4435">
      <c r="A4435" s="2"/>
      <c r="B4435" s="168" t="s">
        <v>300</v>
      </c>
      <c r="C4435" s="168" t="s">
        <v>4685</v>
      </c>
      <c r="D4435" s="229">
        <v>27.5</v>
      </c>
      <c r="E4435" s="229">
        <v>31.0</v>
      </c>
      <c r="F4435" s="230">
        <v>3.0</v>
      </c>
      <c r="G4435" s="232"/>
    </row>
    <row r="4436">
      <c r="A4436" s="2"/>
      <c r="B4436" s="168" t="s">
        <v>337</v>
      </c>
      <c r="C4436" s="168" t="s">
        <v>4686</v>
      </c>
      <c r="D4436" s="229">
        <v>28.5</v>
      </c>
      <c r="E4436" s="229">
        <v>32.0</v>
      </c>
      <c r="F4436" s="230">
        <v>3.0</v>
      </c>
      <c r="G4436" s="232"/>
    </row>
    <row r="4437">
      <c r="A4437" s="2"/>
      <c r="B4437" s="168" t="s">
        <v>273</v>
      </c>
      <c r="C4437" s="168" t="s">
        <v>4687</v>
      </c>
      <c r="D4437" s="229">
        <v>29.5</v>
      </c>
      <c r="E4437" s="229">
        <v>33.0</v>
      </c>
      <c r="F4437" s="230">
        <v>3.0</v>
      </c>
      <c r="G4437" s="232"/>
    </row>
    <row r="4438">
      <c r="A4438" s="2"/>
      <c r="B4438" s="168" t="s">
        <v>215</v>
      </c>
      <c r="C4438" s="168" t="s">
        <v>4688</v>
      </c>
      <c r="D4438" s="229">
        <v>29.5</v>
      </c>
      <c r="E4438" s="229">
        <v>33.0</v>
      </c>
      <c r="F4438" s="230">
        <v>3.0</v>
      </c>
      <c r="G4438" s="232"/>
    </row>
    <row r="4439">
      <c r="A4439" s="2"/>
      <c r="B4439" s="168" t="s">
        <v>337</v>
      </c>
      <c r="C4439" s="168" t="s">
        <v>4689</v>
      </c>
      <c r="D4439" s="229">
        <v>28.5</v>
      </c>
      <c r="E4439" s="229">
        <v>32.0</v>
      </c>
      <c r="F4439" s="230">
        <v>3.0</v>
      </c>
      <c r="G4439" s="232"/>
    </row>
    <row r="4440">
      <c r="A4440" s="2"/>
      <c r="B4440" s="168" t="s">
        <v>449</v>
      </c>
      <c r="C4440" s="168" t="s">
        <v>4690</v>
      </c>
      <c r="D4440" s="229">
        <v>23.5</v>
      </c>
      <c r="E4440" s="229">
        <v>27.0</v>
      </c>
      <c r="F4440" s="230">
        <v>3.0</v>
      </c>
      <c r="G4440" s="232"/>
    </row>
    <row r="4441">
      <c r="A4441" s="2"/>
      <c r="B4441" s="168" t="s">
        <v>269</v>
      </c>
      <c r="C4441" s="168" t="s">
        <v>4691</v>
      </c>
      <c r="D4441" s="229">
        <v>26.5</v>
      </c>
      <c r="E4441" s="229">
        <v>30.0</v>
      </c>
      <c r="F4441" s="230">
        <v>3.0</v>
      </c>
      <c r="G4441" s="232"/>
    </row>
    <row r="4442">
      <c r="A4442" s="2"/>
      <c r="B4442" s="168" t="s">
        <v>280</v>
      </c>
      <c r="C4442" s="168" t="s">
        <v>4692</v>
      </c>
      <c r="D4442" s="229">
        <v>28.5</v>
      </c>
      <c r="E4442" s="229">
        <v>32.0</v>
      </c>
      <c r="F4442" s="230">
        <v>3.0</v>
      </c>
      <c r="G4442" s="232"/>
    </row>
    <row r="4443">
      <c r="A4443" s="2"/>
      <c r="B4443" s="168" t="s">
        <v>245</v>
      </c>
      <c r="C4443" s="168" t="s">
        <v>4693</v>
      </c>
      <c r="D4443" s="229">
        <v>29.5</v>
      </c>
      <c r="E4443" s="229">
        <v>33.0</v>
      </c>
      <c r="F4443" s="230">
        <v>3.0</v>
      </c>
      <c r="G4443" s="232"/>
    </row>
    <row r="4444">
      <c r="A4444" s="2"/>
      <c r="B4444" s="168" t="s">
        <v>288</v>
      </c>
      <c r="C4444" s="168" t="s">
        <v>4694</v>
      </c>
      <c r="D4444" s="229">
        <v>21.5</v>
      </c>
      <c r="E4444" s="229">
        <v>25.0</v>
      </c>
      <c r="F4444" s="230">
        <v>3.0</v>
      </c>
      <c r="G4444" s="232"/>
    </row>
    <row r="4445">
      <c r="A4445" s="2"/>
      <c r="B4445" s="168" t="s">
        <v>241</v>
      </c>
      <c r="C4445" s="168" t="s">
        <v>4695</v>
      </c>
      <c r="D4445" s="229">
        <v>32.5</v>
      </c>
      <c r="E4445" s="229">
        <v>36.0</v>
      </c>
      <c r="F4445" s="230">
        <v>3.0</v>
      </c>
      <c r="G4445" s="232"/>
    </row>
    <row r="4446">
      <c r="A4446" s="2"/>
      <c r="B4446" s="168" t="s">
        <v>288</v>
      </c>
      <c r="C4446" s="168" t="s">
        <v>4696</v>
      </c>
      <c r="D4446" s="229">
        <v>21.5</v>
      </c>
      <c r="E4446" s="229">
        <v>25.0</v>
      </c>
      <c r="F4446" s="230">
        <v>3.0</v>
      </c>
      <c r="G4446" s="232"/>
    </row>
    <row r="4447">
      <c r="A4447" s="2"/>
      <c r="B4447" s="168" t="s">
        <v>406</v>
      </c>
      <c r="C4447" s="168" t="s">
        <v>4697</v>
      </c>
      <c r="D4447" s="229">
        <v>21.5</v>
      </c>
      <c r="E4447" s="229">
        <v>25.0</v>
      </c>
      <c r="F4447" s="230">
        <v>3.0</v>
      </c>
      <c r="G4447" s="232"/>
    </row>
    <row r="4448">
      <c r="A4448" s="2"/>
      <c r="B4448" s="168" t="s">
        <v>221</v>
      </c>
      <c r="C4448" s="168" t="s">
        <v>4698</v>
      </c>
      <c r="D4448" s="229">
        <v>20.5</v>
      </c>
      <c r="E4448" s="229">
        <v>24.0</v>
      </c>
      <c r="F4448" s="230">
        <v>3.0</v>
      </c>
      <c r="G4448" s="232"/>
    </row>
    <row r="4449">
      <c r="A4449" s="2"/>
      <c r="B4449" s="168" t="s">
        <v>273</v>
      </c>
      <c r="C4449" s="168" t="s">
        <v>4699</v>
      </c>
      <c r="D4449" s="229">
        <v>24.5</v>
      </c>
      <c r="E4449" s="229">
        <v>28.0</v>
      </c>
      <c r="F4449" s="230">
        <v>3.0</v>
      </c>
      <c r="G4449" s="232"/>
    </row>
    <row r="4450">
      <c r="A4450" s="2"/>
      <c r="B4450" s="168" t="s">
        <v>381</v>
      </c>
      <c r="C4450" s="168" t="s">
        <v>4700</v>
      </c>
      <c r="D4450" s="229">
        <v>28.5</v>
      </c>
      <c r="E4450" s="229">
        <v>32.0</v>
      </c>
      <c r="F4450" s="230">
        <v>3.0</v>
      </c>
      <c r="G4450" s="232"/>
    </row>
    <row r="4451">
      <c r="A4451" s="2"/>
      <c r="B4451" s="168" t="s">
        <v>215</v>
      </c>
      <c r="C4451" s="168" t="s">
        <v>4701</v>
      </c>
      <c r="D4451" s="229">
        <v>24.5</v>
      </c>
      <c r="E4451" s="229">
        <v>28.0</v>
      </c>
      <c r="F4451" s="230">
        <v>3.0</v>
      </c>
      <c r="G4451" s="232"/>
    </row>
    <row r="4452">
      <c r="A4452" s="2"/>
      <c r="B4452" s="168" t="s">
        <v>232</v>
      </c>
      <c r="C4452" s="168" t="s">
        <v>4702</v>
      </c>
      <c r="D4452" s="229">
        <v>25.5</v>
      </c>
      <c r="E4452" s="229">
        <v>29.0</v>
      </c>
      <c r="F4452" s="230">
        <v>3.0</v>
      </c>
      <c r="G4452" s="232"/>
    </row>
    <row r="4453">
      <c r="A4453" s="2"/>
      <c r="B4453" s="168" t="s">
        <v>217</v>
      </c>
      <c r="C4453" s="168" t="s">
        <v>4703</v>
      </c>
      <c r="D4453" s="229">
        <v>27.5</v>
      </c>
      <c r="E4453" s="229">
        <v>31.0</v>
      </c>
      <c r="F4453" s="230">
        <v>3.0</v>
      </c>
      <c r="G4453" s="232"/>
    </row>
    <row r="4454">
      <c r="A4454" s="2"/>
      <c r="B4454" s="168" t="s">
        <v>328</v>
      </c>
      <c r="C4454" s="168" t="s">
        <v>4704</v>
      </c>
      <c r="D4454" s="229">
        <v>34.5</v>
      </c>
      <c r="E4454" s="229">
        <v>38.0</v>
      </c>
      <c r="F4454" s="230">
        <v>3.0</v>
      </c>
      <c r="G4454" s="232"/>
    </row>
    <row r="4455">
      <c r="A4455" s="2"/>
      <c r="B4455" s="168" t="s">
        <v>239</v>
      </c>
      <c r="C4455" s="168" t="s">
        <v>4705</v>
      </c>
      <c r="D4455" s="229">
        <v>24.5</v>
      </c>
      <c r="E4455" s="229">
        <v>28.0</v>
      </c>
      <c r="F4455" s="230">
        <v>3.0</v>
      </c>
      <c r="G4455" s="232"/>
    </row>
    <row r="4456">
      <c r="A4456" s="2"/>
      <c r="B4456" s="168" t="s">
        <v>290</v>
      </c>
      <c r="C4456" s="168" t="s">
        <v>4706</v>
      </c>
      <c r="D4456" s="229">
        <v>29.5</v>
      </c>
      <c r="E4456" s="229">
        <v>33.0</v>
      </c>
      <c r="F4456" s="230">
        <v>3.0</v>
      </c>
      <c r="G4456" s="232"/>
    </row>
    <row r="4457">
      <c r="A4457" s="2"/>
      <c r="B4457" s="168" t="s">
        <v>290</v>
      </c>
      <c r="C4457" s="168" t="s">
        <v>4707</v>
      </c>
      <c r="D4457" s="229">
        <v>29.5</v>
      </c>
      <c r="E4457" s="229">
        <v>33.0</v>
      </c>
      <c r="F4457" s="230">
        <v>3.0</v>
      </c>
      <c r="G4457" s="232"/>
    </row>
    <row r="4458">
      <c r="A4458" s="2"/>
      <c r="B4458" s="168" t="s">
        <v>217</v>
      </c>
      <c r="C4458" s="168" t="s">
        <v>4708</v>
      </c>
      <c r="D4458" s="229">
        <v>27.5</v>
      </c>
      <c r="E4458" s="229">
        <v>31.0</v>
      </c>
      <c r="F4458" s="230">
        <v>3.0</v>
      </c>
      <c r="G4458" s="232"/>
    </row>
    <row r="4459">
      <c r="A4459" s="2"/>
      <c r="B4459" s="168" t="s">
        <v>1621</v>
      </c>
      <c r="C4459" s="168" t="s">
        <v>1621</v>
      </c>
      <c r="D4459" s="229">
        <v>23.5</v>
      </c>
      <c r="E4459" s="229">
        <v>23.5</v>
      </c>
      <c r="F4459" s="230">
        <v>3.0</v>
      </c>
      <c r="G4459" s="232"/>
    </row>
    <row r="4460">
      <c r="A4460" s="2"/>
      <c r="B4460" s="168" t="s">
        <v>215</v>
      </c>
      <c r="C4460" s="168" t="s">
        <v>4709</v>
      </c>
      <c r="D4460" s="229">
        <v>27.5</v>
      </c>
      <c r="E4460" s="229">
        <v>31.0</v>
      </c>
      <c r="F4460" s="230">
        <v>3.0</v>
      </c>
      <c r="G4460" s="232"/>
    </row>
    <row r="4461">
      <c r="A4461" s="2"/>
      <c r="B4461" s="168" t="s">
        <v>271</v>
      </c>
      <c r="C4461" s="168" t="s">
        <v>4710</v>
      </c>
      <c r="D4461" s="229">
        <v>30.5</v>
      </c>
      <c r="E4461" s="229">
        <v>34.0</v>
      </c>
      <c r="F4461" s="230">
        <v>3.0</v>
      </c>
      <c r="G4461" s="232"/>
    </row>
    <row r="4462">
      <c r="A4462" s="2"/>
      <c r="B4462" s="168" t="s">
        <v>381</v>
      </c>
      <c r="C4462" s="168" t="s">
        <v>4711</v>
      </c>
      <c r="D4462" s="229">
        <v>28.5</v>
      </c>
      <c r="E4462" s="229">
        <v>32.0</v>
      </c>
      <c r="F4462" s="230">
        <v>3.0</v>
      </c>
      <c r="G4462" s="232"/>
    </row>
    <row r="4463">
      <c r="A4463" s="2"/>
      <c r="B4463" s="168" t="s">
        <v>234</v>
      </c>
      <c r="C4463" s="168" t="s">
        <v>4712</v>
      </c>
      <c r="D4463" s="229">
        <v>29.5</v>
      </c>
      <c r="E4463" s="229">
        <v>33.0</v>
      </c>
      <c r="F4463" s="230">
        <v>3.0</v>
      </c>
      <c r="G4463" s="232"/>
    </row>
    <row r="4464">
      <c r="A4464" s="2"/>
      <c r="B4464" s="168" t="s">
        <v>290</v>
      </c>
      <c r="C4464" s="168" t="s">
        <v>4713</v>
      </c>
      <c r="D4464" s="229">
        <v>29.5</v>
      </c>
      <c r="E4464" s="229">
        <v>33.0</v>
      </c>
      <c r="F4464" s="230">
        <v>3.0</v>
      </c>
      <c r="G4464" s="232"/>
    </row>
    <row r="4465">
      <c r="A4465" s="2"/>
      <c r="B4465" s="168" t="s">
        <v>217</v>
      </c>
      <c r="C4465" s="168" t="s">
        <v>4714</v>
      </c>
      <c r="D4465" s="229">
        <v>27.5</v>
      </c>
      <c r="E4465" s="229">
        <v>31.0</v>
      </c>
      <c r="F4465" s="230">
        <v>3.0</v>
      </c>
      <c r="G4465" s="232"/>
    </row>
    <row r="4466">
      <c r="A4466" s="2"/>
      <c r="B4466" s="168" t="s">
        <v>427</v>
      </c>
      <c r="C4466" s="168" t="s">
        <v>4715</v>
      </c>
      <c r="D4466" s="229">
        <v>26.5</v>
      </c>
      <c r="E4466" s="229">
        <v>30.0</v>
      </c>
      <c r="F4466" s="230">
        <v>3.0</v>
      </c>
      <c r="G4466" s="232"/>
    </row>
    <row r="4467">
      <c r="A4467" s="2"/>
      <c r="B4467" s="168" t="s">
        <v>241</v>
      </c>
      <c r="C4467" s="168" t="s">
        <v>4716</v>
      </c>
      <c r="D4467" s="229">
        <v>32.5</v>
      </c>
      <c r="E4467" s="229">
        <v>36.0</v>
      </c>
      <c r="F4467" s="230">
        <v>3.0</v>
      </c>
      <c r="G4467" s="232"/>
    </row>
    <row r="4468">
      <c r="A4468" s="2"/>
      <c r="B4468" s="168" t="s">
        <v>318</v>
      </c>
      <c r="C4468" s="168" t="s">
        <v>4717</v>
      </c>
      <c r="D4468" s="229">
        <v>25.5</v>
      </c>
      <c r="E4468" s="229">
        <v>29.0</v>
      </c>
      <c r="F4468" s="230">
        <v>3.0</v>
      </c>
      <c r="G4468" s="232"/>
    </row>
    <row r="4469">
      <c r="A4469" s="2"/>
      <c r="B4469" s="168" t="s">
        <v>217</v>
      </c>
      <c r="C4469" s="168" t="s">
        <v>4718</v>
      </c>
      <c r="D4469" s="229">
        <v>27.5</v>
      </c>
      <c r="E4469" s="229">
        <v>31.0</v>
      </c>
      <c r="F4469" s="230">
        <v>3.0</v>
      </c>
      <c r="G4469" s="232"/>
    </row>
    <row r="4470">
      <c r="A4470" s="2"/>
      <c r="B4470" s="168" t="s">
        <v>230</v>
      </c>
      <c r="C4470" s="168" t="s">
        <v>4719</v>
      </c>
      <c r="D4470" s="229">
        <v>21.5</v>
      </c>
      <c r="E4470" s="229">
        <v>25.0</v>
      </c>
      <c r="F4470" s="230">
        <v>3.0</v>
      </c>
      <c r="G4470" s="232"/>
    </row>
    <row r="4471">
      <c r="A4471" s="2"/>
      <c r="B4471" s="168" t="s">
        <v>290</v>
      </c>
      <c r="C4471" s="168" t="s">
        <v>4720</v>
      </c>
      <c r="D4471" s="229">
        <v>29.5</v>
      </c>
      <c r="E4471" s="229">
        <v>33.0</v>
      </c>
      <c r="F4471" s="230">
        <v>3.0</v>
      </c>
      <c r="G4471" s="232"/>
    </row>
    <row r="4472">
      <c r="A4472" s="2"/>
      <c r="B4472" s="168" t="s">
        <v>288</v>
      </c>
      <c r="C4472" s="168" t="s">
        <v>4721</v>
      </c>
      <c r="D4472" s="229">
        <v>21.5</v>
      </c>
      <c r="E4472" s="229">
        <v>25.0</v>
      </c>
      <c r="F4472" s="230">
        <v>3.0</v>
      </c>
      <c r="G4472" s="232"/>
    </row>
    <row r="4473">
      <c r="A4473" s="2"/>
      <c r="B4473" s="168" t="s">
        <v>269</v>
      </c>
      <c r="C4473" s="168" t="s">
        <v>4722</v>
      </c>
      <c r="D4473" s="229">
        <v>26.5</v>
      </c>
      <c r="E4473" s="229">
        <v>30.0</v>
      </c>
      <c r="F4473" s="230">
        <v>3.0</v>
      </c>
      <c r="G4473" s="232"/>
    </row>
    <row r="4474">
      <c r="A4474" s="2"/>
      <c r="B4474" s="168" t="s">
        <v>251</v>
      </c>
      <c r="C4474" s="168" t="s">
        <v>4723</v>
      </c>
      <c r="D4474" s="229">
        <v>29.5</v>
      </c>
      <c r="E4474" s="229">
        <v>33.0</v>
      </c>
      <c r="F4474" s="230">
        <v>3.0</v>
      </c>
      <c r="G4474" s="232"/>
    </row>
    <row r="4475">
      <c r="A4475" s="2"/>
      <c r="B4475" s="168" t="s">
        <v>296</v>
      </c>
      <c r="C4475" s="168" t="s">
        <v>4724</v>
      </c>
      <c r="D4475" s="229">
        <v>21.5</v>
      </c>
      <c r="E4475" s="229">
        <v>25.0</v>
      </c>
      <c r="F4475" s="230">
        <v>3.0</v>
      </c>
      <c r="G4475" s="232"/>
    </row>
    <row r="4476">
      <c r="A4476" s="2"/>
      <c r="B4476" s="168" t="s">
        <v>223</v>
      </c>
      <c r="C4476" s="168" t="s">
        <v>4725</v>
      </c>
      <c r="D4476" s="229">
        <v>26.5</v>
      </c>
      <c r="E4476" s="229">
        <v>30.0</v>
      </c>
      <c r="F4476" s="230">
        <v>3.0</v>
      </c>
      <c r="G4476" s="232"/>
    </row>
    <row r="4477">
      <c r="A4477" s="2"/>
      <c r="B4477" s="168" t="s">
        <v>215</v>
      </c>
      <c r="C4477" s="168" t="s">
        <v>4726</v>
      </c>
      <c r="D4477" s="229">
        <v>27.5</v>
      </c>
      <c r="E4477" s="229">
        <v>31.0</v>
      </c>
      <c r="F4477" s="230">
        <v>3.0</v>
      </c>
      <c r="G4477" s="232"/>
    </row>
    <row r="4478">
      <c r="A4478" s="2"/>
      <c r="B4478" s="168" t="s">
        <v>217</v>
      </c>
      <c r="C4478" s="168" t="s">
        <v>4727</v>
      </c>
      <c r="D4478" s="229">
        <v>27.5</v>
      </c>
      <c r="E4478" s="229">
        <v>31.0</v>
      </c>
      <c r="F4478" s="230">
        <v>3.0</v>
      </c>
      <c r="G4478" s="232"/>
    </row>
    <row r="4479">
      <c r="A4479" s="2"/>
      <c r="B4479" s="168" t="s">
        <v>217</v>
      </c>
      <c r="C4479" s="168" t="s">
        <v>4728</v>
      </c>
      <c r="D4479" s="229">
        <v>27.5</v>
      </c>
      <c r="E4479" s="229">
        <v>31.0</v>
      </c>
      <c r="F4479" s="230">
        <v>3.0</v>
      </c>
      <c r="G4479" s="232"/>
    </row>
    <row r="4480">
      <c r="A4480" s="2"/>
      <c r="B4480" s="168" t="s">
        <v>296</v>
      </c>
      <c r="C4480" s="168" t="s">
        <v>4729</v>
      </c>
      <c r="D4480" s="229">
        <v>26.5</v>
      </c>
      <c r="E4480" s="229">
        <v>30.0</v>
      </c>
      <c r="F4480" s="230">
        <v>3.0</v>
      </c>
      <c r="G4480" s="232"/>
    </row>
    <row r="4481">
      <c r="A4481" s="2"/>
      <c r="B4481" s="168" t="s">
        <v>217</v>
      </c>
      <c r="C4481" s="168" t="s">
        <v>4730</v>
      </c>
      <c r="D4481" s="229">
        <v>27.5</v>
      </c>
      <c r="E4481" s="229">
        <v>31.0</v>
      </c>
      <c r="F4481" s="230">
        <v>3.0</v>
      </c>
      <c r="G4481" s="232"/>
    </row>
    <row r="4482">
      <c r="A4482" s="2"/>
      <c r="B4482" s="168" t="s">
        <v>413</v>
      </c>
      <c r="C4482" s="168" t="s">
        <v>4731</v>
      </c>
      <c r="D4482" s="229">
        <v>29.5</v>
      </c>
      <c r="E4482" s="229">
        <v>33.0</v>
      </c>
      <c r="F4482" s="230">
        <v>3.0</v>
      </c>
      <c r="G4482" s="232"/>
    </row>
    <row r="4483">
      <c r="A4483" s="2"/>
      <c r="B4483" s="168" t="s">
        <v>296</v>
      </c>
      <c r="C4483" s="168" t="s">
        <v>4732</v>
      </c>
      <c r="D4483" s="229">
        <v>26.5</v>
      </c>
      <c r="E4483" s="229">
        <v>30.0</v>
      </c>
      <c r="F4483" s="230">
        <v>3.0</v>
      </c>
      <c r="G4483" s="232"/>
    </row>
    <row r="4484">
      <c r="A4484" s="2"/>
      <c r="B4484" s="168" t="s">
        <v>337</v>
      </c>
      <c r="C4484" s="168" t="s">
        <v>4733</v>
      </c>
      <c r="D4484" s="229">
        <v>28.5</v>
      </c>
      <c r="E4484" s="229">
        <v>32.0</v>
      </c>
      <c r="F4484" s="230">
        <v>3.0</v>
      </c>
      <c r="G4484" s="232"/>
    </row>
    <row r="4485">
      <c r="A4485" s="2"/>
      <c r="B4485" s="168" t="s">
        <v>266</v>
      </c>
      <c r="C4485" s="168" t="s">
        <v>4734</v>
      </c>
      <c r="D4485" s="229">
        <v>33.0</v>
      </c>
      <c r="E4485" s="229">
        <v>33.0</v>
      </c>
      <c r="F4485" s="230">
        <v>3.0</v>
      </c>
      <c r="G4485" s="232"/>
    </row>
    <row r="4486">
      <c r="A4486" s="2"/>
      <c r="B4486" s="168" t="s">
        <v>348</v>
      </c>
      <c r="C4486" s="168" t="s">
        <v>4735</v>
      </c>
      <c r="D4486" s="229">
        <v>24.5</v>
      </c>
      <c r="E4486" s="229">
        <v>28.0</v>
      </c>
      <c r="F4486" s="230">
        <v>3.0</v>
      </c>
      <c r="G4486" s="232"/>
    </row>
    <row r="4487">
      <c r="A4487" s="2"/>
      <c r="B4487" s="168" t="s">
        <v>217</v>
      </c>
      <c r="C4487" s="168" t="s">
        <v>4736</v>
      </c>
      <c r="D4487" s="229">
        <v>27.5</v>
      </c>
      <c r="E4487" s="229">
        <v>31.0</v>
      </c>
      <c r="F4487" s="230">
        <v>3.0</v>
      </c>
      <c r="G4487" s="232"/>
    </row>
    <row r="4488">
      <c r="A4488" s="2"/>
      <c r="B4488" s="168" t="s">
        <v>565</v>
      </c>
      <c r="C4488" s="168" t="s">
        <v>4737</v>
      </c>
      <c r="D4488" s="229">
        <v>24.5</v>
      </c>
      <c r="E4488" s="229">
        <v>28.0</v>
      </c>
      <c r="F4488" s="230">
        <v>3.0</v>
      </c>
      <c r="G4488" s="232"/>
    </row>
    <row r="4489">
      <c r="A4489" s="2"/>
      <c r="B4489" s="168" t="s">
        <v>318</v>
      </c>
      <c r="C4489" s="168" t="s">
        <v>4738</v>
      </c>
      <c r="D4489" s="229">
        <v>25.5</v>
      </c>
      <c r="E4489" s="229">
        <v>29.0</v>
      </c>
      <c r="F4489" s="230">
        <v>3.0</v>
      </c>
      <c r="G4489" s="232"/>
    </row>
    <row r="4490">
      <c r="A4490" s="2"/>
      <c r="B4490" s="168" t="s">
        <v>245</v>
      </c>
      <c r="C4490" s="168" t="s">
        <v>4739</v>
      </c>
      <c r="D4490" s="229">
        <v>29.5</v>
      </c>
      <c r="E4490" s="229">
        <v>33.0</v>
      </c>
      <c r="F4490" s="230">
        <v>3.0</v>
      </c>
      <c r="G4490" s="232"/>
    </row>
    <row r="4491">
      <c r="A4491" s="2"/>
      <c r="B4491" s="168" t="s">
        <v>337</v>
      </c>
      <c r="C4491" s="168" t="s">
        <v>4740</v>
      </c>
      <c r="D4491" s="229">
        <v>28.5</v>
      </c>
      <c r="E4491" s="229">
        <v>32.0</v>
      </c>
      <c r="F4491" s="230">
        <v>3.0</v>
      </c>
      <c r="G4491" s="232"/>
    </row>
    <row r="4492">
      <c r="A4492" s="2"/>
      <c r="B4492" s="168" t="s">
        <v>288</v>
      </c>
      <c r="C4492" s="168" t="s">
        <v>4741</v>
      </c>
      <c r="D4492" s="229">
        <v>21.5</v>
      </c>
      <c r="E4492" s="229">
        <v>25.0</v>
      </c>
      <c r="F4492" s="230">
        <v>3.0</v>
      </c>
      <c r="G4492" s="232"/>
    </row>
    <row r="4493">
      <c r="A4493" s="2"/>
      <c r="B4493" s="168" t="s">
        <v>245</v>
      </c>
      <c r="C4493" s="168" t="s">
        <v>4742</v>
      </c>
      <c r="D4493" s="229">
        <v>29.5</v>
      </c>
      <c r="E4493" s="229">
        <v>33.0</v>
      </c>
      <c r="F4493" s="230">
        <v>3.0</v>
      </c>
      <c r="G4493" s="232"/>
    </row>
    <row r="4494">
      <c r="A4494" s="2"/>
      <c r="B4494" s="168" t="s">
        <v>234</v>
      </c>
      <c r="C4494" s="168" t="s">
        <v>4743</v>
      </c>
      <c r="D4494" s="229">
        <v>24.5</v>
      </c>
      <c r="E4494" s="229">
        <v>28.0</v>
      </c>
      <c r="F4494" s="230">
        <v>3.0</v>
      </c>
      <c r="G4494" s="232"/>
    </row>
    <row r="4495">
      <c r="A4495" s="2"/>
      <c r="B4495" s="168" t="s">
        <v>245</v>
      </c>
      <c r="C4495" s="168" t="s">
        <v>4744</v>
      </c>
      <c r="D4495" s="229">
        <v>29.5</v>
      </c>
      <c r="E4495" s="229">
        <v>33.0</v>
      </c>
      <c r="F4495" s="230">
        <v>3.0</v>
      </c>
      <c r="G4495" s="232"/>
    </row>
    <row r="4496">
      <c r="A4496" s="2"/>
      <c r="B4496" s="168" t="s">
        <v>413</v>
      </c>
      <c r="C4496" s="168" t="s">
        <v>4745</v>
      </c>
      <c r="D4496" s="229">
        <v>29.5</v>
      </c>
      <c r="E4496" s="229">
        <v>33.0</v>
      </c>
      <c r="F4496" s="230">
        <v>3.0</v>
      </c>
      <c r="G4496" s="232"/>
    </row>
    <row r="4497">
      <c r="A4497" s="2"/>
      <c r="B4497" s="168" t="s">
        <v>280</v>
      </c>
      <c r="C4497" s="168" t="s">
        <v>4746</v>
      </c>
      <c r="D4497" s="229">
        <v>28.5</v>
      </c>
      <c r="E4497" s="229">
        <v>32.0</v>
      </c>
      <c r="F4497" s="230">
        <v>3.0</v>
      </c>
      <c r="G4497" s="232"/>
    </row>
    <row r="4498">
      <c r="A4498" s="2"/>
      <c r="B4498" s="168" t="s">
        <v>413</v>
      </c>
      <c r="C4498" s="168" t="s">
        <v>4747</v>
      </c>
      <c r="D4498" s="229">
        <v>29.5</v>
      </c>
      <c r="E4498" s="229">
        <v>33.0</v>
      </c>
      <c r="F4498" s="230">
        <v>3.0</v>
      </c>
      <c r="G4498" s="232"/>
    </row>
    <row r="4499">
      <c r="A4499" s="2"/>
      <c r="B4499" s="168" t="s">
        <v>232</v>
      </c>
      <c r="C4499" s="168" t="s">
        <v>4748</v>
      </c>
      <c r="D4499" s="229">
        <v>27.5</v>
      </c>
      <c r="E4499" s="229">
        <v>31.0</v>
      </c>
      <c r="F4499" s="230">
        <v>3.0</v>
      </c>
      <c r="G4499" s="232"/>
    </row>
    <row r="4500">
      <c r="A4500" s="2"/>
      <c r="B4500" s="168" t="s">
        <v>215</v>
      </c>
      <c r="C4500" s="168" t="s">
        <v>4749</v>
      </c>
      <c r="D4500" s="229">
        <v>27.5</v>
      </c>
      <c r="E4500" s="229">
        <v>31.0</v>
      </c>
      <c r="F4500" s="230">
        <v>3.0</v>
      </c>
      <c r="G4500" s="232"/>
    </row>
    <row r="4501">
      <c r="A4501" s="2"/>
      <c r="B4501" s="168" t="s">
        <v>302</v>
      </c>
      <c r="C4501" s="168" t="s">
        <v>4750</v>
      </c>
      <c r="D4501" s="229">
        <v>34.5</v>
      </c>
      <c r="E4501" s="229">
        <v>38.0</v>
      </c>
      <c r="F4501" s="230">
        <v>3.0</v>
      </c>
      <c r="G4501" s="232"/>
    </row>
    <row r="4502">
      <c r="A4502" s="2"/>
      <c r="B4502" s="168" t="s">
        <v>381</v>
      </c>
      <c r="C4502" s="168" t="s">
        <v>4751</v>
      </c>
      <c r="D4502" s="229">
        <v>23.5</v>
      </c>
      <c r="E4502" s="229">
        <v>27.0</v>
      </c>
      <c r="F4502" s="230">
        <v>3.0</v>
      </c>
      <c r="G4502" s="232"/>
    </row>
    <row r="4503">
      <c r="A4503" s="2"/>
      <c r="B4503" s="168" t="s">
        <v>337</v>
      </c>
      <c r="C4503" s="168" t="s">
        <v>4752</v>
      </c>
      <c r="D4503" s="229">
        <v>28.5</v>
      </c>
      <c r="E4503" s="229">
        <v>32.0</v>
      </c>
      <c r="F4503" s="230">
        <v>3.0</v>
      </c>
      <c r="G4503" s="232"/>
    </row>
    <row r="4504">
      <c r="A4504" s="2"/>
      <c r="B4504" s="168" t="s">
        <v>217</v>
      </c>
      <c r="C4504" s="168" t="s">
        <v>4753</v>
      </c>
      <c r="D4504" s="229">
        <v>27.5</v>
      </c>
      <c r="E4504" s="229">
        <v>31.0</v>
      </c>
      <c r="F4504" s="230">
        <v>3.0</v>
      </c>
      <c r="G4504" s="232"/>
    </row>
    <row r="4505">
      <c r="A4505" s="2"/>
      <c r="B4505" s="168" t="s">
        <v>254</v>
      </c>
      <c r="C4505" s="168" t="s">
        <v>4754</v>
      </c>
      <c r="D4505" s="229">
        <v>26.5</v>
      </c>
      <c r="E4505" s="229">
        <v>30.0</v>
      </c>
      <c r="F4505" s="230">
        <v>3.0</v>
      </c>
      <c r="G4505" s="232"/>
    </row>
    <row r="4506">
      <c r="A4506" s="2"/>
      <c r="B4506" s="168" t="s">
        <v>345</v>
      </c>
      <c r="C4506" s="168" t="s">
        <v>4755</v>
      </c>
      <c r="D4506" s="229">
        <v>26.0</v>
      </c>
      <c r="E4506" s="229">
        <v>29.5</v>
      </c>
      <c r="F4506" s="230">
        <v>3.0</v>
      </c>
      <c r="G4506" s="232"/>
    </row>
    <row r="4507">
      <c r="A4507" s="2"/>
      <c r="B4507" s="168" t="s">
        <v>345</v>
      </c>
      <c r="C4507" s="168" t="s">
        <v>4756</v>
      </c>
      <c r="D4507" s="229">
        <v>26.5</v>
      </c>
      <c r="E4507" s="229">
        <v>30.0</v>
      </c>
      <c r="F4507" s="230">
        <v>3.0</v>
      </c>
      <c r="G4507" s="232"/>
    </row>
    <row r="4508">
      <c r="A4508" s="2"/>
      <c r="B4508" s="168" t="s">
        <v>285</v>
      </c>
      <c r="C4508" s="168" t="s">
        <v>4757</v>
      </c>
      <c r="D4508" s="229">
        <v>24.5</v>
      </c>
      <c r="E4508" s="229">
        <v>28.0</v>
      </c>
      <c r="F4508" s="230">
        <v>3.0</v>
      </c>
      <c r="G4508" s="232"/>
    </row>
    <row r="4509">
      <c r="A4509" s="2"/>
      <c r="B4509" s="168" t="s">
        <v>217</v>
      </c>
      <c r="C4509" s="168" t="s">
        <v>4758</v>
      </c>
      <c r="D4509" s="229">
        <v>27.5</v>
      </c>
      <c r="E4509" s="229">
        <v>31.0</v>
      </c>
      <c r="F4509" s="230">
        <v>3.0</v>
      </c>
      <c r="G4509" s="232"/>
    </row>
    <row r="4510">
      <c r="A4510" s="2"/>
      <c r="B4510" s="168" t="s">
        <v>288</v>
      </c>
      <c r="C4510" s="168" t="s">
        <v>4759</v>
      </c>
      <c r="D4510" s="229">
        <v>21.5</v>
      </c>
      <c r="E4510" s="229">
        <v>25.0</v>
      </c>
      <c r="F4510" s="230">
        <v>3.0</v>
      </c>
      <c r="G4510" s="232"/>
    </row>
    <row r="4511">
      <c r="A4511" s="2"/>
      <c r="B4511" s="168" t="s">
        <v>269</v>
      </c>
      <c r="C4511" s="168" t="s">
        <v>4760</v>
      </c>
      <c r="D4511" s="229">
        <v>21.5</v>
      </c>
      <c r="E4511" s="229">
        <v>25.0</v>
      </c>
      <c r="F4511" s="230">
        <v>3.0</v>
      </c>
      <c r="G4511" s="232"/>
    </row>
    <row r="4512">
      <c r="A4512" s="2"/>
      <c r="B4512" s="168" t="s">
        <v>241</v>
      </c>
      <c r="C4512" s="168" t="s">
        <v>4761</v>
      </c>
      <c r="D4512" s="229">
        <v>32.5</v>
      </c>
      <c r="E4512" s="229">
        <v>36.0</v>
      </c>
      <c r="F4512" s="230">
        <v>3.0</v>
      </c>
      <c r="G4512" s="232"/>
    </row>
    <row r="4513">
      <c r="A4513" s="2"/>
      <c r="B4513" s="168" t="s">
        <v>368</v>
      </c>
      <c r="C4513" s="168" t="s">
        <v>4762</v>
      </c>
      <c r="D4513" s="229">
        <v>32.5</v>
      </c>
      <c r="E4513" s="229">
        <v>36.0</v>
      </c>
      <c r="F4513" s="230">
        <v>3.0</v>
      </c>
      <c r="G4513" s="232"/>
    </row>
    <row r="4514">
      <c r="A4514" s="2"/>
      <c r="B4514" s="168" t="s">
        <v>273</v>
      </c>
      <c r="C4514" s="168" t="s">
        <v>4763</v>
      </c>
      <c r="D4514" s="229">
        <v>24.5</v>
      </c>
      <c r="E4514" s="229">
        <v>28.0</v>
      </c>
      <c r="F4514" s="230">
        <v>3.0</v>
      </c>
      <c r="G4514" s="232"/>
    </row>
    <row r="4515">
      <c r="A4515" s="2"/>
      <c r="B4515" s="168" t="s">
        <v>239</v>
      </c>
      <c r="C4515" s="168" t="s">
        <v>4764</v>
      </c>
      <c r="D4515" s="229">
        <v>29.5</v>
      </c>
      <c r="E4515" s="229">
        <v>33.0</v>
      </c>
      <c r="F4515" s="230">
        <v>3.0</v>
      </c>
      <c r="G4515" s="232"/>
    </row>
    <row r="4516">
      <c r="A4516" s="2"/>
      <c r="B4516" s="168" t="s">
        <v>223</v>
      </c>
      <c r="C4516" s="168" t="s">
        <v>4765</v>
      </c>
      <c r="D4516" s="229">
        <v>26.5</v>
      </c>
      <c r="E4516" s="229">
        <v>30.0</v>
      </c>
      <c r="F4516" s="230">
        <v>3.0</v>
      </c>
      <c r="G4516" s="232"/>
    </row>
    <row r="4517">
      <c r="A4517" s="2"/>
      <c r="B4517" s="168" t="s">
        <v>337</v>
      </c>
      <c r="C4517" s="168" t="s">
        <v>4766</v>
      </c>
      <c r="D4517" s="229">
        <v>28.5</v>
      </c>
      <c r="E4517" s="229">
        <v>32.0</v>
      </c>
      <c r="F4517" s="230">
        <v>3.0</v>
      </c>
      <c r="G4517" s="232"/>
    </row>
    <row r="4518">
      <c r="A4518" s="2"/>
      <c r="B4518" s="168" t="s">
        <v>232</v>
      </c>
      <c r="C4518" s="168" t="s">
        <v>4767</v>
      </c>
      <c r="D4518" s="229">
        <v>30.0</v>
      </c>
      <c r="E4518" s="229">
        <v>33.5</v>
      </c>
      <c r="F4518" s="230">
        <v>3.0</v>
      </c>
      <c r="G4518" s="232"/>
    </row>
    <row r="4519">
      <c r="A4519" s="2"/>
      <c r="B4519" s="168" t="s">
        <v>449</v>
      </c>
      <c r="C4519" s="168" t="s">
        <v>4768</v>
      </c>
      <c r="D4519" s="229">
        <v>28.5</v>
      </c>
      <c r="E4519" s="229">
        <v>32.0</v>
      </c>
      <c r="F4519" s="230">
        <v>3.0</v>
      </c>
      <c r="G4519" s="232"/>
    </row>
    <row r="4520">
      <c r="A4520" s="2"/>
      <c r="B4520" s="168" t="s">
        <v>255</v>
      </c>
      <c r="C4520" s="168" t="s">
        <v>4769</v>
      </c>
      <c r="D4520" s="229">
        <v>31.5</v>
      </c>
      <c r="E4520" s="229">
        <v>35.0</v>
      </c>
      <c r="F4520" s="230">
        <v>3.0</v>
      </c>
      <c r="G4520" s="232"/>
    </row>
    <row r="4521">
      <c r="A4521" s="2"/>
      <c r="B4521" s="168" t="s">
        <v>215</v>
      </c>
      <c r="C4521" s="168" t="s">
        <v>4770</v>
      </c>
      <c r="D4521" s="229">
        <v>28.0</v>
      </c>
      <c r="E4521" s="229">
        <v>31.5</v>
      </c>
      <c r="F4521" s="230">
        <v>3.0</v>
      </c>
      <c r="G4521" s="232"/>
    </row>
    <row r="4522">
      <c r="A4522" s="2"/>
      <c r="B4522" s="168" t="s">
        <v>535</v>
      </c>
      <c r="C4522" s="168" t="s">
        <v>4771</v>
      </c>
      <c r="D4522" s="229">
        <v>26.5</v>
      </c>
      <c r="E4522" s="229">
        <v>30.0</v>
      </c>
      <c r="F4522" s="230">
        <v>3.0</v>
      </c>
      <c r="G4522" s="232"/>
    </row>
    <row r="4523">
      <c r="A4523" s="2"/>
      <c r="B4523" s="168" t="s">
        <v>241</v>
      </c>
      <c r="C4523" s="168" t="s">
        <v>4772</v>
      </c>
      <c r="D4523" s="229">
        <v>32.5</v>
      </c>
      <c r="E4523" s="229">
        <v>36.0</v>
      </c>
      <c r="F4523" s="230">
        <v>3.0</v>
      </c>
      <c r="G4523" s="232"/>
    </row>
    <row r="4524">
      <c r="A4524" s="2"/>
      <c r="B4524" s="168" t="s">
        <v>249</v>
      </c>
      <c r="C4524" s="168" t="s">
        <v>4773</v>
      </c>
      <c r="D4524" s="229">
        <v>3.0</v>
      </c>
      <c r="E4524" s="229">
        <v>3.0</v>
      </c>
      <c r="F4524" s="230">
        <v>3.0</v>
      </c>
      <c r="G4524" s="232"/>
    </row>
    <row r="4525">
      <c r="A4525" s="2"/>
      <c r="B4525" s="168" t="s">
        <v>223</v>
      </c>
      <c r="C4525" s="168" t="s">
        <v>4774</v>
      </c>
      <c r="D4525" s="229">
        <v>26.5</v>
      </c>
      <c r="E4525" s="229">
        <v>30.0</v>
      </c>
      <c r="F4525" s="230">
        <v>3.0</v>
      </c>
      <c r="G4525" s="232"/>
    </row>
    <row r="4526">
      <c r="A4526" s="2"/>
      <c r="B4526" s="168" t="s">
        <v>217</v>
      </c>
      <c r="C4526" s="168" t="s">
        <v>4775</v>
      </c>
      <c r="D4526" s="229">
        <v>27.5</v>
      </c>
      <c r="E4526" s="229">
        <v>31.0</v>
      </c>
      <c r="F4526" s="230">
        <v>3.0</v>
      </c>
      <c r="G4526" s="232"/>
    </row>
    <row r="4527">
      <c r="A4527" s="2"/>
      <c r="B4527" s="168" t="s">
        <v>230</v>
      </c>
      <c r="C4527" s="168" t="s">
        <v>4776</v>
      </c>
      <c r="D4527" s="229">
        <v>21.5</v>
      </c>
      <c r="E4527" s="229">
        <v>25.0</v>
      </c>
      <c r="F4527" s="230">
        <v>3.0</v>
      </c>
      <c r="G4527" s="232"/>
    </row>
    <row r="4528">
      <c r="A4528" s="2"/>
      <c r="B4528" s="168" t="s">
        <v>215</v>
      </c>
      <c r="C4528" s="168" t="s">
        <v>4777</v>
      </c>
      <c r="D4528" s="229">
        <v>27.5</v>
      </c>
      <c r="E4528" s="229">
        <v>31.0</v>
      </c>
      <c r="F4528" s="230">
        <v>3.0</v>
      </c>
      <c r="G4528" s="232"/>
    </row>
    <row r="4529">
      <c r="A4529" s="2"/>
      <c r="B4529" s="168" t="s">
        <v>337</v>
      </c>
      <c r="C4529" s="168" t="s">
        <v>4778</v>
      </c>
      <c r="D4529" s="229">
        <v>28.5</v>
      </c>
      <c r="E4529" s="229">
        <v>32.0</v>
      </c>
      <c r="F4529" s="230">
        <v>3.0</v>
      </c>
      <c r="G4529" s="232"/>
    </row>
    <row r="4530">
      <c r="A4530" s="2"/>
      <c r="B4530" s="168" t="s">
        <v>377</v>
      </c>
      <c r="C4530" s="168" t="s">
        <v>4779</v>
      </c>
      <c r="D4530" s="229">
        <v>29.5</v>
      </c>
      <c r="E4530" s="229">
        <v>33.0</v>
      </c>
      <c r="F4530" s="230">
        <v>3.0</v>
      </c>
      <c r="G4530" s="232"/>
    </row>
    <row r="4531">
      <c r="A4531" s="2"/>
      <c r="B4531" s="168" t="s">
        <v>280</v>
      </c>
      <c r="C4531" s="168" t="s">
        <v>4780</v>
      </c>
      <c r="D4531" s="229">
        <v>31.5</v>
      </c>
      <c r="E4531" s="229">
        <v>35.0</v>
      </c>
      <c r="F4531" s="230">
        <v>3.0</v>
      </c>
      <c r="G4531" s="232"/>
    </row>
    <row r="4532">
      <c r="A4532" s="2"/>
      <c r="B4532" s="168" t="s">
        <v>337</v>
      </c>
      <c r="C4532" s="168" t="s">
        <v>4781</v>
      </c>
      <c r="D4532" s="229">
        <v>28.5</v>
      </c>
      <c r="E4532" s="229">
        <v>32.0</v>
      </c>
      <c r="F4532" s="230">
        <v>3.0</v>
      </c>
      <c r="G4532" s="232"/>
    </row>
    <row r="4533">
      <c r="A4533" s="2"/>
      <c r="B4533" s="168" t="s">
        <v>232</v>
      </c>
      <c r="C4533" s="168" t="s">
        <v>4782</v>
      </c>
      <c r="D4533" s="229">
        <v>27.5</v>
      </c>
      <c r="E4533" s="229">
        <v>31.0</v>
      </c>
      <c r="F4533" s="230">
        <v>3.0</v>
      </c>
      <c r="G4533" s="232"/>
    </row>
    <row r="4534">
      <c r="A4534" s="2"/>
      <c r="B4534" s="168" t="s">
        <v>296</v>
      </c>
      <c r="C4534" s="168" t="s">
        <v>4783</v>
      </c>
      <c r="D4534" s="229">
        <v>26.5</v>
      </c>
      <c r="E4534" s="229">
        <v>30.0</v>
      </c>
      <c r="F4534" s="230">
        <v>3.0</v>
      </c>
      <c r="G4534" s="232"/>
    </row>
    <row r="4535">
      <c r="A4535" s="2"/>
      <c r="B4535" s="168" t="s">
        <v>290</v>
      </c>
      <c r="C4535" s="168" t="s">
        <v>4784</v>
      </c>
      <c r="D4535" s="229">
        <v>24.5</v>
      </c>
      <c r="E4535" s="229">
        <v>28.0</v>
      </c>
      <c r="F4535" s="230">
        <v>3.0</v>
      </c>
      <c r="G4535" s="232"/>
    </row>
    <row r="4536">
      <c r="A4536" s="2"/>
      <c r="B4536" s="168" t="s">
        <v>245</v>
      </c>
      <c r="C4536" s="168" t="s">
        <v>4785</v>
      </c>
      <c r="D4536" s="229">
        <v>29.0</v>
      </c>
      <c r="E4536" s="229">
        <v>32.5</v>
      </c>
      <c r="F4536" s="230">
        <v>3.0</v>
      </c>
      <c r="G4536" s="232"/>
    </row>
    <row r="4537">
      <c r="A4537" s="2"/>
      <c r="B4537" s="168" t="s">
        <v>581</v>
      </c>
      <c r="C4537" s="168" t="s">
        <v>4786</v>
      </c>
      <c r="D4537" s="229">
        <v>26.0</v>
      </c>
      <c r="E4537" s="229">
        <v>29.5</v>
      </c>
      <c r="F4537" s="230">
        <v>3.0</v>
      </c>
      <c r="G4537" s="232"/>
    </row>
    <row r="4538">
      <c r="A4538" s="2"/>
      <c r="B4538" s="168" t="s">
        <v>438</v>
      </c>
      <c r="C4538" s="168" t="s">
        <v>4787</v>
      </c>
      <c r="D4538" s="229">
        <v>29.5</v>
      </c>
      <c r="E4538" s="229">
        <v>33.0</v>
      </c>
      <c r="F4538" s="230">
        <v>3.0</v>
      </c>
      <c r="G4538" s="232"/>
    </row>
    <row r="4539">
      <c r="A4539" s="2"/>
      <c r="B4539" s="168" t="s">
        <v>430</v>
      </c>
      <c r="C4539" s="168" t="s">
        <v>4788</v>
      </c>
      <c r="D4539" s="229">
        <v>34.5</v>
      </c>
      <c r="E4539" s="229">
        <v>38.0</v>
      </c>
      <c r="F4539" s="230">
        <v>3.0</v>
      </c>
      <c r="G4539" s="232"/>
    </row>
    <row r="4540">
      <c r="A4540" s="2"/>
      <c r="B4540" s="168" t="s">
        <v>290</v>
      </c>
      <c r="C4540" s="168" t="s">
        <v>4789</v>
      </c>
      <c r="D4540" s="229">
        <v>29.5</v>
      </c>
      <c r="E4540" s="229">
        <v>33.0</v>
      </c>
      <c r="F4540" s="230">
        <v>3.0</v>
      </c>
      <c r="G4540" s="232"/>
    </row>
    <row r="4541">
      <c r="A4541" s="2"/>
      <c r="B4541" s="168" t="s">
        <v>241</v>
      </c>
      <c r="C4541" s="168" t="s">
        <v>4790</v>
      </c>
      <c r="D4541" s="229">
        <v>32.5</v>
      </c>
      <c r="E4541" s="229">
        <v>36.0</v>
      </c>
      <c r="F4541" s="230">
        <v>3.0</v>
      </c>
      <c r="G4541" s="232"/>
    </row>
    <row r="4542">
      <c r="A4542" s="2"/>
      <c r="B4542" s="168" t="s">
        <v>290</v>
      </c>
      <c r="C4542" s="168" t="s">
        <v>4791</v>
      </c>
      <c r="D4542" s="229">
        <v>29.5</v>
      </c>
      <c r="E4542" s="229">
        <v>33.0</v>
      </c>
      <c r="F4542" s="230">
        <v>3.0</v>
      </c>
      <c r="G4542" s="232"/>
    </row>
    <row r="4543">
      <c r="A4543" s="2"/>
      <c r="B4543" s="168" t="s">
        <v>241</v>
      </c>
      <c r="C4543" s="168" t="s">
        <v>4792</v>
      </c>
      <c r="D4543" s="229">
        <v>32.5</v>
      </c>
      <c r="E4543" s="229">
        <v>36.0</v>
      </c>
      <c r="F4543" s="230">
        <v>3.0</v>
      </c>
      <c r="G4543" s="232"/>
    </row>
    <row r="4544">
      <c r="A4544" s="2"/>
      <c r="B4544" s="168" t="s">
        <v>241</v>
      </c>
      <c r="C4544" s="168" t="s">
        <v>4793</v>
      </c>
      <c r="D4544" s="229">
        <v>32.5</v>
      </c>
      <c r="E4544" s="229">
        <v>36.0</v>
      </c>
      <c r="F4544" s="230">
        <v>3.0</v>
      </c>
      <c r="G4544" s="232"/>
    </row>
    <row r="4545">
      <c r="A4545" s="2"/>
      <c r="B4545" s="168" t="s">
        <v>255</v>
      </c>
      <c r="C4545" s="168" t="s">
        <v>4794</v>
      </c>
      <c r="D4545" s="229">
        <v>31.5</v>
      </c>
      <c r="E4545" s="229">
        <v>35.0</v>
      </c>
      <c r="F4545" s="230">
        <v>3.0</v>
      </c>
      <c r="G4545" s="232"/>
    </row>
    <row r="4546">
      <c r="A4546" s="2"/>
      <c r="B4546" s="168" t="s">
        <v>328</v>
      </c>
      <c r="C4546" s="168" t="s">
        <v>4795</v>
      </c>
      <c r="D4546" s="229">
        <v>34.5</v>
      </c>
      <c r="E4546" s="229">
        <v>38.0</v>
      </c>
      <c r="F4546" s="230">
        <v>3.0</v>
      </c>
      <c r="G4546" s="232"/>
    </row>
    <row r="4547">
      <c r="A4547" s="2"/>
      <c r="B4547" s="168" t="s">
        <v>219</v>
      </c>
      <c r="C4547" s="168" t="s">
        <v>4796</v>
      </c>
      <c r="D4547" s="229">
        <v>19.5</v>
      </c>
      <c r="E4547" s="229">
        <v>23.0</v>
      </c>
      <c r="F4547" s="230">
        <v>3.0</v>
      </c>
      <c r="G4547" s="232"/>
    </row>
    <row r="4548">
      <c r="A4548" s="2"/>
      <c r="B4548" s="168" t="s">
        <v>332</v>
      </c>
      <c r="C4548" s="168" t="s">
        <v>4797</v>
      </c>
      <c r="D4548" s="229">
        <v>28.5</v>
      </c>
      <c r="E4548" s="229">
        <v>32.0</v>
      </c>
      <c r="F4548" s="230">
        <v>3.0</v>
      </c>
      <c r="G4548" s="232"/>
    </row>
    <row r="4549">
      <c r="A4549" s="2"/>
      <c r="B4549" s="168" t="s">
        <v>290</v>
      </c>
      <c r="C4549" s="168" t="s">
        <v>4798</v>
      </c>
      <c r="D4549" s="229">
        <v>29.0</v>
      </c>
      <c r="E4549" s="229">
        <v>32.5</v>
      </c>
      <c r="F4549" s="230">
        <v>3.0</v>
      </c>
      <c r="G4549" s="232"/>
    </row>
    <row r="4550">
      <c r="A4550" s="2"/>
      <c r="B4550" s="168" t="s">
        <v>430</v>
      </c>
      <c r="C4550" s="168" t="s">
        <v>4799</v>
      </c>
      <c r="D4550" s="229">
        <v>34.5</v>
      </c>
      <c r="E4550" s="229">
        <v>38.0</v>
      </c>
      <c r="F4550" s="230">
        <v>3.0</v>
      </c>
      <c r="G4550" s="232"/>
    </row>
    <row r="4551">
      <c r="A4551" s="2"/>
      <c r="B4551" s="168" t="s">
        <v>269</v>
      </c>
      <c r="C4551" s="168" t="s">
        <v>4800</v>
      </c>
      <c r="D4551" s="229">
        <v>26.5</v>
      </c>
      <c r="E4551" s="229">
        <v>30.0</v>
      </c>
      <c r="F4551" s="230">
        <v>3.0</v>
      </c>
      <c r="G4551" s="232"/>
    </row>
    <row r="4552">
      <c r="A4552" s="2"/>
      <c r="B4552" s="168" t="s">
        <v>232</v>
      </c>
      <c r="C4552" s="168" t="s">
        <v>4801</v>
      </c>
      <c r="D4552" s="229">
        <v>25.5</v>
      </c>
      <c r="E4552" s="229">
        <v>29.0</v>
      </c>
      <c r="F4552" s="230">
        <v>3.0</v>
      </c>
      <c r="G4552" s="232"/>
    </row>
    <row r="4553">
      <c r="A4553" s="2"/>
      <c r="B4553" s="168" t="s">
        <v>230</v>
      </c>
      <c r="C4553" s="168" t="s">
        <v>4802</v>
      </c>
      <c r="D4553" s="229">
        <v>21.5</v>
      </c>
      <c r="E4553" s="229">
        <v>25.0</v>
      </c>
      <c r="F4553" s="230">
        <v>3.0</v>
      </c>
      <c r="G4553" s="232"/>
    </row>
    <row r="4554">
      <c r="A4554" s="2"/>
      <c r="B4554" s="168" t="s">
        <v>230</v>
      </c>
      <c r="C4554" s="168" t="s">
        <v>4803</v>
      </c>
      <c r="D4554" s="229">
        <v>21.5</v>
      </c>
      <c r="E4554" s="229">
        <v>25.0</v>
      </c>
      <c r="F4554" s="230">
        <v>3.0</v>
      </c>
      <c r="G4554" s="232"/>
    </row>
    <row r="4555">
      <c r="A4555" s="2"/>
      <c r="B4555" s="168" t="s">
        <v>257</v>
      </c>
      <c r="C4555" s="168" t="s">
        <v>4804</v>
      </c>
      <c r="D4555" s="229">
        <v>23.5</v>
      </c>
      <c r="E4555" s="229">
        <v>27.0</v>
      </c>
      <c r="F4555" s="230">
        <v>3.0</v>
      </c>
      <c r="G4555" s="232"/>
    </row>
    <row r="4556">
      <c r="A4556" s="2"/>
      <c r="B4556" s="168" t="s">
        <v>241</v>
      </c>
      <c r="C4556" s="168" t="s">
        <v>4805</v>
      </c>
      <c r="D4556" s="229">
        <v>32.5</v>
      </c>
      <c r="E4556" s="229">
        <v>36.0</v>
      </c>
      <c r="F4556" s="230">
        <v>3.0</v>
      </c>
      <c r="G4556" s="232"/>
    </row>
    <row r="4557">
      <c r="A4557" s="2"/>
      <c r="B4557" s="168" t="s">
        <v>290</v>
      </c>
      <c r="C4557" s="168" t="s">
        <v>4806</v>
      </c>
      <c r="D4557" s="229">
        <v>29.5</v>
      </c>
      <c r="E4557" s="229">
        <v>33.0</v>
      </c>
      <c r="F4557" s="230">
        <v>3.0</v>
      </c>
      <c r="G4557" s="232"/>
    </row>
    <row r="4558">
      <c r="A4558" s="2"/>
      <c r="B4558" s="168" t="s">
        <v>255</v>
      </c>
      <c r="C4558" s="168" t="s">
        <v>4807</v>
      </c>
      <c r="D4558" s="229">
        <v>27.5</v>
      </c>
      <c r="E4558" s="229">
        <v>31.0</v>
      </c>
      <c r="F4558" s="230">
        <v>3.0</v>
      </c>
      <c r="G4558" s="232"/>
    </row>
    <row r="4559">
      <c r="A4559" s="2"/>
      <c r="B4559" s="168" t="s">
        <v>337</v>
      </c>
      <c r="C4559" s="168" t="s">
        <v>4808</v>
      </c>
      <c r="D4559" s="229">
        <v>28.5</v>
      </c>
      <c r="E4559" s="229">
        <v>32.0</v>
      </c>
      <c r="F4559" s="230">
        <v>3.0</v>
      </c>
      <c r="G4559" s="232"/>
    </row>
    <row r="4560">
      <c r="A4560" s="2"/>
      <c r="B4560" s="168" t="s">
        <v>269</v>
      </c>
      <c r="C4560" s="168" t="s">
        <v>4809</v>
      </c>
      <c r="D4560" s="229">
        <v>26.5</v>
      </c>
      <c r="E4560" s="229">
        <v>30.0</v>
      </c>
      <c r="F4560" s="230">
        <v>3.0</v>
      </c>
      <c r="G4560" s="232"/>
    </row>
    <row r="4561">
      <c r="A4561" s="2"/>
      <c r="B4561" s="168" t="s">
        <v>337</v>
      </c>
      <c r="C4561" s="168" t="s">
        <v>4810</v>
      </c>
      <c r="D4561" s="229">
        <v>28.5</v>
      </c>
      <c r="E4561" s="229">
        <v>32.0</v>
      </c>
      <c r="F4561" s="230">
        <v>3.0</v>
      </c>
      <c r="G4561" s="232"/>
    </row>
    <row r="4562">
      <c r="A4562" s="2"/>
      <c r="B4562" s="168" t="s">
        <v>290</v>
      </c>
      <c r="C4562" s="168" t="s">
        <v>4811</v>
      </c>
      <c r="D4562" s="229">
        <v>29.5</v>
      </c>
      <c r="E4562" s="229">
        <v>33.0</v>
      </c>
      <c r="F4562" s="230">
        <v>3.0</v>
      </c>
      <c r="G4562" s="232"/>
    </row>
    <row r="4563">
      <c r="A4563" s="2"/>
      <c r="B4563" s="168" t="s">
        <v>381</v>
      </c>
      <c r="C4563" s="168" t="s">
        <v>4812</v>
      </c>
      <c r="D4563" s="229">
        <v>27.5</v>
      </c>
      <c r="E4563" s="229">
        <v>31.0</v>
      </c>
      <c r="F4563" s="230">
        <v>3.0</v>
      </c>
      <c r="G4563" s="232"/>
    </row>
    <row r="4564">
      <c r="A4564" s="2"/>
      <c r="B4564" s="168" t="s">
        <v>217</v>
      </c>
      <c r="C4564" s="168" t="s">
        <v>4813</v>
      </c>
      <c r="D4564" s="229">
        <v>22.5</v>
      </c>
      <c r="E4564" s="229">
        <v>26.0</v>
      </c>
      <c r="F4564" s="230">
        <v>3.0</v>
      </c>
      <c r="G4564" s="232"/>
    </row>
    <row r="4565">
      <c r="A4565" s="2"/>
      <c r="B4565" s="168" t="s">
        <v>335</v>
      </c>
      <c r="C4565" s="168" t="s">
        <v>4814</v>
      </c>
      <c r="D4565" s="229">
        <v>34.5</v>
      </c>
      <c r="E4565" s="229">
        <v>38.0</v>
      </c>
      <c r="F4565" s="230">
        <v>3.0</v>
      </c>
      <c r="G4565" s="232"/>
    </row>
    <row r="4566">
      <c r="A4566" s="2"/>
      <c r="B4566" s="168" t="s">
        <v>328</v>
      </c>
      <c r="C4566" s="168" t="s">
        <v>4815</v>
      </c>
      <c r="D4566" s="229">
        <v>34.5</v>
      </c>
      <c r="E4566" s="229">
        <v>38.0</v>
      </c>
      <c r="F4566" s="230">
        <v>3.0</v>
      </c>
      <c r="G4566" s="232"/>
    </row>
    <row r="4567">
      <c r="A4567" s="2"/>
      <c r="B4567" s="168" t="s">
        <v>232</v>
      </c>
      <c r="C4567" s="168" t="s">
        <v>4816</v>
      </c>
      <c r="D4567" s="229">
        <v>25.5</v>
      </c>
      <c r="E4567" s="229">
        <v>29.0</v>
      </c>
      <c r="F4567" s="230">
        <v>3.0</v>
      </c>
      <c r="G4567" s="232"/>
    </row>
    <row r="4568">
      <c r="A4568" s="2"/>
      <c r="B4568" s="168" t="s">
        <v>337</v>
      </c>
      <c r="C4568" s="168" t="s">
        <v>4817</v>
      </c>
      <c r="D4568" s="229">
        <v>20.5</v>
      </c>
      <c r="E4568" s="229">
        <v>24.0</v>
      </c>
      <c r="F4568" s="230">
        <v>3.0</v>
      </c>
      <c r="G4568" s="232"/>
    </row>
    <row r="4569">
      <c r="A4569" s="2"/>
      <c r="B4569" s="168" t="s">
        <v>217</v>
      </c>
      <c r="C4569" s="168" t="s">
        <v>4818</v>
      </c>
      <c r="D4569" s="229">
        <v>27.5</v>
      </c>
      <c r="E4569" s="229">
        <v>31.0</v>
      </c>
      <c r="F4569" s="230">
        <v>3.0</v>
      </c>
      <c r="G4569" s="232"/>
    </row>
    <row r="4570">
      <c r="A4570" s="2"/>
      <c r="B4570" s="168" t="s">
        <v>345</v>
      </c>
      <c r="C4570" s="168" t="s">
        <v>4819</v>
      </c>
      <c r="D4570" s="229">
        <v>26.5</v>
      </c>
      <c r="E4570" s="229">
        <v>30.0</v>
      </c>
      <c r="F4570" s="230">
        <v>3.0</v>
      </c>
      <c r="G4570" s="232"/>
    </row>
    <row r="4571">
      <c r="A4571" s="2"/>
      <c r="B4571" s="168" t="s">
        <v>446</v>
      </c>
      <c r="C4571" s="168" t="s">
        <v>4820</v>
      </c>
      <c r="D4571" s="229">
        <v>4.5</v>
      </c>
      <c r="E4571" s="229">
        <v>4.5</v>
      </c>
      <c r="F4571" s="230">
        <v>3.0</v>
      </c>
      <c r="G4571" s="232"/>
    </row>
    <row r="4572">
      <c r="A4572" s="2"/>
      <c r="B4572" s="168" t="s">
        <v>269</v>
      </c>
      <c r="C4572" s="168" t="s">
        <v>4821</v>
      </c>
      <c r="D4572" s="229">
        <v>26.5</v>
      </c>
      <c r="E4572" s="229">
        <v>30.0</v>
      </c>
      <c r="F4572" s="230">
        <v>3.0</v>
      </c>
      <c r="G4572" s="232"/>
    </row>
    <row r="4573">
      <c r="A4573" s="2"/>
      <c r="B4573" s="168" t="s">
        <v>318</v>
      </c>
      <c r="C4573" s="168" t="s">
        <v>4822</v>
      </c>
      <c r="D4573" s="229">
        <v>25.5</v>
      </c>
      <c r="E4573" s="229">
        <v>29.0</v>
      </c>
      <c r="F4573" s="230">
        <v>3.0</v>
      </c>
      <c r="G4573" s="232"/>
    </row>
    <row r="4574">
      <c r="A4574" s="2"/>
      <c r="B4574" s="168" t="s">
        <v>269</v>
      </c>
      <c r="C4574" s="168" t="s">
        <v>4823</v>
      </c>
      <c r="D4574" s="229">
        <v>21.5</v>
      </c>
      <c r="E4574" s="229">
        <v>25.0</v>
      </c>
      <c r="F4574" s="230">
        <v>3.0</v>
      </c>
      <c r="G4574" s="232"/>
    </row>
    <row r="4575">
      <c r="A4575" s="2"/>
      <c r="B4575" s="168" t="s">
        <v>300</v>
      </c>
      <c r="C4575" s="168" t="s">
        <v>4824</v>
      </c>
      <c r="D4575" s="229">
        <v>27.5</v>
      </c>
      <c r="E4575" s="229">
        <v>31.0</v>
      </c>
      <c r="F4575" s="230">
        <v>3.0</v>
      </c>
      <c r="G4575" s="232"/>
    </row>
    <row r="4576">
      <c r="A4576" s="2"/>
      <c r="B4576" s="168" t="s">
        <v>288</v>
      </c>
      <c r="C4576" s="168" t="s">
        <v>4825</v>
      </c>
      <c r="D4576" s="229">
        <v>21.5</v>
      </c>
      <c r="E4576" s="229">
        <v>25.0</v>
      </c>
      <c r="F4576" s="230">
        <v>3.0</v>
      </c>
      <c r="G4576" s="232"/>
    </row>
    <row r="4577">
      <c r="A4577" s="2"/>
      <c r="B4577" s="168" t="s">
        <v>296</v>
      </c>
      <c r="C4577" s="168" t="s">
        <v>4826</v>
      </c>
      <c r="D4577" s="229">
        <v>26.5</v>
      </c>
      <c r="E4577" s="229">
        <v>30.0</v>
      </c>
      <c r="F4577" s="230">
        <v>3.0</v>
      </c>
      <c r="G4577" s="232"/>
    </row>
    <row r="4578">
      <c r="A4578" s="2"/>
      <c r="B4578" s="168" t="s">
        <v>296</v>
      </c>
      <c r="C4578" s="168" t="s">
        <v>4827</v>
      </c>
      <c r="D4578" s="229">
        <v>26.5</v>
      </c>
      <c r="E4578" s="229">
        <v>30.0</v>
      </c>
      <c r="F4578" s="230">
        <v>3.0</v>
      </c>
      <c r="G4578" s="232"/>
    </row>
    <row r="4579">
      <c r="A4579" s="2"/>
      <c r="B4579" s="168" t="s">
        <v>215</v>
      </c>
      <c r="C4579" s="168" t="s">
        <v>4828</v>
      </c>
      <c r="D4579" s="229">
        <v>27.5</v>
      </c>
      <c r="E4579" s="229">
        <v>31.0</v>
      </c>
      <c r="F4579" s="230">
        <v>3.0</v>
      </c>
      <c r="G4579" s="232"/>
    </row>
    <row r="4580">
      <c r="A4580" s="2"/>
      <c r="B4580" s="168" t="s">
        <v>245</v>
      </c>
      <c r="C4580" s="168" t="s">
        <v>4829</v>
      </c>
      <c r="D4580" s="229">
        <v>29.5</v>
      </c>
      <c r="E4580" s="229">
        <v>33.0</v>
      </c>
      <c r="F4580" s="230">
        <v>3.0</v>
      </c>
      <c r="G4580" s="232"/>
    </row>
    <row r="4581">
      <c r="A4581" s="2"/>
      <c r="B4581" s="168" t="s">
        <v>830</v>
      </c>
      <c r="C4581" s="168" t="s">
        <v>4830</v>
      </c>
      <c r="D4581" s="229">
        <v>24.5</v>
      </c>
      <c r="E4581" s="229">
        <v>28.0</v>
      </c>
      <c r="F4581" s="230">
        <v>3.0</v>
      </c>
      <c r="G4581" s="232"/>
    </row>
    <row r="4582">
      <c r="A4582" s="2"/>
      <c r="B4582" s="168" t="s">
        <v>247</v>
      </c>
      <c r="C4582" s="168" t="s">
        <v>4831</v>
      </c>
      <c r="D4582" s="229">
        <v>29.0</v>
      </c>
      <c r="E4582" s="229">
        <v>32.5</v>
      </c>
      <c r="F4582" s="230">
        <v>3.0</v>
      </c>
      <c r="G4582" s="232"/>
    </row>
    <row r="4583">
      <c r="A4583" s="2"/>
      <c r="B4583" s="168" t="s">
        <v>241</v>
      </c>
      <c r="C4583" s="168" t="s">
        <v>4832</v>
      </c>
      <c r="D4583" s="229">
        <v>32.5</v>
      </c>
      <c r="E4583" s="229">
        <v>36.0</v>
      </c>
      <c r="F4583" s="230">
        <v>3.0</v>
      </c>
      <c r="G4583" s="232"/>
    </row>
    <row r="4584">
      <c r="A4584" s="2"/>
      <c r="B4584" s="168" t="s">
        <v>215</v>
      </c>
      <c r="C4584" s="168" t="s">
        <v>4833</v>
      </c>
      <c r="D4584" s="229">
        <v>27.5</v>
      </c>
      <c r="E4584" s="229">
        <v>31.0</v>
      </c>
      <c r="F4584" s="230">
        <v>3.0</v>
      </c>
      <c r="G4584" s="232"/>
    </row>
    <row r="4585">
      <c r="A4585" s="2"/>
      <c r="B4585" s="168" t="s">
        <v>368</v>
      </c>
      <c r="C4585" s="168" t="s">
        <v>4834</v>
      </c>
      <c r="D4585" s="229">
        <v>32.5</v>
      </c>
      <c r="E4585" s="229">
        <v>36.0</v>
      </c>
      <c r="F4585" s="230">
        <v>3.0</v>
      </c>
      <c r="G4585" s="232"/>
    </row>
    <row r="4586">
      <c r="A4586" s="2"/>
      <c r="B4586" s="168" t="s">
        <v>234</v>
      </c>
      <c r="C4586" s="168" t="s">
        <v>4835</v>
      </c>
      <c r="D4586" s="229">
        <v>24.5</v>
      </c>
      <c r="E4586" s="229">
        <v>28.0</v>
      </c>
      <c r="F4586" s="230">
        <v>3.0</v>
      </c>
      <c r="G4586" s="232"/>
    </row>
    <row r="4587">
      <c r="A4587" s="2"/>
      <c r="B4587" s="168" t="s">
        <v>574</v>
      </c>
      <c r="C4587" s="168" t="s">
        <v>4836</v>
      </c>
      <c r="D4587" s="229">
        <v>34.5</v>
      </c>
      <c r="E4587" s="229">
        <v>38.0</v>
      </c>
      <c r="F4587" s="230">
        <v>3.0</v>
      </c>
      <c r="G4587" s="232"/>
    </row>
    <row r="4588">
      <c r="A4588" s="2"/>
      <c r="B4588" s="168" t="s">
        <v>245</v>
      </c>
      <c r="C4588" s="168" t="s">
        <v>4837</v>
      </c>
      <c r="D4588" s="229">
        <v>29.5</v>
      </c>
      <c r="E4588" s="229">
        <v>33.0</v>
      </c>
      <c r="F4588" s="230">
        <v>3.0</v>
      </c>
      <c r="G4588" s="232"/>
    </row>
    <row r="4589">
      <c r="A4589" s="2"/>
      <c r="B4589" s="168" t="s">
        <v>576</v>
      </c>
      <c r="C4589" s="168" t="s">
        <v>4838</v>
      </c>
      <c r="D4589" s="229">
        <v>24.5</v>
      </c>
      <c r="E4589" s="229">
        <v>28.0</v>
      </c>
      <c r="F4589" s="230">
        <v>3.0</v>
      </c>
      <c r="G4589" s="232"/>
    </row>
    <row r="4590">
      <c r="A4590" s="2"/>
      <c r="B4590" s="168" t="s">
        <v>328</v>
      </c>
      <c r="C4590" s="168" t="s">
        <v>4839</v>
      </c>
      <c r="D4590" s="229">
        <v>34.5</v>
      </c>
      <c r="E4590" s="229">
        <v>38.0</v>
      </c>
      <c r="F4590" s="230">
        <v>3.0</v>
      </c>
      <c r="G4590" s="232"/>
    </row>
    <row r="4591">
      <c r="A4591" s="2"/>
      <c r="B4591" s="168" t="s">
        <v>232</v>
      </c>
      <c r="C4591" s="168" t="s">
        <v>4840</v>
      </c>
      <c r="D4591" s="229">
        <v>25.0</v>
      </c>
      <c r="E4591" s="229">
        <v>28.5</v>
      </c>
      <c r="F4591" s="230">
        <v>3.0</v>
      </c>
      <c r="G4591" s="232"/>
    </row>
    <row r="4592">
      <c r="A4592" s="2"/>
      <c r="B4592" s="168" t="s">
        <v>239</v>
      </c>
      <c r="C4592" s="168" t="s">
        <v>4841</v>
      </c>
      <c r="D4592" s="229">
        <v>29.5</v>
      </c>
      <c r="E4592" s="229">
        <v>33.0</v>
      </c>
      <c r="F4592" s="230">
        <v>3.0</v>
      </c>
      <c r="G4592" s="232"/>
    </row>
    <row r="4593">
      <c r="A4593" s="2"/>
      <c r="B4593" s="168" t="s">
        <v>413</v>
      </c>
      <c r="C4593" s="168" t="s">
        <v>4842</v>
      </c>
      <c r="D4593" s="229">
        <v>29.5</v>
      </c>
      <c r="E4593" s="229">
        <v>33.0</v>
      </c>
      <c r="F4593" s="230">
        <v>3.0</v>
      </c>
      <c r="G4593" s="232"/>
    </row>
    <row r="4594">
      <c r="A4594" s="2"/>
      <c r="B4594" s="168" t="s">
        <v>288</v>
      </c>
      <c r="C4594" s="168" t="s">
        <v>4843</v>
      </c>
      <c r="D4594" s="229">
        <v>21.5</v>
      </c>
      <c r="E4594" s="229">
        <v>25.0</v>
      </c>
      <c r="F4594" s="230">
        <v>3.0</v>
      </c>
      <c r="G4594" s="232"/>
    </row>
    <row r="4595">
      <c r="A4595" s="2"/>
      <c r="B4595" s="168" t="s">
        <v>241</v>
      </c>
      <c r="C4595" s="168" t="s">
        <v>4844</v>
      </c>
      <c r="D4595" s="229">
        <v>32.5</v>
      </c>
      <c r="E4595" s="229">
        <v>36.0</v>
      </c>
      <c r="F4595" s="230">
        <v>3.0</v>
      </c>
      <c r="G4595" s="232"/>
    </row>
    <row r="4596">
      <c r="A4596" s="2"/>
      <c r="B4596" s="168" t="s">
        <v>300</v>
      </c>
      <c r="C4596" s="168" t="s">
        <v>4845</v>
      </c>
      <c r="D4596" s="229">
        <v>27.0</v>
      </c>
      <c r="E4596" s="229">
        <v>30.5</v>
      </c>
      <c r="F4596" s="230">
        <v>3.0</v>
      </c>
      <c r="G4596" s="232"/>
    </row>
    <row r="4597">
      <c r="A4597" s="2"/>
      <c r="B4597" s="168" t="s">
        <v>217</v>
      </c>
      <c r="C4597" s="168" t="s">
        <v>4846</v>
      </c>
      <c r="D4597" s="229">
        <v>27.5</v>
      </c>
      <c r="E4597" s="229">
        <v>31.0</v>
      </c>
      <c r="F4597" s="230">
        <v>3.0</v>
      </c>
      <c r="G4597" s="232"/>
    </row>
    <row r="4598">
      <c r="A4598" s="2"/>
      <c r="B4598" s="168" t="s">
        <v>290</v>
      </c>
      <c r="C4598" s="168" t="s">
        <v>4847</v>
      </c>
      <c r="D4598" s="229">
        <v>24.5</v>
      </c>
      <c r="E4598" s="229">
        <v>28.0</v>
      </c>
      <c r="F4598" s="230">
        <v>3.0</v>
      </c>
      <c r="G4598" s="232"/>
    </row>
    <row r="4599">
      <c r="A4599" s="2"/>
      <c r="B4599" s="168" t="s">
        <v>241</v>
      </c>
      <c r="C4599" s="168" t="s">
        <v>4848</v>
      </c>
      <c r="D4599" s="229">
        <v>32.5</v>
      </c>
      <c r="E4599" s="229">
        <v>36.0</v>
      </c>
      <c r="F4599" s="230">
        <v>3.0</v>
      </c>
      <c r="G4599" s="232"/>
    </row>
    <row r="4600">
      <c r="A4600" s="2"/>
      <c r="B4600" s="168" t="s">
        <v>241</v>
      </c>
      <c r="C4600" s="168" t="s">
        <v>4849</v>
      </c>
      <c r="D4600" s="229">
        <v>32.5</v>
      </c>
      <c r="E4600" s="229">
        <v>36.0</v>
      </c>
      <c r="F4600" s="230">
        <v>3.0</v>
      </c>
      <c r="G4600" s="232"/>
    </row>
    <row r="4601">
      <c r="A4601" s="2"/>
      <c r="B4601" s="168" t="s">
        <v>288</v>
      </c>
      <c r="C4601" s="168" t="s">
        <v>4850</v>
      </c>
      <c r="D4601" s="229">
        <v>21.5</v>
      </c>
      <c r="E4601" s="229">
        <v>25.0</v>
      </c>
      <c r="F4601" s="230">
        <v>3.0</v>
      </c>
      <c r="G4601" s="232"/>
    </row>
    <row r="4602">
      <c r="A4602" s="2"/>
      <c r="B4602" s="168" t="s">
        <v>230</v>
      </c>
      <c r="C4602" s="168" t="s">
        <v>4851</v>
      </c>
      <c r="D4602" s="229">
        <v>21.5</v>
      </c>
      <c r="E4602" s="229">
        <v>25.0</v>
      </c>
      <c r="F4602" s="230">
        <v>3.0</v>
      </c>
      <c r="G4602" s="232"/>
    </row>
    <row r="4603">
      <c r="A4603" s="2"/>
      <c r="B4603" s="168" t="s">
        <v>288</v>
      </c>
      <c r="C4603" s="168" t="s">
        <v>4852</v>
      </c>
      <c r="D4603" s="229">
        <v>21.5</v>
      </c>
      <c r="E4603" s="229">
        <v>25.0</v>
      </c>
      <c r="F4603" s="230">
        <v>3.0</v>
      </c>
      <c r="G4603" s="232"/>
    </row>
    <row r="4604">
      <c r="A4604" s="2"/>
      <c r="B4604" s="168" t="s">
        <v>217</v>
      </c>
      <c r="C4604" s="168" t="s">
        <v>4853</v>
      </c>
      <c r="D4604" s="229">
        <v>27.5</v>
      </c>
      <c r="E4604" s="229">
        <v>31.0</v>
      </c>
      <c r="F4604" s="230">
        <v>3.0</v>
      </c>
      <c r="G4604" s="232"/>
    </row>
    <row r="4605">
      <c r="A4605" s="2"/>
      <c r="B4605" s="168" t="s">
        <v>257</v>
      </c>
      <c r="C4605" s="168" t="s">
        <v>4854</v>
      </c>
      <c r="D4605" s="229">
        <v>28.5</v>
      </c>
      <c r="E4605" s="229">
        <v>32.0</v>
      </c>
      <c r="F4605" s="230">
        <v>3.0</v>
      </c>
      <c r="G4605" s="232"/>
    </row>
    <row r="4606">
      <c r="A4606" s="2"/>
      <c r="B4606" s="168" t="s">
        <v>217</v>
      </c>
      <c r="C4606" s="168" t="s">
        <v>4855</v>
      </c>
      <c r="D4606" s="229">
        <v>27.5</v>
      </c>
      <c r="E4606" s="229">
        <v>31.0</v>
      </c>
      <c r="F4606" s="230">
        <v>3.0</v>
      </c>
      <c r="G4606" s="232"/>
    </row>
    <row r="4607">
      <c r="A4607" s="2"/>
      <c r="B4607" s="168" t="s">
        <v>223</v>
      </c>
      <c r="C4607" s="168" t="s">
        <v>4856</v>
      </c>
      <c r="D4607" s="229">
        <v>21.5</v>
      </c>
      <c r="E4607" s="229">
        <v>25.0</v>
      </c>
      <c r="F4607" s="230">
        <v>3.0</v>
      </c>
      <c r="G4607" s="232"/>
    </row>
    <row r="4608">
      <c r="A4608" s="2"/>
      <c r="B4608" s="168" t="s">
        <v>215</v>
      </c>
      <c r="C4608" s="168" t="s">
        <v>4857</v>
      </c>
      <c r="D4608" s="229">
        <v>27.5</v>
      </c>
      <c r="E4608" s="229">
        <v>31.0</v>
      </c>
      <c r="F4608" s="230">
        <v>3.0</v>
      </c>
      <c r="G4608" s="232"/>
    </row>
    <row r="4609">
      <c r="A4609" s="2"/>
      <c r="B4609" s="168" t="s">
        <v>413</v>
      </c>
      <c r="C4609" s="168" t="s">
        <v>4858</v>
      </c>
      <c r="D4609" s="229">
        <v>29.5</v>
      </c>
      <c r="E4609" s="229">
        <v>33.0</v>
      </c>
      <c r="F4609" s="230">
        <v>3.0</v>
      </c>
      <c r="G4609" s="232"/>
    </row>
    <row r="4610">
      <c r="A4610" s="2"/>
      <c r="B4610" s="168" t="s">
        <v>427</v>
      </c>
      <c r="C4610" s="168" t="s">
        <v>4859</v>
      </c>
      <c r="D4610" s="229">
        <v>26.5</v>
      </c>
      <c r="E4610" s="229">
        <v>30.0</v>
      </c>
      <c r="F4610" s="230">
        <v>3.0</v>
      </c>
      <c r="G4610" s="232"/>
    </row>
    <row r="4611">
      <c r="A4611" s="2"/>
      <c r="B4611" s="168" t="s">
        <v>271</v>
      </c>
      <c r="C4611" s="168" t="s">
        <v>4860</v>
      </c>
      <c r="D4611" s="229">
        <v>31.5</v>
      </c>
      <c r="E4611" s="229">
        <v>35.0</v>
      </c>
      <c r="F4611" s="230">
        <v>3.0</v>
      </c>
      <c r="G4611" s="232"/>
    </row>
    <row r="4612">
      <c r="A4612" s="2"/>
      <c r="B4612" s="168" t="s">
        <v>241</v>
      </c>
      <c r="C4612" s="168" t="s">
        <v>4861</v>
      </c>
      <c r="D4612" s="229">
        <v>31.0</v>
      </c>
      <c r="E4612" s="229">
        <v>34.5</v>
      </c>
      <c r="F4612" s="230">
        <v>3.0</v>
      </c>
      <c r="G4612" s="232"/>
    </row>
    <row r="4613">
      <c r="A4613" s="2"/>
      <c r="B4613" s="168" t="s">
        <v>241</v>
      </c>
      <c r="C4613" s="168" t="s">
        <v>4862</v>
      </c>
      <c r="D4613" s="229">
        <v>31.5</v>
      </c>
      <c r="E4613" s="229">
        <v>35.0</v>
      </c>
      <c r="F4613" s="230">
        <v>3.0</v>
      </c>
      <c r="G4613" s="232"/>
    </row>
    <row r="4614">
      <c r="A4614" s="2"/>
      <c r="B4614" s="168" t="s">
        <v>574</v>
      </c>
      <c r="C4614" s="168" t="s">
        <v>4863</v>
      </c>
      <c r="D4614" s="229">
        <v>34.5</v>
      </c>
      <c r="E4614" s="229">
        <v>38.0</v>
      </c>
      <c r="F4614" s="230">
        <v>3.0</v>
      </c>
      <c r="G4614" s="232"/>
    </row>
    <row r="4615">
      <c r="A4615" s="2"/>
      <c r="B4615" s="168" t="s">
        <v>215</v>
      </c>
      <c r="C4615" s="168" t="s">
        <v>4864</v>
      </c>
      <c r="D4615" s="229">
        <v>27.5</v>
      </c>
      <c r="E4615" s="229">
        <v>31.0</v>
      </c>
      <c r="F4615" s="230">
        <v>3.0</v>
      </c>
      <c r="G4615" s="232"/>
    </row>
    <row r="4616">
      <c r="A4616" s="2"/>
      <c r="B4616" s="168" t="s">
        <v>236</v>
      </c>
      <c r="C4616" s="168" t="s">
        <v>4865</v>
      </c>
      <c r="D4616" s="229">
        <v>34.5</v>
      </c>
      <c r="E4616" s="229">
        <v>38.0</v>
      </c>
      <c r="F4616" s="230">
        <v>3.0</v>
      </c>
      <c r="G4616" s="232"/>
    </row>
    <row r="4617">
      <c r="A4617" s="2"/>
      <c r="B4617" s="168" t="s">
        <v>271</v>
      </c>
      <c r="C4617" s="168" t="s">
        <v>4866</v>
      </c>
      <c r="D4617" s="229">
        <v>30.5</v>
      </c>
      <c r="E4617" s="229">
        <v>34.0</v>
      </c>
      <c r="F4617" s="230">
        <v>3.0</v>
      </c>
      <c r="G4617" s="232"/>
    </row>
    <row r="4618">
      <c r="A4618" s="2"/>
      <c r="B4618" s="168" t="s">
        <v>255</v>
      </c>
      <c r="C4618" s="168" t="s">
        <v>4867</v>
      </c>
      <c r="D4618" s="229">
        <v>31.5</v>
      </c>
      <c r="E4618" s="229">
        <v>35.0</v>
      </c>
      <c r="F4618" s="230">
        <v>3.0</v>
      </c>
      <c r="G4618" s="232"/>
    </row>
    <row r="4619">
      <c r="A4619" s="2"/>
      <c r="B4619" s="168" t="s">
        <v>288</v>
      </c>
      <c r="C4619" s="168" t="s">
        <v>4868</v>
      </c>
      <c r="D4619" s="229">
        <v>21.5</v>
      </c>
      <c r="E4619" s="229">
        <v>25.0</v>
      </c>
      <c r="F4619" s="230">
        <v>3.0</v>
      </c>
      <c r="G4619" s="232"/>
    </row>
    <row r="4620">
      <c r="A4620" s="2"/>
      <c r="B4620" s="168" t="s">
        <v>328</v>
      </c>
      <c r="C4620" s="168" t="s">
        <v>4869</v>
      </c>
      <c r="D4620" s="229">
        <v>34.5</v>
      </c>
      <c r="E4620" s="229">
        <v>38.0</v>
      </c>
      <c r="F4620" s="230">
        <v>3.0</v>
      </c>
      <c r="G4620" s="232"/>
    </row>
    <row r="4621">
      <c r="A4621" s="2"/>
      <c r="B4621" s="168" t="s">
        <v>232</v>
      </c>
      <c r="C4621" s="168" t="s">
        <v>4870</v>
      </c>
      <c r="D4621" s="229">
        <v>31.5</v>
      </c>
      <c r="E4621" s="229">
        <v>35.0</v>
      </c>
      <c r="F4621" s="230">
        <v>3.0</v>
      </c>
      <c r="G4621" s="232"/>
    </row>
    <row r="4622">
      <c r="A4622" s="2"/>
      <c r="B4622" s="168" t="s">
        <v>290</v>
      </c>
      <c r="C4622" s="168" t="s">
        <v>4871</v>
      </c>
      <c r="D4622" s="229">
        <v>29.5</v>
      </c>
      <c r="E4622" s="229">
        <v>33.0</v>
      </c>
      <c r="F4622" s="230">
        <v>3.0</v>
      </c>
      <c r="G4622" s="232"/>
    </row>
    <row r="4623">
      <c r="A4623" s="2"/>
      <c r="B4623" s="168" t="s">
        <v>273</v>
      </c>
      <c r="C4623" s="168" t="s">
        <v>4872</v>
      </c>
      <c r="D4623" s="229">
        <v>29.5</v>
      </c>
      <c r="E4623" s="229">
        <v>33.0</v>
      </c>
      <c r="F4623" s="230">
        <v>3.0</v>
      </c>
      <c r="G4623" s="232"/>
    </row>
    <row r="4624">
      <c r="A4624" s="2"/>
      <c r="B4624" s="168" t="s">
        <v>217</v>
      </c>
      <c r="C4624" s="168" t="s">
        <v>4873</v>
      </c>
      <c r="D4624" s="229">
        <v>27.5</v>
      </c>
      <c r="E4624" s="229">
        <v>31.0</v>
      </c>
      <c r="F4624" s="230">
        <v>3.0</v>
      </c>
      <c r="G4624" s="232"/>
    </row>
    <row r="4625">
      <c r="A4625" s="2"/>
      <c r="B4625" s="168" t="s">
        <v>328</v>
      </c>
      <c r="C4625" s="168" t="s">
        <v>4874</v>
      </c>
      <c r="D4625" s="229">
        <v>34.5</v>
      </c>
      <c r="E4625" s="229">
        <v>38.0</v>
      </c>
      <c r="F4625" s="230">
        <v>3.0</v>
      </c>
      <c r="G4625" s="232"/>
    </row>
    <row r="4626">
      <c r="A4626" s="2"/>
      <c r="B4626" s="168" t="s">
        <v>368</v>
      </c>
      <c r="C4626" s="168" t="s">
        <v>4875</v>
      </c>
      <c r="D4626" s="229">
        <v>32.5</v>
      </c>
      <c r="E4626" s="229">
        <v>36.0</v>
      </c>
      <c r="F4626" s="230">
        <v>3.0</v>
      </c>
      <c r="G4626" s="232"/>
    </row>
    <row r="4627">
      <c r="A4627" s="2"/>
      <c r="B4627" s="168" t="s">
        <v>230</v>
      </c>
      <c r="C4627" s="168" t="s">
        <v>4876</v>
      </c>
      <c r="D4627" s="229">
        <v>16.5</v>
      </c>
      <c r="E4627" s="229">
        <v>20.0</v>
      </c>
      <c r="F4627" s="230">
        <v>3.0</v>
      </c>
      <c r="G4627" s="232"/>
    </row>
    <row r="4628">
      <c r="A4628" s="2"/>
      <c r="B4628" s="168" t="s">
        <v>535</v>
      </c>
      <c r="C4628" s="168" t="s">
        <v>4877</v>
      </c>
      <c r="D4628" s="229">
        <v>26.5</v>
      </c>
      <c r="E4628" s="229">
        <v>30.0</v>
      </c>
      <c r="F4628" s="230">
        <v>3.0</v>
      </c>
      <c r="G4628" s="232"/>
    </row>
    <row r="4629">
      <c r="A4629" s="2"/>
      <c r="B4629" s="168" t="s">
        <v>1311</v>
      </c>
      <c r="C4629" s="168" t="s">
        <v>4878</v>
      </c>
      <c r="D4629" s="229">
        <v>28.5</v>
      </c>
      <c r="E4629" s="229">
        <v>32.0</v>
      </c>
      <c r="F4629" s="230">
        <v>3.0</v>
      </c>
      <c r="G4629" s="232"/>
    </row>
    <row r="4630">
      <c r="A4630" s="2"/>
      <c r="B4630" s="168" t="s">
        <v>239</v>
      </c>
      <c r="C4630" s="168" t="s">
        <v>4879</v>
      </c>
      <c r="D4630" s="229">
        <v>29.5</v>
      </c>
      <c r="E4630" s="229">
        <v>33.0</v>
      </c>
      <c r="F4630" s="230">
        <v>3.0</v>
      </c>
      <c r="G4630" s="232"/>
    </row>
    <row r="4631">
      <c r="A4631" s="2"/>
      <c r="B4631" s="168" t="s">
        <v>232</v>
      </c>
      <c r="C4631" s="168" t="s">
        <v>4880</v>
      </c>
      <c r="D4631" s="229">
        <v>31.5</v>
      </c>
      <c r="E4631" s="229">
        <v>35.0</v>
      </c>
      <c r="F4631" s="230">
        <v>3.0</v>
      </c>
      <c r="G4631" s="232"/>
    </row>
    <row r="4632">
      <c r="A4632" s="2"/>
      <c r="B4632" s="168" t="s">
        <v>232</v>
      </c>
      <c r="C4632" s="168" t="s">
        <v>4881</v>
      </c>
      <c r="D4632" s="229">
        <v>31.5</v>
      </c>
      <c r="E4632" s="229">
        <v>35.0</v>
      </c>
      <c r="F4632" s="230">
        <v>3.0</v>
      </c>
      <c r="G4632" s="232"/>
    </row>
    <row r="4633">
      <c r="A4633" s="2"/>
      <c r="B4633" s="168" t="s">
        <v>937</v>
      </c>
      <c r="C4633" s="168" t="s">
        <v>4882</v>
      </c>
      <c r="D4633" s="229">
        <v>21.5</v>
      </c>
      <c r="E4633" s="229">
        <v>25.0</v>
      </c>
      <c r="F4633" s="230">
        <v>3.0</v>
      </c>
      <c r="G4633" s="232"/>
    </row>
    <row r="4634">
      <c r="A4634" s="2"/>
      <c r="B4634" s="168" t="s">
        <v>257</v>
      </c>
      <c r="C4634" s="168" t="s">
        <v>4883</v>
      </c>
      <c r="D4634" s="229">
        <v>28.5</v>
      </c>
      <c r="E4634" s="229">
        <v>32.0</v>
      </c>
      <c r="F4634" s="230">
        <v>3.0</v>
      </c>
      <c r="G4634" s="232"/>
    </row>
    <row r="4635">
      <c r="A4635" s="2"/>
      <c r="B4635" s="168" t="s">
        <v>288</v>
      </c>
      <c r="C4635" s="168" t="s">
        <v>4884</v>
      </c>
      <c r="D4635" s="229">
        <v>21.5</v>
      </c>
      <c r="E4635" s="229">
        <v>25.0</v>
      </c>
      <c r="F4635" s="230">
        <v>3.0</v>
      </c>
      <c r="G4635" s="232"/>
    </row>
    <row r="4636">
      <c r="A4636" s="2"/>
      <c r="B4636" s="168" t="s">
        <v>215</v>
      </c>
      <c r="C4636" s="168" t="s">
        <v>4885</v>
      </c>
      <c r="D4636" s="229">
        <v>27.5</v>
      </c>
      <c r="E4636" s="229">
        <v>31.0</v>
      </c>
      <c r="F4636" s="230">
        <v>3.0</v>
      </c>
      <c r="G4636" s="232"/>
    </row>
    <row r="4637">
      <c r="A4637" s="2"/>
      <c r="B4637" s="168" t="s">
        <v>288</v>
      </c>
      <c r="C4637" s="168" t="s">
        <v>4886</v>
      </c>
      <c r="D4637" s="229">
        <v>21.5</v>
      </c>
      <c r="E4637" s="229">
        <v>25.0</v>
      </c>
      <c r="F4637" s="230">
        <v>3.0</v>
      </c>
      <c r="G4637" s="232"/>
    </row>
    <row r="4638">
      <c r="A4638" s="2"/>
      <c r="B4638" s="168" t="s">
        <v>241</v>
      </c>
      <c r="C4638" s="168" t="s">
        <v>4887</v>
      </c>
      <c r="D4638" s="229">
        <v>32.5</v>
      </c>
      <c r="E4638" s="229">
        <v>36.0</v>
      </c>
      <c r="F4638" s="230">
        <v>3.0</v>
      </c>
      <c r="G4638" s="232"/>
    </row>
    <row r="4639">
      <c r="A4639" s="2"/>
      <c r="B4639" s="168" t="s">
        <v>249</v>
      </c>
      <c r="C4639" s="168" t="s">
        <v>4888</v>
      </c>
      <c r="D4639" s="229">
        <v>3.0</v>
      </c>
      <c r="E4639" s="229">
        <v>3.0</v>
      </c>
      <c r="F4639" s="230">
        <v>3.0</v>
      </c>
      <c r="G4639" s="232"/>
    </row>
    <row r="4640">
      <c r="A4640" s="2"/>
      <c r="B4640" s="168" t="s">
        <v>302</v>
      </c>
      <c r="C4640" s="168" t="s">
        <v>4889</v>
      </c>
      <c r="D4640" s="229">
        <v>34.5</v>
      </c>
      <c r="E4640" s="229">
        <v>38.0</v>
      </c>
      <c r="F4640" s="230">
        <v>3.0</v>
      </c>
      <c r="G4640" s="232"/>
    </row>
    <row r="4641">
      <c r="A4641" s="2"/>
      <c r="B4641" s="168" t="s">
        <v>232</v>
      </c>
      <c r="C4641" s="168" t="s">
        <v>4890</v>
      </c>
      <c r="D4641" s="229">
        <v>25.5</v>
      </c>
      <c r="E4641" s="229">
        <v>29.0</v>
      </c>
      <c r="F4641" s="230">
        <v>3.0</v>
      </c>
      <c r="G4641" s="232"/>
    </row>
    <row r="4642">
      <c r="A4642" s="2"/>
      <c r="B4642" s="168" t="s">
        <v>254</v>
      </c>
      <c r="C4642" s="168" t="s">
        <v>4891</v>
      </c>
      <c r="D4642" s="229">
        <v>26.5</v>
      </c>
      <c r="E4642" s="229">
        <v>30.0</v>
      </c>
      <c r="F4642" s="230">
        <v>3.0</v>
      </c>
      <c r="G4642" s="232"/>
    </row>
    <row r="4643">
      <c r="A4643" s="2"/>
      <c r="B4643" s="168" t="s">
        <v>232</v>
      </c>
      <c r="C4643" s="168" t="s">
        <v>4892</v>
      </c>
      <c r="D4643" s="229">
        <v>31.5</v>
      </c>
      <c r="E4643" s="229">
        <v>35.0</v>
      </c>
      <c r="F4643" s="230">
        <v>3.0</v>
      </c>
      <c r="G4643" s="232"/>
    </row>
    <row r="4644">
      <c r="A4644" s="2"/>
      <c r="B4644" s="168" t="s">
        <v>249</v>
      </c>
      <c r="C4644" s="168" t="s">
        <v>4893</v>
      </c>
      <c r="D4644" s="229">
        <v>3.0</v>
      </c>
      <c r="E4644" s="229">
        <v>3.0</v>
      </c>
      <c r="F4644" s="230">
        <v>3.0</v>
      </c>
      <c r="G4644" s="232"/>
    </row>
    <row r="4645">
      <c r="A4645" s="2"/>
      <c r="B4645" s="168" t="s">
        <v>290</v>
      </c>
      <c r="C4645" s="168" t="s">
        <v>4894</v>
      </c>
      <c r="D4645" s="229">
        <v>29.5</v>
      </c>
      <c r="E4645" s="229">
        <v>33.0</v>
      </c>
      <c r="F4645" s="230">
        <v>3.0</v>
      </c>
      <c r="G4645" s="232"/>
    </row>
    <row r="4646">
      <c r="A4646" s="2"/>
      <c r="B4646" s="168" t="s">
        <v>456</v>
      </c>
      <c r="C4646" s="168" t="s">
        <v>4895</v>
      </c>
      <c r="D4646" s="229">
        <v>21.5</v>
      </c>
      <c r="E4646" s="229">
        <v>25.0</v>
      </c>
      <c r="F4646" s="230">
        <v>3.0</v>
      </c>
      <c r="G4646" s="232"/>
    </row>
    <row r="4647">
      <c r="A4647" s="2"/>
      <c r="B4647" s="168" t="s">
        <v>368</v>
      </c>
      <c r="C4647" s="168" t="s">
        <v>4896</v>
      </c>
      <c r="D4647" s="229">
        <v>32.5</v>
      </c>
      <c r="E4647" s="229">
        <v>36.0</v>
      </c>
      <c r="F4647" s="230">
        <v>3.0</v>
      </c>
      <c r="G4647" s="232"/>
    </row>
    <row r="4648">
      <c r="A4648" s="2"/>
      <c r="B4648" s="168" t="s">
        <v>236</v>
      </c>
      <c r="C4648" s="168" t="s">
        <v>4897</v>
      </c>
      <c r="D4648" s="229">
        <v>34.5</v>
      </c>
      <c r="E4648" s="229">
        <v>38.0</v>
      </c>
      <c r="F4648" s="230">
        <v>3.0</v>
      </c>
      <c r="G4648" s="232"/>
    </row>
    <row r="4649">
      <c r="A4649" s="2"/>
      <c r="B4649" s="168" t="s">
        <v>271</v>
      </c>
      <c r="C4649" s="168" t="s">
        <v>4898</v>
      </c>
      <c r="D4649" s="229">
        <v>30.0</v>
      </c>
      <c r="E4649" s="229">
        <v>33.5</v>
      </c>
      <c r="F4649" s="230">
        <v>3.0</v>
      </c>
      <c r="G4649" s="232"/>
    </row>
    <row r="4650">
      <c r="A4650" s="2"/>
      <c r="B4650" s="168" t="s">
        <v>337</v>
      </c>
      <c r="C4650" s="168" t="s">
        <v>4899</v>
      </c>
      <c r="D4650" s="229">
        <v>32.0</v>
      </c>
      <c r="E4650" s="229">
        <v>35.5</v>
      </c>
      <c r="F4650" s="230">
        <v>3.0</v>
      </c>
      <c r="G4650" s="232"/>
    </row>
    <row r="4651">
      <c r="A4651" s="2"/>
      <c r="B4651" s="168" t="s">
        <v>290</v>
      </c>
      <c r="C4651" s="168" t="s">
        <v>4900</v>
      </c>
      <c r="D4651" s="229">
        <v>29.5</v>
      </c>
      <c r="E4651" s="229">
        <v>33.0</v>
      </c>
      <c r="F4651" s="230">
        <v>3.0</v>
      </c>
      <c r="G4651" s="232"/>
    </row>
    <row r="4652">
      <c r="A4652" s="2"/>
      <c r="B4652" s="168" t="s">
        <v>446</v>
      </c>
      <c r="C4652" s="168" t="s">
        <v>4901</v>
      </c>
      <c r="D4652" s="229">
        <v>4.5</v>
      </c>
      <c r="E4652" s="229">
        <v>4.5</v>
      </c>
      <c r="F4652" s="230">
        <v>3.0</v>
      </c>
      <c r="G4652" s="232"/>
    </row>
    <row r="4653">
      <c r="A4653" s="2"/>
      <c r="B4653" s="168" t="s">
        <v>290</v>
      </c>
      <c r="C4653" s="168" t="s">
        <v>4902</v>
      </c>
      <c r="D4653" s="229">
        <v>29.5</v>
      </c>
      <c r="E4653" s="229">
        <v>33.0</v>
      </c>
      <c r="F4653" s="230">
        <v>3.0</v>
      </c>
      <c r="G4653" s="232"/>
    </row>
    <row r="4654">
      <c r="A4654" s="2"/>
      <c r="B4654" s="168" t="s">
        <v>1329</v>
      </c>
      <c r="C4654" s="168" t="s">
        <v>4903</v>
      </c>
      <c r="D4654" s="229">
        <v>26.5</v>
      </c>
      <c r="E4654" s="229">
        <v>30.0</v>
      </c>
      <c r="F4654" s="230">
        <v>3.0</v>
      </c>
      <c r="G4654" s="232"/>
    </row>
    <row r="4655">
      <c r="A4655" s="2"/>
      <c r="B4655" s="168" t="s">
        <v>234</v>
      </c>
      <c r="C4655" s="168" t="s">
        <v>4904</v>
      </c>
      <c r="D4655" s="229">
        <v>29.5</v>
      </c>
      <c r="E4655" s="229">
        <v>33.0</v>
      </c>
      <c r="F4655" s="230">
        <v>3.0</v>
      </c>
      <c r="G4655" s="232"/>
    </row>
    <row r="4656">
      <c r="A4656" s="2"/>
      <c r="B4656" s="168" t="s">
        <v>275</v>
      </c>
      <c r="C4656" s="168" t="s">
        <v>4905</v>
      </c>
      <c r="D4656" s="229">
        <v>21.5</v>
      </c>
      <c r="E4656" s="229">
        <v>25.0</v>
      </c>
      <c r="F4656" s="230">
        <v>3.0</v>
      </c>
      <c r="G4656" s="232"/>
    </row>
    <row r="4657">
      <c r="A4657" s="2"/>
      <c r="B4657" s="168" t="s">
        <v>223</v>
      </c>
      <c r="C4657" s="168" t="s">
        <v>4906</v>
      </c>
      <c r="D4657" s="229">
        <v>26.5</v>
      </c>
      <c r="E4657" s="229">
        <v>30.0</v>
      </c>
      <c r="F4657" s="230">
        <v>3.0</v>
      </c>
      <c r="G4657" s="232"/>
    </row>
    <row r="4658">
      <c r="A4658" s="2"/>
      <c r="B4658" s="168" t="s">
        <v>427</v>
      </c>
      <c r="C4658" s="168" t="s">
        <v>4907</v>
      </c>
      <c r="D4658" s="229">
        <v>26.5</v>
      </c>
      <c r="E4658" s="229">
        <v>30.0</v>
      </c>
      <c r="F4658" s="230">
        <v>3.0</v>
      </c>
      <c r="G4658" s="232"/>
    </row>
    <row r="4659">
      <c r="A4659" s="2"/>
      <c r="B4659" s="168" t="s">
        <v>234</v>
      </c>
      <c r="C4659" s="168" t="s">
        <v>4908</v>
      </c>
      <c r="D4659" s="229">
        <v>29.5</v>
      </c>
      <c r="E4659" s="229">
        <v>33.0</v>
      </c>
      <c r="F4659" s="230">
        <v>3.0</v>
      </c>
      <c r="G4659" s="232"/>
    </row>
    <row r="4660">
      <c r="A4660" s="2"/>
      <c r="B4660" s="168" t="s">
        <v>592</v>
      </c>
      <c r="C4660" s="168" t="s">
        <v>4909</v>
      </c>
      <c r="D4660" s="229">
        <v>34.5</v>
      </c>
      <c r="E4660" s="229">
        <v>38.0</v>
      </c>
      <c r="F4660" s="230">
        <v>3.0</v>
      </c>
      <c r="G4660" s="232"/>
    </row>
    <row r="4661">
      <c r="A4661" s="2"/>
      <c r="B4661" s="168" t="s">
        <v>217</v>
      </c>
      <c r="C4661" s="168" t="s">
        <v>4910</v>
      </c>
      <c r="D4661" s="229">
        <v>27.5</v>
      </c>
      <c r="E4661" s="229">
        <v>31.0</v>
      </c>
      <c r="F4661" s="230">
        <v>3.0</v>
      </c>
      <c r="G4661" s="232"/>
    </row>
    <row r="4662">
      <c r="A4662" s="2"/>
      <c r="B4662" s="168" t="s">
        <v>239</v>
      </c>
      <c r="C4662" s="168" t="s">
        <v>4911</v>
      </c>
      <c r="D4662" s="229">
        <v>29.5</v>
      </c>
      <c r="E4662" s="229">
        <v>33.0</v>
      </c>
      <c r="F4662" s="230">
        <v>3.0</v>
      </c>
      <c r="G4662" s="232"/>
    </row>
    <row r="4663">
      <c r="A4663" s="2"/>
      <c r="B4663" s="168" t="s">
        <v>535</v>
      </c>
      <c r="C4663" s="168" t="s">
        <v>4912</v>
      </c>
      <c r="D4663" s="229">
        <v>26.0</v>
      </c>
      <c r="E4663" s="229">
        <v>29.5</v>
      </c>
      <c r="F4663" s="230">
        <v>3.0</v>
      </c>
      <c r="G4663" s="232"/>
    </row>
    <row r="4664">
      <c r="A4664" s="2"/>
      <c r="B4664" s="168" t="s">
        <v>269</v>
      </c>
      <c r="C4664" s="168" t="s">
        <v>4913</v>
      </c>
      <c r="D4664" s="229">
        <v>26.5</v>
      </c>
      <c r="E4664" s="229">
        <v>30.0</v>
      </c>
      <c r="F4664" s="230">
        <v>3.0</v>
      </c>
      <c r="G4664" s="232"/>
    </row>
    <row r="4665">
      <c r="A4665" s="2"/>
      <c r="B4665" s="168" t="s">
        <v>245</v>
      </c>
      <c r="C4665" s="168" t="s">
        <v>4914</v>
      </c>
      <c r="D4665" s="229">
        <v>29.5</v>
      </c>
      <c r="E4665" s="229">
        <v>33.0</v>
      </c>
      <c r="F4665" s="230">
        <v>3.0</v>
      </c>
      <c r="G4665" s="232"/>
    </row>
    <row r="4666">
      <c r="A4666" s="2"/>
      <c r="B4666" s="168" t="s">
        <v>271</v>
      </c>
      <c r="C4666" s="168" t="s">
        <v>4915</v>
      </c>
      <c r="D4666" s="229">
        <v>30.5</v>
      </c>
      <c r="E4666" s="229">
        <v>34.0</v>
      </c>
      <c r="F4666" s="230">
        <v>3.0</v>
      </c>
      <c r="G4666" s="232"/>
    </row>
    <row r="4667">
      <c r="A4667" s="2"/>
      <c r="B4667" s="168" t="s">
        <v>223</v>
      </c>
      <c r="C4667" s="168" t="s">
        <v>4916</v>
      </c>
      <c r="D4667" s="229">
        <v>26.5</v>
      </c>
      <c r="E4667" s="229">
        <v>30.0</v>
      </c>
      <c r="F4667" s="230">
        <v>3.0</v>
      </c>
      <c r="G4667" s="232"/>
    </row>
    <row r="4668">
      <c r="A4668" s="2"/>
      <c r="B4668" s="168" t="s">
        <v>288</v>
      </c>
      <c r="C4668" s="168" t="s">
        <v>4917</v>
      </c>
      <c r="D4668" s="229">
        <v>21.5</v>
      </c>
      <c r="E4668" s="229">
        <v>25.0</v>
      </c>
      <c r="F4668" s="230">
        <v>3.0</v>
      </c>
      <c r="G4668" s="232"/>
    </row>
    <row r="4669">
      <c r="A4669" s="2"/>
      <c r="B4669" s="168" t="s">
        <v>285</v>
      </c>
      <c r="C4669" s="168" t="s">
        <v>4918</v>
      </c>
      <c r="D4669" s="229">
        <v>24.5</v>
      </c>
      <c r="E4669" s="229">
        <v>28.0</v>
      </c>
      <c r="F4669" s="230">
        <v>3.0</v>
      </c>
      <c r="G4669" s="232"/>
    </row>
    <row r="4670">
      <c r="A4670" s="2"/>
      <c r="B4670" s="168" t="s">
        <v>239</v>
      </c>
      <c r="C4670" s="168" t="s">
        <v>4919</v>
      </c>
      <c r="D4670" s="229">
        <v>29.5</v>
      </c>
      <c r="E4670" s="229">
        <v>33.0</v>
      </c>
      <c r="F4670" s="230">
        <v>3.0</v>
      </c>
      <c r="G4670" s="232"/>
    </row>
    <row r="4671">
      <c r="A4671" s="2"/>
      <c r="B4671" s="168" t="s">
        <v>236</v>
      </c>
      <c r="C4671" s="168" t="s">
        <v>4920</v>
      </c>
      <c r="D4671" s="229">
        <v>34.5</v>
      </c>
      <c r="E4671" s="229">
        <v>38.0</v>
      </c>
      <c r="F4671" s="230">
        <v>3.0</v>
      </c>
      <c r="G4671" s="232"/>
    </row>
    <row r="4672">
      <c r="A4672" s="2"/>
      <c r="B4672" s="168" t="s">
        <v>341</v>
      </c>
      <c r="C4672" s="168" t="s">
        <v>4921</v>
      </c>
      <c r="D4672" s="229">
        <v>29.5</v>
      </c>
      <c r="E4672" s="229">
        <v>29.5</v>
      </c>
      <c r="F4672" s="230">
        <v>3.0</v>
      </c>
      <c r="G4672" s="232"/>
    </row>
    <row r="4673">
      <c r="A4673" s="2"/>
      <c r="B4673" s="168" t="s">
        <v>811</v>
      </c>
      <c r="C4673" s="168" t="s">
        <v>4922</v>
      </c>
      <c r="D4673" s="229">
        <v>29.5</v>
      </c>
      <c r="E4673" s="229">
        <v>33.0</v>
      </c>
      <c r="F4673" s="230">
        <v>3.0</v>
      </c>
      <c r="G4673" s="232"/>
    </row>
    <row r="4674">
      <c r="A4674" s="2"/>
      <c r="B4674" s="168" t="s">
        <v>377</v>
      </c>
      <c r="C4674" s="168" t="s">
        <v>4923</v>
      </c>
      <c r="D4674" s="229">
        <v>29.5</v>
      </c>
      <c r="E4674" s="229">
        <v>33.0</v>
      </c>
      <c r="F4674" s="230">
        <v>3.0</v>
      </c>
      <c r="G4674" s="232"/>
    </row>
    <row r="4675">
      <c r="A4675" s="2"/>
      <c r="B4675" s="168" t="s">
        <v>290</v>
      </c>
      <c r="C4675" s="168" t="s">
        <v>4924</v>
      </c>
      <c r="D4675" s="229">
        <v>29.0</v>
      </c>
      <c r="E4675" s="229">
        <v>32.5</v>
      </c>
      <c r="F4675" s="230">
        <v>3.0</v>
      </c>
      <c r="G4675" s="232"/>
    </row>
    <row r="4676">
      <c r="A4676" s="2"/>
      <c r="B4676" s="168" t="s">
        <v>574</v>
      </c>
      <c r="C4676" s="168" t="s">
        <v>4925</v>
      </c>
      <c r="D4676" s="229">
        <v>34.5</v>
      </c>
      <c r="E4676" s="229">
        <v>38.0</v>
      </c>
      <c r="F4676" s="230">
        <v>3.0</v>
      </c>
      <c r="G4676" s="232"/>
    </row>
    <row r="4677">
      <c r="A4677" s="2"/>
      <c r="B4677" s="168" t="s">
        <v>300</v>
      </c>
      <c r="C4677" s="168" t="s">
        <v>4926</v>
      </c>
      <c r="D4677" s="229">
        <v>28.5</v>
      </c>
      <c r="E4677" s="229">
        <v>32.0</v>
      </c>
      <c r="F4677" s="230">
        <v>3.0</v>
      </c>
      <c r="G4677" s="232"/>
    </row>
    <row r="4678">
      <c r="A4678" s="2"/>
      <c r="B4678" s="168" t="s">
        <v>232</v>
      </c>
      <c r="C4678" s="168" t="s">
        <v>4927</v>
      </c>
      <c r="D4678" s="229">
        <v>31.5</v>
      </c>
      <c r="E4678" s="229">
        <v>35.0</v>
      </c>
      <c r="F4678" s="230">
        <v>3.0</v>
      </c>
      <c r="G4678" s="232"/>
    </row>
    <row r="4679">
      <c r="A4679" s="2"/>
      <c r="B4679" s="168" t="s">
        <v>243</v>
      </c>
      <c r="C4679" s="168" t="s">
        <v>4928</v>
      </c>
      <c r="D4679" s="229">
        <v>29.5</v>
      </c>
      <c r="E4679" s="229">
        <v>33.0</v>
      </c>
      <c r="F4679" s="230">
        <v>3.0</v>
      </c>
      <c r="G4679" s="232"/>
    </row>
    <row r="4680">
      <c r="A4680" s="2"/>
      <c r="B4680" s="168" t="s">
        <v>1311</v>
      </c>
      <c r="C4680" s="168" t="s">
        <v>4929</v>
      </c>
      <c r="D4680" s="229">
        <v>28.5</v>
      </c>
      <c r="E4680" s="229">
        <v>32.0</v>
      </c>
      <c r="F4680" s="230">
        <v>3.0</v>
      </c>
      <c r="G4680" s="232"/>
    </row>
    <row r="4681">
      <c r="A4681" s="2"/>
      <c r="B4681" s="168" t="s">
        <v>290</v>
      </c>
      <c r="C4681" s="168" t="s">
        <v>4930</v>
      </c>
      <c r="D4681" s="229">
        <v>29.5</v>
      </c>
      <c r="E4681" s="229">
        <v>33.0</v>
      </c>
      <c r="F4681" s="230">
        <v>3.0</v>
      </c>
      <c r="G4681" s="232"/>
    </row>
    <row r="4682">
      <c r="A4682" s="2"/>
      <c r="B4682" s="168" t="s">
        <v>269</v>
      </c>
      <c r="C4682" s="168" t="s">
        <v>4931</v>
      </c>
      <c r="D4682" s="229">
        <v>26.5</v>
      </c>
      <c r="E4682" s="229">
        <v>30.0</v>
      </c>
      <c r="F4682" s="230">
        <v>3.0</v>
      </c>
      <c r="G4682" s="232"/>
    </row>
    <row r="4683">
      <c r="A4683" s="2"/>
      <c r="B4683" s="168" t="s">
        <v>290</v>
      </c>
      <c r="C4683" s="168" t="s">
        <v>4932</v>
      </c>
      <c r="D4683" s="229">
        <v>29.5</v>
      </c>
      <c r="E4683" s="229">
        <v>33.0</v>
      </c>
      <c r="F4683" s="230">
        <v>3.0</v>
      </c>
      <c r="G4683" s="232"/>
    </row>
    <row r="4684">
      <c r="A4684" s="2"/>
      <c r="B4684" s="168" t="s">
        <v>273</v>
      </c>
      <c r="C4684" s="168" t="s">
        <v>4933</v>
      </c>
      <c r="D4684" s="229">
        <v>29.5</v>
      </c>
      <c r="E4684" s="229">
        <v>33.0</v>
      </c>
      <c r="F4684" s="230">
        <v>3.0</v>
      </c>
      <c r="G4684" s="232"/>
    </row>
    <row r="4685">
      <c r="A4685" s="2"/>
      <c r="B4685" s="168" t="s">
        <v>223</v>
      </c>
      <c r="C4685" s="168" t="s">
        <v>4934</v>
      </c>
      <c r="D4685" s="229">
        <v>26.5</v>
      </c>
      <c r="E4685" s="229">
        <v>30.0</v>
      </c>
      <c r="F4685" s="230">
        <v>3.0</v>
      </c>
      <c r="G4685" s="232"/>
    </row>
    <row r="4686">
      <c r="A4686" s="2"/>
      <c r="B4686" s="168" t="s">
        <v>257</v>
      </c>
      <c r="C4686" s="168" t="s">
        <v>4935</v>
      </c>
      <c r="D4686" s="229">
        <v>23.5</v>
      </c>
      <c r="E4686" s="229">
        <v>27.0</v>
      </c>
      <c r="F4686" s="230">
        <v>3.0</v>
      </c>
      <c r="G4686" s="232"/>
    </row>
    <row r="4687">
      <c r="A4687" s="2"/>
      <c r="B4687" s="168" t="s">
        <v>282</v>
      </c>
      <c r="C4687" s="168" t="s">
        <v>4936</v>
      </c>
      <c r="D4687" s="229">
        <v>34.5</v>
      </c>
      <c r="E4687" s="229">
        <v>38.0</v>
      </c>
      <c r="F4687" s="230">
        <v>3.0</v>
      </c>
      <c r="G4687" s="232"/>
    </row>
    <row r="4688">
      <c r="A4688" s="2"/>
      <c r="B4688" s="168" t="s">
        <v>296</v>
      </c>
      <c r="C4688" s="168" t="s">
        <v>4937</v>
      </c>
      <c r="D4688" s="229">
        <v>26.5</v>
      </c>
      <c r="E4688" s="229">
        <v>30.0</v>
      </c>
      <c r="F4688" s="230">
        <v>3.0</v>
      </c>
      <c r="G4688" s="232"/>
    </row>
    <row r="4689">
      <c r="A4689" s="2"/>
      <c r="B4689" s="168" t="s">
        <v>337</v>
      </c>
      <c r="C4689" s="168" t="s">
        <v>4938</v>
      </c>
      <c r="D4689" s="229">
        <v>20.5</v>
      </c>
      <c r="E4689" s="229">
        <v>24.0</v>
      </c>
      <c r="F4689" s="230">
        <v>3.0</v>
      </c>
      <c r="G4689" s="232"/>
    </row>
    <row r="4690">
      <c r="A4690" s="2"/>
      <c r="B4690" s="168" t="s">
        <v>262</v>
      </c>
      <c r="C4690" s="168" t="s">
        <v>4939</v>
      </c>
      <c r="D4690" s="229">
        <v>29.5</v>
      </c>
      <c r="E4690" s="229">
        <v>33.0</v>
      </c>
      <c r="F4690" s="230">
        <v>3.0</v>
      </c>
      <c r="G4690" s="232"/>
    </row>
    <row r="4691">
      <c r="A4691" s="2"/>
      <c r="B4691" s="168" t="s">
        <v>335</v>
      </c>
      <c r="C4691" s="168" t="s">
        <v>4940</v>
      </c>
      <c r="D4691" s="229">
        <v>34.5</v>
      </c>
      <c r="E4691" s="229">
        <v>38.0</v>
      </c>
      <c r="F4691" s="230">
        <v>3.0</v>
      </c>
      <c r="G4691" s="232"/>
    </row>
    <row r="4692">
      <c r="A4692" s="2"/>
      <c r="B4692" s="168" t="s">
        <v>223</v>
      </c>
      <c r="C4692" s="168" t="s">
        <v>4941</v>
      </c>
      <c r="D4692" s="229">
        <v>26.5</v>
      </c>
      <c r="E4692" s="229">
        <v>30.0</v>
      </c>
      <c r="F4692" s="230">
        <v>3.0</v>
      </c>
      <c r="G4692" s="232"/>
    </row>
    <row r="4693">
      <c r="A4693" s="2"/>
      <c r="B4693" s="168" t="s">
        <v>243</v>
      </c>
      <c r="C4693" s="168" t="s">
        <v>4942</v>
      </c>
      <c r="D4693" s="229">
        <v>29.5</v>
      </c>
      <c r="E4693" s="229">
        <v>33.0</v>
      </c>
      <c r="F4693" s="230">
        <v>3.0</v>
      </c>
      <c r="G4693" s="232"/>
    </row>
    <row r="4694">
      <c r="A4694" s="2"/>
      <c r="B4694" s="168" t="s">
        <v>232</v>
      </c>
      <c r="C4694" s="168" t="s">
        <v>4943</v>
      </c>
      <c r="D4694" s="229">
        <v>25.5</v>
      </c>
      <c r="E4694" s="229">
        <v>29.0</v>
      </c>
      <c r="F4694" s="230">
        <v>3.0</v>
      </c>
      <c r="G4694" s="232"/>
    </row>
    <row r="4695">
      <c r="A4695" s="2"/>
      <c r="B4695" s="168" t="s">
        <v>217</v>
      </c>
      <c r="C4695" s="168" t="s">
        <v>4944</v>
      </c>
      <c r="D4695" s="229">
        <v>27.5</v>
      </c>
      <c r="E4695" s="229">
        <v>31.0</v>
      </c>
      <c r="F4695" s="230">
        <v>3.0</v>
      </c>
      <c r="G4695" s="232"/>
    </row>
    <row r="4696">
      <c r="A4696" s="2"/>
      <c r="B4696" s="168" t="s">
        <v>232</v>
      </c>
      <c r="C4696" s="168" t="s">
        <v>4945</v>
      </c>
      <c r="D4696" s="229">
        <v>32.5</v>
      </c>
      <c r="E4696" s="229">
        <v>36.0</v>
      </c>
      <c r="F4696" s="230">
        <v>3.0</v>
      </c>
      <c r="G4696" s="232"/>
    </row>
    <row r="4697">
      <c r="A4697" s="2"/>
      <c r="B4697" s="168" t="s">
        <v>230</v>
      </c>
      <c r="C4697" s="168" t="s">
        <v>4946</v>
      </c>
      <c r="D4697" s="229">
        <v>16.5</v>
      </c>
      <c r="E4697" s="229">
        <v>20.0</v>
      </c>
      <c r="F4697" s="230">
        <v>3.0</v>
      </c>
      <c r="G4697" s="232"/>
    </row>
    <row r="4698">
      <c r="A4698" s="2"/>
      <c r="B4698" s="168" t="s">
        <v>296</v>
      </c>
      <c r="C4698" s="168" t="s">
        <v>4947</v>
      </c>
      <c r="D4698" s="229">
        <v>26.5</v>
      </c>
      <c r="E4698" s="229">
        <v>30.0</v>
      </c>
      <c r="F4698" s="230">
        <v>3.0</v>
      </c>
      <c r="G4698" s="232"/>
    </row>
    <row r="4699">
      <c r="A4699" s="2"/>
      <c r="B4699" s="168" t="s">
        <v>215</v>
      </c>
      <c r="C4699" s="168" t="s">
        <v>4948</v>
      </c>
      <c r="D4699" s="229">
        <v>28.5</v>
      </c>
      <c r="E4699" s="229">
        <v>32.0</v>
      </c>
      <c r="F4699" s="230">
        <v>3.0</v>
      </c>
      <c r="G4699" s="232"/>
    </row>
    <row r="4700">
      <c r="A4700" s="2"/>
      <c r="B4700" s="168" t="s">
        <v>247</v>
      </c>
      <c r="C4700" s="168" t="s">
        <v>4949</v>
      </c>
      <c r="D4700" s="229">
        <v>29.5</v>
      </c>
      <c r="E4700" s="229">
        <v>33.0</v>
      </c>
      <c r="F4700" s="230">
        <v>3.0</v>
      </c>
      <c r="G4700" s="232"/>
    </row>
    <row r="4701">
      <c r="A4701" s="2"/>
      <c r="B4701" s="168" t="s">
        <v>288</v>
      </c>
      <c r="C4701" s="168" t="s">
        <v>4950</v>
      </c>
      <c r="D4701" s="229">
        <v>21.5</v>
      </c>
      <c r="E4701" s="229">
        <v>25.0</v>
      </c>
      <c r="F4701" s="230">
        <v>3.0</v>
      </c>
      <c r="G4701" s="232"/>
    </row>
    <row r="4702">
      <c r="A4702" s="2"/>
      <c r="B4702" s="168" t="s">
        <v>241</v>
      </c>
      <c r="C4702" s="168" t="s">
        <v>4951</v>
      </c>
      <c r="D4702" s="229">
        <v>32.5</v>
      </c>
      <c r="E4702" s="229">
        <v>36.0</v>
      </c>
      <c r="F4702" s="230">
        <v>3.0</v>
      </c>
      <c r="G4702" s="232"/>
    </row>
    <row r="4703">
      <c r="A4703" s="2"/>
      <c r="B4703" s="168" t="s">
        <v>288</v>
      </c>
      <c r="C4703" s="168" t="s">
        <v>4952</v>
      </c>
      <c r="D4703" s="229">
        <v>16.5</v>
      </c>
      <c r="E4703" s="229">
        <v>20.0</v>
      </c>
      <c r="F4703" s="230">
        <v>3.0</v>
      </c>
      <c r="G4703" s="232"/>
    </row>
    <row r="4704">
      <c r="A4704" s="2"/>
      <c r="B4704" s="168" t="s">
        <v>223</v>
      </c>
      <c r="C4704" s="168" t="s">
        <v>4953</v>
      </c>
      <c r="D4704" s="229">
        <v>26.5</v>
      </c>
      <c r="E4704" s="229">
        <v>30.0</v>
      </c>
      <c r="F4704" s="230">
        <v>3.0</v>
      </c>
      <c r="G4704" s="232"/>
    </row>
    <row r="4705">
      <c r="A4705" s="2"/>
      <c r="B4705" s="168" t="s">
        <v>430</v>
      </c>
      <c r="C4705" s="168" t="s">
        <v>4954</v>
      </c>
      <c r="D4705" s="229">
        <v>34.5</v>
      </c>
      <c r="E4705" s="229">
        <v>38.0</v>
      </c>
      <c r="F4705" s="230">
        <v>3.0</v>
      </c>
      <c r="G4705" s="232"/>
    </row>
    <row r="4706">
      <c r="A4706" s="2"/>
      <c r="B4706" s="168" t="s">
        <v>337</v>
      </c>
      <c r="C4706" s="168" t="s">
        <v>4955</v>
      </c>
      <c r="D4706" s="229">
        <v>28.5</v>
      </c>
      <c r="E4706" s="229">
        <v>32.0</v>
      </c>
      <c r="F4706" s="230">
        <v>3.0</v>
      </c>
      <c r="G4706" s="232"/>
    </row>
    <row r="4707">
      <c r="A4707" s="2"/>
      <c r="B4707" s="168" t="s">
        <v>230</v>
      </c>
      <c r="C4707" s="168" t="s">
        <v>4956</v>
      </c>
      <c r="D4707" s="229">
        <v>21.5</v>
      </c>
      <c r="E4707" s="229">
        <v>25.0</v>
      </c>
      <c r="F4707" s="230">
        <v>3.0</v>
      </c>
      <c r="G4707" s="232"/>
    </row>
    <row r="4708">
      <c r="A4708" s="2"/>
      <c r="B4708" s="168" t="s">
        <v>285</v>
      </c>
      <c r="C4708" s="168" t="s">
        <v>4957</v>
      </c>
      <c r="D4708" s="229">
        <v>24.5</v>
      </c>
      <c r="E4708" s="229">
        <v>28.0</v>
      </c>
      <c r="F4708" s="230">
        <v>3.0</v>
      </c>
      <c r="G4708" s="232"/>
    </row>
    <row r="4709">
      <c r="A4709" s="2"/>
      <c r="B4709" s="168" t="s">
        <v>337</v>
      </c>
      <c r="C4709" s="168" t="s">
        <v>4958</v>
      </c>
      <c r="D4709" s="229">
        <v>28.5</v>
      </c>
      <c r="E4709" s="229">
        <v>32.0</v>
      </c>
      <c r="F4709" s="230">
        <v>3.0</v>
      </c>
      <c r="G4709" s="232"/>
    </row>
    <row r="4710">
      <c r="A4710" s="2"/>
      <c r="B4710" s="168" t="s">
        <v>341</v>
      </c>
      <c r="C4710" s="168" t="s">
        <v>4959</v>
      </c>
      <c r="D4710" s="229">
        <v>28.0</v>
      </c>
      <c r="E4710" s="229">
        <v>28.0</v>
      </c>
      <c r="F4710" s="230">
        <v>3.0</v>
      </c>
      <c r="G4710" s="232"/>
    </row>
    <row r="4711">
      <c r="A4711" s="2"/>
      <c r="B4711" s="168" t="s">
        <v>230</v>
      </c>
      <c r="C4711" s="168" t="s">
        <v>4960</v>
      </c>
      <c r="D4711" s="229">
        <v>16.5</v>
      </c>
      <c r="E4711" s="229">
        <v>20.0</v>
      </c>
      <c r="F4711" s="230">
        <v>3.0</v>
      </c>
      <c r="G4711" s="232"/>
    </row>
    <row r="4712">
      <c r="A4712" s="2"/>
      <c r="B4712" s="168" t="s">
        <v>239</v>
      </c>
      <c r="C4712" s="168" t="s">
        <v>4961</v>
      </c>
      <c r="D4712" s="229">
        <v>29.5</v>
      </c>
      <c r="E4712" s="229">
        <v>33.0</v>
      </c>
      <c r="F4712" s="230">
        <v>3.0</v>
      </c>
      <c r="G4712" s="232"/>
    </row>
    <row r="4713">
      <c r="A4713" s="2"/>
      <c r="B4713" s="168" t="s">
        <v>1329</v>
      </c>
      <c r="C4713" s="168" t="s">
        <v>4962</v>
      </c>
      <c r="D4713" s="229">
        <v>26.5</v>
      </c>
      <c r="E4713" s="229">
        <v>30.0</v>
      </c>
      <c r="F4713" s="230">
        <v>3.0</v>
      </c>
      <c r="G4713" s="232"/>
    </row>
    <row r="4714">
      <c r="A4714" s="2"/>
      <c r="B4714" s="168" t="s">
        <v>438</v>
      </c>
      <c r="C4714" s="168" t="s">
        <v>4963</v>
      </c>
      <c r="D4714" s="229">
        <v>29.5</v>
      </c>
      <c r="E4714" s="229">
        <v>33.0</v>
      </c>
      <c r="F4714" s="230">
        <v>3.0</v>
      </c>
      <c r="G4714" s="232"/>
    </row>
    <row r="4715">
      <c r="A4715" s="2"/>
      <c r="B4715" s="168" t="s">
        <v>302</v>
      </c>
      <c r="C4715" s="168" t="s">
        <v>4964</v>
      </c>
      <c r="D4715" s="229">
        <v>34.5</v>
      </c>
      <c r="E4715" s="229">
        <v>38.0</v>
      </c>
      <c r="F4715" s="230">
        <v>3.0</v>
      </c>
      <c r="G4715" s="232"/>
    </row>
    <row r="4716">
      <c r="A4716" s="2"/>
      <c r="B4716" s="168" t="s">
        <v>217</v>
      </c>
      <c r="C4716" s="168" t="s">
        <v>4965</v>
      </c>
      <c r="D4716" s="229">
        <v>22.5</v>
      </c>
      <c r="E4716" s="229">
        <v>26.0</v>
      </c>
      <c r="F4716" s="230">
        <v>3.0</v>
      </c>
      <c r="G4716" s="232"/>
    </row>
    <row r="4717">
      <c r="A4717" s="2"/>
      <c r="B4717" s="168" t="s">
        <v>427</v>
      </c>
      <c r="C4717" s="168" t="s">
        <v>4966</v>
      </c>
      <c r="D4717" s="229">
        <v>26.5</v>
      </c>
      <c r="E4717" s="229">
        <v>30.0</v>
      </c>
      <c r="F4717" s="230">
        <v>3.0</v>
      </c>
      <c r="G4717" s="232"/>
    </row>
    <row r="4718">
      <c r="A4718" s="2"/>
      <c r="B4718" s="168" t="s">
        <v>266</v>
      </c>
      <c r="C4718" s="168" t="s">
        <v>4967</v>
      </c>
      <c r="D4718" s="229">
        <v>33.0</v>
      </c>
      <c r="E4718" s="229">
        <v>33.0</v>
      </c>
      <c r="F4718" s="230">
        <v>3.0</v>
      </c>
      <c r="G4718" s="232"/>
    </row>
    <row r="4719">
      <c r="A4719" s="2"/>
      <c r="B4719" s="168" t="s">
        <v>219</v>
      </c>
      <c r="C4719" s="168" t="s">
        <v>4968</v>
      </c>
      <c r="D4719" s="229">
        <v>19.5</v>
      </c>
      <c r="E4719" s="229">
        <v>23.0</v>
      </c>
      <c r="F4719" s="230">
        <v>3.0</v>
      </c>
      <c r="G4719" s="232"/>
    </row>
    <row r="4720">
      <c r="A4720" s="2"/>
      <c r="B4720" s="168" t="s">
        <v>217</v>
      </c>
      <c r="C4720" s="168" t="s">
        <v>4969</v>
      </c>
      <c r="D4720" s="229">
        <v>27.5</v>
      </c>
      <c r="E4720" s="229">
        <v>31.0</v>
      </c>
      <c r="F4720" s="230">
        <v>3.0</v>
      </c>
      <c r="G4720" s="232"/>
    </row>
    <row r="4721">
      <c r="A4721" s="2"/>
      <c r="B4721" s="168" t="s">
        <v>535</v>
      </c>
      <c r="C4721" s="168" t="s">
        <v>4970</v>
      </c>
      <c r="D4721" s="229">
        <v>26.5</v>
      </c>
      <c r="E4721" s="229">
        <v>30.0</v>
      </c>
      <c r="F4721" s="230">
        <v>3.0</v>
      </c>
      <c r="G4721" s="232"/>
    </row>
    <row r="4722">
      <c r="A4722" s="2"/>
      <c r="B4722" s="168" t="s">
        <v>288</v>
      </c>
      <c r="C4722" s="168" t="s">
        <v>4971</v>
      </c>
      <c r="D4722" s="229">
        <v>21.5</v>
      </c>
      <c r="E4722" s="229">
        <v>25.0</v>
      </c>
      <c r="F4722" s="230">
        <v>3.0</v>
      </c>
      <c r="G4722" s="232"/>
    </row>
    <row r="4723">
      <c r="A4723" s="2"/>
      <c r="B4723" s="168" t="s">
        <v>236</v>
      </c>
      <c r="C4723" s="168" t="s">
        <v>4972</v>
      </c>
      <c r="D4723" s="229">
        <v>34.5</v>
      </c>
      <c r="E4723" s="229">
        <v>38.0</v>
      </c>
      <c r="F4723" s="230">
        <v>3.0</v>
      </c>
      <c r="G4723" s="232"/>
    </row>
    <row r="4724">
      <c r="A4724" s="2"/>
      <c r="B4724" s="168" t="s">
        <v>269</v>
      </c>
      <c r="C4724" s="168" t="s">
        <v>4973</v>
      </c>
      <c r="D4724" s="229">
        <v>26.5</v>
      </c>
      <c r="E4724" s="229">
        <v>30.0</v>
      </c>
      <c r="F4724" s="230">
        <v>3.0</v>
      </c>
      <c r="G4724" s="232"/>
    </row>
    <row r="4725">
      <c r="A4725" s="2"/>
      <c r="B4725" s="168" t="s">
        <v>290</v>
      </c>
      <c r="C4725" s="168" t="s">
        <v>4974</v>
      </c>
      <c r="D4725" s="229">
        <v>29.5</v>
      </c>
      <c r="E4725" s="229">
        <v>33.0</v>
      </c>
      <c r="F4725" s="230">
        <v>3.0</v>
      </c>
      <c r="G4725" s="232"/>
    </row>
    <row r="4726">
      <c r="A4726" s="2"/>
      <c r="B4726" s="168" t="s">
        <v>581</v>
      </c>
      <c r="C4726" s="168" t="s">
        <v>4975</v>
      </c>
      <c r="D4726" s="229">
        <v>26.5</v>
      </c>
      <c r="E4726" s="229">
        <v>30.0</v>
      </c>
      <c r="F4726" s="230">
        <v>3.0</v>
      </c>
      <c r="G4726" s="232"/>
    </row>
    <row r="4727">
      <c r="A4727" s="2"/>
      <c r="B4727" s="168" t="s">
        <v>232</v>
      </c>
      <c r="C4727" s="168" t="s">
        <v>4976</v>
      </c>
      <c r="D4727" s="229">
        <v>31.5</v>
      </c>
      <c r="E4727" s="229">
        <v>35.0</v>
      </c>
      <c r="F4727" s="230">
        <v>3.0</v>
      </c>
      <c r="G4727" s="232"/>
    </row>
    <row r="4728">
      <c r="A4728" s="2"/>
      <c r="B4728" s="168" t="s">
        <v>296</v>
      </c>
      <c r="C4728" s="168" t="s">
        <v>4977</v>
      </c>
      <c r="D4728" s="229">
        <v>26.5</v>
      </c>
      <c r="E4728" s="229">
        <v>30.0</v>
      </c>
      <c r="F4728" s="230">
        <v>3.0</v>
      </c>
      <c r="G4728" s="232"/>
    </row>
    <row r="4729">
      <c r="A4729" s="2"/>
      <c r="B4729" s="168" t="s">
        <v>215</v>
      </c>
      <c r="C4729" s="168" t="s">
        <v>4978</v>
      </c>
      <c r="D4729" s="229">
        <v>24.5</v>
      </c>
      <c r="E4729" s="229">
        <v>28.0</v>
      </c>
      <c r="F4729" s="230">
        <v>3.0</v>
      </c>
      <c r="G4729" s="232"/>
    </row>
    <row r="4730">
      <c r="A4730" s="2"/>
      <c r="B4730" s="168" t="s">
        <v>221</v>
      </c>
      <c r="C4730" s="168" t="s">
        <v>4979</v>
      </c>
      <c r="D4730" s="229">
        <v>27.5</v>
      </c>
      <c r="E4730" s="229">
        <v>31.0</v>
      </c>
      <c r="F4730" s="230">
        <v>3.0</v>
      </c>
      <c r="G4730" s="232"/>
    </row>
    <row r="4731">
      <c r="A4731" s="2"/>
      <c r="B4731" s="168" t="s">
        <v>243</v>
      </c>
      <c r="C4731" s="168" t="s">
        <v>4980</v>
      </c>
      <c r="D4731" s="229">
        <v>29.5</v>
      </c>
      <c r="E4731" s="229">
        <v>33.0</v>
      </c>
      <c r="F4731" s="230">
        <v>3.0</v>
      </c>
      <c r="G4731" s="232"/>
    </row>
    <row r="4732">
      <c r="A4732" s="2"/>
      <c r="B4732" s="168" t="s">
        <v>381</v>
      </c>
      <c r="C4732" s="168" t="s">
        <v>4981</v>
      </c>
      <c r="D4732" s="229">
        <v>28.5</v>
      </c>
      <c r="E4732" s="229">
        <v>32.0</v>
      </c>
      <c r="F4732" s="230">
        <v>3.0</v>
      </c>
      <c r="G4732" s="232"/>
    </row>
    <row r="4733">
      <c r="A4733" s="2"/>
      <c r="B4733" s="168" t="s">
        <v>337</v>
      </c>
      <c r="C4733" s="168" t="s">
        <v>4982</v>
      </c>
      <c r="D4733" s="229">
        <v>31.5</v>
      </c>
      <c r="E4733" s="229">
        <v>35.0</v>
      </c>
      <c r="F4733" s="230">
        <v>3.0</v>
      </c>
      <c r="G4733" s="232"/>
    </row>
    <row r="4734">
      <c r="A4734" s="2"/>
      <c r="B4734" s="168" t="s">
        <v>232</v>
      </c>
      <c r="C4734" s="168" t="s">
        <v>4983</v>
      </c>
      <c r="D4734" s="229">
        <v>31.5</v>
      </c>
      <c r="E4734" s="229">
        <v>35.0</v>
      </c>
      <c r="F4734" s="230">
        <v>3.0</v>
      </c>
      <c r="G4734" s="232"/>
    </row>
    <row r="4735">
      <c r="A4735" s="2"/>
      <c r="B4735" s="168" t="s">
        <v>377</v>
      </c>
      <c r="C4735" s="168" t="s">
        <v>4984</v>
      </c>
      <c r="D4735" s="229">
        <v>24.5</v>
      </c>
      <c r="E4735" s="229">
        <v>28.0</v>
      </c>
      <c r="F4735" s="230">
        <v>3.0</v>
      </c>
      <c r="G4735" s="232"/>
    </row>
    <row r="4736">
      <c r="A4736" s="2"/>
      <c r="B4736" s="168" t="s">
        <v>273</v>
      </c>
      <c r="C4736" s="168" t="s">
        <v>4985</v>
      </c>
      <c r="D4736" s="229">
        <v>29.5</v>
      </c>
      <c r="E4736" s="229">
        <v>33.0</v>
      </c>
      <c r="F4736" s="230">
        <v>3.0</v>
      </c>
      <c r="G4736" s="232"/>
    </row>
    <row r="4737">
      <c r="A4737" s="2"/>
      <c r="B4737" s="168" t="s">
        <v>290</v>
      </c>
      <c r="C4737" s="168" t="s">
        <v>4986</v>
      </c>
      <c r="D4737" s="229">
        <v>29.5</v>
      </c>
      <c r="E4737" s="229">
        <v>33.0</v>
      </c>
      <c r="F4737" s="230">
        <v>3.0</v>
      </c>
      <c r="G4737" s="232"/>
    </row>
    <row r="4738">
      <c r="A4738" s="2"/>
      <c r="B4738" s="168" t="s">
        <v>345</v>
      </c>
      <c r="C4738" s="168" t="s">
        <v>4987</v>
      </c>
      <c r="D4738" s="229">
        <v>21.5</v>
      </c>
      <c r="E4738" s="229">
        <v>25.0</v>
      </c>
      <c r="F4738" s="230">
        <v>3.0</v>
      </c>
      <c r="G4738" s="232"/>
    </row>
    <row r="4739">
      <c r="A4739" s="2"/>
      <c r="B4739" s="168" t="s">
        <v>247</v>
      </c>
      <c r="C4739" s="168" t="s">
        <v>4988</v>
      </c>
      <c r="D4739" s="229">
        <v>29.5</v>
      </c>
      <c r="E4739" s="229">
        <v>33.0</v>
      </c>
      <c r="F4739" s="230">
        <v>3.0</v>
      </c>
      <c r="G4739" s="232"/>
    </row>
    <row r="4740">
      <c r="A4740" s="2"/>
      <c r="B4740" s="168" t="s">
        <v>260</v>
      </c>
      <c r="C4740" s="168" t="s">
        <v>4989</v>
      </c>
      <c r="D4740" s="229">
        <v>28.5</v>
      </c>
      <c r="E4740" s="229">
        <v>32.0</v>
      </c>
      <c r="F4740" s="230">
        <v>3.0</v>
      </c>
      <c r="G4740" s="232"/>
    </row>
    <row r="4741">
      <c r="A4741" s="2"/>
      <c r="B4741" s="168" t="s">
        <v>290</v>
      </c>
      <c r="C4741" s="168" t="s">
        <v>4990</v>
      </c>
      <c r="D4741" s="229">
        <v>29.5</v>
      </c>
      <c r="E4741" s="229">
        <v>33.0</v>
      </c>
      <c r="F4741" s="230">
        <v>3.0</v>
      </c>
      <c r="G4741" s="232"/>
    </row>
    <row r="4742">
      <c r="A4742" s="2"/>
      <c r="B4742" s="168" t="s">
        <v>232</v>
      </c>
      <c r="C4742" s="168" t="s">
        <v>4991</v>
      </c>
      <c r="D4742" s="229">
        <v>31.5</v>
      </c>
      <c r="E4742" s="229">
        <v>35.0</v>
      </c>
      <c r="F4742" s="230">
        <v>3.0</v>
      </c>
      <c r="G4742" s="232"/>
    </row>
    <row r="4743">
      <c r="A4743" s="2"/>
      <c r="B4743" s="168" t="s">
        <v>269</v>
      </c>
      <c r="C4743" s="168" t="s">
        <v>4992</v>
      </c>
      <c r="D4743" s="229">
        <v>26.5</v>
      </c>
      <c r="E4743" s="229">
        <v>30.0</v>
      </c>
      <c r="F4743" s="230">
        <v>3.0</v>
      </c>
      <c r="G4743" s="232"/>
    </row>
    <row r="4744">
      <c r="A4744" s="2"/>
      <c r="B4744" s="168" t="s">
        <v>318</v>
      </c>
      <c r="C4744" s="168" t="s">
        <v>4993</v>
      </c>
      <c r="D4744" s="229">
        <v>25.5</v>
      </c>
      <c r="E4744" s="229">
        <v>29.0</v>
      </c>
      <c r="F4744" s="230">
        <v>3.0</v>
      </c>
      <c r="G4744" s="232"/>
    </row>
    <row r="4745">
      <c r="A4745" s="2"/>
      <c r="B4745" s="168" t="s">
        <v>332</v>
      </c>
      <c r="C4745" s="168" t="s">
        <v>4994</v>
      </c>
      <c r="D4745" s="229">
        <v>28.5</v>
      </c>
      <c r="E4745" s="229">
        <v>32.0</v>
      </c>
      <c r="F4745" s="230">
        <v>3.0</v>
      </c>
      <c r="G4745" s="232"/>
    </row>
    <row r="4746">
      <c r="A4746" s="2"/>
      <c r="B4746" s="168" t="s">
        <v>230</v>
      </c>
      <c r="C4746" s="168" t="s">
        <v>4995</v>
      </c>
      <c r="D4746" s="229">
        <v>16.5</v>
      </c>
      <c r="E4746" s="229">
        <v>20.0</v>
      </c>
      <c r="F4746" s="230">
        <v>3.0</v>
      </c>
      <c r="G4746" s="232"/>
    </row>
    <row r="4747">
      <c r="A4747" s="2"/>
      <c r="B4747" s="168" t="s">
        <v>290</v>
      </c>
      <c r="C4747" s="168" t="s">
        <v>4996</v>
      </c>
      <c r="D4747" s="229">
        <v>29.5</v>
      </c>
      <c r="E4747" s="229">
        <v>33.0</v>
      </c>
      <c r="F4747" s="230">
        <v>3.0</v>
      </c>
      <c r="G4747" s="232"/>
    </row>
    <row r="4748">
      <c r="A4748" s="2"/>
      <c r="B4748" s="168" t="s">
        <v>302</v>
      </c>
      <c r="C4748" s="168" t="s">
        <v>4997</v>
      </c>
      <c r="D4748" s="229">
        <v>34.5</v>
      </c>
      <c r="E4748" s="229">
        <v>38.0</v>
      </c>
      <c r="F4748" s="230">
        <v>3.0</v>
      </c>
      <c r="G4748" s="232"/>
    </row>
    <row r="4749">
      <c r="A4749" s="2"/>
      <c r="B4749" s="168" t="s">
        <v>269</v>
      </c>
      <c r="C4749" s="168" t="s">
        <v>4998</v>
      </c>
      <c r="D4749" s="229">
        <v>21.5</v>
      </c>
      <c r="E4749" s="229">
        <v>25.0</v>
      </c>
      <c r="F4749" s="230">
        <v>3.0</v>
      </c>
      <c r="G4749" s="232"/>
    </row>
    <row r="4750">
      <c r="A4750" s="2"/>
      <c r="B4750" s="168" t="s">
        <v>255</v>
      </c>
      <c r="C4750" s="168" t="s">
        <v>4999</v>
      </c>
      <c r="D4750" s="229">
        <v>31.5</v>
      </c>
      <c r="E4750" s="229">
        <v>35.0</v>
      </c>
      <c r="F4750" s="230">
        <v>3.0</v>
      </c>
      <c r="G4750" s="232"/>
    </row>
    <row r="4751">
      <c r="A4751" s="2"/>
      <c r="B4751" s="168" t="s">
        <v>337</v>
      </c>
      <c r="C4751" s="168" t="s">
        <v>5000</v>
      </c>
      <c r="D4751" s="229">
        <v>28.5</v>
      </c>
      <c r="E4751" s="229">
        <v>32.0</v>
      </c>
      <c r="F4751" s="230">
        <v>3.0</v>
      </c>
      <c r="G4751" s="232"/>
    </row>
    <row r="4752">
      <c r="A4752" s="2"/>
      <c r="B4752" s="168" t="s">
        <v>255</v>
      </c>
      <c r="C4752" s="168" t="s">
        <v>5001</v>
      </c>
      <c r="D4752" s="229">
        <v>31.5</v>
      </c>
      <c r="E4752" s="229">
        <v>35.0</v>
      </c>
      <c r="F4752" s="230">
        <v>3.0</v>
      </c>
      <c r="G4752" s="232"/>
    </row>
    <row r="4753">
      <c r="A4753" s="2"/>
      <c r="B4753" s="168" t="s">
        <v>368</v>
      </c>
      <c r="C4753" s="168" t="s">
        <v>5002</v>
      </c>
      <c r="D4753" s="229">
        <v>32.5</v>
      </c>
      <c r="E4753" s="229">
        <v>36.0</v>
      </c>
      <c r="F4753" s="230">
        <v>3.0</v>
      </c>
      <c r="G4753" s="232"/>
    </row>
    <row r="4754">
      <c r="A4754" s="2"/>
      <c r="B4754" s="168" t="s">
        <v>269</v>
      </c>
      <c r="C4754" s="168" t="s">
        <v>5003</v>
      </c>
      <c r="D4754" s="229">
        <v>26.5</v>
      </c>
      <c r="E4754" s="229">
        <v>30.0</v>
      </c>
      <c r="F4754" s="230">
        <v>3.0</v>
      </c>
      <c r="G4754" s="232"/>
    </row>
    <row r="4755">
      <c r="A4755" s="2"/>
      <c r="B4755" s="168" t="s">
        <v>337</v>
      </c>
      <c r="C4755" s="168" t="s">
        <v>5004</v>
      </c>
      <c r="D4755" s="229">
        <v>28.5</v>
      </c>
      <c r="E4755" s="229">
        <v>32.0</v>
      </c>
      <c r="F4755" s="230">
        <v>3.0</v>
      </c>
      <c r="G4755" s="232"/>
    </row>
    <row r="4756">
      <c r="A4756" s="2"/>
      <c r="B4756" s="168" t="s">
        <v>290</v>
      </c>
      <c r="C4756" s="168" t="s">
        <v>5005</v>
      </c>
      <c r="D4756" s="229">
        <v>29.5</v>
      </c>
      <c r="E4756" s="229">
        <v>33.0</v>
      </c>
      <c r="F4756" s="230">
        <v>3.0</v>
      </c>
      <c r="G4756" s="232"/>
    </row>
    <row r="4757">
      <c r="A4757" s="2"/>
      <c r="B4757" s="168" t="s">
        <v>230</v>
      </c>
      <c r="C4757" s="168" t="s">
        <v>5006</v>
      </c>
      <c r="D4757" s="229">
        <v>21.5</v>
      </c>
      <c r="E4757" s="229">
        <v>25.0</v>
      </c>
      <c r="F4757" s="230">
        <v>3.0</v>
      </c>
      <c r="G4757" s="232"/>
    </row>
    <row r="4758">
      <c r="A4758" s="2"/>
      <c r="B4758" s="168" t="s">
        <v>215</v>
      </c>
      <c r="C4758" s="168" t="s">
        <v>5007</v>
      </c>
      <c r="D4758" s="229">
        <v>27.5</v>
      </c>
      <c r="E4758" s="229">
        <v>31.0</v>
      </c>
      <c r="F4758" s="230">
        <v>3.0</v>
      </c>
      <c r="G4758" s="232"/>
    </row>
    <row r="4759">
      <c r="A4759" s="2"/>
      <c r="B4759" s="168" t="s">
        <v>337</v>
      </c>
      <c r="C4759" s="168" t="s">
        <v>5008</v>
      </c>
      <c r="D4759" s="229">
        <v>28.5</v>
      </c>
      <c r="E4759" s="229">
        <v>32.0</v>
      </c>
      <c r="F4759" s="230">
        <v>3.0</v>
      </c>
      <c r="G4759" s="232"/>
    </row>
    <row r="4760">
      <c r="A4760" s="2"/>
      <c r="B4760" s="168" t="s">
        <v>288</v>
      </c>
      <c r="C4760" s="168" t="s">
        <v>5009</v>
      </c>
      <c r="D4760" s="229">
        <v>16.5</v>
      </c>
      <c r="E4760" s="229">
        <v>20.0</v>
      </c>
      <c r="F4760" s="230">
        <v>3.0</v>
      </c>
      <c r="G4760" s="232"/>
    </row>
    <row r="4761">
      <c r="A4761" s="2"/>
      <c r="B4761" s="168" t="s">
        <v>427</v>
      </c>
      <c r="C4761" s="168" t="s">
        <v>5010</v>
      </c>
      <c r="D4761" s="229">
        <v>26.5</v>
      </c>
      <c r="E4761" s="229">
        <v>30.0</v>
      </c>
      <c r="F4761" s="230">
        <v>3.0</v>
      </c>
      <c r="G4761" s="232"/>
    </row>
    <row r="4762">
      <c r="A4762" s="2"/>
      <c r="B4762" s="168" t="s">
        <v>269</v>
      </c>
      <c r="C4762" s="168" t="s">
        <v>5011</v>
      </c>
      <c r="D4762" s="229">
        <v>26.5</v>
      </c>
      <c r="E4762" s="229">
        <v>30.0</v>
      </c>
      <c r="F4762" s="230">
        <v>3.0</v>
      </c>
      <c r="G4762" s="232"/>
    </row>
    <row r="4763">
      <c r="A4763" s="2"/>
      <c r="B4763" s="168" t="s">
        <v>288</v>
      </c>
      <c r="C4763" s="168" t="s">
        <v>5012</v>
      </c>
      <c r="D4763" s="229">
        <v>21.5</v>
      </c>
      <c r="E4763" s="229">
        <v>25.0</v>
      </c>
      <c r="F4763" s="230">
        <v>3.0</v>
      </c>
      <c r="G4763" s="232"/>
    </row>
    <row r="4764">
      <c r="A4764" s="2"/>
      <c r="B4764" s="168" t="s">
        <v>328</v>
      </c>
      <c r="C4764" s="168" t="s">
        <v>5013</v>
      </c>
      <c r="D4764" s="229">
        <v>34.5</v>
      </c>
      <c r="E4764" s="229">
        <v>38.0</v>
      </c>
      <c r="F4764" s="230">
        <v>3.0</v>
      </c>
      <c r="G4764" s="232"/>
    </row>
    <row r="4765">
      <c r="A4765" s="2"/>
      <c r="B4765" s="168" t="s">
        <v>332</v>
      </c>
      <c r="C4765" s="168" t="s">
        <v>5014</v>
      </c>
      <c r="D4765" s="229">
        <v>28.5</v>
      </c>
      <c r="E4765" s="229">
        <v>32.0</v>
      </c>
      <c r="F4765" s="230">
        <v>3.0</v>
      </c>
      <c r="G4765" s="232"/>
    </row>
    <row r="4766">
      <c r="A4766" s="2"/>
      <c r="B4766" s="168" t="s">
        <v>269</v>
      </c>
      <c r="C4766" s="168" t="s">
        <v>5015</v>
      </c>
      <c r="D4766" s="229">
        <v>26.5</v>
      </c>
      <c r="E4766" s="229">
        <v>30.0</v>
      </c>
      <c r="F4766" s="230">
        <v>3.0</v>
      </c>
      <c r="G4766" s="232"/>
    </row>
    <row r="4767">
      <c r="A4767" s="2"/>
      <c r="B4767" s="168" t="s">
        <v>406</v>
      </c>
      <c r="C4767" s="168" t="s">
        <v>5016</v>
      </c>
      <c r="D4767" s="229">
        <v>29.5</v>
      </c>
      <c r="E4767" s="229">
        <v>33.0</v>
      </c>
      <c r="F4767" s="230">
        <v>3.0</v>
      </c>
      <c r="G4767" s="232"/>
    </row>
    <row r="4768">
      <c r="A4768" s="2"/>
      <c r="B4768" s="168" t="s">
        <v>280</v>
      </c>
      <c r="C4768" s="168" t="s">
        <v>5017</v>
      </c>
      <c r="D4768" s="229">
        <v>31.5</v>
      </c>
      <c r="E4768" s="229">
        <v>35.0</v>
      </c>
      <c r="F4768" s="230">
        <v>3.0</v>
      </c>
      <c r="G4768" s="232"/>
    </row>
    <row r="4769">
      <c r="A4769" s="2"/>
      <c r="B4769" s="168" t="s">
        <v>328</v>
      </c>
      <c r="C4769" s="168" t="s">
        <v>5018</v>
      </c>
      <c r="D4769" s="229">
        <v>34.5</v>
      </c>
      <c r="E4769" s="229">
        <v>38.0</v>
      </c>
      <c r="F4769" s="230">
        <v>3.0</v>
      </c>
      <c r="G4769" s="232"/>
    </row>
    <row r="4770">
      <c r="A4770" s="2"/>
      <c r="B4770" s="168" t="s">
        <v>296</v>
      </c>
      <c r="C4770" s="168" t="s">
        <v>5019</v>
      </c>
      <c r="D4770" s="229">
        <v>26.5</v>
      </c>
      <c r="E4770" s="229">
        <v>30.0</v>
      </c>
      <c r="F4770" s="230">
        <v>3.0</v>
      </c>
      <c r="G4770" s="232"/>
    </row>
    <row r="4771">
      <c r="A4771" s="2"/>
      <c r="B4771" s="168" t="s">
        <v>255</v>
      </c>
      <c r="C4771" s="168" t="s">
        <v>5020</v>
      </c>
      <c r="D4771" s="229">
        <v>31.5</v>
      </c>
      <c r="E4771" s="229">
        <v>35.0</v>
      </c>
      <c r="F4771" s="230">
        <v>3.0</v>
      </c>
      <c r="G4771" s="232"/>
    </row>
    <row r="4772">
      <c r="A4772" s="2"/>
      <c r="B4772" s="168" t="s">
        <v>288</v>
      </c>
      <c r="C4772" s="168" t="s">
        <v>5021</v>
      </c>
      <c r="D4772" s="229">
        <v>21.5</v>
      </c>
      <c r="E4772" s="229">
        <v>25.0</v>
      </c>
      <c r="F4772" s="230">
        <v>3.0</v>
      </c>
      <c r="G4772" s="232"/>
    </row>
    <row r="4773">
      <c r="A4773" s="2"/>
      <c r="B4773" s="168" t="s">
        <v>260</v>
      </c>
      <c r="C4773" s="168" t="s">
        <v>5022</v>
      </c>
      <c r="D4773" s="229">
        <v>28.5</v>
      </c>
      <c r="E4773" s="229">
        <v>32.0</v>
      </c>
      <c r="F4773" s="230">
        <v>3.0</v>
      </c>
      <c r="G4773" s="232"/>
    </row>
    <row r="4774">
      <c r="A4774" s="2"/>
      <c r="B4774" s="168" t="s">
        <v>228</v>
      </c>
      <c r="C4774" s="168" t="s">
        <v>5023</v>
      </c>
      <c r="D4774" s="229">
        <v>26.5</v>
      </c>
      <c r="E4774" s="229">
        <v>26.5</v>
      </c>
      <c r="F4774" s="230">
        <v>3.0</v>
      </c>
      <c r="G4774" s="232"/>
    </row>
    <row r="4775">
      <c r="A4775" s="2"/>
      <c r="B4775" s="168" t="s">
        <v>290</v>
      </c>
      <c r="C4775" s="168" t="s">
        <v>5024</v>
      </c>
      <c r="D4775" s="229">
        <v>24.5</v>
      </c>
      <c r="E4775" s="229">
        <v>28.0</v>
      </c>
      <c r="F4775" s="230">
        <v>3.0</v>
      </c>
      <c r="G4775" s="232"/>
    </row>
    <row r="4776">
      <c r="A4776" s="2"/>
      <c r="B4776" s="168" t="s">
        <v>255</v>
      </c>
      <c r="C4776" s="168" t="s">
        <v>5025</v>
      </c>
      <c r="D4776" s="229">
        <v>31.5</v>
      </c>
      <c r="E4776" s="229">
        <v>35.0</v>
      </c>
      <c r="F4776" s="230">
        <v>3.0</v>
      </c>
      <c r="G4776" s="232"/>
    </row>
    <row r="4777">
      <c r="A4777" s="2"/>
      <c r="B4777" s="168" t="s">
        <v>290</v>
      </c>
      <c r="C4777" s="168" t="s">
        <v>5026</v>
      </c>
      <c r="D4777" s="229">
        <v>29.5</v>
      </c>
      <c r="E4777" s="229">
        <v>33.0</v>
      </c>
      <c r="F4777" s="230">
        <v>3.0</v>
      </c>
      <c r="G4777" s="232"/>
    </row>
    <row r="4778">
      <c r="A4778" s="2"/>
      <c r="B4778" s="168" t="s">
        <v>328</v>
      </c>
      <c r="C4778" s="168" t="s">
        <v>5027</v>
      </c>
      <c r="D4778" s="229">
        <v>34.5</v>
      </c>
      <c r="E4778" s="229">
        <v>38.0</v>
      </c>
      <c r="F4778" s="230">
        <v>3.0</v>
      </c>
      <c r="G4778" s="232"/>
    </row>
    <row r="4779">
      <c r="A4779" s="2"/>
      <c r="B4779" s="168" t="s">
        <v>290</v>
      </c>
      <c r="C4779" s="168" t="s">
        <v>5028</v>
      </c>
      <c r="D4779" s="229">
        <v>29.5</v>
      </c>
      <c r="E4779" s="229">
        <v>33.0</v>
      </c>
      <c r="F4779" s="230">
        <v>3.0</v>
      </c>
      <c r="G4779" s="232"/>
    </row>
    <row r="4780">
      <c r="A4780" s="2"/>
      <c r="B4780" s="168" t="s">
        <v>565</v>
      </c>
      <c r="C4780" s="168" t="s">
        <v>5029</v>
      </c>
      <c r="D4780" s="229">
        <v>24.5</v>
      </c>
      <c r="E4780" s="229">
        <v>28.0</v>
      </c>
      <c r="F4780" s="230">
        <v>3.0</v>
      </c>
      <c r="G4780" s="232"/>
    </row>
    <row r="4781">
      <c r="A4781" s="2"/>
      <c r="B4781" s="168" t="s">
        <v>1392</v>
      </c>
      <c r="C4781" s="168" t="s">
        <v>5030</v>
      </c>
      <c r="D4781" s="229">
        <v>26.5</v>
      </c>
      <c r="E4781" s="229">
        <v>30.0</v>
      </c>
      <c r="F4781" s="230">
        <v>3.0</v>
      </c>
      <c r="G4781" s="232"/>
    </row>
    <row r="4782">
      <c r="A4782" s="2"/>
      <c r="B4782" s="168" t="s">
        <v>234</v>
      </c>
      <c r="C4782" s="168" t="s">
        <v>5031</v>
      </c>
      <c r="D4782" s="229">
        <v>29.5</v>
      </c>
      <c r="E4782" s="229">
        <v>33.0</v>
      </c>
      <c r="F4782" s="230">
        <v>3.0</v>
      </c>
      <c r="G4782" s="232"/>
    </row>
    <row r="4783">
      <c r="A4783" s="2"/>
      <c r="B4783" s="168" t="s">
        <v>337</v>
      </c>
      <c r="C4783" s="168" t="s">
        <v>5032</v>
      </c>
      <c r="D4783" s="229">
        <v>28.5</v>
      </c>
      <c r="E4783" s="229">
        <v>32.0</v>
      </c>
      <c r="F4783" s="230">
        <v>3.0</v>
      </c>
      <c r="G4783" s="232"/>
    </row>
    <row r="4784">
      <c r="A4784" s="2"/>
      <c r="B4784" s="168" t="s">
        <v>348</v>
      </c>
      <c r="C4784" s="168" t="s">
        <v>5033</v>
      </c>
      <c r="D4784" s="229">
        <v>24.5</v>
      </c>
      <c r="E4784" s="229">
        <v>28.0</v>
      </c>
      <c r="F4784" s="230">
        <v>3.0</v>
      </c>
      <c r="G4784" s="232"/>
    </row>
    <row r="4785">
      <c r="A4785" s="2"/>
      <c r="B4785" s="168" t="s">
        <v>288</v>
      </c>
      <c r="C4785" s="168" t="s">
        <v>5034</v>
      </c>
      <c r="D4785" s="229">
        <v>21.5</v>
      </c>
      <c r="E4785" s="229">
        <v>25.0</v>
      </c>
      <c r="F4785" s="230">
        <v>3.0</v>
      </c>
      <c r="G4785" s="232"/>
    </row>
    <row r="4786">
      <c r="A4786" s="2"/>
      <c r="B4786" s="168" t="s">
        <v>273</v>
      </c>
      <c r="C4786" s="168" t="s">
        <v>5035</v>
      </c>
      <c r="D4786" s="229">
        <v>29.5</v>
      </c>
      <c r="E4786" s="229">
        <v>33.0</v>
      </c>
      <c r="F4786" s="230">
        <v>3.0</v>
      </c>
      <c r="G4786" s="232"/>
    </row>
    <row r="4787">
      <c r="A4787" s="2"/>
      <c r="B4787" s="168" t="s">
        <v>288</v>
      </c>
      <c r="C4787" s="168" t="s">
        <v>5036</v>
      </c>
      <c r="D4787" s="229">
        <v>21.5</v>
      </c>
      <c r="E4787" s="229">
        <v>25.0</v>
      </c>
      <c r="F4787" s="230">
        <v>3.0</v>
      </c>
      <c r="G4787" s="232"/>
    </row>
    <row r="4788">
      <c r="A4788" s="2"/>
      <c r="B4788" s="168" t="s">
        <v>300</v>
      </c>
      <c r="C4788" s="168" t="s">
        <v>5037</v>
      </c>
      <c r="D4788" s="229">
        <v>28.0</v>
      </c>
      <c r="E4788" s="229">
        <v>31.5</v>
      </c>
      <c r="F4788" s="230">
        <v>3.0</v>
      </c>
      <c r="G4788" s="232"/>
    </row>
    <row r="4789">
      <c r="A4789" s="2"/>
      <c r="B4789" s="168" t="s">
        <v>234</v>
      </c>
      <c r="C4789" s="168" t="s">
        <v>5038</v>
      </c>
      <c r="D4789" s="229">
        <v>29.5</v>
      </c>
      <c r="E4789" s="229">
        <v>33.0</v>
      </c>
      <c r="F4789" s="230">
        <v>3.0</v>
      </c>
      <c r="G4789" s="232"/>
    </row>
    <row r="4790">
      <c r="A4790" s="2"/>
      <c r="B4790" s="168" t="s">
        <v>574</v>
      </c>
      <c r="C4790" s="168" t="s">
        <v>5039</v>
      </c>
      <c r="D4790" s="229">
        <v>34.5</v>
      </c>
      <c r="E4790" s="229">
        <v>38.0</v>
      </c>
      <c r="F4790" s="230">
        <v>3.0</v>
      </c>
      <c r="G4790" s="232"/>
    </row>
    <row r="4791">
      <c r="A4791" s="2"/>
      <c r="B4791" s="168" t="s">
        <v>275</v>
      </c>
      <c r="C4791" s="168" t="s">
        <v>5040</v>
      </c>
      <c r="D4791" s="229">
        <v>26.5</v>
      </c>
      <c r="E4791" s="229">
        <v>30.0</v>
      </c>
      <c r="F4791" s="230">
        <v>3.0</v>
      </c>
      <c r="G4791" s="232"/>
    </row>
    <row r="4792">
      <c r="A4792" s="2"/>
      <c r="B4792" s="168" t="s">
        <v>232</v>
      </c>
      <c r="C4792" s="168" t="s">
        <v>5041</v>
      </c>
      <c r="D4792" s="229">
        <v>32.0</v>
      </c>
      <c r="E4792" s="229">
        <v>35.5</v>
      </c>
      <c r="F4792" s="230">
        <v>3.0</v>
      </c>
      <c r="G4792" s="232"/>
    </row>
    <row r="4793">
      <c r="A4793" s="2"/>
      <c r="B4793" s="168" t="s">
        <v>230</v>
      </c>
      <c r="C4793" s="168" t="s">
        <v>5042</v>
      </c>
      <c r="D4793" s="229">
        <v>21.5</v>
      </c>
      <c r="E4793" s="229">
        <v>25.0</v>
      </c>
      <c r="F4793" s="230">
        <v>3.0</v>
      </c>
      <c r="G4793" s="232"/>
    </row>
    <row r="4794">
      <c r="A4794" s="2"/>
      <c r="B4794" s="168" t="s">
        <v>288</v>
      </c>
      <c r="C4794" s="168" t="s">
        <v>5043</v>
      </c>
      <c r="D4794" s="229">
        <v>21.5</v>
      </c>
      <c r="E4794" s="229">
        <v>25.0</v>
      </c>
      <c r="F4794" s="230">
        <v>3.0</v>
      </c>
      <c r="G4794" s="232"/>
    </row>
    <row r="4795">
      <c r="A4795" s="2"/>
      <c r="B4795" s="168" t="s">
        <v>406</v>
      </c>
      <c r="C4795" s="168" t="s">
        <v>5044</v>
      </c>
      <c r="D4795" s="229">
        <v>29.5</v>
      </c>
      <c r="E4795" s="229">
        <v>33.0</v>
      </c>
      <c r="F4795" s="230">
        <v>3.0</v>
      </c>
      <c r="G4795" s="232"/>
    </row>
    <row r="4796">
      <c r="A4796" s="2"/>
      <c r="B4796" s="168" t="s">
        <v>221</v>
      </c>
      <c r="C4796" s="168" t="s">
        <v>5045</v>
      </c>
      <c r="D4796" s="229">
        <v>27.5</v>
      </c>
      <c r="E4796" s="229">
        <v>31.0</v>
      </c>
      <c r="F4796" s="230">
        <v>3.0</v>
      </c>
      <c r="G4796" s="232"/>
    </row>
    <row r="4797">
      <c r="A4797" s="2"/>
      <c r="B4797" s="168" t="s">
        <v>269</v>
      </c>
      <c r="C4797" s="168" t="s">
        <v>5046</v>
      </c>
      <c r="D4797" s="229">
        <v>26.5</v>
      </c>
      <c r="E4797" s="229">
        <v>30.0</v>
      </c>
      <c r="F4797" s="230">
        <v>3.0</v>
      </c>
      <c r="G4797" s="232"/>
    </row>
    <row r="4798">
      <c r="A4798" s="2"/>
      <c r="B4798" s="168" t="s">
        <v>255</v>
      </c>
      <c r="C4798" s="168" t="s">
        <v>5047</v>
      </c>
      <c r="D4798" s="229">
        <v>31.5</v>
      </c>
      <c r="E4798" s="229">
        <v>35.0</v>
      </c>
      <c r="F4798" s="230">
        <v>3.0</v>
      </c>
      <c r="G4798" s="232"/>
    </row>
    <row r="4799">
      <c r="A4799" s="2"/>
      <c r="B4799" s="168" t="s">
        <v>234</v>
      </c>
      <c r="C4799" s="168" t="s">
        <v>5048</v>
      </c>
      <c r="D4799" s="229">
        <v>29.5</v>
      </c>
      <c r="E4799" s="229">
        <v>33.0</v>
      </c>
      <c r="F4799" s="230">
        <v>3.0</v>
      </c>
      <c r="G4799" s="232"/>
    </row>
    <row r="4800">
      <c r="A4800" s="2"/>
      <c r="B4800" s="168" t="s">
        <v>217</v>
      </c>
      <c r="C4800" s="168" t="s">
        <v>5049</v>
      </c>
      <c r="D4800" s="229">
        <v>27.5</v>
      </c>
      <c r="E4800" s="229">
        <v>31.0</v>
      </c>
      <c r="F4800" s="230">
        <v>3.0</v>
      </c>
      <c r="G4800" s="232"/>
    </row>
    <row r="4801">
      <c r="A4801" s="2"/>
      <c r="B4801" s="168" t="s">
        <v>318</v>
      </c>
      <c r="C4801" s="168" t="s">
        <v>5050</v>
      </c>
      <c r="D4801" s="229">
        <v>25.5</v>
      </c>
      <c r="E4801" s="229">
        <v>29.0</v>
      </c>
      <c r="F4801" s="230">
        <v>3.0</v>
      </c>
      <c r="G4801" s="232"/>
    </row>
    <row r="4802">
      <c r="A4802" s="2"/>
      <c r="B4802" s="168" t="s">
        <v>217</v>
      </c>
      <c r="C4802" s="168" t="s">
        <v>5051</v>
      </c>
      <c r="D4802" s="229">
        <v>27.5</v>
      </c>
      <c r="E4802" s="229">
        <v>31.0</v>
      </c>
      <c r="F4802" s="230">
        <v>3.0</v>
      </c>
      <c r="G4802" s="232"/>
    </row>
    <row r="4803">
      <c r="A4803" s="2"/>
      <c r="B4803" s="168" t="s">
        <v>269</v>
      </c>
      <c r="C4803" s="168" t="s">
        <v>5052</v>
      </c>
      <c r="D4803" s="229">
        <v>26.5</v>
      </c>
      <c r="E4803" s="229">
        <v>30.0</v>
      </c>
      <c r="F4803" s="230">
        <v>3.0</v>
      </c>
      <c r="G4803" s="232"/>
    </row>
    <row r="4804">
      <c r="A4804" s="2"/>
      <c r="B4804" s="168" t="s">
        <v>255</v>
      </c>
      <c r="C4804" s="168" t="s">
        <v>5053</v>
      </c>
      <c r="D4804" s="229">
        <v>31.5</v>
      </c>
      <c r="E4804" s="229">
        <v>35.0</v>
      </c>
      <c r="F4804" s="230">
        <v>3.0</v>
      </c>
      <c r="G4804" s="232"/>
    </row>
    <row r="4805">
      <c r="A4805" s="2"/>
      <c r="B4805" s="168" t="s">
        <v>288</v>
      </c>
      <c r="C4805" s="168" t="s">
        <v>5054</v>
      </c>
      <c r="D4805" s="229">
        <v>21.5</v>
      </c>
      <c r="E4805" s="229">
        <v>25.0</v>
      </c>
      <c r="F4805" s="230">
        <v>3.0</v>
      </c>
      <c r="G4805" s="232"/>
    </row>
    <row r="4806">
      <c r="A4806" s="2"/>
      <c r="B4806" s="168" t="s">
        <v>345</v>
      </c>
      <c r="C4806" s="168" t="s">
        <v>5055</v>
      </c>
      <c r="D4806" s="229">
        <v>26.5</v>
      </c>
      <c r="E4806" s="229">
        <v>30.0</v>
      </c>
      <c r="F4806" s="230">
        <v>3.0</v>
      </c>
      <c r="G4806" s="232"/>
    </row>
    <row r="4807">
      <c r="A4807" s="2"/>
      <c r="B4807" s="168" t="s">
        <v>241</v>
      </c>
      <c r="C4807" s="168" t="s">
        <v>5056</v>
      </c>
      <c r="D4807" s="229">
        <v>32.5</v>
      </c>
      <c r="E4807" s="229">
        <v>36.0</v>
      </c>
      <c r="F4807" s="230">
        <v>3.0</v>
      </c>
      <c r="G4807" s="232"/>
    </row>
    <row r="4808">
      <c r="A4808" s="2"/>
      <c r="B4808" s="168" t="s">
        <v>290</v>
      </c>
      <c r="C4808" s="168" t="s">
        <v>5057</v>
      </c>
      <c r="D4808" s="229">
        <v>29.5</v>
      </c>
      <c r="E4808" s="229">
        <v>33.0</v>
      </c>
      <c r="F4808" s="230">
        <v>3.0</v>
      </c>
      <c r="G4808" s="232"/>
    </row>
    <row r="4809">
      <c r="A4809" s="2"/>
      <c r="B4809" s="168" t="s">
        <v>230</v>
      </c>
      <c r="C4809" s="168" t="s">
        <v>5058</v>
      </c>
      <c r="D4809" s="229">
        <v>21.5</v>
      </c>
      <c r="E4809" s="229">
        <v>25.0</v>
      </c>
      <c r="F4809" s="230">
        <v>3.0</v>
      </c>
      <c r="G4809" s="232"/>
    </row>
    <row r="4810">
      <c r="A4810" s="2"/>
      <c r="B4810" s="168" t="s">
        <v>217</v>
      </c>
      <c r="C4810" s="168" t="s">
        <v>5059</v>
      </c>
      <c r="D4810" s="229">
        <v>27.5</v>
      </c>
      <c r="E4810" s="229">
        <v>31.0</v>
      </c>
      <c r="F4810" s="230">
        <v>3.0</v>
      </c>
      <c r="G4810" s="232"/>
    </row>
    <row r="4811">
      <c r="A4811" s="2"/>
      <c r="B4811" s="168" t="s">
        <v>288</v>
      </c>
      <c r="C4811" s="168" t="s">
        <v>5060</v>
      </c>
      <c r="D4811" s="229">
        <v>21.5</v>
      </c>
      <c r="E4811" s="229">
        <v>25.0</v>
      </c>
      <c r="F4811" s="230">
        <v>3.0</v>
      </c>
      <c r="G4811" s="232"/>
    </row>
    <row r="4812">
      <c r="A4812" s="2"/>
      <c r="B4812" s="168" t="s">
        <v>449</v>
      </c>
      <c r="C4812" s="168" t="s">
        <v>5061</v>
      </c>
      <c r="D4812" s="229">
        <v>28.5</v>
      </c>
      <c r="E4812" s="229">
        <v>32.0</v>
      </c>
      <c r="F4812" s="230">
        <v>3.0</v>
      </c>
      <c r="G4812" s="232"/>
    </row>
    <row r="4813">
      <c r="A4813" s="2"/>
      <c r="B4813" s="168" t="s">
        <v>290</v>
      </c>
      <c r="C4813" s="168" t="s">
        <v>5062</v>
      </c>
      <c r="D4813" s="229">
        <v>29.5</v>
      </c>
      <c r="E4813" s="229">
        <v>33.0</v>
      </c>
      <c r="F4813" s="230">
        <v>3.0</v>
      </c>
      <c r="G4813" s="232"/>
    </row>
    <row r="4814">
      <c r="A4814" s="2"/>
      <c r="B4814" s="168" t="s">
        <v>243</v>
      </c>
      <c r="C4814" s="168" t="s">
        <v>5063</v>
      </c>
      <c r="D4814" s="229">
        <v>29.5</v>
      </c>
      <c r="E4814" s="229">
        <v>33.0</v>
      </c>
      <c r="F4814" s="230">
        <v>3.0</v>
      </c>
      <c r="G4814" s="232"/>
    </row>
    <row r="4815">
      <c r="A4815" s="2"/>
      <c r="B4815" s="168" t="s">
        <v>296</v>
      </c>
      <c r="C4815" s="168" t="s">
        <v>5064</v>
      </c>
      <c r="D4815" s="229">
        <v>26.5</v>
      </c>
      <c r="E4815" s="229">
        <v>30.0</v>
      </c>
      <c r="F4815" s="230">
        <v>3.0</v>
      </c>
      <c r="G4815" s="232"/>
    </row>
    <row r="4816">
      <c r="A4816" s="2"/>
      <c r="B4816" s="168" t="s">
        <v>438</v>
      </c>
      <c r="C4816" s="168" t="s">
        <v>5065</v>
      </c>
      <c r="D4816" s="229">
        <v>21.5</v>
      </c>
      <c r="E4816" s="229">
        <v>25.0</v>
      </c>
      <c r="F4816" s="230">
        <v>3.0</v>
      </c>
      <c r="G4816" s="232"/>
    </row>
    <row r="4817">
      <c r="A4817" s="2"/>
      <c r="B4817" s="168" t="s">
        <v>273</v>
      </c>
      <c r="C4817" s="168" t="s">
        <v>5066</v>
      </c>
      <c r="D4817" s="229">
        <v>24.5</v>
      </c>
      <c r="E4817" s="229">
        <v>28.0</v>
      </c>
      <c r="F4817" s="230">
        <v>3.0</v>
      </c>
      <c r="G4817" s="232"/>
    </row>
    <row r="4818">
      <c r="A4818" s="2"/>
      <c r="B4818" s="168" t="s">
        <v>266</v>
      </c>
      <c r="C4818" s="168" t="s">
        <v>5067</v>
      </c>
      <c r="D4818" s="229">
        <v>33.0</v>
      </c>
      <c r="E4818" s="229">
        <v>33.0</v>
      </c>
      <c r="F4818" s="230">
        <v>3.0</v>
      </c>
      <c r="G4818" s="232"/>
    </row>
    <row r="4819">
      <c r="A4819" s="2"/>
      <c r="B4819" s="168" t="s">
        <v>318</v>
      </c>
      <c r="C4819" s="168" t="s">
        <v>318</v>
      </c>
      <c r="D4819" s="229">
        <v>25.5</v>
      </c>
      <c r="E4819" s="229">
        <v>29.0</v>
      </c>
      <c r="F4819" s="230">
        <v>3.0</v>
      </c>
      <c r="G4819" s="232"/>
    </row>
    <row r="4820">
      <c r="A4820" s="2"/>
      <c r="B4820" s="168" t="s">
        <v>288</v>
      </c>
      <c r="C4820" s="168" t="s">
        <v>5068</v>
      </c>
      <c r="D4820" s="229">
        <v>21.5</v>
      </c>
      <c r="E4820" s="229">
        <v>25.0</v>
      </c>
      <c r="F4820" s="230">
        <v>3.0</v>
      </c>
      <c r="G4820" s="232"/>
    </row>
    <row r="4821">
      <c r="A4821" s="2"/>
      <c r="B4821" s="168" t="s">
        <v>290</v>
      </c>
      <c r="C4821" s="168" t="s">
        <v>5069</v>
      </c>
      <c r="D4821" s="229">
        <v>24.5</v>
      </c>
      <c r="E4821" s="229">
        <v>28.0</v>
      </c>
      <c r="F4821" s="230">
        <v>3.0</v>
      </c>
      <c r="G4821" s="232"/>
    </row>
    <row r="4822">
      <c r="A4822" s="2"/>
      <c r="B4822" s="168" t="s">
        <v>381</v>
      </c>
      <c r="C4822" s="168" t="s">
        <v>5070</v>
      </c>
      <c r="D4822" s="229">
        <v>28.5</v>
      </c>
      <c r="E4822" s="229">
        <v>32.0</v>
      </c>
      <c r="F4822" s="230">
        <v>3.0</v>
      </c>
      <c r="G4822" s="232"/>
    </row>
    <row r="4823">
      <c r="A4823" s="2"/>
      <c r="B4823" s="168" t="s">
        <v>377</v>
      </c>
      <c r="C4823" s="168" t="s">
        <v>5071</v>
      </c>
      <c r="D4823" s="229">
        <v>29.5</v>
      </c>
      <c r="E4823" s="229">
        <v>33.0</v>
      </c>
      <c r="F4823" s="230">
        <v>3.0</v>
      </c>
      <c r="G4823" s="232"/>
    </row>
    <row r="4824">
      <c r="A4824" s="2"/>
      <c r="B4824" s="168" t="s">
        <v>368</v>
      </c>
      <c r="C4824" s="168" t="s">
        <v>5072</v>
      </c>
      <c r="D4824" s="229">
        <v>32.5</v>
      </c>
      <c r="E4824" s="229">
        <v>36.0</v>
      </c>
      <c r="F4824" s="230">
        <v>3.0</v>
      </c>
      <c r="G4824" s="232"/>
    </row>
    <row r="4825">
      <c r="A4825" s="2"/>
      <c r="B4825" s="168" t="s">
        <v>232</v>
      </c>
      <c r="C4825" s="168" t="s">
        <v>5073</v>
      </c>
      <c r="D4825" s="229">
        <v>30.0</v>
      </c>
      <c r="E4825" s="229">
        <v>33.5</v>
      </c>
      <c r="F4825" s="230">
        <v>3.0</v>
      </c>
      <c r="G4825" s="232"/>
    </row>
    <row r="4826">
      <c r="A4826" s="2"/>
      <c r="B4826" s="168" t="s">
        <v>269</v>
      </c>
      <c r="C4826" s="168" t="s">
        <v>5074</v>
      </c>
      <c r="D4826" s="229">
        <v>26.5</v>
      </c>
      <c r="E4826" s="229">
        <v>30.0</v>
      </c>
      <c r="F4826" s="230">
        <v>3.0</v>
      </c>
      <c r="G4826" s="232"/>
    </row>
    <row r="4827">
      <c r="A4827" s="2"/>
      <c r="B4827" s="168" t="s">
        <v>273</v>
      </c>
      <c r="C4827" s="168" t="s">
        <v>5075</v>
      </c>
      <c r="D4827" s="229">
        <v>24.5</v>
      </c>
      <c r="E4827" s="229">
        <v>28.0</v>
      </c>
      <c r="F4827" s="230">
        <v>3.0</v>
      </c>
      <c r="G4827" s="232"/>
    </row>
    <row r="4828">
      <c r="A4828" s="2"/>
      <c r="B4828" s="168" t="s">
        <v>269</v>
      </c>
      <c r="C4828" s="168" t="s">
        <v>5076</v>
      </c>
      <c r="D4828" s="229">
        <v>26.5</v>
      </c>
      <c r="E4828" s="229">
        <v>30.0</v>
      </c>
      <c r="F4828" s="230">
        <v>3.0</v>
      </c>
      <c r="G4828" s="232"/>
    </row>
    <row r="4829">
      <c r="A4829" s="2"/>
      <c r="B4829" s="168" t="s">
        <v>296</v>
      </c>
      <c r="C4829" s="168" t="s">
        <v>5077</v>
      </c>
      <c r="D4829" s="229">
        <v>26.5</v>
      </c>
      <c r="E4829" s="229">
        <v>30.0</v>
      </c>
      <c r="F4829" s="230">
        <v>3.0</v>
      </c>
      <c r="G4829" s="232"/>
    </row>
    <row r="4830">
      <c r="A4830" s="2"/>
      <c r="B4830" s="168" t="s">
        <v>381</v>
      </c>
      <c r="C4830" s="168" t="s">
        <v>5078</v>
      </c>
      <c r="D4830" s="229">
        <v>28.5</v>
      </c>
      <c r="E4830" s="229">
        <v>32.0</v>
      </c>
      <c r="F4830" s="230">
        <v>3.0</v>
      </c>
      <c r="G4830" s="232"/>
    </row>
    <row r="4831">
      <c r="A4831" s="2"/>
      <c r="B4831" s="168" t="s">
        <v>266</v>
      </c>
      <c r="C4831" s="168" t="s">
        <v>5079</v>
      </c>
      <c r="D4831" s="229">
        <v>33.0</v>
      </c>
      <c r="E4831" s="229">
        <v>33.0</v>
      </c>
      <c r="F4831" s="230">
        <v>3.0</v>
      </c>
      <c r="G4831" s="232"/>
    </row>
    <row r="4832">
      <c r="A4832" s="2"/>
      <c r="B4832" s="168" t="s">
        <v>239</v>
      </c>
      <c r="C4832" s="168" t="s">
        <v>5080</v>
      </c>
      <c r="D4832" s="229">
        <v>29.5</v>
      </c>
      <c r="E4832" s="229">
        <v>33.0</v>
      </c>
      <c r="F4832" s="230">
        <v>3.0</v>
      </c>
      <c r="G4832" s="232"/>
    </row>
    <row r="4833">
      <c r="A4833" s="2"/>
      <c r="B4833" s="168" t="s">
        <v>318</v>
      </c>
      <c r="C4833" s="168" t="s">
        <v>5081</v>
      </c>
      <c r="D4833" s="229">
        <v>25.5</v>
      </c>
      <c r="E4833" s="229">
        <v>29.0</v>
      </c>
      <c r="F4833" s="230">
        <v>3.0</v>
      </c>
      <c r="G4833" s="232"/>
    </row>
    <row r="4834">
      <c r="A4834" s="2"/>
      <c r="B4834" s="168" t="s">
        <v>430</v>
      </c>
      <c r="C4834" s="168" t="s">
        <v>5082</v>
      </c>
      <c r="D4834" s="229">
        <v>34.5</v>
      </c>
      <c r="E4834" s="229">
        <v>38.0</v>
      </c>
      <c r="F4834" s="230">
        <v>3.0</v>
      </c>
      <c r="G4834" s="232"/>
    </row>
    <row r="4835">
      <c r="A4835" s="2"/>
      <c r="B4835" s="168" t="s">
        <v>257</v>
      </c>
      <c r="C4835" s="168" t="s">
        <v>5083</v>
      </c>
      <c r="D4835" s="229">
        <v>28.5</v>
      </c>
      <c r="E4835" s="229">
        <v>32.0</v>
      </c>
      <c r="F4835" s="230">
        <v>3.0</v>
      </c>
      <c r="G4835" s="232"/>
    </row>
    <row r="4836">
      <c r="A4836" s="2"/>
      <c r="B4836" s="168" t="s">
        <v>255</v>
      </c>
      <c r="C4836" s="168" t="s">
        <v>5084</v>
      </c>
      <c r="D4836" s="229">
        <v>31.5</v>
      </c>
      <c r="E4836" s="229">
        <v>35.0</v>
      </c>
      <c r="F4836" s="230">
        <v>3.0</v>
      </c>
      <c r="G4836" s="232"/>
    </row>
    <row r="4837">
      <c r="A4837" s="2"/>
      <c r="B4837" s="168" t="s">
        <v>215</v>
      </c>
      <c r="C4837" s="168" t="s">
        <v>5085</v>
      </c>
      <c r="D4837" s="229">
        <v>27.5</v>
      </c>
      <c r="E4837" s="229">
        <v>31.0</v>
      </c>
      <c r="F4837" s="230">
        <v>3.0</v>
      </c>
      <c r="G4837" s="232"/>
    </row>
    <row r="4838">
      <c r="A4838" s="2"/>
      <c r="B4838" s="168" t="s">
        <v>290</v>
      </c>
      <c r="C4838" s="168" t="s">
        <v>5086</v>
      </c>
      <c r="D4838" s="229">
        <v>24.5</v>
      </c>
      <c r="E4838" s="229">
        <v>28.0</v>
      </c>
      <c r="F4838" s="230">
        <v>3.0</v>
      </c>
      <c r="G4838" s="232"/>
    </row>
    <row r="4839">
      <c r="A4839" s="2"/>
      <c r="B4839" s="168" t="s">
        <v>269</v>
      </c>
      <c r="C4839" s="168" t="s">
        <v>5087</v>
      </c>
      <c r="D4839" s="229">
        <v>26.5</v>
      </c>
      <c r="E4839" s="229">
        <v>30.0</v>
      </c>
      <c r="F4839" s="230">
        <v>3.0</v>
      </c>
      <c r="G4839" s="232"/>
    </row>
    <row r="4840">
      <c r="A4840" s="2"/>
      <c r="B4840" s="168" t="s">
        <v>230</v>
      </c>
      <c r="C4840" s="168" t="s">
        <v>5088</v>
      </c>
      <c r="D4840" s="229">
        <v>21.5</v>
      </c>
      <c r="E4840" s="229">
        <v>25.0</v>
      </c>
      <c r="F4840" s="230">
        <v>3.0</v>
      </c>
      <c r="G4840" s="232"/>
    </row>
    <row r="4841">
      <c r="A4841" s="2"/>
      <c r="B4841" s="168" t="s">
        <v>328</v>
      </c>
      <c r="C4841" s="168" t="s">
        <v>5089</v>
      </c>
      <c r="D4841" s="229">
        <v>34.5</v>
      </c>
      <c r="E4841" s="229">
        <v>38.0</v>
      </c>
      <c r="F4841" s="230">
        <v>3.0</v>
      </c>
      <c r="G4841" s="232"/>
    </row>
    <row r="4842">
      <c r="A4842" s="2"/>
      <c r="B4842" s="168" t="s">
        <v>217</v>
      </c>
      <c r="C4842" s="168" t="s">
        <v>5090</v>
      </c>
      <c r="D4842" s="229">
        <v>27.5</v>
      </c>
      <c r="E4842" s="229">
        <v>31.0</v>
      </c>
      <c r="F4842" s="230">
        <v>3.0</v>
      </c>
      <c r="G4842" s="232"/>
    </row>
    <row r="4843">
      <c r="A4843" s="2"/>
      <c r="B4843" s="168" t="s">
        <v>296</v>
      </c>
      <c r="C4843" s="168" t="s">
        <v>5091</v>
      </c>
      <c r="D4843" s="229">
        <v>26.5</v>
      </c>
      <c r="E4843" s="229">
        <v>30.0</v>
      </c>
      <c r="F4843" s="230">
        <v>3.0</v>
      </c>
      <c r="G4843" s="232"/>
    </row>
    <row r="4844">
      <c r="A4844" s="2"/>
      <c r="B4844" s="168" t="s">
        <v>375</v>
      </c>
      <c r="C4844" s="168" t="s">
        <v>5092</v>
      </c>
      <c r="D4844" s="229">
        <v>26.5</v>
      </c>
      <c r="E4844" s="229">
        <v>30.0</v>
      </c>
      <c r="F4844" s="230">
        <v>3.0</v>
      </c>
      <c r="G4844" s="232"/>
    </row>
    <row r="4845">
      <c r="A4845" s="2"/>
      <c r="B4845" s="168" t="s">
        <v>296</v>
      </c>
      <c r="C4845" s="168" t="s">
        <v>5093</v>
      </c>
      <c r="D4845" s="229">
        <v>18.5</v>
      </c>
      <c r="E4845" s="229">
        <v>22.0</v>
      </c>
      <c r="F4845" s="230">
        <v>3.0</v>
      </c>
      <c r="G4845" s="232"/>
    </row>
    <row r="4846">
      <c r="A4846" s="2"/>
      <c r="B4846" s="168" t="s">
        <v>269</v>
      </c>
      <c r="C4846" s="168" t="s">
        <v>5094</v>
      </c>
      <c r="D4846" s="229">
        <v>26.5</v>
      </c>
      <c r="E4846" s="229">
        <v>30.0</v>
      </c>
      <c r="F4846" s="230">
        <v>3.0</v>
      </c>
      <c r="G4846" s="232"/>
    </row>
    <row r="4847">
      <c r="A4847" s="2"/>
      <c r="B4847" s="168" t="s">
        <v>296</v>
      </c>
      <c r="C4847" s="168" t="s">
        <v>5095</v>
      </c>
      <c r="D4847" s="229">
        <v>26.5</v>
      </c>
      <c r="E4847" s="229">
        <v>30.0</v>
      </c>
      <c r="F4847" s="230">
        <v>3.0</v>
      </c>
      <c r="G4847" s="232"/>
    </row>
    <row r="4848">
      <c r="A4848" s="2"/>
      <c r="B4848" s="168" t="s">
        <v>413</v>
      </c>
      <c r="C4848" s="168" t="s">
        <v>5096</v>
      </c>
      <c r="D4848" s="229">
        <v>29.5</v>
      </c>
      <c r="E4848" s="229">
        <v>33.0</v>
      </c>
      <c r="F4848" s="230">
        <v>3.0</v>
      </c>
      <c r="G4848" s="232"/>
    </row>
    <row r="4849">
      <c r="A4849" s="2"/>
      <c r="B4849" s="168" t="s">
        <v>592</v>
      </c>
      <c r="C4849" s="168" t="s">
        <v>5097</v>
      </c>
      <c r="D4849" s="229">
        <v>34.5</v>
      </c>
      <c r="E4849" s="229">
        <v>38.0</v>
      </c>
      <c r="F4849" s="230">
        <v>3.0</v>
      </c>
      <c r="G4849" s="232"/>
    </row>
    <row r="4850">
      <c r="A4850" s="2"/>
      <c r="B4850" s="168" t="s">
        <v>269</v>
      </c>
      <c r="C4850" s="168" t="s">
        <v>5098</v>
      </c>
      <c r="D4850" s="229">
        <v>26.5</v>
      </c>
      <c r="E4850" s="229">
        <v>30.0</v>
      </c>
      <c r="F4850" s="230">
        <v>3.0</v>
      </c>
      <c r="G4850" s="232"/>
    </row>
    <row r="4851">
      <c r="A4851" s="2"/>
      <c r="B4851" s="168" t="s">
        <v>348</v>
      </c>
      <c r="C4851" s="168" t="s">
        <v>5099</v>
      </c>
      <c r="D4851" s="229">
        <v>19.5</v>
      </c>
      <c r="E4851" s="229">
        <v>23.0</v>
      </c>
      <c r="F4851" s="230">
        <v>3.0</v>
      </c>
      <c r="G4851" s="232"/>
    </row>
    <row r="4852">
      <c r="A4852" s="2"/>
      <c r="B4852" s="168" t="s">
        <v>811</v>
      </c>
      <c r="C4852" s="168" t="s">
        <v>5100</v>
      </c>
      <c r="D4852" s="229">
        <v>24.5</v>
      </c>
      <c r="E4852" s="229">
        <v>28.0</v>
      </c>
      <c r="F4852" s="230">
        <v>3.0</v>
      </c>
      <c r="G4852" s="232"/>
    </row>
    <row r="4853">
      <c r="A4853" s="2"/>
      <c r="B4853" s="168" t="s">
        <v>337</v>
      </c>
      <c r="C4853" s="168" t="s">
        <v>5101</v>
      </c>
      <c r="D4853" s="229">
        <v>28.5</v>
      </c>
      <c r="E4853" s="229">
        <v>32.0</v>
      </c>
      <c r="F4853" s="230">
        <v>3.0</v>
      </c>
      <c r="G4853" s="232"/>
    </row>
    <row r="4854">
      <c r="A4854" s="2"/>
      <c r="B4854" s="168" t="s">
        <v>223</v>
      </c>
      <c r="C4854" s="168" t="s">
        <v>5102</v>
      </c>
      <c r="D4854" s="229">
        <v>26.5</v>
      </c>
      <c r="E4854" s="229">
        <v>30.0</v>
      </c>
      <c r="F4854" s="230">
        <v>3.0</v>
      </c>
      <c r="G4854" s="232"/>
    </row>
    <row r="4855">
      <c r="A4855" s="2"/>
      <c r="B4855" s="168" t="s">
        <v>260</v>
      </c>
      <c r="C4855" s="168" t="s">
        <v>5103</v>
      </c>
      <c r="D4855" s="229">
        <v>28.5</v>
      </c>
      <c r="E4855" s="229">
        <v>32.0</v>
      </c>
      <c r="F4855" s="230">
        <v>3.0</v>
      </c>
      <c r="G4855" s="232"/>
    </row>
    <row r="4856">
      <c r="A4856" s="2"/>
      <c r="B4856" s="168" t="s">
        <v>318</v>
      </c>
      <c r="C4856" s="168" t="s">
        <v>5104</v>
      </c>
      <c r="D4856" s="229">
        <v>25.5</v>
      </c>
      <c r="E4856" s="229">
        <v>29.0</v>
      </c>
      <c r="F4856" s="230">
        <v>3.0</v>
      </c>
      <c r="G4856" s="232"/>
    </row>
    <row r="4857">
      <c r="A4857" s="2"/>
      <c r="B4857" s="168" t="s">
        <v>269</v>
      </c>
      <c r="C4857" s="168" t="s">
        <v>5105</v>
      </c>
      <c r="D4857" s="229">
        <v>26.5</v>
      </c>
      <c r="E4857" s="229">
        <v>30.0</v>
      </c>
      <c r="F4857" s="230">
        <v>3.0</v>
      </c>
      <c r="G4857" s="232"/>
    </row>
    <row r="4858">
      <c r="A4858" s="2"/>
      <c r="B4858" s="168" t="s">
        <v>1392</v>
      </c>
      <c r="C4858" s="168" t="s">
        <v>5106</v>
      </c>
      <c r="D4858" s="229">
        <v>26.5</v>
      </c>
      <c r="E4858" s="229">
        <v>30.0</v>
      </c>
      <c r="F4858" s="230">
        <v>3.0</v>
      </c>
      <c r="G4858" s="232"/>
    </row>
    <row r="4859">
      <c r="A4859" s="2"/>
      <c r="B4859" s="168" t="s">
        <v>288</v>
      </c>
      <c r="C4859" s="168" t="s">
        <v>5107</v>
      </c>
      <c r="D4859" s="229">
        <v>21.5</v>
      </c>
      <c r="E4859" s="229">
        <v>25.0</v>
      </c>
      <c r="F4859" s="230">
        <v>3.0</v>
      </c>
      <c r="G4859" s="232"/>
    </row>
    <row r="4860">
      <c r="A4860" s="2"/>
      <c r="B4860" s="168" t="s">
        <v>282</v>
      </c>
      <c r="C4860" s="168" t="s">
        <v>5108</v>
      </c>
      <c r="D4860" s="229">
        <v>34.5</v>
      </c>
      <c r="E4860" s="229">
        <v>38.0</v>
      </c>
      <c r="F4860" s="230">
        <v>3.0</v>
      </c>
      <c r="G4860" s="232"/>
    </row>
    <row r="4861">
      <c r="A4861" s="2"/>
      <c r="B4861" s="168" t="s">
        <v>230</v>
      </c>
      <c r="C4861" s="168" t="s">
        <v>5109</v>
      </c>
      <c r="D4861" s="229">
        <v>21.5</v>
      </c>
      <c r="E4861" s="229">
        <v>25.0</v>
      </c>
      <c r="F4861" s="230">
        <v>3.0</v>
      </c>
      <c r="G4861" s="232"/>
    </row>
    <row r="4862">
      <c r="A4862" s="2"/>
      <c r="B4862" s="168" t="s">
        <v>296</v>
      </c>
      <c r="C4862" s="168" t="s">
        <v>5110</v>
      </c>
      <c r="D4862" s="229">
        <v>21.5</v>
      </c>
      <c r="E4862" s="229">
        <v>25.0</v>
      </c>
      <c r="F4862" s="230">
        <v>3.0</v>
      </c>
      <c r="G4862" s="232"/>
    </row>
    <row r="4863">
      <c r="A4863" s="2"/>
      <c r="B4863" s="168" t="s">
        <v>282</v>
      </c>
      <c r="C4863" s="168" t="s">
        <v>5111</v>
      </c>
      <c r="D4863" s="229">
        <v>34.5</v>
      </c>
      <c r="E4863" s="229">
        <v>38.0</v>
      </c>
      <c r="F4863" s="230">
        <v>3.0</v>
      </c>
      <c r="G4863" s="232"/>
    </row>
    <row r="4864">
      <c r="A4864" s="2"/>
      <c r="B4864" s="168" t="s">
        <v>574</v>
      </c>
      <c r="C4864" s="168" t="s">
        <v>5112</v>
      </c>
      <c r="D4864" s="229">
        <v>34.5</v>
      </c>
      <c r="E4864" s="229">
        <v>38.0</v>
      </c>
      <c r="F4864" s="230">
        <v>3.0</v>
      </c>
      <c r="G4864" s="232"/>
    </row>
    <row r="4865">
      <c r="A4865" s="2"/>
      <c r="B4865" s="168" t="s">
        <v>288</v>
      </c>
      <c r="C4865" s="168" t="s">
        <v>5113</v>
      </c>
      <c r="D4865" s="229">
        <v>21.5</v>
      </c>
      <c r="E4865" s="229">
        <v>25.0</v>
      </c>
      <c r="F4865" s="230">
        <v>3.0</v>
      </c>
      <c r="G4865" s="232"/>
    </row>
    <row r="4866">
      <c r="A4866" s="2"/>
      <c r="B4866" s="168" t="s">
        <v>341</v>
      </c>
      <c r="C4866" s="168" t="s">
        <v>5114</v>
      </c>
      <c r="D4866" s="229">
        <v>29.5</v>
      </c>
      <c r="E4866" s="229">
        <v>29.5</v>
      </c>
      <c r="F4866" s="230">
        <v>3.0</v>
      </c>
      <c r="G4866" s="232"/>
    </row>
    <row r="4867">
      <c r="A4867" s="2"/>
      <c r="B4867" s="168" t="s">
        <v>341</v>
      </c>
      <c r="C4867" s="168" t="s">
        <v>5115</v>
      </c>
      <c r="D4867" s="229">
        <v>24.5</v>
      </c>
      <c r="E4867" s="229">
        <v>24.5</v>
      </c>
      <c r="F4867" s="230">
        <v>3.0</v>
      </c>
      <c r="G4867" s="232"/>
    </row>
    <row r="4868">
      <c r="A4868" s="2"/>
      <c r="B4868" s="168" t="s">
        <v>221</v>
      </c>
      <c r="C4868" s="168" t="s">
        <v>5116</v>
      </c>
      <c r="D4868" s="229">
        <v>27.5</v>
      </c>
      <c r="E4868" s="229">
        <v>31.0</v>
      </c>
      <c r="F4868" s="230">
        <v>3.0</v>
      </c>
      <c r="G4868" s="232"/>
    </row>
    <row r="4869">
      <c r="A4869" s="2"/>
      <c r="B4869" s="168" t="s">
        <v>230</v>
      </c>
      <c r="C4869" s="168" t="s">
        <v>5117</v>
      </c>
      <c r="D4869" s="229">
        <v>21.5</v>
      </c>
      <c r="E4869" s="229">
        <v>25.0</v>
      </c>
      <c r="F4869" s="230">
        <v>3.0</v>
      </c>
      <c r="G4869" s="232"/>
    </row>
    <row r="4870">
      <c r="A4870" s="2"/>
      <c r="B4870" s="168" t="s">
        <v>332</v>
      </c>
      <c r="C4870" s="168" t="s">
        <v>5118</v>
      </c>
      <c r="D4870" s="229">
        <v>23.5</v>
      </c>
      <c r="E4870" s="229">
        <v>27.0</v>
      </c>
      <c r="F4870" s="230">
        <v>3.0</v>
      </c>
      <c r="G4870" s="232"/>
    </row>
    <row r="4871">
      <c r="A4871" s="2"/>
      <c r="B4871" s="168" t="s">
        <v>230</v>
      </c>
      <c r="C4871" s="168" t="s">
        <v>5119</v>
      </c>
      <c r="D4871" s="229">
        <v>16.5</v>
      </c>
      <c r="E4871" s="229">
        <v>20.0</v>
      </c>
      <c r="F4871" s="230">
        <v>3.0</v>
      </c>
      <c r="G4871" s="232"/>
    </row>
    <row r="4872">
      <c r="A4872" s="2"/>
      <c r="B4872" s="168" t="s">
        <v>241</v>
      </c>
      <c r="C4872" s="168" t="s">
        <v>5120</v>
      </c>
      <c r="D4872" s="229">
        <v>27.5</v>
      </c>
      <c r="E4872" s="229">
        <v>31.0</v>
      </c>
      <c r="F4872" s="230">
        <v>3.0</v>
      </c>
      <c r="G4872" s="232"/>
    </row>
    <row r="4873">
      <c r="A4873" s="2"/>
      <c r="B4873" s="168" t="s">
        <v>230</v>
      </c>
      <c r="C4873" s="168" t="s">
        <v>5121</v>
      </c>
      <c r="D4873" s="229">
        <v>21.5</v>
      </c>
      <c r="E4873" s="229">
        <v>25.0</v>
      </c>
      <c r="F4873" s="230">
        <v>3.0</v>
      </c>
      <c r="G4873" s="232"/>
    </row>
    <row r="4874">
      <c r="A4874" s="2"/>
      <c r="B4874" s="168" t="s">
        <v>241</v>
      </c>
      <c r="C4874" s="168" t="s">
        <v>5122</v>
      </c>
      <c r="D4874" s="229">
        <v>32.5</v>
      </c>
      <c r="E4874" s="229">
        <v>36.0</v>
      </c>
      <c r="F4874" s="230">
        <v>3.0</v>
      </c>
      <c r="G4874" s="232"/>
    </row>
    <row r="4875">
      <c r="A4875" s="2"/>
      <c r="B4875" s="168" t="s">
        <v>381</v>
      </c>
      <c r="C4875" s="168" t="s">
        <v>5123</v>
      </c>
      <c r="D4875" s="229">
        <v>28.0</v>
      </c>
      <c r="E4875" s="229">
        <v>31.5</v>
      </c>
      <c r="F4875" s="230">
        <v>3.0</v>
      </c>
      <c r="G4875" s="232"/>
    </row>
    <row r="4876">
      <c r="A4876" s="2"/>
      <c r="B4876" s="168" t="s">
        <v>241</v>
      </c>
      <c r="C4876" s="168" t="s">
        <v>5124</v>
      </c>
      <c r="D4876" s="229">
        <v>32.5</v>
      </c>
      <c r="E4876" s="229">
        <v>36.0</v>
      </c>
      <c r="F4876" s="230">
        <v>3.0</v>
      </c>
      <c r="G4876" s="232"/>
    </row>
    <row r="4877">
      <c r="A4877" s="2"/>
      <c r="B4877" s="168" t="s">
        <v>535</v>
      </c>
      <c r="C4877" s="168" t="s">
        <v>5125</v>
      </c>
      <c r="D4877" s="229">
        <v>26.5</v>
      </c>
      <c r="E4877" s="229">
        <v>30.0</v>
      </c>
      <c r="F4877" s="230">
        <v>3.0</v>
      </c>
      <c r="G4877" s="232"/>
    </row>
    <row r="4878">
      <c r="A4878" s="2"/>
      <c r="B4878" s="168" t="s">
        <v>223</v>
      </c>
      <c r="C4878" s="168" t="s">
        <v>5126</v>
      </c>
      <c r="D4878" s="229">
        <v>26.5</v>
      </c>
      <c r="E4878" s="229">
        <v>30.0</v>
      </c>
      <c r="F4878" s="230">
        <v>3.0</v>
      </c>
      <c r="G4878" s="232"/>
    </row>
    <row r="4879">
      <c r="A4879" s="2"/>
      <c r="B4879" s="168" t="s">
        <v>269</v>
      </c>
      <c r="C4879" s="168" t="s">
        <v>5127</v>
      </c>
      <c r="D4879" s="229">
        <v>26.5</v>
      </c>
      <c r="E4879" s="229">
        <v>30.0</v>
      </c>
      <c r="F4879" s="230">
        <v>3.0</v>
      </c>
      <c r="G4879" s="232"/>
    </row>
    <row r="4880">
      <c r="A4880" s="2"/>
      <c r="B4880" s="168" t="s">
        <v>217</v>
      </c>
      <c r="C4880" s="168" t="s">
        <v>5128</v>
      </c>
      <c r="D4880" s="229">
        <v>27.5</v>
      </c>
      <c r="E4880" s="229">
        <v>31.0</v>
      </c>
      <c r="F4880" s="230">
        <v>3.0</v>
      </c>
      <c r="G4880" s="232"/>
    </row>
    <row r="4881">
      <c r="A4881" s="2"/>
      <c r="B4881" s="168" t="s">
        <v>288</v>
      </c>
      <c r="C4881" s="168" t="s">
        <v>5129</v>
      </c>
      <c r="D4881" s="229">
        <v>21.5</v>
      </c>
      <c r="E4881" s="229">
        <v>25.0</v>
      </c>
      <c r="F4881" s="230">
        <v>3.0</v>
      </c>
      <c r="G4881" s="232"/>
    </row>
    <row r="4882">
      <c r="A4882" s="2"/>
      <c r="B4882" s="168" t="s">
        <v>446</v>
      </c>
      <c r="C4882" s="168" t="s">
        <v>5130</v>
      </c>
      <c r="D4882" s="229">
        <v>4.5</v>
      </c>
      <c r="E4882" s="229">
        <v>4.5</v>
      </c>
      <c r="F4882" s="230">
        <v>3.0</v>
      </c>
      <c r="G4882" s="232"/>
    </row>
    <row r="4883">
      <c r="A4883" s="2"/>
      <c r="B4883" s="168" t="s">
        <v>375</v>
      </c>
      <c r="C4883" s="168" t="s">
        <v>5131</v>
      </c>
      <c r="D4883" s="229">
        <v>26.5</v>
      </c>
      <c r="E4883" s="229">
        <v>30.0</v>
      </c>
      <c r="F4883" s="230">
        <v>3.0</v>
      </c>
      <c r="G4883" s="232"/>
    </row>
    <row r="4884">
      <c r="A4884" s="2"/>
      <c r="B4884" s="168" t="s">
        <v>438</v>
      </c>
      <c r="C4884" s="168" t="s">
        <v>5132</v>
      </c>
      <c r="D4884" s="229">
        <v>29.5</v>
      </c>
      <c r="E4884" s="229">
        <v>33.0</v>
      </c>
      <c r="F4884" s="230">
        <v>3.0</v>
      </c>
      <c r="G4884" s="232"/>
    </row>
    <row r="4885">
      <c r="A4885" s="2"/>
      <c r="B4885" s="168" t="s">
        <v>230</v>
      </c>
      <c r="C4885" s="168" t="s">
        <v>5133</v>
      </c>
      <c r="D4885" s="229">
        <v>16.5</v>
      </c>
      <c r="E4885" s="229">
        <v>20.0</v>
      </c>
      <c r="F4885" s="230">
        <v>3.0</v>
      </c>
      <c r="G4885" s="232"/>
    </row>
    <row r="4886">
      <c r="A4886" s="2"/>
      <c r="B4886" s="168" t="s">
        <v>223</v>
      </c>
      <c r="C4886" s="168" t="s">
        <v>5134</v>
      </c>
      <c r="D4886" s="229">
        <v>26.5</v>
      </c>
      <c r="E4886" s="229">
        <v>30.0</v>
      </c>
      <c r="F4886" s="230">
        <v>3.0</v>
      </c>
      <c r="G4886" s="232"/>
    </row>
    <row r="4887">
      <c r="A4887" s="2"/>
      <c r="B4887" s="168" t="s">
        <v>565</v>
      </c>
      <c r="C4887" s="168" t="s">
        <v>5135</v>
      </c>
      <c r="D4887" s="229">
        <v>24.5</v>
      </c>
      <c r="E4887" s="229">
        <v>28.0</v>
      </c>
      <c r="F4887" s="230">
        <v>3.0</v>
      </c>
      <c r="G4887" s="232"/>
    </row>
    <row r="4888">
      <c r="A4888" s="2"/>
      <c r="B4888" s="168" t="s">
        <v>257</v>
      </c>
      <c r="C4888" s="168" t="s">
        <v>5136</v>
      </c>
      <c r="D4888" s="229">
        <v>28.5</v>
      </c>
      <c r="E4888" s="229">
        <v>32.0</v>
      </c>
      <c r="F4888" s="230">
        <v>3.0</v>
      </c>
      <c r="G4888" s="232"/>
    </row>
    <row r="4889">
      <c r="A4889" s="2"/>
      <c r="B4889" s="168" t="s">
        <v>217</v>
      </c>
      <c r="C4889" s="168" t="s">
        <v>5137</v>
      </c>
      <c r="D4889" s="229">
        <v>27.5</v>
      </c>
      <c r="E4889" s="229">
        <v>31.0</v>
      </c>
      <c r="F4889" s="230">
        <v>3.0</v>
      </c>
      <c r="G4889" s="232"/>
    </row>
    <row r="4890">
      <c r="A4890" s="2"/>
      <c r="B4890" s="168" t="s">
        <v>230</v>
      </c>
      <c r="C4890" s="168" t="s">
        <v>5138</v>
      </c>
      <c r="D4890" s="229">
        <v>21.5</v>
      </c>
      <c r="E4890" s="229">
        <v>25.0</v>
      </c>
      <c r="F4890" s="230">
        <v>3.0</v>
      </c>
      <c r="G4890" s="232"/>
    </row>
    <row r="4891">
      <c r="A4891" s="2"/>
      <c r="B4891" s="168" t="s">
        <v>221</v>
      </c>
      <c r="C4891" s="168" t="s">
        <v>5139</v>
      </c>
      <c r="D4891" s="229">
        <v>27.5</v>
      </c>
      <c r="E4891" s="229">
        <v>31.0</v>
      </c>
      <c r="F4891" s="230">
        <v>3.0</v>
      </c>
      <c r="G4891" s="232"/>
    </row>
    <row r="4892">
      <c r="A4892" s="2"/>
      <c r="B4892" s="168" t="s">
        <v>241</v>
      </c>
      <c r="C4892" s="168" t="s">
        <v>5140</v>
      </c>
      <c r="D4892" s="229">
        <v>32.5</v>
      </c>
      <c r="E4892" s="229">
        <v>36.0</v>
      </c>
      <c r="F4892" s="230">
        <v>3.0</v>
      </c>
      <c r="G4892" s="232"/>
    </row>
    <row r="4893">
      <c r="A4893" s="2"/>
      <c r="B4893" s="168" t="s">
        <v>290</v>
      </c>
      <c r="C4893" s="168" t="s">
        <v>5141</v>
      </c>
      <c r="D4893" s="229">
        <v>29.5</v>
      </c>
      <c r="E4893" s="229">
        <v>33.0</v>
      </c>
      <c r="F4893" s="230">
        <v>3.0</v>
      </c>
      <c r="G4893" s="232"/>
    </row>
    <row r="4894">
      <c r="A4894" s="2"/>
      <c r="B4894" s="168" t="s">
        <v>273</v>
      </c>
      <c r="C4894" s="168" t="s">
        <v>5142</v>
      </c>
      <c r="D4894" s="229">
        <v>24.5</v>
      </c>
      <c r="E4894" s="229">
        <v>28.0</v>
      </c>
      <c r="F4894" s="230">
        <v>3.0</v>
      </c>
      <c r="G4894" s="232"/>
    </row>
    <row r="4895">
      <c r="A4895" s="2"/>
      <c r="B4895" s="168" t="s">
        <v>260</v>
      </c>
      <c r="C4895" s="168" t="s">
        <v>5143</v>
      </c>
      <c r="D4895" s="229">
        <v>28.5</v>
      </c>
      <c r="E4895" s="229">
        <v>32.0</v>
      </c>
      <c r="F4895" s="230">
        <v>3.0</v>
      </c>
      <c r="G4895" s="232"/>
    </row>
    <row r="4896">
      <c r="A4896" s="2"/>
      <c r="B4896" s="168" t="s">
        <v>337</v>
      </c>
      <c r="C4896" s="168" t="s">
        <v>5144</v>
      </c>
      <c r="D4896" s="229">
        <v>28.5</v>
      </c>
      <c r="E4896" s="229">
        <v>32.0</v>
      </c>
      <c r="F4896" s="230">
        <v>3.0</v>
      </c>
      <c r="G4896" s="232"/>
    </row>
    <row r="4897">
      <c r="A4897" s="2"/>
      <c r="B4897" s="168" t="s">
        <v>232</v>
      </c>
      <c r="C4897" s="168" t="s">
        <v>5145</v>
      </c>
      <c r="D4897" s="229">
        <v>25.5</v>
      </c>
      <c r="E4897" s="229">
        <v>29.0</v>
      </c>
      <c r="F4897" s="230">
        <v>3.0</v>
      </c>
      <c r="G4897" s="232"/>
    </row>
    <row r="4898">
      <c r="A4898" s="2"/>
      <c r="B4898" s="168" t="s">
        <v>215</v>
      </c>
      <c r="C4898" s="168" t="s">
        <v>5146</v>
      </c>
      <c r="D4898" s="229">
        <v>24.5</v>
      </c>
      <c r="E4898" s="229">
        <v>28.0</v>
      </c>
      <c r="F4898" s="230">
        <v>3.0</v>
      </c>
      <c r="G4898" s="232"/>
    </row>
    <row r="4899">
      <c r="A4899" s="2"/>
      <c r="B4899" s="168" t="s">
        <v>335</v>
      </c>
      <c r="C4899" s="168" t="s">
        <v>5147</v>
      </c>
      <c r="D4899" s="229">
        <v>34.5</v>
      </c>
      <c r="E4899" s="229">
        <v>38.0</v>
      </c>
      <c r="F4899" s="230">
        <v>3.0</v>
      </c>
      <c r="G4899" s="232"/>
    </row>
    <row r="4900">
      <c r="A4900" s="2"/>
      <c r="B4900" s="168" t="s">
        <v>386</v>
      </c>
      <c r="C4900" s="168" t="s">
        <v>5148</v>
      </c>
      <c r="D4900" s="229">
        <v>34.5</v>
      </c>
      <c r="E4900" s="229">
        <v>38.0</v>
      </c>
      <c r="F4900" s="230">
        <v>3.0</v>
      </c>
      <c r="G4900" s="232"/>
    </row>
    <row r="4901">
      <c r="A4901" s="2"/>
      <c r="B4901" s="168" t="s">
        <v>215</v>
      </c>
      <c r="C4901" s="168" t="s">
        <v>5149</v>
      </c>
      <c r="D4901" s="229">
        <v>24.5</v>
      </c>
      <c r="E4901" s="229">
        <v>28.0</v>
      </c>
      <c r="F4901" s="230">
        <v>3.0</v>
      </c>
      <c r="G4901" s="232"/>
    </row>
    <row r="4902">
      <c r="A4902" s="2"/>
      <c r="B4902" s="168" t="s">
        <v>275</v>
      </c>
      <c r="C4902" s="168" t="s">
        <v>5150</v>
      </c>
      <c r="D4902" s="229">
        <v>26.5</v>
      </c>
      <c r="E4902" s="229">
        <v>30.0</v>
      </c>
      <c r="F4902" s="230">
        <v>3.0</v>
      </c>
      <c r="G4902" s="232"/>
    </row>
    <row r="4903">
      <c r="A4903" s="2"/>
      <c r="B4903" s="168" t="s">
        <v>239</v>
      </c>
      <c r="C4903" s="168" t="s">
        <v>5151</v>
      </c>
      <c r="D4903" s="229">
        <v>29.5</v>
      </c>
      <c r="E4903" s="229">
        <v>33.0</v>
      </c>
      <c r="F4903" s="230">
        <v>3.0</v>
      </c>
      <c r="G4903" s="232"/>
    </row>
    <row r="4904">
      <c r="A4904" s="2"/>
      <c r="B4904" s="168" t="s">
        <v>2578</v>
      </c>
      <c r="C4904" s="168" t="s">
        <v>5152</v>
      </c>
      <c r="D4904" s="229">
        <v>2.5</v>
      </c>
      <c r="E4904" s="229">
        <v>2.5</v>
      </c>
      <c r="F4904" s="230">
        <v>2.5</v>
      </c>
      <c r="G4904" s="232"/>
    </row>
    <row r="4905">
      <c r="A4905" s="2"/>
      <c r="B4905" s="168" t="s">
        <v>243</v>
      </c>
      <c r="C4905" s="168" t="s">
        <v>5153</v>
      </c>
      <c r="D4905" s="229">
        <v>24.5</v>
      </c>
      <c r="E4905" s="229">
        <v>28.0</v>
      </c>
      <c r="F4905" s="230">
        <v>3.0</v>
      </c>
      <c r="G4905" s="232"/>
    </row>
    <row r="4906">
      <c r="A4906" s="2"/>
      <c r="B4906" s="168" t="s">
        <v>413</v>
      </c>
      <c r="C4906" s="168" t="s">
        <v>5154</v>
      </c>
      <c r="D4906" s="229">
        <v>29.5</v>
      </c>
      <c r="E4906" s="229">
        <v>33.0</v>
      </c>
      <c r="F4906" s="230">
        <v>3.0</v>
      </c>
      <c r="G4906" s="232"/>
    </row>
    <row r="4907">
      <c r="A4907" s="2"/>
      <c r="B4907" s="168" t="s">
        <v>381</v>
      </c>
      <c r="C4907" s="168" t="s">
        <v>5155</v>
      </c>
      <c r="D4907" s="229">
        <v>28.5</v>
      </c>
      <c r="E4907" s="229">
        <v>32.0</v>
      </c>
      <c r="F4907" s="230">
        <v>3.0</v>
      </c>
      <c r="G4907" s="232"/>
    </row>
    <row r="4908">
      <c r="A4908" s="2"/>
      <c r="B4908" s="168" t="s">
        <v>249</v>
      </c>
      <c r="C4908" s="168" t="s">
        <v>5156</v>
      </c>
      <c r="D4908" s="229">
        <v>3.0</v>
      </c>
      <c r="E4908" s="229">
        <v>3.0</v>
      </c>
      <c r="F4908" s="230">
        <v>3.0</v>
      </c>
      <c r="G4908" s="232"/>
    </row>
    <row r="4909">
      <c r="A4909" s="2"/>
      <c r="B4909" s="168" t="s">
        <v>230</v>
      </c>
      <c r="C4909" s="168" t="s">
        <v>5157</v>
      </c>
      <c r="D4909" s="229">
        <v>21.5</v>
      </c>
      <c r="E4909" s="229">
        <v>25.0</v>
      </c>
      <c r="F4909" s="230">
        <v>3.0</v>
      </c>
      <c r="G4909" s="232"/>
    </row>
    <row r="4910">
      <c r="A4910" s="2"/>
      <c r="B4910" s="168" t="s">
        <v>269</v>
      </c>
      <c r="C4910" s="168" t="s">
        <v>5158</v>
      </c>
      <c r="D4910" s="229">
        <v>26.5</v>
      </c>
      <c r="E4910" s="229">
        <v>30.0</v>
      </c>
      <c r="F4910" s="230">
        <v>3.0</v>
      </c>
      <c r="G4910" s="232"/>
    </row>
    <row r="4911">
      <c r="A4911" s="2"/>
      <c r="B4911" s="168" t="s">
        <v>375</v>
      </c>
      <c r="C4911" s="168" t="s">
        <v>5159</v>
      </c>
      <c r="D4911" s="229">
        <v>26.5</v>
      </c>
      <c r="E4911" s="229">
        <v>30.0</v>
      </c>
      <c r="F4911" s="230">
        <v>3.0</v>
      </c>
      <c r="G4911" s="232"/>
    </row>
    <row r="4912">
      <c r="A4912" s="2"/>
      <c r="B4912" s="168" t="s">
        <v>217</v>
      </c>
      <c r="C4912" s="168" t="s">
        <v>5160</v>
      </c>
      <c r="D4912" s="229">
        <v>27.5</v>
      </c>
      <c r="E4912" s="229">
        <v>31.0</v>
      </c>
      <c r="F4912" s="230">
        <v>3.0</v>
      </c>
      <c r="G4912" s="232"/>
    </row>
    <row r="4913">
      <c r="A4913" s="2"/>
      <c r="B4913" s="168" t="s">
        <v>273</v>
      </c>
      <c r="C4913" s="168" t="s">
        <v>5161</v>
      </c>
      <c r="D4913" s="229">
        <v>29.5</v>
      </c>
      <c r="E4913" s="229">
        <v>33.0</v>
      </c>
      <c r="F4913" s="230">
        <v>3.0</v>
      </c>
      <c r="G4913" s="232"/>
    </row>
    <row r="4914">
      <c r="A4914" s="2"/>
      <c r="B4914" s="168" t="s">
        <v>230</v>
      </c>
      <c r="C4914" s="168" t="s">
        <v>5162</v>
      </c>
      <c r="D4914" s="229">
        <v>21.5</v>
      </c>
      <c r="E4914" s="229">
        <v>25.0</v>
      </c>
      <c r="F4914" s="230">
        <v>3.0</v>
      </c>
      <c r="G4914" s="232"/>
    </row>
    <row r="4915">
      <c r="A4915" s="2"/>
      <c r="B4915" s="168" t="s">
        <v>337</v>
      </c>
      <c r="C4915" s="168" t="s">
        <v>5163</v>
      </c>
      <c r="D4915" s="229">
        <v>28.5</v>
      </c>
      <c r="E4915" s="229">
        <v>32.0</v>
      </c>
      <c r="F4915" s="230">
        <v>3.0</v>
      </c>
      <c r="G4915" s="232"/>
    </row>
    <row r="4916">
      <c r="A4916" s="2"/>
      <c r="B4916" s="168" t="s">
        <v>232</v>
      </c>
      <c r="C4916" s="168" t="s">
        <v>5164</v>
      </c>
      <c r="D4916" s="229">
        <v>25.5</v>
      </c>
      <c r="E4916" s="229">
        <v>29.0</v>
      </c>
      <c r="F4916" s="230">
        <v>3.0</v>
      </c>
      <c r="G4916" s="232"/>
    </row>
    <row r="4917">
      <c r="A4917" s="2"/>
      <c r="B4917" s="168" t="s">
        <v>296</v>
      </c>
      <c r="C4917" s="168" t="s">
        <v>5165</v>
      </c>
      <c r="D4917" s="229">
        <v>26.5</v>
      </c>
      <c r="E4917" s="229">
        <v>30.0</v>
      </c>
      <c r="F4917" s="230">
        <v>3.0</v>
      </c>
      <c r="G4917" s="232"/>
    </row>
    <row r="4918">
      <c r="A4918" s="2"/>
      <c r="B4918" s="168" t="s">
        <v>245</v>
      </c>
      <c r="C4918" s="168" t="s">
        <v>5166</v>
      </c>
      <c r="D4918" s="229">
        <v>29.5</v>
      </c>
      <c r="E4918" s="229">
        <v>33.0</v>
      </c>
      <c r="F4918" s="230">
        <v>3.0</v>
      </c>
      <c r="G4918" s="232"/>
    </row>
    <row r="4919">
      <c r="A4919" s="2"/>
      <c r="B4919" s="168" t="s">
        <v>230</v>
      </c>
      <c r="C4919" s="168" t="s">
        <v>5167</v>
      </c>
      <c r="D4919" s="229">
        <v>21.5</v>
      </c>
      <c r="E4919" s="229">
        <v>25.0</v>
      </c>
      <c r="F4919" s="230">
        <v>3.0</v>
      </c>
      <c r="G4919" s="232"/>
    </row>
    <row r="4920">
      <c r="A4920" s="2"/>
      <c r="B4920" s="168" t="s">
        <v>269</v>
      </c>
      <c r="C4920" s="168" t="s">
        <v>5168</v>
      </c>
      <c r="D4920" s="229">
        <v>26.5</v>
      </c>
      <c r="E4920" s="229">
        <v>30.0</v>
      </c>
      <c r="F4920" s="230">
        <v>3.0</v>
      </c>
      <c r="G4920" s="232"/>
    </row>
    <row r="4921">
      <c r="A4921" s="2"/>
      <c r="B4921" s="168" t="s">
        <v>337</v>
      </c>
      <c r="C4921" s="168" t="s">
        <v>5169</v>
      </c>
      <c r="D4921" s="229">
        <v>28.5</v>
      </c>
      <c r="E4921" s="229">
        <v>32.0</v>
      </c>
      <c r="F4921" s="230">
        <v>3.0</v>
      </c>
      <c r="G4921" s="232"/>
    </row>
    <row r="4922">
      <c r="A4922" s="2"/>
      <c r="B4922" s="168" t="s">
        <v>386</v>
      </c>
      <c r="C4922" s="168" t="s">
        <v>386</v>
      </c>
      <c r="D4922" s="229">
        <v>34.5</v>
      </c>
      <c r="E4922" s="229">
        <v>38.0</v>
      </c>
      <c r="F4922" s="230">
        <v>3.0</v>
      </c>
      <c r="G4922" s="232"/>
    </row>
    <row r="4923">
      <c r="A4923" s="2"/>
      <c r="B4923" s="168" t="s">
        <v>318</v>
      </c>
      <c r="C4923" s="168" t="s">
        <v>5170</v>
      </c>
      <c r="D4923" s="229">
        <v>25.5</v>
      </c>
      <c r="E4923" s="229">
        <v>29.0</v>
      </c>
      <c r="F4923" s="230">
        <v>3.0</v>
      </c>
      <c r="G4923" s="232"/>
    </row>
    <row r="4924">
      <c r="A4924" s="2"/>
      <c r="B4924" s="168" t="s">
        <v>576</v>
      </c>
      <c r="C4924" s="168" t="s">
        <v>5171</v>
      </c>
      <c r="D4924" s="229">
        <v>19.5</v>
      </c>
      <c r="E4924" s="229">
        <v>23.0</v>
      </c>
      <c r="F4924" s="230">
        <v>3.0</v>
      </c>
      <c r="G4924" s="232"/>
    </row>
    <row r="4925">
      <c r="A4925" s="2"/>
      <c r="B4925" s="168" t="s">
        <v>328</v>
      </c>
      <c r="C4925" s="168" t="s">
        <v>5172</v>
      </c>
      <c r="D4925" s="229">
        <v>34.5</v>
      </c>
      <c r="E4925" s="229">
        <v>38.0</v>
      </c>
      <c r="F4925" s="230">
        <v>3.0</v>
      </c>
      <c r="G4925" s="232"/>
    </row>
    <row r="4926">
      <c r="A4926" s="2"/>
      <c r="B4926" s="168" t="s">
        <v>427</v>
      </c>
      <c r="C4926" s="168" t="s">
        <v>5173</v>
      </c>
      <c r="D4926" s="229">
        <v>26.5</v>
      </c>
      <c r="E4926" s="229">
        <v>30.0</v>
      </c>
      <c r="F4926" s="230">
        <v>3.0</v>
      </c>
      <c r="G4926" s="232"/>
    </row>
    <row r="4927">
      <c r="A4927" s="2"/>
      <c r="B4927" s="168" t="s">
        <v>236</v>
      </c>
      <c r="C4927" s="168" t="s">
        <v>5174</v>
      </c>
      <c r="D4927" s="229">
        <v>34.5</v>
      </c>
      <c r="E4927" s="229">
        <v>38.0</v>
      </c>
      <c r="F4927" s="230">
        <v>3.0</v>
      </c>
      <c r="G4927" s="232"/>
    </row>
    <row r="4928">
      <c r="A4928" s="2"/>
      <c r="B4928" s="168" t="s">
        <v>234</v>
      </c>
      <c r="C4928" s="168" t="s">
        <v>5175</v>
      </c>
      <c r="D4928" s="229">
        <v>29.5</v>
      </c>
      <c r="E4928" s="229">
        <v>33.0</v>
      </c>
      <c r="F4928" s="230">
        <v>3.0</v>
      </c>
      <c r="G4928" s="232"/>
    </row>
    <row r="4929">
      <c r="A4929" s="2"/>
      <c r="B4929" s="168" t="s">
        <v>290</v>
      </c>
      <c r="C4929" s="168" t="s">
        <v>5176</v>
      </c>
      <c r="D4929" s="229">
        <v>29.5</v>
      </c>
      <c r="E4929" s="229">
        <v>33.0</v>
      </c>
      <c r="F4929" s="230">
        <v>3.0</v>
      </c>
      <c r="G4929" s="232"/>
    </row>
    <row r="4930">
      <c r="A4930" s="2"/>
      <c r="B4930" s="168" t="s">
        <v>232</v>
      </c>
      <c r="C4930" s="168" t="s">
        <v>5177</v>
      </c>
      <c r="D4930" s="229">
        <v>32.5</v>
      </c>
      <c r="E4930" s="229">
        <v>36.0</v>
      </c>
      <c r="F4930" s="230">
        <v>3.0</v>
      </c>
      <c r="G4930" s="232"/>
    </row>
    <row r="4931">
      <c r="A4931" s="2"/>
      <c r="B4931" s="168" t="s">
        <v>217</v>
      </c>
      <c r="C4931" s="168" t="s">
        <v>5178</v>
      </c>
      <c r="D4931" s="229">
        <v>27.5</v>
      </c>
      <c r="E4931" s="229">
        <v>31.0</v>
      </c>
      <c r="F4931" s="230">
        <v>3.0</v>
      </c>
      <c r="G4931" s="232"/>
    </row>
    <row r="4932">
      <c r="A4932" s="2"/>
      <c r="B4932" s="168" t="s">
        <v>230</v>
      </c>
      <c r="C4932" s="168" t="s">
        <v>5179</v>
      </c>
      <c r="D4932" s="229">
        <v>16.5</v>
      </c>
      <c r="E4932" s="229">
        <v>20.0</v>
      </c>
      <c r="F4932" s="230">
        <v>3.0</v>
      </c>
      <c r="G4932" s="232"/>
    </row>
    <row r="4933">
      <c r="A4933" s="2"/>
      <c r="B4933" s="168" t="s">
        <v>247</v>
      </c>
      <c r="C4933" s="168" t="s">
        <v>5180</v>
      </c>
      <c r="D4933" s="229">
        <v>29.5</v>
      </c>
      <c r="E4933" s="229">
        <v>33.0</v>
      </c>
      <c r="F4933" s="230">
        <v>3.0</v>
      </c>
      <c r="G4933" s="232"/>
    </row>
    <row r="4934">
      <c r="A4934" s="2"/>
      <c r="B4934" s="168" t="s">
        <v>230</v>
      </c>
      <c r="C4934" s="168" t="s">
        <v>5181</v>
      </c>
      <c r="D4934" s="229">
        <v>21.5</v>
      </c>
      <c r="E4934" s="229">
        <v>25.0</v>
      </c>
      <c r="F4934" s="230">
        <v>3.0</v>
      </c>
      <c r="G4934" s="232"/>
    </row>
    <row r="4935">
      <c r="A4935" s="2"/>
      <c r="B4935" s="168" t="s">
        <v>236</v>
      </c>
      <c r="C4935" s="168" t="s">
        <v>5182</v>
      </c>
      <c r="D4935" s="229">
        <v>34.5</v>
      </c>
      <c r="E4935" s="229">
        <v>38.0</v>
      </c>
      <c r="F4935" s="230">
        <v>3.0</v>
      </c>
      <c r="G4935" s="232"/>
    </row>
    <row r="4936">
      <c r="A4936" s="2"/>
      <c r="B4936" s="168" t="s">
        <v>288</v>
      </c>
      <c r="C4936" s="168" t="s">
        <v>5183</v>
      </c>
      <c r="D4936" s="229">
        <v>21.5</v>
      </c>
      <c r="E4936" s="229">
        <v>25.0</v>
      </c>
      <c r="F4936" s="230">
        <v>3.0</v>
      </c>
      <c r="G4936" s="232"/>
    </row>
    <row r="4937">
      <c r="A4937" s="2"/>
      <c r="B4937" s="168" t="s">
        <v>232</v>
      </c>
      <c r="C4937" s="168" t="s">
        <v>5184</v>
      </c>
      <c r="D4937" s="229">
        <v>27.5</v>
      </c>
      <c r="E4937" s="229">
        <v>31.0</v>
      </c>
      <c r="F4937" s="230">
        <v>3.0</v>
      </c>
      <c r="G4937" s="232"/>
    </row>
    <row r="4938">
      <c r="A4938" s="2"/>
      <c r="B4938" s="168" t="s">
        <v>260</v>
      </c>
      <c r="C4938" s="168" t="s">
        <v>5185</v>
      </c>
      <c r="D4938" s="229">
        <v>28.5</v>
      </c>
      <c r="E4938" s="229">
        <v>32.0</v>
      </c>
      <c r="F4938" s="230">
        <v>3.0</v>
      </c>
      <c r="G4938" s="232"/>
    </row>
    <row r="4939">
      <c r="A4939" s="2"/>
      <c r="B4939" s="168" t="s">
        <v>337</v>
      </c>
      <c r="C4939" s="168" t="s">
        <v>5186</v>
      </c>
      <c r="D4939" s="229">
        <v>28.5</v>
      </c>
      <c r="E4939" s="229">
        <v>32.0</v>
      </c>
      <c r="F4939" s="230">
        <v>3.0</v>
      </c>
      <c r="G4939" s="232"/>
    </row>
    <row r="4940">
      <c r="A4940" s="2"/>
      <c r="B4940" s="168" t="s">
        <v>330</v>
      </c>
      <c r="C4940" s="168" t="s">
        <v>5187</v>
      </c>
      <c r="D4940" s="229">
        <v>24.5</v>
      </c>
      <c r="E4940" s="229">
        <v>28.0</v>
      </c>
      <c r="F4940" s="230">
        <v>3.0</v>
      </c>
      <c r="G4940" s="232"/>
    </row>
    <row r="4941">
      <c r="A4941" s="2"/>
      <c r="B4941" s="168" t="s">
        <v>375</v>
      </c>
      <c r="C4941" s="168" t="s">
        <v>5188</v>
      </c>
      <c r="D4941" s="229">
        <v>26.5</v>
      </c>
      <c r="E4941" s="229">
        <v>30.0</v>
      </c>
      <c r="F4941" s="230">
        <v>3.0</v>
      </c>
      <c r="G4941" s="232"/>
    </row>
    <row r="4942">
      <c r="A4942" s="2"/>
      <c r="B4942" s="168" t="s">
        <v>230</v>
      </c>
      <c r="C4942" s="168" t="s">
        <v>5189</v>
      </c>
      <c r="D4942" s="229">
        <v>21.5</v>
      </c>
      <c r="E4942" s="229">
        <v>25.0</v>
      </c>
      <c r="F4942" s="230">
        <v>3.0</v>
      </c>
      <c r="G4942" s="232"/>
    </row>
    <row r="4943">
      <c r="A4943" s="2"/>
      <c r="B4943" s="168" t="s">
        <v>294</v>
      </c>
      <c r="C4943" s="168" t="s">
        <v>5190</v>
      </c>
      <c r="D4943" s="229">
        <v>19.5</v>
      </c>
      <c r="E4943" s="229">
        <v>19.5</v>
      </c>
      <c r="F4943" s="230">
        <v>3.0</v>
      </c>
      <c r="G4943" s="232"/>
    </row>
    <row r="4944">
      <c r="A4944" s="2"/>
      <c r="B4944" s="168" t="s">
        <v>260</v>
      </c>
      <c r="C4944" s="168" t="s">
        <v>5191</v>
      </c>
      <c r="D4944" s="229">
        <v>28.5</v>
      </c>
      <c r="E4944" s="229">
        <v>32.0</v>
      </c>
      <c r="F4944" s="230">
        <v>3.0</v>
      </c>
      <c r="G4944" s="232"/>
    </row>
    <row r="4945">
      <c r="A4945" s="2"/>
      <c r="B4945" s="168" t="s">
        <v>273</v>
      </c>
      <c r="C4945" s="168" t="s">
        <v>5192</v>
      </c>
      <c r="D4945" s="229">
        <v>29.5</v>
      </c>
      <c r="E4945" s="229">
        <v>33.0</v>
      </c>
      <c r="F4945" s="230">
        <v>3.0</v>
      </c>
      <c r="G4945" s="232"/>
    </row>
    <row r="4946">
      <c r="A4946" s="2"/>
      <c r="B4946" s="168" t="s">
        <v>280</v>
      </c>
      <c r="C4946" s="168" t="s">
        <v>5193</v>
      </c>
      <c r="D4946" s="229">
        <v>28.5</v>
      </c>
      <c r="E4946" s="229">
        <v>32.0</v>
      </c>
      <c r="F4946" s="230">
        <v>3.0</v>
      </c>
      <c r="G4946" s="232"/>
    </row>
    <row r="4947">
      <c r="A4947" s="2"/>
      <c r="B4947" s="168" t="s">
        <v>257</v>
      </c>
      <c r="C4947" s="168" t="s">
        <v>5194</v>
      </c>
      <c r="D4947" s="229">
        <v>28.5</v>
      </c>
      <c r="E4947" s="229">
        <v>32.0</v>
      </c>
      <c r="F4947" s="230">
        <v>3.0</v>
      </c>
      <c r="G4947" s="232"/>
    </row>
    <row r="4948">
      <c r="A4948" s="2"/>
      <c r="B4948" s="168" t="s">
        <v>381</v>
      </c>
      <c r="C4948" s="168" t="s">
        <v>5195</v>
      </c>
      <c r="D4948" s="229">
        <v>28.5</v>
      </c>
      <c r="E4948" s="229">
        <v>32.0</v>
      </c>
      <c r="F4948" s="230">
        <v>3.0</v>
      </c>
      <c r="G4948" s="232"/>
    </row>
    <row r="4949">
      <c r="A4949" s="2"/>
      <c r="B4949" s="168" t="s">
        <v>381</v>
      </c>
      <c r="C4949" s="168" t="s">
        <v>5196</v>
      </c>
      <c r="D4949" s="229">
        <v>28.5</v>
      </c>
      <c r="E4949" s="229">
        <v>32.0</v>
      </c>
      <c r="F4949" s="230">
        <v>3.0</v>
      </c>
      <c r="G4949" s="232"/>
    </row>
    <row r="4950">
      <c r="A4950" s="2"/>
      <c r="B4950" s="168" t="s">
        <v>255</v>
      </c>
      <c r="C4950" s="168" t="s">
        <v>5197</v>
      </c>
      <c r="D4950" s="229">
        <v>29.5</v>
      </c>
      <c r="E4950" s="229">
        <v>33.0</v>
      </c>
      <c r="F4950" s="230">
        <v>3.0</v>
      </c>
      <c r="G4950" s="232"/>
    </row>
    <row r="4951">
      <c r="A4951" s="2"/>
      <c r="B4951" s="168" t="s">
        <v>381</v>
      </c>
      <c r="C4951" s="168" t="s">
        <v>5198</v>
      </c>
      <c r="D4951" s="229">
        <v>28.0</v>
      </c>
      <c r="E4951" s="229">
        <v>31.5</v>
      </c>
      <c r="F4951" s="230">
        <v>3.0</v>
      </c>
      <c r="G4951" s="232"/>
    </row>
    <row r="4952">
      <c r="A4952" s="2"/>
      <c r="B4952" s="168" t="s">
        <v>273</v>
      </c>
      <c r="C4952" s="168" t="s">
        <v>5199</v>
      </c>
      <c r="D4952" s="229">
        <v>29.5</v>
      </c>
      <c r="E4952" s="229">
        <v>33.0</v>
      </c>
      <c r="F4952" s="230">
        <v>3.0</v>
      </c>
      <c r="G4952" s="232"/>
    </row>
    <row r="4953">
      <c r="A4953" s="2"/>
      <c r="B4953" s="168" t="s">
        <v>232</v>
      </c>
      <c r="C4953" s="168" t="s">
        <v>5200</v>
      </c>
      <c r="D4953" s="229">
        <v>32.5</v>
      </c>
      <c r="E4953" s="229">
        <v>36.0</v>
      </c>
      <c r="F4953" s="230">
        <v>3.0</v>
      </c>
      <c r="G4953" s="232"/>
    </row>
    <row r="4954">
      <c r="A4954" s="2"/>
      <c r="B4954" s="168" t="s">
        <v>254</v>
      </c>
      <c r="C4954" s="168" t="s">
        <v>5201</v>
      </c>
      <c r="D4954" s="229">
        <v>26.5</v>
      </c>
      <c r="E4954" s="229">
        <v>30.0</v>
      </c>
      <c r="F4954" s="230">
        <v>3.0</v>
      </c>
      <c r="G4954" s="232"/>
    </row>
    <row r="4955">
      <c r="A4955" s="2"/>
      <c r="B4955" s="168" t="s">
        <v>241</v>
      </c>
      <c r="C4955" s="168" t="s">
        <v>5202</v>
      </c>
      <c r="D4955" s="229">
        <v>32.5</v>
      </c>
      <c r="E4955" s="229">
        <v>36.0</v>
      </c>
      <c r="F4955" s="230">
        <v>3.0</v>
      </c>
      <c r="G4955" s="232"/>
    </row>
    <row r="4956">
      <c r="A4956" s="2"/>
      <c r="B4956" s="168" t="s">
        <v>251</v>
      </c>
      <c r="C4956" s="168" t="s">
        <v>5203</v>
      </c>
      <c r="D4956" s="229">
        <v>34.5</v>
      </c>
      <c r="E4956" s="229">
        <v>38.0</v>
      </c>
      <c r="F4956" s="230">
        <v>3.0</v>
      </c>
      <c r="G4956" s="232"/>
    </row>
    <row r="4957">
      <c r="A4957" s="2"/>
      <c r="B4957" s="168" t="s">
        <v>232</v>
      </c>
      <c r="C4957" s="168" t="s">
        <v>5204</v>
      </c>
      <c r="D4957" s="229">
        <v>25.5</v>
      </c>
      <c r="E4957" s="229">
        <v>29.0</v>
      </c>
      <c r="F4957" s="230">
        <v>3.0</v>
      </c>
      <c r="G4957" s="232"/>
    </row>
    <row r="4958">
      <c r="A4958" s="2"/>
      <c r="B4958" s="168" t="s">
        <v>381</v>
      </c>
      <c r="C4958" s="168" t="s">
        <v>5205</v>
      </c>
      <c r="D4958" s="229">
        <v>23.5</v>
      </c>
      <c r="E4958" s="229">
        <v>27.0</v>
      </c>
      <c r="F4958" s="230">
        <v>3.0</v>
      </c>
      <c r="G4958" s="232"/>
    </row>
    <row r="4959">
      <c r="A4959" s="2"/>
      <c r="B4959" s="168" t="s">
        <v>296</v>
      </c>
      <c r="C4959" s="168" t="s">
        <v>5206</v>
      </c>
      <c r="D4959" s="229">
        <v>26.5</v>
      </c>
      <c r="E4959" s="229">
        <v>30.0</v>
      </c>
      <c r="F4959" s="230">
        <v>3.0</v>
      </c>
      <c r="G4959" s="232"/>
    </row>
    <row r="4960">
      <c r="A4960" s="2"/>
      <c r="B4960" s="168" t="s">
        <v>318</v>
      </c>
      <c r="C4960" s="168" t="s">
        <v>5207</v>
      </c>
      <c r="D4960" s="229">
        <v>25.5</v>
      </c>
      <c r="E4960" s="229">
        <v>29.0</v>
      </c>
      <c r="F4960" s="230">
        <v>3.0</v>
      </c>
      <c r="G4960" s="232"/>
    </row>
    <row r="4961">
      <c r="A4961" s="2"/>
      <c r="B4961" s="168" t="s">
        <v>236</v>
      </c>
      <c r="C4961" s="168" t="s">
        <v>5208</v>
      </c>
      <c r="D4961" s="229">
        <v>34.5</v>
      </c>
      <c r="E4961" s="229">
        <v>38.0</v>
      </c>
      <c r="F4961" s="230">
        <v>3.0</v>
      </c>
      <c r="G4961" s="232"/>
    </row>
    <row r="4962">
      <c r="A4962" s="2"/>
      <c r="B4962" s="168" t="s">
        <v>241</v>
      </c>
      <c r="C4962" s="168" t="s">
        <v>5209</v>
      </c>
      <c r="D4962" s="229">
        <v>32.5</v>
      </c>
      <c r="E4962" s="229">
        <v>36.0</v>
      </c>
      <c r="F4962" s="230">
        <v>3.0</v>
      </c>
      <c r="G4962" s="232"/>
    </row>
    <row r="4963">
      <c r="A4963" s="2"/>
      <c r="B4963" s="168" t="s">
        <v>223</v>
      </c>
      <c r="C4963" s="168" t="s">
        <v>5210</v>
      </c>
      <c r="D4963" s="229">
        <v>26.5</v>
      </c>
      <c r="E4963" s="229">
        <v>30.0</v>
      </c>
      <c r="F4963" s="230">
        <v>3.0</v>
      </c>
      <c r="G4963" s="232"/>
    </row>
    <row r="4964">
      <c r="A4964" s="2"/>
      <c r="B4964" s="168" t="s">
        <v>576</v>
      </c>
      <c r="C4964" s="168" t="s">
        <v>5211</v>
      </c>
      <c r="D4964" s="229">
        <v>24.5</v>
      </c>
      <c r="E4964" s="229">
        <v>28.0</v>
      </c>
      <c r="F4964" s="230">
        <v>3.0</v>
      </c>
      <c r="G4964" s="232"/>
    </row>
    <row r="4965">
      <c r="A4965" s="2"/>
      <c r="B4965" s="168" t="s">
        <v>386</v>
      </c>
      <c r="C4965" s="168" t="s">
        <v>5212</v>
      </c>
      <c r="D4965" s="229">
        <v>34.5</v>
      </c>
      <c r="E4965" s="229">
        <v>38.0</v>
      </c>
      <c r="F4965" s="230">
        <v>3.0</v>
      </c>
      <c r="G4965" s="232"/>
    </row>
    <row r="4966">
      <c r="A4966" s="2"/>
      <c r="B4966" s="168" t="s">
        <v>269</v>
      </c>
      <c r="C4966" s="168" t="s">
        <v>5213</v>
      </c>
      <c r="D4966" s="229">
        <v>26.0</v>
      </c>
      <c r="E4966" s="229">
        <v>29.5</v>
      </c>
      <c r="F4966" s="230">
        <v>3.0</v>
      </c>
      <c r="G4966" s="232"/>
    </row>
    <row r="4967">
      <c r="A4967" s="2"/>
      <c r="B4967" s="168" t="s">
        <v>255</v>
      </c>
      <c r="C4967" s="168" t="s">
        <v>5214</v>
      </c>
      <c r="D4967" s="229">
        <v>31.5</v>
      </c>
      <c r="E4967" s="229">
        <v>35.0</v>
      </c>
      <c r="F4967" s="230">
        <v>3.0</v>
      </c>
      <c r="G4967" s="232"/>
    </row>
    <row r="4968">
      <c r="A4968" s="2"/>
      <c r="B4968" s="168" t="s">
        <v>318</v>
      </c>
      <c r="C4968" s="168" t="s">
        <v>5215</v>
      </c>
      <c r="D4968" s="229">
        <v>25.5</v>
      </c>
      <c r="E4968" s="229">
        <v>29.0</v>
      </c>
      <c r="F4968" s="230">
        <v>3.0</v>
      </c>
      <c r="G4968" s="232"/>
    </row>
    <row r="4969">
      <c r="A4969" s="2"/>
      <c r="B4969" s="168" t="s">
        <v>230</v>
      </c>
      <c r="C4969" s="168" t="s">
        <v>5216</v>
      </c>
      <c r="D4969" s="229">
        <v>16.5</v>
      </c>
      <c r="E4969" s="229">
        <v>20.0</v>
      </c>
      <c r="F4969" s="230">
        <v>3.0</v>
      </c>
      <c r="G4969" s="232"/>
    </row>
    <row r="4970">
      <c r="A4970" s="2"/>
      <c r="B4970" s="168" t="s">
        <v>337</v>
      </c>
      <c r="C4970" s="168" t="s">
        <v>5217</v>
      </c>
      <c r="D4970" s="229">
        <v>27.5</v>
      </c>
      <c r="E4970" s="229">
        <v>31.0</v>
      </c>
      <c r="F4970" s="230">
        <v>3.0</v>
      </c>
      <c r="G4970" s="232"/>
    </row>
    <row r="4971">
      <c r="A4971" s="2"/>
      <c r="B4971" s="168" t="s">
        <v>273</v>
      </c>
      <c r="C4971" s="168" t="s">
        <v>5218</v>
      </c>
      <c r="D4971" s="229">
        <v>24.5</v>
      </c>
      <c r="E4971" s="229">
        <v>28.0</v>
      </c>
      <c r="F4971" s="230">
        <v>3.0</v>
      </c>
      <c r="G4971" s="232"/>
    </row>
    <row r="4972">
      <c r="A4972" s="2"/>
      <c r="B4972" s="168" t="s">
        <v>230</v>
      </c>
      <c r="C4972" s="168" t="s">
        <v>5219</v>
      </c>
      <c r="D4972" s="229">
        <v>16.5</v>
      </c>
      <c r="E4972" s="229">
        <v>20.0</v>
      </c>
      <c r="F4972" s="230">
        <v>3.0</v>
      </c>
      <c r="G4972" s="232"/>
    </row>
    <row r="4973">
      <c r="A4973" s="2"/>
      <c r="B4973" s="168" t="s">
        <v>296</v>
      </c>
      <c r="C4973" s="168" t="s">
        <v>5220</v>
      </c>
      <c r="D4973" s="229">
        <v>26.5</v>
      </c>
      <c r="E4973" s="229">
        <v>30.0</v>
      </c>
      <c r="F4973" s="230">
        <v>3.0</v>
      </c>
      <c r="G4973" s="232"/>
    </row>
    <row r="4974">
      <c r="A4974" s="2"/>
      <c r="B4974" s="168" t="s">
        <v>290</v>
      </c>
      <c r="C4974" s="168" t="s">
        <v>5221</v>
      </c>
      <c r="D4974" s="229">
        <v>24.5</v>
      </c>
      <c r="E4974" s="229">
        <v>28.0</v>
      </c>
      <c r="F4974" s="230">
        <v>3.0</v>
      </c>
      <c r="G4974" s="232"/>
    </row>
    <row r="4975">
      <c r="A4975" s="2"/>
      <c r="B4975" s="168" t="s">
        <v>290</v>
      </c>
      <c r="C4975" s="168" t="s">
        <v>5222</v>
      </c>
      <c r="D4975" s="229">
        <v>24.5</v>
      </c>
      <c r="E4975" s="229">
        <v>28.0</v>
      </c>
      <c r="F4975" s="230">
        <v>3.0</v>
      </c>
      <c r="G4975" s="232"/>
    </row>
    <row r="4976">
      <c r="A4976" s="2"/>
      <c r="B4976" s="168" t="s">
        <v>243</v>
      </c>
      <c r="C4976" s="168" t="s">
        <v>5223</v>
      </c>
      <c r="D4976" s="229">
        <v>29.5</v>
      </c>
      <c r="E4976" s="229">
        <v>33.0</v>
      </c>
      <c r="F4976" s="230">
        <v>3.0</v>
      </c>
      <c r="G4976" s="232"/>
    </row>
    <row r="4977">
      <c r="A4977" s="2"/>
      <c r="B4977" s="168" t="s">
        <v>290</v>
      </c>
      <c r="C4977" s="168" t="s">
        <v>5224</v>
      </c>
      <c r="D4977" s="229">
        <v>29.5</v>
      </c>
      <c r="E4977" s="229">
        <v>33.0</v>
      </c>
      <c r="F4977" s="230">
        <v>3.0</v>
      </c>
      <c r="G4977" s="232"/>
    </row>
    <row r="4978">
      <c r="A4978" s="2"/>
      <c r="B4978" s="168" t="s">
        <v>232</v>
      </c>
      <c r="C4978" s="168" t="s">
        <v>5225</v>
      </c>
      <c r="D4978" s="229">
        <v>25.5</v>
      </c>
      <c r="E4978" s="229">
        <v>29.0</v>
      </c>
      <c r="F4978" s="230">
        <v>3.0</v>
      </c>
      <c r="G4978" s="232"/>
    </row>
    <row r="4979">
      <c r="A4979" s="2"/>
      <c r="B4979" s="168" t="s">
        <v>230</v>
      </c>
      <c r="C4979" s="168" t="s">
        <v>5226</v>
      </c>
      <c r="D4979" s="229">
        <v>16.5</v>
      </c>
      <c r="E4979" s="229">
        <v>20.0</v>
      </c>
      <c r="F4979" s="230">
        <v>3.0</v>
      </c>
      <c r="G4979" s="232"/>
    </row>
    <row r="4980">
      <c r="A4980" s="2"/>
      <c r="B4980" s="168" t="s">
        <v>288</v>
      </c>
      <c r="C4980" s="168" t="s">
        <v>5227</v>
      </c>
      <c r="D4980" s="229">
        <v>21.5</v>
      </c>
      <c r="E4980" s="229">
        <v>25.0</v>
      </c>
      <c r="F4980" s="230">
        <v>3.0</v>
      </c>
      <c r="G4980" s="232"/>
    </row>
    <row r="4981">
      <c r="A4981" s="2"/>
      <c r="B4981" s="168" t="s">
        <v>345</v>
      </c>
      <c r="C4981" s="168" t="s">
        <v>5228</v>
      </c>
      <c r="D4981" s="229">
        <v>26.5</v>
      </c>
      <c r="E4981" s="229">
        <v>30.0</v>
      </c>
      <c r="F4981" s="230">
        <v>3.0</v>
      </c>
      <c r="G4981" s="232"/>
    </row>
    <row r="4982">
      <c r="A4982" s="2"/>
      <c r="B4982" s="168" t="s">
        <v>232</v>
      </c>
      <c r="C4982" s="168" t="s">
        <v>5229</v>
      </c>
      <c r="D4982" s="229">
        <v>30.0</v>
      </c>
      <c r="E4982" s="229">
        <v>33.5</v>
      </c>
      <c r="F4982" s="230">
        <v>3.0</v>
      </c>
      <c r="G4982" s="232"/>
    </row>
    <row r="4983">
      <c r="A4983" s="2"/>
      <c r="B4983" s="168" t="s">
        <v>241</v>
      </c>
      <c r="C4983" s="168" t="s">
        <v>5230</v>
      </c>
      <c r="D4983" s="229">
        <v>32.5</v>
      </c>
      <c r="E4983" s="229">
        <v>36.0</v>
      </c>
      <c r="F4983" s="230">
        <v>3.0</v>
      </c>
      <c r="G4983" s="232"/>
    </row>
    <row r="4984">
      <c r="A4984" s="2"/>
      <c r="B4984" s="168" t="s">
        <v>288</v>
      </c>
      <c r="C4984" s="168" t="s">
        <v>5231</v>
      </c>
      <c r="D4984" s="229">
        <v>16.5</v>
      </c>
      <c r="E4984" s="229">
        <v>20.0</v>
      </c>
      <c r="F4984" s="230">
        <v>3.0</v>
      </c>
      <c r="G4984" s="232"/>
    </row>
    <row r="4985">
      <c r="A4985" s="2"/>
      <c r="B4985" s="168" t="s">
        <v>381</v>
      </c>
      <c r="C4985" s="168" t="s">
        <v>5232</v>
      </c>
      <c r="D4985" s="229">
        <v>28.5</v>
      </c>
      <c r="E4985" s="229">
        <v>32.0</v>
      </c>
      <c r="F4985" s="230">
        <v>3.0</v>
      </c>
      <c r="G4985" s="232"/>
    </row>
    <row r="4986">
      <c r="A4986" s="2"/>
      <c r="B4986" s="168" t="s">
        <v>337</v>
      </c>
      <c r="C4986" s="168" t="s">
        <v>5233</v>
      </c>
      <c r="D4986" s="229">
        <v>28.5</v>
      </c>
      <c r="E4986" s="229">
        <v>32.0</v>
      </c>
      <c r="F4986" s="230">
        <v>3.0</v>
      </c>
      <c r="G4986" s="232"/>
    </row>
    <row r="4987">
      <c r="A4987" s="2"/>
      <c r="B4987" s="168" t="s">
        <v>260</v>
      </c>
      <c r="C4987" s="168" t="s">
        <v>5234</v>
      </c>
      <c r="D4987" s="229">
        <v>28.5</v>
      </c>
      <c r="E4987" s="229">
        <v>32.0</v>
      </c>
      <c r="F4987" s="230">
        <v>3.0</v>
      </c>
      <c r="G4987" s="232"/>
    </row>
    <row r="4988">
      <c r="A4988" s="2"/>
      <c r="B4988" s="168" t="s">
        <v>427</v>
      </c>
      <c r="C4988" s="168" t="s">
        <v>5235</v>
      </c>
      <c r="D4988" s="229">
        <v>26.5</v>
      </c>
      <c r="E4988" s="229">
        <v>30.0</v>
      </c>
      <c r="F4988" s="230">
        <v>3.0</v>
      </c>
      <c r="G4988" s="232"/>
    </row>
    <row r="4989">
      <c r="A4989" s="2"/>
      <c r="B4989" s="168" t="s">
        <v>269</v>
      </c>
      <c r="C4989" s="168" t="s">
        <v>5236</v>
      </c>
      <c r="D4989" s="229">
        <v>26.5</v>
      </c>
      <c r="E4989" s="229">
        <v>30.0</v>
      </c>
      <c r="F4989" s="230">
        <v>3.0</v>
      </c>
      <c r="G4989" s="232"/>
    </row>
    <row r="4990">
      <c r="A4990" s="2"/>
      <c r="B4990" s="168" t="s">
        <v>1311</v>
      </c>
      <c r="C4990" s="168" t="s">
        <v>5237</v>
      </c>
      <c r="D4990" s="229">
        <v>28.5</v>
      </c>
      <c r="E4990" s="229">
        <v>32.0</v>
      </c>
      <c r="F4990" s="230">
        <v>3.0</v>
      </c>
      <c r="G4990" s="232"/>
    </row>
    <row r="4991">
      <c r="A4991" s="2"/>
      <c r="B4991" s="168" t="s">
        <v>215</v>
      </c>
      <c r="C4991" s="168" t="s">
        <v>5238</v>
      </c>
      <c r="D4991" s="229">
        <v>25.5</v>
      </c>
      <c r="E4991" s="229">
        <v>29.0</v>
      </c>
      <c r="F4991" s="230">
        <v>3.0</v>
      </c>
      <c r="G4991" s="232"/>
    </row>
    <row r="4992">
      <c r="A4992" s="2"/>
      <c r="B4992" s="168" t="s">
        <v>574</v>
      </c>
      <c r="C4992" s="168" t="s">
        <v>5239</v>
      </c>
      <c r="D4992" s="229">
        <v>34.5</v>
      </c>
      <c r="E4992" s="229">
        <v>38.0</v>
      </c>
      <c r="F4992" s="230">
        <v>3.0</v>
      </c>
      <c r="G4992" s="232"/>
    </row>
    <row r="4993">
      <c r="A4993" s="2"/>
      <c r="B4993" s="168" t="s">
        <v>296</v>
      </c>
      <c r="C4993" s="168" t="s">
        <v>5240</v>
      </c>
      <c r="D4993" s="229">
        <v>26.5</v>
      </c>
      <c r="E4993" s="229">
        <v>30.0</v>
      </c>
      <c r="F4993" s="230">
        <v>3.0</v>
      </c>
      <c r="G4993" s="232"/>
    </row>
    <row r="4994">
      <c r="A4994" s="2"/>
      <c r="B4994" s="168" t="s">
        <v>215</v>
      </c>
      <c r="C4994" s="168" t="s">
        <v>5241</v>
      </c>
      <c r="D4994" s="229">
        <v>29.5</v>
      </c>
      <c r="E4994" s="229">
        <v>33.0</v>
      </c>
      <c r="F4994" s="230">
        <v>3.0</v>
      </c>
      <c r="G4994" s="232"/>
    </row>
    <row r="4995">
      <c r="A4995" s="2"/>
      <c r="B4995" s="168" t="s">
        <v>406</v>
      </c>
      <c r="C4995" s="168" t="s">
        <v>5242</v>
      </c>
      <c r="D4995" s="229">
        <v>24.5</v>
      </c>
      <c r="E4995" s="229">
        <v>28.0</v>
      </c>
      <c r="F4995" s="230">
        <v>3.0</v>
      </c>
      <c r="G4995" s="232"/>
    </row>
    <row r="4996">
      <c r="A4996" s="2"/>
      <c r="B4996" s="168" t="s">
        <v>290</v>
      </c>
      <c r="C4996" s="168" t="s">
        <v>5243</v>
      </c>
      <c r="D4996" s="229">
        <v>29.5</v>
      </c>
      <c r="E4996" s="229">
        <v>33.0</v>
      </c>
      <c r="F4996" s="230">
        <v>3.0</v>
      </c>
      <c r="G4996" s="232"/>
    </row>
    <row r="4997">
      <c r="A4997" s="2"/>
      <c r="B4997" s="168" t="s">
        <v>290</v>
      </c>
      <c r="C4997" s="168" t="s">
        <v>5244</v>
      </c>
      <c r="D4997" s="229">
        <v>29.5</v>
      </c>
      <c r="E4997" s="229">
        <v>33.0</v>
      </c>
      <c r="F4997" s="230">
        <v>3.0</v>
      </c>
      <c r="G4997" s="232"/>
    </row>
    <row r="4998">
      <c r="A4998" s="2"/>
      <c r="B4998" s="168" t="s">
        <v>296</v>
      </c>
      <c r="C4998" s="168" t="s">
        <v>5245</v>
      </c>
      <c r="D4998" s="229">
        <v>24.0</v>
      </c>
      <c r="E4998" s="229">
        <v>27.5</v>
      </c>
      <c r="F4998" s="230">
        <v>3.0</v>
      </c>
      <c r="G4998" s="232"/>
    </row>
    <row r="4999">
      <c r="A4999" s="2"/>
      <c r="B4999" s="168" t="s">
        <v>273</v>
      </c>
      <c r="C4999" s="168" t="s">
        <v>5246</v>
      </c>
      <c r="D4999" s="229">
        <v>29.5</v>
      </c>
      <c r="E4999" s="229">
        <v>33.0</v>
      </c>
      <c r="F4999" s="230">
        <v>3.0</v>
      </c>
      <c r="G4999" s="232"/>
    </row>
    <row r="5000">
      <c r="A5000" s="2"/>
      <c r="B5000" s="168" t="s">
        <v>464</v>
      </c>
      <c r="C5000" s="168" t="s">
        <v>5247</v>
      </c>
      <c r="D5000" s="229">
        <v>0.5</v>
      </c>
      <c r="E5000" s="229">
        <v>0.5</v>
      </c>
      <c r="F5000" s="230">
        <v>0.5</v>
      </c>
      <c r="G5000" s="232"/>
    </row>
    <row r="5001">
      <c r="A5001" s="2"/>
      <c r="B5001" s="168" t="s">
        <v>241</v>
      </c>
      <c r="C5001" s="168" t="s">
        <v>5248</v>
      </c>
      <c r="D5001" s="229">
        <v>27.5</v>
      </c>
      <c r="E5001" s="229">
        <v>31.0</v>
      </c>
      <c r="F5001" s="230">
        <v>3.0</v>
      </c>
      <c r="G5001" s="232"/>
    </row>
    <row r="5002">
      <c r="A5002" s="2"/>
      <c r="B5002" s="168" t="s">
        <v>446</v>
      </c>
      <c r="C5002" s="168" t="s">
        <v>5249</v>
      </c>
      <c r="D5002" s="229">
        <v>9.5</v>
      </c>
      <c r="E5002" s="229">
        <v>9.5</v>
      </c>
      <c r="F5002" s="230">
        <v>3.0</v>
      </c>
      <c r="G5002" s="232"/>
    </row>
    <row r="5003">
      <c r="A5003" s="2"/>
      <c r="B5003" s="168" t="s">
        <v>318</v>
      </c>
      <c r="C5003" s="168" t="s">
        <v>5250</v>
      </c>
      <c r="D5003" s="229">
        <v>20.5</v>
      </c>
      <c r="E5003" s="229">
        <v>24.0</v>
      </c>
      <c r="F5003" s="230">
        <v>3.0</v>
      </c>
      <c r="G5003" s="232"/>
    </row>
    <row r="5004">
      <c r="A5004" s="2"/>
      <c r="B5004" s="168" t="s">
        <v>449</v>
      </c>
      <c r="C5004" s="168" t="s">
        <v>5251</v>
      </c>
      <c r="D5004" s="229">
        <v>28.5</v>
      </c>
      <c r="E5004" s="229">
        <v>32.0</v>
      </c>
      <c r="F5004" s="230">
        <v>3.0</v>
      </c>
      <c r="G5004" s="232"/>
    </row>
    <row r="5005">
      <c r="A5005" s="2"/>
      <c r="B5005" s="168" t="s">
        <v>241</v>
      </c>
      <c r="C5005" s="168" t="s">
        <v>5252</v>
      </c>
      <c r="D5005" s="229">
        <v>32.5</v>
      </c>
      <c r="E5005" s="229">
        <v>36.0</v>
      </c>
      <c r="F5005" s="230">
        <v>3.0</v>
      </c>
      <c r="G5005" s="232"/>
    </row>
    <row r="5006">
      <c r="A5006" s="2"/>
      <c r="B5006" s="168" t="s">
        <v>255</v>
      </c>
      <c r="C5006" s="168" t="s">
        <v>5253</v>
      </c>
      <c r="D5006" s="229">
        <v>30.5</v>
      </c>
      <c r="E5006" s="229">
        <v>34.0</v>
      </c>
      <c r="F5006" s="230">
        <v>3.0</v>
      </c>
      <c r="G5006" s="232"/>
    </row>
    <row r="5007">
      <c r="A5007" s="2"/>
      <c r="B5007" s="168" t="s">
        <v>592</v>
      </c>
      <c r="C5007" s="168" t="s">
        <v>5254</v>
      </c>
      <c r="D5007" s="229">
        <v>34.5</v>
      </c>
      <c r="E5007" s="229">
        <v>38.0</v>
      </c>
      <c r="F5007" s="230">
        <v>3.0</v>
      </c>
      <c r="G5007" s="232"/>
    </row>
    <row r="5008">
      <c r="A5008" s="2"/>
      <c r="B5008" s="168" t="s">
        <v>232</v>
      </c>
      <c r="C5008" s="168" t="s">
        <v>5255</v>
      </c>
      <c r="D5008" s="229">
        <v>31.5</v>
      </c>
      <c r="E5008" s="229">
        <v>35.0</v>
      </c>
      <c r="F5008" s="230">
        <v>3.0</v>
      </c>
      <c r="G5008" s="232"/>
    </row>
    <row r="5009">
      <c r="A5009" s="2"/>
      <c r="B5009" s="168" t="s">
        <v>269</v>
      </c>
      <c r="C5009" s="168" t="s">
        <v>5256</v>
      </c>
      <c r="D5009" s="229">
        <v>26.5</v>
      </c>
      <c r="E5009" s="229">
        <v>30.0</v>
      </c>
      <c r="F5009" s="230">
        <v>3.0</v>
      </c>
      <c r="G5009" s="232"/>
    </row>
    <row r="5010">
      <c r="A5010" s="2"/>
      <c r="B5010" s="168" t="s">
        <v>255</v>
      </c>
      <c r="C5010" s="168" t="s">
        <v>5257</v>
      </c>
      <c r="D5010" s="229">
        <v>31.0</v>
      </c>
      <c r="E5010" s="229">
        <v>34.5</v>
      </c>
      <c r="F5010" s="230">
        <v>3.0</v>
      </c>
      <c r="G5010" s="232"/>
    </row>
    <row r="5011">
      <c r="A5011" s="2"/>
      <c r="B5011" s="168" t="s">
        <v>381</v>
      </c>
      <c r="C5011" s="168" t="s">
        <v>5258</v>
      </c>
      <c r="D5011" s="229">
        <v>28.5</v>
      </c>
      <c r="E5011" s="229">
        <v>32.0</v>
      </c>
      <c r="F5011" s="230">
        <v>3.0</v>
      </c>
      <c r="G5011" s="232"/>
    </row>
    <row r="5012">
      <c r="A5012" s="2"/>
      <c r="B5012" s="168" t="s">
        <v>269</v>
      </c>
      <c r="C5012" s="168" t="s">
        <v>5259</v>
      </c>
      <c r="D5012" s="229">
        <v>26.5</v>
      </c>
      <c r="E5012" s="229">
        <v>30.0</v>
      </c>
      <c r="F5012" s="230">
        <v>3.0</v>
      </c>
      <c r="G5012" s="232"/>
    </row>
    <row r="5013">
      <c r="A5013" s="2"/>
      <c r="B5013" s="168" t="s">
        <v>221</v>
      </c>
      <c r="C5013" s="168" t="s">
        <v>5260</v>
      </c>
      <c r="D5013" s="229">
        <v>27.5</v>
      </c>
      <c r="E5013" s="229">
        <v>31.0</v>
      </c>
      <c r="F5013" s="230">
        <v>3.0</v>
      </c>
      <c r="G5013" s="232"/>
    </row>
    <row r="5014">
      <c r="A5014" s="2"/>
      <c r="B5014" s="168" t="s">
        <v>273</v>
      </c>
      <c r="C5014" s="168" t="s">
        <v>5261</v>
      </c>
      <c r="D5014" s="229">
        <v>29.5</v>
      </c>
      <c r="E5014" s="229">
        <v>33.0</v>
      </c>
      <c r="F5014" s="230">
        <v>3.0</v>
      </c>
      <c r="G5014" s="232"/>
    </row>
    <row r="5015">
      <c r="A5015" s="2"/>
      <c r="B5015" s="168" t="s">
        <v>273</v>
      </c>
      <c r="C5015" s="168" t="s">
        <v>5262</v>
      </c>
      <c r="D5015" s="229">
        <v>29.5</v>
      </c>
      <c r="E5015" s="229">
        <v>33.0</v>
      </c>
      <c r="F5015" s="230">
        <v>3.0</v>
      </c>
      <c r="G5015" s="232"/>
    </row>
    <row r="5016">
      <c r="A5016" s="2"/>
      <c r="B5016" s="168" t="s">
        <v>245</v>
      </c>
      <c r="C5016" s="168" t="s">
        <v>5263</v>
      </c>
      <c r="D5016" s="229">
        <v>29.5</v>
      </c>
      <c r="E5016" s="229">
        <v>33.0</v>
      </c>
      <c r="F5016" s="230">
        <v>3.0</v>
      </c>
      <c r="G5016" s="232"/>
    </row>
    <row r="5017">
      <c r="A5017" s="2"/>
      <c r="B5017" s="168" t="s">
        <v>413</v>
      </c>
      <c r="C5017" s="168" t="s">
        <v>5264</v>
      </c>
      <c r="D5017" s="229">
        <v>29.5</v>
      </c>
      <c r="E5017" s="229">
        <v>33.0</v>
      </c>
      <c r="F5017" s="230">
        <v>3.0</v>
      </c>
      <c r="G5017" s="232"/>
    </row>
    <row r="5018">
      <c r="A5018" s="2"/>
      <c r="B5018" s="168" t="s">
        <v>255</v>
      </c>
      <c r="C5018" s="168" t="s">
        <v>5265</v>
      </c>
      <c r="D5018" s="229">
        <v>31.5</v>
      </c>
      <c r="E5018" s="229">
        <v>35.0</v>
      </c>
      <c r="F5018" s="230">
        <v>3.0</v>
      </c>
      <c r="G5018" s="232"/>
    </row>
    <row r="5019">
      <c r="A5019" s="2"/>
      <c r="B5019" s="168" t="s">
        <v>335</v>
      </c>
      <c r="C5019" s="168" t="s">
        <v>5266</v>
      </c>
      <c r="D5019" s="229">
        <v>34.5</v>
      </c>
      <c r="E5019" s="229">
        <v>38.0</v>
      </c>
      <c r="F5019" s="230">
        <v>3.0</v>
      </c>
      <c r="G5019" s="232"/>
    </row>
    <row r="5020">
      <c r="A5020" s="2"/>
      <c r="B5020" s="168" t="s">
        <v>230</v>
      </c>
      <c r="C5020" s="168" t="s">
        <v>5267</v>
      </c>
      <c r="D5020" s="229">
        <v>21.5</v>
      </c>
      <c r="E5020" s="229">
        <v>25.0</v>
      </c>
      <c r="F5020" s="230">
        <v>3.0</v>
      </c>
      <c r="G5020" s="232"/>
    </row>
    <row r="5021">
      <c r="A5021" s="2"/>
      <c r="B5021" s="168" t="s">
        <v>302</v>
      </c>
      <c r="C5021" s="168" t="s">
        <v>5268</v>
      </c>
      <c r="D5021" s="229">
        <v>34.5</v>
      </c>
      <c r="E5021" s="229">
        <v>38.0</v>
      </c>
      <c r="F5021" s="230">
        <v>3.0</v>
      </c>
      <c r="G5021" s="232"/>
    </row>
    <row r="5022">
      <c r="A5022" s="2"/>
      <c r="B5022" s="168" t="s">
        <v>565</v>
      </c>
      <c r="C5022" s="168" t="s">
        <v>5269</v>
      </c>
      <c r="D5022" s="229">
        <v>24.5</v>
      </c>
      <c r="E5022" s="229">
        <v>28.0</v>
      </c>
      <c r="F5022" s="230">
        <v>3.0</v>
      </c>
      <c r="G5022" s="232"/>
    </row>
    <row r="5023">
      <c r="A5023" s="2"/>
      <c r="B5023" s="168" t="s">
        <v>232</v>
      </c>
      <c r="C5023" s="168" t="s">
        <v>5270</v>
      </c>
      <c r="D5023" s="229">
        <v>27.5</v>
      </c>
      <c r="E5023" s="229">
        <v>31.0</v>
      </c>
      <c r="F5023" s="230">
        <v>3.0</v>
      </c>
      <c r="G5023" s="232"/>
    </row>
    <row r="5024">
      <c r="A5024" s="2"/>
      <c r="B5024" s="168" t="s">
        <v>296</v>
      </c>
      <c r="C5024" s="168" t="s">
        <v>5271</v>
      </c>
      <c r="D5024" s="229">
        <v>26.5</v>
      </c>
      <c r="E5024" s="229">
        <v>30.0</v>
      </c>
      <c r="F5024" s="230">
        <v>3.0</v>
      </c>
      <c r="G5024" s="232"/>
    </row>
    <row r="5025">
      <c r="A5025" s="2"/>
      <c r="B5025" s="168" t="s">
        <v>255</v>
      </c>
      <c r="C5025" s="168" t="s">
        <v>5272</v>
      </c>
      <c r="D5025" s="229">
        <v>26.5</v>
      </c>
      <c r="E5025" s="229">
        <v>30.0</v>
      </c>
      <c r="F5025" s="230">
        <v>3.0</v>
      </c>
      <c r="G5025" s="232"/>
    </row>
    <row r="5026">
      <c r="A5026" s="2"/>
      <c r="B5026" s="168" t="s">
        <v>215</v>
      </c>
      <c r="C5026" s="168" t="s">
        <v>5273</v>
      </c>
      <c r="D5026" s="229">
        <v>29.5</v>
      </c>
      <c r="E5026" s="229">
        <v>33.0</v>
      </c>
      <c r="F5026" s="230">
        <v>3.0</v>
      </c>
      <c r="G5026" s="232"/>
    </row>
    <row r="5027">
      <c r="A5027" s="2"/>
      <c r="B5027" s="168" t="s">
        <v>381</v>
      </c>
      <c r="C5027" s="168" t="s">
        <v>5274</v>
      </c>
      <c r="D5027" s="229">
        <v>28.5</v>
      </c>
      <c r="E5027" s="229">
        <v>32.0</v>
      </c>
      <c r="F5027" s="230">
        <v>3.0</v>
      </c>
      <c r="G5027" s="232"/>
    </row>
    <row r="5028">
      <c r="A5028" s="2"/>
      <c r="B5028" s="168" t="s">
        <v>254</v>
      </c>
      <c r="C5028" s="168" t="s">
        <v>5275</v>
      </c>
      <c r="D5028" s="229">
        <v>21.5</v>
      </c>
      <c r="E5028" s="229">
        <v>25.0</v>
      </c>
      <c r="F5028" s="230">
        <v>3.0</v>
      </c>
      <c r="G5028" s="232"/>
    </row>
    <row r="5029">
      <c r="A5029" s="2"/>
      <c r="B5029" s="168" t="s">
        <v>230</v>
      </c>
      <c r="C5029" s="168" t="s">
        <v>5276</v>
      </c>
      <c r="D5029" s="229">
        <v>16.5</v>
      </c>
      <c r="E5029" s="229">
        <v>20.0</v>
      </c>
      <c r="F5029" s="230">
        <v>3.0</v>
      </c>
      <c r="G5029" s="232"/>
    </row>
    <row r="5030">
      <c r="A5030" s="2"/>
      <c r="B5030" s="168" t="s">
        <v>230</v>
      </c>
      <c r="C5030" s="168" t="s">
        <v>5277</v>
      </c>
      <c r="D5030" s="229">
        <v>21.5</v>
      </c>
      <c r="E5030" s="229">
        <v>25.0</v>
      </c>
      <c r="F5030" s="230">
        <v>3.0</v>
      </c>
      <c r="G5030" s="232"/>
    </row>
    <row r="5031">
      <c r="A5031" s="2"/>
      <c r="B5031" s="168" t="s">
        <v>381</v>
      </c>
      <c r="C5031" s="168" t="s">
        <v>5278</v>
      </c>
      <c r="D5031" s="229">
        <v>28.5</v>
      </c>
      <c r="E5031" s="229">
        <v>32.0</v>
      </c>
      <c r="F5031" s="230">
        <v>3.0</v>
      </c>
      <c r="G5031" s="232"/>
    </row>
    <row r="5032">
      <c r="A5032" s="2"/>
      <c r="B5032" s="168" t="s">
        <v>2416</v>
      </c>
      <c r="C5032" s="168" t="s">
        <v>5279</v>
      </c>
      <c r="D5032" s="229">
        <v>26.5</v>
      </c>
      <c r="E5032" s="229">
        <v>30.0</v>
      </c>
      <c r="F5032" s="230">
        <v>3.0</v>
      </c>
      <c r="G5032" s="232"/>
    </row>
    <row r="5033">
      <c r="A5033" s="2"/>
      <c r="B5033" s="168" t="s">
        <v>239</v>
      </c>
      <c r="C5033" s="168" t="s">
        <v>5280</v>
      </c>
      <c r="D5033" s="229">
        <v>29.5</v>
      </c>
      <c r="E5033" s="229">
        <v>33.0</v>
      </c>
      <c r="F5033" s="230">
        <v>3.0</v>
      </c>
      <c r="G5033" s="232"/>
    </row>
    <row r="5034">
      <c r="A5034" s="2"/>
      <c r="B5034" s="168" t="s">
        <v>223</v>
      </c>
      <c r="C5034" s="168" t="s">
        <v>5281</v>
      </c>
      <c r="D5034" s="229">
        <v>26.5</v>
      </c>
      <c r="E5034" s="229">
        <v>30.0</v>
      </c>
      <c r="F5034" s="230">
        <v>3.0</v>
      </c>
      <c r="G5034" s="232"/>
    </row>
    <row r="5035">
      <c r="A5035" s="2"/>
      <c r="B5035" s="168" t="s">
        <v>249</v>
      </c>
      <c r="C5035" s="168" t="s">
        <v>5282</v>
      </c>
      <c r="D5035" s="229">
        <v>3.0</v>
      </c>
      <c r="E5035" s="229">
        <v>3.0</v>
      </c>
      <c r="F5035" s="230">
        <v>3.0</v>
      </c>
      <c r="G5035" s="232"/>
    </row>
    <row r="5036">
      <c r="A5036" s="2"/>
      <c r="B5036" s="168" t="s">
        <v>290</v>
      </c>
      <c r="C5036" s="168" t="s">
        <v>5283</v>
      </c>
      <c r="D5036" s="229">
        <v>29.5</v>
      </c>
      <c r="E5036" s="229">
        <v>33.0</v>
      </c>
      <c r="F5036" s="230">
        <v>3.0</v>
      </c>
      <c r="G5036" s="232"/>
    </row>
    <row r="5037">
      <c r="A5037" s="2"/>
      <c r="B5037" s="168" t="s">
        <v>217</v>
      </c>
      <c r="C5037" s="168" t="s">
        <v>5284</v>
      </c>
      <c r="D5037" s="229">
        <v>27.5</v>
      </c>
      <c r="E5037" s="229">
        <v>31.0</v>
      </c>
      <c r="F5037" s="230">
        <v>3.0</v>
      </c>
      <c r="G5037" s="232"/>
    </row>
    <row r="5038">
      <c r="A5038" s="2"/>
      <c r="B5038" s="168" t="s">
        <v>337</v>
      </c>
      <c r="C5038" s="168" t="s">
        <v>5285</v>
      </c>
      <c r="D5038" s="229">
        <v>23.5</v>
      </c>
      <c r="E5038" s="229">
        <v>27.0</v>
      </c>
      <c r="F5038" s="230">
        <v>3.0</v>
      </c>
      <c r="G5038" s="232"/>
    </row>
    <row r="5039">
      <c r="A5039" s="2"/>
      <c r="B5039" s="168" t="s">
        <v>236</v>
      </c>
      <c r="C5039" s="168" t="s">
        <v>5286</v>
      </c>
      <c r="D5039" s="229">
        <v>34.5</v>
      </c>
      <c r="E5039" s="229">
        <v>38.0</v>
      </c>
      <c r="F5039" s="230">
        <v>3.0</v>
      </c>
      <c r="G5039" s="232"/>
    </row>
    <row r="5040">
      <c r="A5040" s="2"/>
      <c r="B5040" s="168" t="s">
        <v>232</v>
      </c>
      <c r="C5040" s="168" t="s">
        <v>5287</v>
      </c>
      <c r="D5040" s="229">
        <v>27.5</v>
      </c>
      <c r="E5040" s="229">
        <v>31.0</v>
      </c>
      <c r="F5040" s="230">
        <v>3.0</v>
      </c>
      <c r="G5040" s="232"/>
    </row>
    <row r="5041">
      <c r="A5041" s="2"/>
      <c r="B5041" s="168" t="s">
        <v>337</v>
      </c>
      <c r="C5041" s="168" t="s">
        <v>5288</v>
      </c>
      <c r="D5041" s="229">
        <v>28.5</v>
      </c>
      <c r="E5041" s="229">
        <v>32.0</v>
      </c>
      <c r="F5041" s="230">
        <v>3.0</v>
      </c>
      <c r="G5041" s="232"/>
    </row>
    <row r="5042">
      <c r="A5042" s="2"/>
      <c r="B5042" s="168" t="s">
        <v>413</v>
      </c>
      <c r="C5042" s="168" t="s">
        <v>5289</v>
      </c>
      <c r="D5042" s="229">
        <v>29.5</v>
      </c>
      <c r="E5042" s="229">
        <v>33.0</v>
      </c>
      <c r="F5042" s="230">
        <v>3.0</v>
      </c>
      <c r="G5042" s="232"/>
    </row>
    <row r="5043">
      <c r="A5043" s="2"/>
      <c r="B5043" s="168" t="s">
        <v>217</v>
      </c>
      <c r="C5043" s="168" t="s">
        <v>5290</v>
      </c>
      <c r="D5043" s="229">
        <v>27.5</v>
      </c>
      <c r="E5043" s="229">
        <v>31.0</v>
      </c>
      <c r="F5043" s="230">
        <v>3.0</v>
      </c>
      <c r="G5043" s="232"/>
    </row>
    <row r="5044">
      <c r="A5044" s="2"/>
      <c r="B5044" s="168" t="s">
        <v>273</v>
      </c>
      <c r="C5044" s="168" t="s">
        <v>5291</v>
      </c>
      <c r="D5044" s="229">
        <v>29.5</v>
      </c>
      <c r="E5044" s="229">
        <v>33.0</v>
      </c>
      <c r="F5044" s="230">
        <v>3.0</v>
      </c>
      <c r="G5044" s="232"/>
    </row>
    <row r="5045">
      <c r="A5045" s="2"/>
      <c r="B5045" s="168" t="s">
        <v>269</v>
      </c>
      <c r="C5045" s="168" t="s">
        <v>5292</v>
      </c>
      <c r="D5045" s="229">
        <v>26.5</v>
      </c>
      <c r="E5045" s="229">
        <v>30.0</v>
      </c>
      <c r="F5045" s="230">
        <v>3.0</v>
      </c>
      <c r="G5045" s="232"/>
    </row>
    <row r="5046">
      <c r="A5046" s="2"/>
      <c r="B5046" s="168" t="s">
        <v>249</v>
      </c>
      <c r="C5046" s="168" t="s">
        <v>5293</v>
      </c>
      <c r="D5046" s="229">
        <v>3.0</v>
      </c>
      <c r="E5046" s="229">
        <v>3.0</v>
      </c>
      <c r="F5046" s="230">
        <v>3.0</v>
      </c>
      <c r="G5046" s="232"/>
    </row>
    <row r="5047">
      <c r="A5047" s="2"/>
      <c r="B5047" s="168" t="s">
        <v>574</v>
      </c>
      <c r="C5047" s="168" t="s">
        <v>5294</v>
      </c>
      <c r="D5047" s="229">
        <v>34.5</v>
      </c>
      <c r="E5047" s="229">
        <v>38.0</v>
      </c>
      <c r="F5047" s="230">
        <v>3.0</v>
      </c>
      <c r="G5047" s="232"/>
    </row>
    <row r="5048">
      <c r="A5048" s="2"/>
      <c r="B5048" s="168" t="s">
        <v>285</v>
      </c>
      <c r="C5048" s="168" t="s">
        <v>5295</v>
      </c>
      <c r="D5048" s="229">
        <v>24.5</v>
      </c>
      <c r="E5048" s="229">
        <v>28.0</v>
      </c>
      <c r="F5048" s="230">
        <v>3.0</v>
      </c>
      <c r="G5048" s="232"/>
    </row>
    <row r="5049">
      <c r="A5049" s="2"/>
      <c r="B5049" s="168" t="s">
        <v>269</v>
      </c>
      <c r="C5049" s="168" t="s">
        <v>5296</v>
      </c>
      <c r="D5049" s="229">
        <v>26.5</v>
      </c>
      <c r="E5049" s="229">
        <v>30.0</v>
      </c>
      <c r="F5049" s="230">
        <v>3.0</v>
      </c>
      <c r="G5049" s="232"/>
    </row>
    <row r="5050">
      <c r="A5050" s="2"/>
      <c r="B5050" s="168" t="s">
        <v>230</v>
      </c>
      <c r="C5050" s="168" t="s">
        <v>5297</v>
      </c>
      <c r="D5050" s="229">
        <v>21.5</v>
      </c>
      <c r="E5050" s="229">
        <v>25.0</v>
      </c>
      <c r="F5050" s="230">
        <v>3.0</v>
      </c>
      <c r="G5050" s="232"/>
    </row>
    <row r="5051">
      <c r="A5051" s="2"/>
      <c r="B5051" s="168" t="s">
        <v>328</v>
      </c>
      <c r="C5051" s="168" t="s">
        <v>5298</v>
      </c>
      <c r="D5051" s="229">
        <v>34.5</v>
      </c>
      <c r="E5051" s="229">
        <v>38.0</v>
      </c>
      <c r="F5051" s="230">
        <v>3.0</v>
      </c>
      <c r="G5051" s="232"/>
    </row>
    <row r="5052">
      <c r="A5052" s="2"/>
      <c r="B5052" s="168" t="s">
        <v>341</v>
      </c>
      <c r="C5052" s="168" t="s">
        <v>5299</v>
      </c>
      <c r="D5052" s="229">
        <v>29.5</v>
      </c>
      <c r="E5052" s="229">
        <v>29.5</v>
      </c>
      <c r="F5052" s="230">
        <v>3.0</v>
      </c>
      <c r="G5052" s="232"/>
    </row>
    <row r="5053">
      <c r="A5053" s="2"/>
      <c r="B5053" s="168" t="s">
        <v>269</v>
      </c>
      <c r="C5053" s="168" t="s">
        <v>5300</v>
      </c>
      <c r="D5053" s="229">
        <v>26.5</v>
      </c>
      <c r="E5053" s="229">
        <v>30.0</v>
      </c>
      <c r="F5053" s="230">
        <v>3.0</v>
      </c>
      <c r="G5053" s="232"/>
    </row>
    <row r="5054">
      <c r="A5054" s="2"/>
      <c r="B5054" s="168" t="s">
        <v>215</v>
      </c>
      <c r="C5054" s="168" t="s">
        <v>5301</v>
      </c>
      <c r="D5054" s="229">
        <v>29.5</v>
      </c>
      <c r="E5054" s="229">
        <v>33.0</v>
      </c>
      <c r="F5054" s="230">
        <v>3.0</v>
      </c>
      <c r="G5054" s="232"/>
    </row>
    <row r="5055">
      <c r="A5055" s="2"/>
      <c r="B5055" s="168" t="s">
        <v>446</v>
      </c>
      <c r="C5055" s="168" t="s">
        <v>5302</v>
      </c>
      <c r="D5055" s="229">
        <v>9.5</v>
      </c>
      <c r="E5055" s="229">
        <v>9.5</v>
      </c>
      <c r="F5055" s="230">
        <v>3.0</v>
      </c>
      <c r="G5055" s="232"/>
    </row>
    <row r="5056">
      <c r="A5056" s="2"/>
      <c r="B5056" s="168" t="s">
        <v>230</v>
      </c>
      <c r="C5056" s="168" t="s">
        <v>5303</v>
      </c>
      <c r="D5056" s="229">
        <v>16.5</v>
      </c>
      <c r="E5056" s="229">
        <v>20.0</v>
      </c>
      <c r="F5056" s="230">
        <v>3.0</v>
      </c>
      <c r="G5056" s="232"/>
    </row>
    <row r="5057">
      <c r="A5057" s="2"/>
      <c r="B5057" s="168" t="s">
        <v>232</v>
      </c>
      <c r="C5057" s="168" t="s">
        <v>5304</v>
      </c>
      <c r="D5057" s="229">
        <v>25.0</v>
      </c>
      <c r="E5057" s="229">
        <v>28.5</v>
      </c>
      <c r="F5057" s="230">
        <v>3.0</v>
      </c>
      <c r="G5057" s="232"/>
    </row>
    <row r="5058">
      <c r="A5058" s="2"/>
      <c r="B5058" s="168" t="s">
        <v>254</v>
      </c>
      <c r="C5058" s="168" t="s">
        <v>5305</v>
      </c>
      <c r="D5058" s="229">
        <v>26.5</v>
      </c>
      <c r="E5058" s="229">
        <v>30.0</v>
      </c>
      <c r="F5058" s="230">
        <v>3.0</v>
      </c>
      <c r="G5058" s="232"/>
    </row>
    <row r="5059">
      <c r="A5059" s="2"/>
      <c r="B5059" s="168" t="s">
        <v>684</v>
      </c>
      <c r="C5059" s="168" t="s">
        <v>5306</v>
      </c>
      <c r="D5059" s="229">
        <v>25.5</v>
      </c>
      <c r="E5059" s="229">
        <v>29.0</v>
      </c>
      <c r="F5059" s="230">
        <v>3.0</v>
      </c>
      <c r="G5059" s="232"/>
    </row>
    <row r="5060">
      <c r="A5060" s="2"/>
      <c r="B5060" s="168" t="s">
        <v>427</v>
      </c>
      <c r="C5060" s="168" t="s">
        <v>5307</v>
      </c>
      <c r="D5060" s="229">
        <v>26.5</v>
      </c>
      <c r="E5060" s="229">
        <v>30.0</v>
      </c>
      <c r="F5060" s="230">
        <v>3.0</v>
      </c>
      <c r="G5060" s="232"/>
    </row>
    <row r="5061">
      <c r="A5061" s="2"/>
      <c r="B5061" s="168" t="s">
        <v>255</v>
      </c>
      <c r="C5061" s="168" t="s">
        <v>5308</v>
      </c>
      <c r="D5061" s="229">
        <v>31.5</v>
      </c>
      <c r="E5061" s="229">
        <v>35.0</v>
      </c>
      <c r="F5061" s="230">
        <v>3.0</v>
      </c>
      <c r="G5061" s="232"/>
    </row>
    <row r="5062">
      <c r="A5062" s="2"/>
      <c r="B5062" s="168" t="s">
        <v>381</v>
      </c>
      <c r="C5062" s="168" t="s">
        <v>5309</v>
      </c>
      <c r="D5062" s="229">
        <v>28.5</v>
      </c>
      <c r="E5062" s="229">
        <v>32.0</v>
      </c>
      <c r="F5062" s="230">
        <v>3.0</v>
      </c>
      <c r="G5062" s="232"/>
    </row>
    <row r="5063">
      <c r="A5063" s="2"/>
      <c r="B5063" s="168" t="s">
        <v>427</v>
      </c>
      <c r="C5063" s="168" t="s">
        <v>5310</v>
      </c>
      <c r="D5063" s="229">
        <v>26.5</v>
      </c>
      <c r="E5063" s="229">
        <v>30.0</v>
      </c>
      <c r="F5063" s="230">
        <v>3.0</v>
      </c>
      <c r="G5063" s="232"/>
    </row>
    <row r="5064">
      <c r="A5064" s="2"/>
      <c r="B5064" s="168" t="s">
        <v>241</v>
      </c>
      <c r="C5064" s="168" t="s">
        <v>5311</v>
      </c>
      <c r="D5064" s="229">
        <v>32.0</v>
      </c>
      <c r="E5064" s="229">
        <v>35.5</v>
      </c>
      <c r="F5064" s="230">
        <v>3.0</v>
      </c>
      <c r="G5064" s="232"/>
    </row>
    <row r="5065">
      <c r="A5065" s="2"/>
      <c r="B5065" s="168" t="s">
        <v>332</v>
      </c>
      <c r="C5065" s="168" t="s">
        <v>5312</v>
      </c>
      <c r="D5065" s="229">
        <v>28.5</v>
      </c>
      <c r="E5065" s="229">
        <v>32.0</v>
      </c>
      <c r="F5065" s="230">
        <v>3.0</v>
      </c>
      <c r="G5065" s="232"/>
    </row>
    <row r="5066">
      <c r="A5066" s="2"/>
      <c r="B5066" s="168" t="s">
        <v>576</v>
      </c>
      <c r="C5066" s="168" t="s">
        <v>5313</v>
      </c>
      <c r="D5066" s="229">
        <v>24.5</v>
      </c>
      <c r="E5066" s="229">
        <v>28.0</v>
      </c>
      <c r="F5066" s="230">
        <v>3.0</v>
      </c>
      <c r="G5066" s="232"/>
    </row>
    <row r="5067">
      <c r="A5067" s="2"/>
      <c r="B5067" s="168" t="s">
        <v>290</v>
      </c>
      <c r="C5067" s="168" t="s">
        <v>5314</v>
      </c>
      <c r="D5067" s="229">
        <v>29.5</v>
      </c>
      <c r="E5067" s="229">
        <v>33.0</v>
      </c>
      <c r="F5067" s="230">
        <v>3.0</v>
      </c>
      <c r="G5067" s="232"/>
    </row>
    <row r="5068">
      <c r="A5068" s="2"/>
      <c r="B5068" s="168" t="s">
        <v>255</v>
      </c>
      <c r="C5068" s="168" t="s">
        <v>5315</v>
      </c>
      <c r="D5068" s="229">
        <v>31.5</v>
      </c>
      <c r="E5068" s="229">
        <v>35.0</v>
      </c>
      <c r="F5068" s="230">
        <v>3.0</v>
      </c>
      <c r="G5068" s="232"/>
    </row>
    <row r="5069">
      <c r="A5069" s="2"/>
      <c r="B5069" s="168" t="s">
        <v>271</v>
      </c>
      <c r="C5069" s="168" t="s">
        <v>5316</v>
      </c>
      <c r="D5069" s="229">
        <v>29.5</v>
      </c>
      <c r="E5069" s="229">
        <v>33.0</v>
      </c>
      <c r="F5069" s="230">
        <v>3.0</v>
      </c>
      <c r="G5069" s="232"/>
    </row>
    <row r="5070">
      <c r="A5070" s="2"/>
      <c r="B5070" s="168" t="s">
        <v>273</v>
      </c>
      <c r="C5070" s="168" t="s">
        <v>5317</v>
      </c>
      <c r="D5070" s="229">
        <v>24.5</v>
      </c>
      <c r="E5070" s="229">
        <v>28.0</v>
      </c>
      <c r="F5070" s="230">
        <v>3.0</v>
      </c>
      <c r="G5070" s="232"/>
    </row>
    <row r="5071">
      <c r="A5071" s="2"/>
      <c r="B5071" s="168" t="s">
        <v>427</v>
      </c>
      <c r="C5071" s="168" t="s">
        <v>5318</v>
      </c>
      <c r="D5071" s="229">
        <v>26.5</v>
      </c>
      <c r="E5071" s="229">
        <v>30.0</v>
      </c>
      <c r="F5071" s="230">
        <v>3.0</v>
      </c>
      <c r="G5071" s="232"/>
    </row>
    <row r="5072">
      <c r="A5072" s="2"/>
      <c r="B5072" s="168" t="s">
        <v>230</v>
      </c>
      <c r="C5072" s="168" t="s">
        <v>5319</v>
      </c>
      <c r="D5072" s="229">
        <v>21.5</v>
      </c>
      <c r="E5072" s="229">
        <v>25.0</v>
      </c>
      <c r="F5072" s="230">
        <v>3.0</v>
      </c>
      <c r="G5072" s="232"/>
    </row>
    <row r="5073">
      <c r="A5073" s="2"/>
      <c r="B5073" s="168" t="s">
        <v>247</v>
      </c>
      <c r="C5073" s="168" t="s">
        <v>5320</v>
      </c>
      <c r="D5073" s="229">
        <v>29.5</v>
      </c>
      <c r="E5073" s="229">
        <v>33.0</v>
      </c>
      <c r="F5073" s="230">
        <v>3.0</v>
      </c>
      <c r="G5073" s="232"/>
    </row>
    <row r="5074">
      <c r="A5074" s="2"/>
      <c r="B5074" s="168" t="s">
        <v>221</v>
      </c>
      <c r="C5074" s="168" t="s">
        <v>5321</v>
      </c>
      <c r="D5074" s="229">
        <v>27.5</v>
      </c>
      <c r="E5074" s="229">
        <v>31.0</v>
      </c>
      <c r="F5074" s="230">
        <v>3.0</v>
      </c>
      <c r="G5074" s="232"/>
    </row>
    <row r="5075">
      <c r="A5075" s="2"/>
      <c r="B5075" s="168" t="s">
        <v>230</v>
      </c>
      <c r="C5075" s="168" t="s">
        <v>5322</v>
      </c>
      <c r="D5075" s="229">
        <v>21.5</v>
      </c>
      <c r="E5075" s="229">
        <v>25.0</v>
      </c>
      <c r="F5075" s="230">
        <v>3.0</v>
      </c>
      <c r="G5075" s="232"/>
    </row>
    <row r="5076">
      <c r="A5076" s="2"/>
      <c r="B5076" s="168" t="s">
        <v>377</v>
      </c>
      <c r="C5076" s="168" t="s">
        <v>5323</v>
      </c>
      <c r="D5076" s="229">
        <v>29.5</v>
      </c>
      <c r="E5076" s="229">
        <v>33.0</v>
      </c>
      <c r="F5076" s="230">
        <v>3.0</v>
      </c>
      <c r="G5076" s="232"/>
    </row>
    <row r="5077">
      <c r="A5077" s="2"/>
      <c r="B5077" s="168" t="s">
        <v>234</v>
      </c>
      <c r="C5077" s="168" t="s">
        <v>5324</v>
      </c>
      <c r="D5077" s="229">
        <v>24.5</v>
      </c>
      <c r="E5077" s="229">
        <v>28.0</v>
      </c>
      <c r="F5077" s="230">
        <v>3.0</v>
      </c>
      <c r="G5077" s="232"/>
    </row>
    <row r="5078">
      <c r="A5078" s="2"/>
      <c r="B5078" s="168" t="s">
        <v>811</v>
      </c>
      <c r="C5078" s="168" t="s">
        <v>5325</v>
      </c>
      <c r="D5078" s="229">
        <v>29.5</v>
      </c>
      <c r="E5078" s="229">
        <v>33.0</v>
      </c>
      <c r="F5078" s="230">
        <v>3.0</v>
      </c>
      <c r="G5078" s="232"/>
    </row>
    <row r="5079">
      <c r="A5079" s="2"/>
      <c r="B5079" s="168" t="s">
        <v>296</v>
      </c>
      <c r="C5079" s="168" t="s">
        <v>5326</v>
      </c>
      <c r="D5079" s="229">
        <v>26.5</v>
      </c>
      <c r="E5079" s="229">
        <v>30.0</v>
      </c>
      <c r="F5079" s="230">
        <v>3.0</v>
      </c>
      <c r="G5079" s="232"/>
    </row>
    <row r="5080">
      <c r="A5080" s="2"/>
      <c r="B5080" s="168" t="s">
        <v>251</v>
      </c>
      <c r="C5080" s="168" t="s">
        <v>5327</v>
      </c>
      <c r="D5080" s="229">
        <v>34.5</v>
      </c>
      <c r="E5080" s="229">
        <v>38.0</v>
      </c>
      <c r="F5080" s="230">
        <v>3.0</v>
      </c>
      <c r="G5080" s="232"/>
    </row>
    <row r="5081">
      <c r="A5081" s="2"/>
      <c r="B5081" s="168" t="s">
        <v>318</v>
      </c>
      <c r="C5081" s="168" t="s">
        <v>5328</v>
      </c>
      <c r="D5081" s="229">
        <v>25.5</v>
      </c>
      <c r="E5081" s="229">
        <v>29.0</v>
      </c>
      <c r="F5081" s="230">
        <v>3.0</v>
      </c>
      <c r="G5081" s="232"/>
    </row>
    <row r="5082">
      <c r="A5082" s="2"/>
      <c r="B5082" s="168" t="s">
        <v>332</v>
      </c>
      <c r="C5082" s="168" t="s">
        <v>5329</v>
      </c>
      <c r="D5082" s="229">
        <v>28.5</v>
      </c>
      <c r="E5082" s="229">
        <v>32.0</v>
      </c>
      <c r="F5082" s="230">
        <v>3.0</v>
      </c>
      <c r="G5082" s="232"/>
    </row>
    <row r="5083">
      <c r="A5083" s="2"/>
      <c r="B5083" s="168" t="s">
        <v>269</v>
      </c>
      <c r="C5083" s="168" t="s">
        <v>5330</v>
      </c>
      <c r="D5083" s="229">
        <v>26.5</v>
      </c>
      <c r="E5083" s="229">
        <v>30.0</v>
      </c>
      <c r="F5083" s="230">
        <v>3.0</v>
      </c>
      <c r="G5083" s="232"/>
    </row>
    <row r="5084">
      <c r="A5084" s="2"/>
      <c r="B5084" s="168" t="s">
        <v>377</v>
      </c>
      <c r="C5084" s="168" t="s">
        <v>5331</v>
      </c>
      <c r="D5084" s="229">
        <v>29.5</v>
      </c>
      <c r="E5084" s="229">
        <v>33.0</v>
      </c>
      <c r="F5084" s="230">
        <v>3.0</v>
      </c>
      <c r="G5084" s="232"/>
    </row>
    <row r="5085">
      <c r="A5085" s="2"/>
      <c r="B5085" s="168" t="s">
        <v>217</v>
      </c>
      <c r="C5085" s="168" t="s">
        <v>5332</v>
      </c>
      <c r="D5085" s="229">
        <v>27.5</v>
      </c>
      <c r="E5085" s="229">
        <v>31.0</v>
      </c>
      <c r="F5085" s="230">
        <v>3.0</v>
      </c>
      <c r="G5085" s="232"/>
    </row>
    <row r="5086">
      <c r="A5086" s="2"/>
      <c r="B5086" s="168" t="s">
        <v>348</v>
      </c>
      <c r="C5086" s="168" t="s">
        <v>5333</v>
      </c>
      <c r="D5086" s="229">
        <v>19.5</v>
      </c>
      <c r="E5086" s="229">
        <v>23.0</v>
      </c>
      <c r="F5086" s="230">
        <v>3.0</v>
      </c>
      <c r="G5086" s="232"/>
    </row>
    <row r="5087">
      <c r="A5087" s="2"/>
      <c r="B5087" s="168" t="s">
        <v>341</v>
      </c>
      <c r="C5087" s="168" t="s">
        <v>5334</v>
      </c>
      <c r="D5087" s="229">
        <v>29.5</v>
      </c>
      <c r="E5087" s="229">
        <v>29.5</v>
      </c>
      <c r="F5087" s="230">
        <v>3.0</v>
      </c>
      <c r="G5087" s="232"/>
    </row>
    <row r="5088">
      <c r="A5088" s="2"/>
      <c r="B5088" s="168" t="s">
        <v>243</v>
      </c>
      <c r="C5088" s="168" t="s">
        <v>5335</v>
      </c>
      <c r="D5088" s="229">
        <v>29.5</v>
      </c>
      <c r="E5088" s="229">
        <v>33.0</v>
      </c>
      <c r="F5088" s="230">
        <v>3.0</v>
      </c>
      <c r="G5088" s="232"/>
    </row>
    <row r="5089">
      <c r="A5089" s="2"/>
      <c r="B5089" s="168" t="s">
        <v>386</v>
      </c>
      <c r="C5089" s="168" t="s">
        <v>5336</v>
      </c>
      <c r="D5089" s="229">
        <v>34.5</v>
      </c>
      <c r="E5089" s="229">
        <v>38.0</v>
      </c>
      <c r="F5089" s="230">
        <v>3.0</v>
      </c>
      <c r="G5089" s="232"/>
    </row>
    <row r="5090">
      <c r="A5090" s="2"/>
      <c r="B5090" s="168" t="s">
        <v>290</v>
      </c>
      <c r="C5090" s="168" t="s">
        <v>5337</v>
      </c>
      <c r="D5090" s="229">
        <v>29.5</v>
      </c>
      <c r="E5090" s="229">
        <v>33.0</v>
      </c>
      <c r="F5090" s="230">
        <v>3.0</v>
      </c>
      <c r="G5090" s="232"/>
    </row>
    <row r="5091">
      <c r="A5091" s="2"/>
      <c r="B5091" s="168" t="s">
        <v>241</v>
      </c>
      <c r="C5091" s="168" t="s">
        <v>5338</v>
      </c>
      <c r="D5091" s="229">
        <v>32.5</v>
      </c>
      <c r="E5091" s="229">
        <v>36.0</v>
      </c>
      <c r="F5091" s="230">
        <v>3.0</v>
      </c>
      <c r="G5091" s="232"/>
    </row>
    <row r="5092">
      <c r="A5092" s="2"/>
      <c r="B5092" s="168" t="s">
        <v>232</v>
      </c>
      <c r="C5092" s="168" t="s">
        <v>5339</v>
      </c>
      <c r="D5092" s="229">
        <v>25.5</v>
      </c>
      <c r="E5092" s="229">
        <v>29.0</v>
      </c>
      <c r="F5092" s="230">
        <v>3.0</v>
      </c>
      <c r="G5092" s="232"/>
    </row>
    <row r="5093">
      <c r="A5093" s="2"/>
      <c r="B5093" s="168" t="s">
        <v>243</v>
      </c>
      <c r="C5093" s="168" t="s">
        <v>5340</v>
      </c>
      <c r="D5093" s="229">
        <v>29.5</v>
      </c>
      <c r="E5093" s="229">
        <v>33.0</v>
      </c>
      <c r="F5093" s="230">
        <v>3.0</v>
      </c>
      <c r="G5093" s="232"/>
    </row>
    <row r="5094">
      <c r="A5094" s="2"/>
      <c r="B5094" s="168" t="s">
        <v>230</v>
      </c>
      <c r="C5094" s="168" t="s">
        <v>5341</v>
      </c>
      <c r="D5094" s="229">
        <v>16.5</v>
      </c>
      <c r="E5094" s="229">
        <v>20.0</v>
      </c>
      <c r="F5094" s="230">
        <v>3.0</v>
      </c>
      <c r="G5094" s="232"/>
    </row>
    <row r="5095">
      <c r="A5095" s="2"/>
      <c r="B5095" s="168" t="s">
        <v>318</v>
      </c>
      <c r="C5095" s="168" t="s">
        <v>5342</v>
      </c>
      <c r="D5095" s="229">
        <v>25.5</v>
      </c>
      <c r="E5095" s="229">
        <v>29.0</v>
      </c>
      <c r="F5095" s="230">
        <v>3.0</v>
      </c>
      <c r="G5095" s="232"/>
    </row>
    <row r="5096">
      <c r="A5096" s="2"/>
      <c r="B5096" s="168" t="s">
        <v>290</v>
      </c>
      <c r="C5096" s="168" t="s">
        <v>5343</v>
      </c>
      <c r="D5096" s="229">
        <v>29.5</v>
      </c>
      <c r="E5096" s="229">
        <v>33.0</v>
      </c>
      <c r="F5096" s="230">
        <v>3.0</v>
      </c>
      <c r="G5096" s="232"/>
    </row>
    <row r="5097">
      <c r="A5097" s="2"/>
      <c r="B5097" s="168" t="s">
        <v>592</v>
      </c>
      <c r="C5097" s="168" t="s">
        <v>5344</v>
      </c>
      <c r="D5097" s="229">
        <v>34.5</v>
      </c>
      <c r="E5097" s="229">
        <v>38.0</v>
      </c>
      <c r="F5097" s="230">
        <v>3.0</v>
      </c>
      <c r="G5097" s="232"/>
    </row>
    <row r="5098">
      <c r="A5098" s="2"/>
      <c r="B5098" s="168" t="s">
        <v>337</v>
      </c>
      <c r="C5098" s="168" t="s">
        <v>5345</v>
      </c>
      <c r="D5098" s="229">
        <v>20.5</v>
      </c>
      <c r="E5098" s="229">
        <v>24.0</v>
      </c>
      <c r="F5098" s="230">
        <v>3.0</v>
      </c>
      <c r="G5098" s="232"/>
    </row>
    <row r="5099">
      <c r="A5099" s="2"/>
      <c r="B5099" s="168" t="s">
        <v>341</v>
      </c>
      <c r="C5099" s="168" t="s">
        <v>5346</v>
      </c>
      <c r="D5099" s="229">
        <v>29.5</v>
      </c>
      <c r="E5099" s="229">
        <v>29.5</v>
      </c>
      <c r="F5099" s="230">
        <v>3.0</v>
      </c>
      <c r="G5099" s="232"/>
    </row>
    <row r="5100">
      <c r="A5100" s="2"/>
      <c r="B5100" s="168" t="s">
        <v>257</v>
      </c>
      <c r="C5100" s="168" t="s">
        <v>5347</v>
      </c>
      <c r="D5100" s="229">
        <v>28.5</v>
      </c>
      <c r="E5100" s="229">
        <v>32.0</v>
      </c>
      <c r="F5100" s="230">
        <v>3.0</v>
      </c>
      <c r="G5100" s="232"/>
    </row>
    <row r="5101">
      <c r="A5101" s="2"/>
      <c r="B5101" s="168" t="s">
        <v>255</v>
      </c>
      <c r="C5101" s="168" t="s">
        <v>5348</v>
      </c>
      <c r="D5101" s="229">
        <v>31.5</v>
      </c>
      <c r="E5101" s="229">
        <v>35.0</v>
      </c>
      <c r="F5101" s="230">
        <v>3.0</v>
      </c>
      <c r="G5101" s="232"/>
    </row>
    <row r="5102">
      <c r="A5102" s="2"/>
      <c r="B5102" s="168" t="s">
        <v>230</v>
      </c>
      <c r="C5102" s="168" t="s">
        <v>5349</v>
      </c>
      <c r="D5102" s="229">
        <v>16.5</v>
      </c>
      <c r="E5102" s="229">
        <v>20.0</v>
      </c>
      <c r="F5102" s="230">
        <v>3.0</v>
      </c>
      <c r="G5102" s="232"/>
    </row>
    <row r="5103">
      <c r="A5103" s="2"/>
      <c r="B5103" s="168" t="s">
        <v>535</v>
      </c>
      <c r="C5103" s="168" t="s">
        <v>5350</v>
      </c>
      <c r="D5103" s="229">
        <v>26.5</v>
      </c>
      <c r="E5103" s="229">
        <v>30.0</v>
      </c>
      <c r="F5103" s="230">
        <v>3.0</v>
      </c>
      <c r="G5103" s="232"/>
    </row>
    <row r="5104">
      <c r="A5104" s="2"/>
      <c r="B5104" s="168" t="s">
        <v>2259</v>
      </c>
      <c r="C5104" s="168" t="s">
        <v>5351</v>
      </c>
      <c r="D5104" s="229">
        <v>19.5</v>
      </c>
      <c r="E5104" s="229">
        <v>23.0</v>
      </c>
      <c r="F5104" s="230">
        <v>3.0</v>
      </c>
      <c r="G5104" s="232"/>
    </row>
    <row r="5105">
      <c r="A5105" s="2"/>
      <c r="B5105" s="168" t="s">
        <v>337</v>
      </c>
      <c r="C5105" s="168" t="s">
        <v>5352</v>
      </c>
      <c r="D5105" s="229">
        <v>28.5</v>
      </c>
      <c r="E5105" s="229">
        <v>32.0</v>
      </c>
      <c r="F5105" s="230">
        <v>3.0</v>
      </c>
      <c r="G5105" s="232"/>
    </row>
    <row r="5106">
      <c r="A5106" s="2"/>
      <c r="B5106" s="168" t="s">
        <v>337</v>
      </c>
      <c r="C5106" s="168" t="s">
        <v>5353</v>
      </c>
      <c r="D5106" s="229">
        <v>28.5</v>
      </c>
      <c r="E5106" s="229">
        <v>32.0</v>
      </c>
      <c r="F5106" s="230">
        <v>3.0</v>
      </c>
      <c r="G5106" s="232"/>
    </row>
    <row r="5107">
      <c r="A5107" s="2"/>
      <c r="B5107" s="168" t="s">
        <v>217</v>
      </c>
      <c r="C5107" s="168" t="s">
        <v>5354</v>
      </c>
      <c r="D5107" s="229">
        <v>27.5</v>
      </c>
      <c r="E5107" s="229">
        <v>31.0</v>
      </c>
      <c r="F5107" s="230">
        <v>3.0</v>
      </c>
      <c r="G5107" s="232"/>
    </row>
    <row r="5108">
      <c r="A5108" s="2"/>
      <c r="B5108" s="168" t="s">
        <v>337</v>
      </c>
      <c r="C5108" s="168" t="s">
        <v>5355</v>
      </c>
      <c r="D5108" s="229">
        <v>30.0</v>
      </c>
      <c r="E5108" s="229">
        <v>33.5</v>
      </c>
      <c r="F5108" s="230">
        <v>3.0</v>
      </c>
      <c r="G5108" s="232"/>
    </row>
    <row r="5109">
      <c r="A5109" s="2"/>
      <c r="B5109" s="168" t="s">
        <v>217</v>
      </c>
      <c r="C5109" s="168" t="s">
        <v>5356</v>
      </c>
      <c r="D5109" s="229">
        <v>27.5</v>
      </c>
      <c r="E5109" s="229">
        <v>31.0</v>
      </c>
      <c r="F5109" s="230">
        <v>3.0</v>
      </c>
      <c r="G5109" s="232"/>
    </row>
    <row r="5110">
      <c r="A5110" s="2"/>
      <c r="B5110" s="168" t="s">
        <v>581</v>
      </c>
      <c r="C5110" s="168" t="s">
        <v>5357</v>
      </c>
      <c r="D5110" s="229">
        <v>26.5</v>
      </c>
      <c r="E5110" s="229">
        <v>30.0</v>
      </c>
      <c r="F5110" s="230">
        <v>3.0</v>
      </c>
      <c r="G5110" s="232"/>
    </row>
    <row r="5111">
      <c r="A5111" s="2"/>
      <c r="B5111" s="168" t="s">
        <v>290</v>
      </c>
      <c r="C5111" s="168" t="s">
        <v>5358</v>
      </c>
      <c r="D5111" s="229">
        <v>29.5</v>
      </c>
      <c r="E5111" s="229">
        <v>33.0</v>
      </c>
      <c r="F5111" s="230">
        <v>3.0</v>
      </c>
      <c r="G5111" s="232"/>
    </row>
    <row r="5112">
      <c r="A5112" s="2"/>
      <c r="B5112" s="168" t="s">
        <v>345</v>
      </c>
      <c r="C5112" s="168" t="s">
        <v>5359</v>
      </c>
      <c r="D5112" s="229">
        <v>26.5</v>
      </c>
      <c r="E5112" s="229">
        <v>30.0</v>
      </c>
      <c r="F5112" s="230">
        <v>3.0</v>
      </c>
      <c r="G5112" s="232"/>
    </row>
    <row r="5113">
      <c r="A5113" s="2"/>
      <c r="B5113" s="168" t="s">
        <v>221</v>
      </c>
      <c r="C5113" s="168" t="s">
        <v>5360</v>
      </c>
      <c r="D5113" s="229">
        <v>27.5</v>
      </c>
      <c r="E5113" s="229">
        <v>31.0</v>
      </c>
      <c r="F5113" s="230">
        <v>3.0</v>
      </c>
      <c r="G5113" s="232"/>
    </row>
    <row r="5114">
      <c r="A5114" s="2"/>
      <c r="B5114" s="168" t="s">
        <v>332</v>
      </c>
      <c r="C5114" s="168" t="s">
        <v>5361</v>
      </c>
      <c r="D5114" s="229">
        <v>28.5</v>
      </c>
      <c r="E5114" s="229">
        <v>32.0</v>
      </c>
      <c r="F5114" s="230">
        <v>3.0</v>
      </c>
      <c r="G5114" s="232"/>
    </row>
    <row r="5115">
      <c r="A5115" s="2"/>
      <c r="B5115" s="168" t="s">
        <v>290</v>
      </c>
      <c r="C5115" s="168" t="s">
        <v>5362</v>
      </c>
      <c r="D5115" s="229">
        <v>29.5</v>
      </c>
      <c r="E5115" s="229">
        <v>33.0</v>
      </c>
      <c r="F5115" s="230">
        <v>3.0</v>
      </c>
      <c r="G5115" s="232"/>
    </row>
    <row r="5116">
      <c r="A5116" s="2"/>
      <c r="B5116" s="168" t="s">
        <v>368</v>
      </c>
      <c r="C5116" s="168" t="s">
        <v>5363</v>
      </c>
      <c r="D5116" s="229">
        <v>32.5</v>
      </c>
      <c r="E5116" s="229">
        <v>36.0</v>
      </c>
      <c r="F5116" s="230">
        <v>3.0</v>
      </c>
      <c r="G5116" s="232"/>
    </row>
    <row r="5117">
      <c r="A5117" s="2"/>
      <c r="B5117" s="168" t="s">
        <v>290</v>
      </c>
      <c r="C5117" s="168" t="s">
        <v>5364</v>
      </c>
      <c r="D5117" s="229">
        <v>29.5</v>
      </c>
      <c r="E5117" s="229">
        <v>33.0</v>
      </c>
      <c r="F5117" s="230">
        <v>3.0</v>
      </c>
      <c r="G5117" s="232"/>
    </row>
    <row r="5118">
      <c r="A5118" s="2"/>
      <c r="B5118" s="168" t="s">
        <v>413</v>
      </c>
      <c r="C5118" s="168" t="s">
        <v>5365</v>
      </c>
      <c r="D5118" s="229">
        <v>29.5</v>
      </c>
      <c r="E5118" s="229">
        <v>33.0</v>
      </c>
      <c r="F5118" s="230">
        <v>3.0</v>
      </c>
      <c r="G5118" s="232"/>
    </row>
    <row r="5119">
      <c r="A5119" s="2"/>
      <c r="B5119" s="168" t="s">
        <v>266</v>
      </c>
      <c r="C5119" s="168" t="s">
        <v>5366</v>
      </c>
      <c r="D5119" s="229">
        <v>33.0</v>
      </c>
      <c r="E5119" s="229">
        <v>33.0</v>
      </c>
      <c r="F5119" s="230">
        <v>3.0</v>
      </c>
      <c r="G5119" s="232"/>
    </row>
    <row r="5120">
      <c r="A5120" s="2"/>
      <c r="B5120" s="168" t="s">
        <v>430</v>
      </c>
      <c r="C5120" s="168" t="s">
        <v>5367</v>
      </c>
      <c r="D5120" s="229">
        <v>34.5</v>
      </c>
      <c r="E5120" s="229">
        <v>38.0</v>
      </c>
      <c r="F5120" s="230">
        <v>3.0</v>
      </c>
      <c r="G5120" s="232"/>
    </row>
    <row r="5121">
      <c r="A5121" s="2"/>
      <c r="B5121" s="168" t="s">
        <v>257</v>
      </c>
      <c r="C5121" s="168" t="s">
        <v>5368</v>
      </c>
      <c r="D5121" s="229">
        <v>28.5</v>
      </c>
      <c r="E5121" s="229">
        <v>32.0</v>
      </c>
      <c r="F5121" s="230">
        <v>3.0</v>
      </c>
      <c r="G5121" s="232"/>
    </row>
    <row r="5122">
      <c r="A5122" s="2"/>
      <c r="B5122" s="168" t="s">
        <v>260</v>
      </c>
      <c r="C5122" s="168" t="s">
        <v>5369</v>
      </c>
      <c r="D5122" s="229">
        <v>28.5</v>
      </c>
      <c r="E5122" s="229">
        <v>32.0</v>
      </c>
      <c r="F5122" s="230">
        <v>3.0</v>
      </c>
      <c r="G5122" s="232"/>
    </row>
    <row r="5123">
      <c r="A5123" s="2"/>
      <c r="B5123" s="168" t="s">
        <v>592</v>
      </c>
      <c r="C5123" s="168" t="s">
        <v>5370</v>
      </c>
      <c r="D5123" s="229">
        <v>34.5</v>
      </c>
      <c r="E5123" s="229">
        <v>38.0</v>
      </c>
      <c r="F5123" s="230">
        <v>3.0</v>
      </c>
      <c r="G5123" s="232"/>
    </row>
    <row r="5124">
      <c r="A5124" s="2"/>
      <c r="B5124" s="168" t="s">
        <v>269</v>
      </c>
      <c r="C5124" s="168" t="s">
        <v>5371</v>
      </c>
      <c r="D5124" s="229">
        <v>26.5</v>
      </c>
      <c r="E5124" s="229">
        <v>30.0</v>
      </c>
      <c r="F5124" s="230">
        <v>3.0</v>
      </c>
      <c r="G5124" s="232"/>
    </row>
    <row r="5125">
      <c r="A5125" s="2"/>
      <c r="B5125" s="168" t="s">
        <v>232</v>
      </c>
      <c r="C5125" s="168" t="s">
        <v>5372</v>
      </c>
      <c r="D5125" s="229">
        <v>31.5</v>
      </c>
      <c r="E5125" s="229">
        <v>35.0</v>
      </c>
      <c r="F5125" s="230">
        <v>3.0</v>
      </c>
      <c r="G5125" s="232"/>
    </row>
    <row r="5126">
      <c r="A5126" s="2"/>
      <c r="B5126" s="168" t="s">
        <v>255</v>
      </c>
      <c r="C5126" s="168" t="s">
        <v>5373</v>
      </c>
      <c r="D5126" s="229">
        <v>31.5</v>
      </c>
      <c r="E5126" s="229">
        <v>35.0</v>
      </c>
      <c r="F5126" s="230">
        <v>3.0</v>
      </c>
      <c r="G5126" s="232"/>
    </row>
    <row r="5127">
      <c r="A5127" s="2"/>
      <c r="B5127" s="168" t="s">
        <v>348</v>
      </c>
      <c r="C5127" s="168" t="s">
        <v>5374</v>
      </c>
      <c r="D5127" s="229">
        <v>24.5</v>
      </c>
      <c r="E5127" s="229">
        <v>28.0</v>
      </c>
      <c r="F5127" s="230">
        <v>3.0</v>
      </c>
      <c r="G5127" s="232"/>
    </row>
    <row r="5128">
      <c r="A5128" s="2"/>
      <c r="B5128" s="168" t="s">
        <v>290</v>
      </c>
      <c r="C5128" s="168" t="s">
        <v>5375</v>
      </c>
      <c r="D5128" s="229">
        <v>29.5</v>
      </c>
      <c r="E5128" s="229">
        <v>33.0</v>
      </c>
      <c r="F5128" s="230">
        <v>3.0</v>
      </c>
      <c r="G5128" s="232"/>
    </row>
    <row r="5129">
      <c r="A5129" s="2"/>
      <c r="B5129" s="168" t="s">
        <v>5376</v>
      </c>
      <c r="C5129" s="168" t="s">
        <v>5376</v>
      </c>
      <c r="D5129" s="229">
        <v>21.5</v>
      </c>
      <c r="E5129" s="229">
        <v>21.5</v>
      </c>
      <c r="F5129" s="230">
        <v>3.0</v>
      </c>
      <c r="G5129" s="232"/>
    </row>
    <row r="5130">
      <c r="A5130" s="2"/>
      <c r="B5130" s="168" t="s">
        <v>288</v>
      </c>
      <c r="C5130" s="168" t="s">
        <v>5377</v>
      </c>
      <c r="D5130" s="229">
        <v>21.5</v>
      </c>
      <c r="E5130" s="229">
        <v>25.0</v>
      </c>
      <c r="F5130" s="230">
        <v>3.0</v>
      </c>
      <c r="G5130" s="232"/>
    </row>
    <row r="5131">
      <c r="A5131" s="2"/>
      <c r="B5131" s="168" t="s">
        <v>215</v>
      </c>
      <c r="C5131" s="168" t="s">
        <v>5378</v>
      </c>
      <c r="D5131" s="229">
        <v>25.5</v>
      </c>
      <c r="E5131" s="229">
        <v>29.0</v>
      </c>
      <c r="F5131" s="230">
        <v>3.0</v>
      </c>
      <c r="G5131" s="232"/>
    </row>
    <row r="5132">
      <c r="A5132" s="2"/>
      <c r="B5132" s="168" t="s">
        <v>413</v>
      </c>
      <c r="C5132" s="168" t="s">
        <v>5379</v>
      </c>
      <c r="D5132" s="229">
        <v>29.5</v>
      </c>
      <c r="E5132" s="229">
        <v>33.0</v>
      </c>
      <c r="F5132" s="230">
        <v>3.0</v>
      </c>
      <c r="G5132" s="232"/>
    </row>
    <row r="5133">
      <c r="A5133" s="2"/>
      <c r="B5133" s="168" t="s">
        <v>230</v>
      </c>
      <c r="C5133" s="168" t="s">
        <v>5380</v>
      </c>
      <c r="D5133" s="229">
        <v>16.5</v>
      </c>
      <c r="E5133" s="229">
        <v>20.0</v>
      </c>
      <c r="F5133" s="230">
        <v>3.0</v>
      </c>
      <c r="G5133" s="232"/>
    </row>
    <row r="5134">
      <c r="A5134" s="2"/>
      <c r="B5134" s="168" t="s">
        <v>337</v>
      </c>
      <c r="C5134" s="168" t="s">
        <v>5381</v>
      </c>
      <c r="D5134" s="229">
        <v>28.0</v>
      </c>
      <c r="E5134" s="229">
        <v>31.5</v>
      </c>
      <c r="F5134" s="230">
        <v>3.0</v>
      </c>
      <c r="G5134" s="232"/>
    </row>
    <row r="5135">
      <c r="A5135" s="2"/>
      <c r="B5135" s="168" t="s">
        <v>348</v>
      </c>
      <c r="C5135" s="168" t="s">
        <v>5382</v>
      </c>
      <c r="D5135" s="229">
        <v>19.5</v>
      </c>
      <c r="E5135" s="229">
        <v>23.0</v>
      </c>
      <c r="F5135" s="230">
        <v>3.0</v>
      </c>
      <c r="G5135" s="232"/>
    </row>
    <row r="5136">
      <c r="A5136" s="2"/>
      <c r="B5136" s="168" t="s">
        <v>241</v>
      </c>
      <c r="C5136" s="168" t="s">
        <v>5383</v>
      </c>
      <c r="D5136" s="229">
        <v>32.5</v>
      </c>
      <c r="E5136" s="229">
        <v>36.0</v>
      </c>
      <c r="F5136" s="230">
        <v>3.0</v>
      </c>
      <c r="G5136" s="232"/>
    </row>
    <row r="5137">
      <c r="A5137" s="2"/>
      <c r="B5137" s="168" t="s">
        <v>290</v>
      </c>
      <c r="C5137" s="168" t="s">
        <v>5384</v>
      </c>
      <c r="D5137" s="229">
        <v>29.5</v>
      </c>
      <c r="E5137" s="229">
        <v>33.0</v>
      </c>
      <c r="F5137" s="230">
        <v>3.0</v>
      </c>
      <c r="G5137" s="232"/>
    </row>
    <row r="5138">
      <c r="A5138" s="2"/>
      <c r="B5138" s="168" t="s">
        <v>275</v>
      </c>
      <c r="C5138" s="168" t="s">
        <v>5385</v>
      </c>
      <c r="D5138" s="229">
        <v>26.5</v>
      </c>
      <c r="E5138" s="229">
        <v>30.0</v>
      </c>
      <c r="F5138" s="230">
        <v>3.0</v>
      </c>
      <c r="G5138" s="232"/>
    </row>
    <row r="5139">
      <c r="A5139" s="2"/>
      <c r="B5139" s="168" t="s">
        <v>296</v>
      </c>
      <c r="C5139" s="168" t="s">
        <v>5386</v>
      </c>
      <c r="D5139" s="229">
        <v>26.5</v>
      </c>
      <c r="E5139" s="229">
        <v>30.0</v>
      </c>
      <c r="F5139" s="230">
        <v>3.0</v>
      </c>
      <c r="G5139" s="232"/>
    </row>
    <row r="5140">
      <c r="A5140" s="2"/>
      <c r="B5140" s="168" t="s">
        <v>255</v>
      </c>
      <c r="C5140" s="168" t="s">
        <v>5387</v>
      </c>
      <c r="D5140" s="229">
        <v>31.5</v>
      </c>
      <c r="E5140" s="229">
        <v>35.0</v>
      </c>
      <c r="F5140" s="230">
        <v>3.0</v>
      </c>
      <c r="G5140" s="232"/>
    </row>
    <row r="5141">
      <c r="A5141" s="2"/>
      <c r="B5141" s="168" t="s">
        <v>215</v>
      </c>
      <c r="C5141" s="168" t="s">
        <v>5388</v>
      </c>
      <c r="D5141" s="229">
        <v>27.5</v>
      </c>
      <c r="E5141" s="229">
        <v>31.0</v>
      </c>
      <c r="F5141" s="230">
        <v>3.0</v>
      </c>
      <c r="G5141" s="232"/>
    </row>
    <row r="5142">
      <c r="A5142" s="2"/>
      <c r="B5142" s="168" t="s">
        <v>257</v>
      </c>
      <c r="C5142" s="168" t="s">
        <v>5389</v>
      </c>
      <c r="D5142" s="229">
        <v>28.5</v>
      </c>
      <c r="E5142" s="229">
        <v>32.0</v>
      </c>
      <c r="F5142" s="230">
        <v>3.0</v>
      </c>
      <c r="G5142" s="232"/>
    </row>
    <row r="5143">
      <c r="A5143" s="2"/>
      <c r="B5143" s="168" t="s">
        <v>245</v>
      </c>
      <c r="C5143" s="168" t="s">
        <v>5390</v>
      </c>
      <c r="D5143" s="229">
        <v>29.5</v>
      </c>
      <c r="E5143" s="229">
        <v>33.0</v>
      </c>
      <c r="F5143" s="230">
        <v>3.0</v>
      </c>
      <c r="G5143" s="232"/>
    </row>
    <row r="5144">
      <c r="A5144" s="2"/>
      <c r="B5144" s="168" t="s">
        <v>290</v>
      </c>
      <c r="C5144" s="168" t="s">
        <v>5391</v>
      </c>
      <c r="D5144" s="229">
        <v>29.5</v>
      </c>
      <c r="E5144" s="229">
        <v>33.0</v>
      </c>
      <c r="F5144" s="230">
        <v>3.0</v>
      </c>
      <c r="G5144" s="232"/>
    </row>
    <row r="5145">
      <c r="A5145" s="2"/>
      <c r="B5145" s="168" t="s">
        <v>318</v>
      </c>
      <c r="C5145" s="168" t="s">
        <v>5392</v>
      </c>
      <c r="D5145" s="229">
        <v>25.5</v>
      </c>
      <c r="E5145" s="229">
        <v>29.0</v>
      </c>
      <c r="F5145" s="230">
        <v>3.0</v>
      </c>
      <c r="G5145" s="232"/>
    </row>
    <row r="5146">
      <c r="A5146" s="2"/>
      <c r="B5146" s="168" t="s">
        <v>377</v>
      </c>
      <c r="C5146" s="168" t="s">
        <v>5393</v>
      </c>
      <c r="D5146" s="229">
        <v>29.5</v>
      </c>
      <c r="E5146" s="229">
        <v>33.0</v>
      </c>
      <c r="F5146" s="230">
        <v>3.0</v>
      </c>
      <c r="G5146" s="232"/>
    </row>
    <row r="5147">
      <c r="A5147" s="2"/>
      <c r="B5147" s="168" t="s">
        <v>245</v>
      </c>
      <c r="C5147" s="168" t="s">
        <v>5394</v>
      </c>
      <c r="D5147" s="229">
        <v>29.5</v>
      </c>
      <c r="E5147" s="229">
        <v>33.0</v>
      </c>
      <c r="F5147" s="230">
        <v>3.0</v>
      </c>
      <c r="G5147" s="232"/>
    </row>
    <row r="5148">
      <c r="A5148" s="2"/>
      <c r="B5148" s="168" t="s">
        <v>255</v>
      </c>
      <c r="C5148" s="168" t="s">
        <v>5395</v>
      </c>
      <c r="D5148" s="229">
        <v>31.5</v>
      </c>
      <c r="E5148" s="229">
        <v>35.0</v>
      </c>
      <c r="F5148" s="230">
        <v>3.0</v>
      </c>
      <c r="G5148" s="232"/>
    </row>
    <row r="5149">
      <c r="A5149" s="2"/>
      <c r="B5149" s="168" t="s">
        <v>255</v>
      </c>
      <c r="C5149" s="168" t="s">
        <v>5396</v>
      </c>
      <c r="D5149" s="229">
        <v>31.5</v>
      </c>
      <c r="E5149" s="229">
        <v>35.0</v>
      </c>
      <c r="F5149" s="230">
        <v>3.0</v>
      </c>
      <c r="G5149" s="232"/>
    </row>
    <row r="5150">
      <c r="A5150" s="2"/>
      <c r="B5150" s="168" t="s">
        <v>260</v>
      </c>
      <c r="C5150" s="168" t="s">
        <v>5397</v>
      </c>
      <c r="D5150" s="229">
        <v>28.5</v>
      </c>
      <c r="E5150" s="229">
        <v>32.0</v>
      </c>
      <c r="F5150" s="230">
        <v>3.0</v>
      </c>
      <c r="G5150" s="232"/>
    </row>
    <row r="5151">
      <c r="A5151" s="2"/>
      <c r="B5151" s="168" t="s">
        <v>230</v>
      </c>
      <c r="C5151" s="168" t="s">
        <v>5398</v>
      </c>
      <c r="D5151" s="229">
        <v>21.5</v>
      </c>
      <c r="E5151" s="229">
        <v>25.0</v>
      </c>
      <c r="F5151" s="230">
        <v>3.0</v>
      </c>
      <c r="G5151" s="232"/>
    </row>
    <row r="5152">
      <c r="A5152" s="2"/>
      <c r="B5152" s="168" t="s">
        <v>296</v>
      </c>
      <c r="C5152" s="168" t="s">
        <v>5399</v>
      </c>
      <c r="D5152" s="229">
        <v>26.5</v>
      </c>
      <c r="E5152" s="229">
        <v>30.0</v>
      </c>
      <c r="F5152" s="230">
        <v>3.0</v>
      </c>
      <c r="G5152" s="232"/>
    </row>
    <row r="5153">
      <c r="A5153" s="2"/>
      <c r="B5153" s="168" t="s">
        <v>217</v>
      </c>
      <c r="C5153" s="168" t="s">
        <v>5400</v>
      </c>
      <c r="D5153" s="229">
        <v>27.5</v>
      </c>
      <c r="E5153" s="229">
        <v>31.0</v>
      </c>
      <c r="F5153" s="230">
        <v>3.0</v>
      </c>
      <c r="G5153" s="232"/>
    </row>
    <row r="5154">
      <c r="A5154" s="2"/>
      <c r="B5154" s="168" t="s">
        <v>576</v>
      </c>
      <c r="C5154" s="168" t="s">
        <v>576</v>
      </c>
      <c r="D5154" s="229">
        <v>24.5</v>
      </c>
      <c r="E5154" s="229">
        <v>28.0</v>
      </c>
      <c r="F5154" s="230">
        <v>3.0</v>
      </c>
      <c r="G5154" s="232"/>
    </row>
    <row r="5155">
      <c r="A5155" s="2"/>
      <c r="B5155" s="168" t="s">
        <v>288</v>
      </c>
      <c r="C5155" s="168" t="s">
        <v>5401</v>
      </c>
      <c r="D5155" s="229">
        <v>21.5</v>
      </c>
      <c r="E5155" s="229">
        <v>25.0</v>
      </c>
      <c r="F5155" s="230">
        <v>3.0</v>
      </c>
      <c r="G5155" s="232"/>
    </row>
    <row r="5156">
      <c r="A5156" s="2"/>
      <c r="B5156" s="168" t="s">
        <v>230</v>
      </c>
      <c r="C5156" s="168" t="s">
        <v>5402</v>
      </c>
      <c r="D5156" s="229">
        <v>21.5</v>
      </c>
      <c r="E5156" s="229">
        <v>25.0</v>
      </c>
      <c r="F5156" s="230">
        <v>3.0</v>
      </c>
      <c r="G5156" s="232"/>
    </row>
    <row r="5157">
      <c r="A5157" s="2"/>
      <c r="B5157" s="168" t="s">
        <v>345</v>
      </c>
      <c r="C5157" s="168" t="s">
        <v>5403</v>
      </c>
      <c r="D5157" s="229">
        <v>26.5</v>
      </c>
      <c r="E5157" s="229">
        <v>30.0</v>
      </c>
      <c r="F5157" s="230">
        <v>3.0</v>
      </c>
      <c r="G5157" s="232"/>
    </row>
    <row r="5158">
      <c r="A5158" s="2"/>
      <c r="B5158" s="168" t="s">
        <v>1392</v>
      </c>
      <c r="C5158" s="168" t="s">
        <v>5404</v>
      </c>
      <c r="D5158" s="229">
        <v>26.5</v>
      </c>
      <c r="E5158" s="229">
        <v>30.0</v>
      </c>
      <c r="F5158" s="230">
        <v>3.0</v>
      </c>
      <c r="G5158" s="232"/>
    </row>
    <row r="5159">
      <c r="A5159" s="2"/>
      <c r="B5159" s="168" t="s">
        <v>215</v>
      </c>
      <c r="C5159" s="168" t="s">
        <v>5405</v>
      </c>
      <c r="D5159" s="229">
        <v>27.5</v>
      </c>
      <c r="E5159" s="229">
        <v>31.0</v>
      </c>
      <c r="F5159" s="230">
        <v>3.0</v>
      </c>
      <c r="G5159" s="232"/>
    </row>
    <row r="5160">
      <c r="A5160" s="2"/>
      <c r="B5160" s="168" t="s">
        <v>221</v>
      </c>
      <c r="C5160" s="168" t="s">
        <v>5406</v>
      </c>
      <c r="D5160" s="229">
        <v>27.0</v>
      </c>
      <c r="E5160" s="229">
        <v>30.5</v>
      </c>
      <c r="F5160" s="230">
        <v>3.0</v>
      </c>
      <c r="G5160" s="232"/>
    </row>
    <row r="5161">
      <c r="A5161" s="2"/>
      <c r="B5161" s="168" t="s">
        <v>217</v>
      </c>
      <c r="C5161" s="168" t="s">
        <v>5407</v>
      </c>
      <c r="D5161" s="229">
        <v>27.5</v>
      </c>
      <c r="E5161" s="229">
        <v>31.0</v>
      </c>
      <c r="F5161" s="230">
        <v>3.0</v>
      </c>
      <c r="G5161" s="232"/>
    </row>
    <row r="5162">
      <c r="A5162" s="2"/>
      <c r="B5162" s="168" t="s">
        <v>332</v>
      </c>
      <c r="C5162" s="168" t="s">
        <v>5408</v>
      </c>
      <c r="D5162" s="229">
        <v>28.5</v>
      </c>
      <c r="E5162" s="229">
        <v>32.0</v>
      </c>
      <c r="F5162" s="230">
        <v>3.0</v>
      </c>
      <c r="G5162" s="232"/>
    </row>
    <row r="5163">
      <c r="A5163" s="2"/>
      <c r="B5163" s="168" t="s">
        <v>464</v>
      </c>
      <c r="C5163" s="168" t="s">
        <v>5409</v>
      </c>
      <c r="D5163" s="229">
        <v>0.5</v>
      </c>
      <c r="E5163" s="229">
        <v>0.5</v>
      </c>
      <c r="F5163" s="230">
        <v>0.5</v>
      </c>
      <c r="G5163" s="232"/>
    </row>
    <row r="5164">
      <c r="A5164" s="2"/>
      <c r="B5164" s="168" t="s">
        <v>574</v>
      </c>
      <c r="C5164" s="168" t="s">
        <v>5410</v>
      </c>
      <c r="D5164" s="229">
        <v>34.5</v>
      </c>
      <c r="E5164" s="229">
        <v>38.0</v>
      </c>
      <c r="F5164" s="230">
        <v>3.0</v>
      </c>
      <c r="G5164" s="232"/>
    </row>
    <row r="5165">
      <c r="A5165" s="2"/>
      <c r="B5165" s="168" t="s">
        <v>234</v>
      </c>
      <c r="C5165" s="168" t="s">
        <v>5411</v>
      </c>
      <c r="D5165" s="229">
        <v>29.5</v>
      </c>
      <c r="E5165" s="229">
        <v>33.0</v>
      </c>
      <c r="F5165" s="230">
        <v>3.0</v>
      </c>
      <c r="G5165" s="232"/>
    </row>
    <row r="5166">
      <c r="A5166" s="2"/>
      <c r="B5166" s="168" t="s">
        <v>273</v>
      </c>
      <c r="C5166" s="168" t="s">
        <v>5412</v>
      </c>
      <c r="D5166" s="229">
        <v>29.5</v>
      </c>
      <c r="E5166" s="229">
        <v>33.0</v>
      </c>
      <c r="F5166" s="230">
        <v>3.0</v>
      </c>
      <c r="G5166" s="232"/>
    </row>
    <row r="5167">
      <c r="A5167" s="2"/>
      <c r="B5167" s="168" t="s">
        <v>269</v>
      </c>
      <c r="C5167" s="168" t="s">
        <v>5413</v>
      </c>
      <c r="D5167" s="229">
        <v>26.5</v>
      </c>
      <c r="E5167" s="229">
        <v>30.0</v>
      </c>
      <c r="F5167" s="230">
        <v>3.0</v>
      </c>
      <c r="G5167" s="232"/>
    </row>
    <row r="5168">
      <c r="A5168" s="2"/>
      <c r="B5168" s="168" t="s">
        <v>257</v>
      </c>
      <c r="C5168" s="168" t="s">
        <v>5414</v>
      </c>
      <c r="D5168" s="229">
        <v>28.5</v>
      </c>
      <c r="E5168" s="229">
        <v>32.0</v>
      </c>
      <c r="F5168" s="230">
        <v>3.0</v>
      </c>
      <c r="G5168" s="232"/>
    </row>
    <row r="5169">
      <c r="A5169" s="2"/>
      <c r="B5169" s="168" t="s">
        <v>217</v>
      </c>
      <c r="C5169" s="168" t="s">
        <v>5415</v>
      </c>
      <c r="D5169" s="229">
        <v>27.5</v>
      </c>
      <c r="E5169" s="229">
        <v>31.0</v>
      </c>
      <c r="F5169" s="230">
        <v>3.0</v>
      </c>
      <c r="G5169" s="232"/>
    </row>
    <row r="5170">
      <c r="A5170" s="2"/>
      <c r="B5170" s="168" t="s">
        <v>318</v>
      </c>
      <c r="C5170" s="168" t="s">
        <v>5416</v>
      </c>
      <c r="D5170" s="229">
        <v>25.5</v>
      </c>
      <c r="E5170" s="229">
        <v>29.0</v>
      </c>
      <c r="F5170" s="230">
        <v>3.0</v>
      </c>
      <c r="G5170" s="232"/>
    </row>
    <row r="5171">
      <c r="A5171" s="2"/>
      <c r="B5171" s="168" t="s">
        <v>255</v>
      </c>
      <c r="C5171" s="168" t="s">
        <v>5417</v>
      </c>
      <c r="D5171" s="229">
        <v>30.5</v>
      </c>
      <c r="E5171" s="229">
        <v>34.0</v>
      </c>
      <c r="F5171" s="230">
        <v>3.0</v>
      </c>
      <c r="G5171" s="232"/>
    </row>
    <row r="5172">
      <c r="A5172" s="2"/>
      <c r="B5172" s="168" t="s">
        <v>375</v>
      </c>
      <c r="C5172" s="168" t="s">
        <v>5418</v>
      </c>
      <c r="D5172" s="229">
        <v>21.5</v>
      </c>
      <c r="E5172" s="229">
        <v>25.0</v>
      </c>
      <c r="F5172" s="230">
        <v>3.0</v>
      </c>
      <c r="G5172" s="232"/>
    </row>
    <row r="5173">
      <c r="A5173" s="2"/>
      <c r="B5173" s="168" t="s">
        <v>232</v>
      </c>
      <c r="C5173" s="168" t="s">
        <v>5419</v>
      </c>
      <c r="D5173" s="229">
        <v>25.5</v>
      </c>
      <c r="E5173" s="229">
        <v>29.0</v>
      </c>
      <c r="F5173" s="230">
        <v>3.0</v>
      </c>
      <c r="G5173" s="232"/>
    </row>
    <row r="5174">
      <c r="A5174" s="2"/>
      <c r="B5174" s="168" t="s">
        <v>257</v>
      </c>
      <c r="C5174" s="168" t="s">
        <v>5420</v>
      </c>
      <c r="D5174" s="229">
        <v>28.5</v>
      </c>
      <c r="E5174" s="229">
        <v>32.0</v>
      </c>
      <c r="F5174" s="230">
        <v>3.0</v>
      </c>
      <c r="G5174" s="232"/>
    </row>
    <row r="5175">
      <c r="A5175" s="2"/>
      <c r="B5175" s="168" t="s">
        <v>269</v>
      </c>
      <c r="C5175" s="168" t="s">
        <v>5421</v>
      </c>
      <c r="D5175" s="229">
        <v>26.5</v>
      </c>
      <c r="E5175" s="229">
        <v>30.0</v>
      </c>
      <c r="F5175" s="230">
        <v>3.0</v>
      </c>
      <c r="G5175" s="232"/>
    </row>
    <row r="5176">
      <c r="A5176" s="2"/>
      <c r="B5176" s="168" t="s">
        <v>830</v>
      </c>
      <c r="C5176" s="168" t="s">
        <v>5422</v>
      </c>
      <c r="D5176" s="229">
        <v>24.5</v>
      </c>
      <c r="E5176" s="229">
        <v>28.0</v>
      </c>
      <c r="F5176" s="230">
        <v>3.0</v>
      </c>
      <c r="G5176" s="232"/>
    </row>
    <row r="5177">
      <c r="A5177" s="2"/>
      <c r="B5177" s="168" t="s">
        <v>290</v>
      </c>
      <c r="C5177" s="168" t="s">
        <v>5423</v>
      </c>
      <c r="D5177" s="229">
        <v>29.5</v>
      </c>
      <c r="E5177" s="229">
        <v>33.0</v>
      </c>
      <c r="F5177" s="230">
        <v>3.0</v>
      </c>
      <c r="G5177" s="232"/>
    </row>
    <row r="5178">
      <c r="A5178" s="2"/>
      <c r="B5178" s="168" t="s">
        <v>535</v>
      </c>
      <c r="C5178" s="168" t="s">
        <v>5424</v>
      </c>
      <c r="D5178" s="229">
        <v>26.5</v>
      </c>
      <c r="E5178" s="229">
        <v>30.0</v>
      </c>
      <c r="F5178" s="230">
        <v>3.0</v>
      </c>
      <c r="G5178" s="232"/>
    </row>
    <row r="5179">
      <c r="A5179" s="2"/>
      <c r="B5179" s="168" t="s">
        <v>241</v>
      </c>
      <c r="C5179" s="168" t="s">
        <v>5425</v>
      </c>
      <c r="D5179" s="229">
        <v>32.5</v>
      </c>
      <c r="E5179" s="229">
        <v>36.0</v>
      </c>
      <c r="F5179" s="230">
        <v>3.0</v>
      </c>
      <c r="G5179" s="232"/>
    </row>
    <row r="5180">
      <c r="A5180" s="2"/>
      <c r="B5180" s="168" t="s">
        <v>290</v>
      </c>
      <c r="C5180" s="168" t="s">
        <v>5426</v>
      </c>
      <c r="D5180" s="229">
        <v>29.5</v>
      </c>
      <c r="E5180" s="229">
        <v>33.0</v>
      </c>
      <c r="F5180" s="230">
        <v>3.0</v>
      </c>
      <c r="G5180" s="232"/>
    </row>
    <row r="5181">
      <c r="A5181" s="2"/>
      <c r="B5181" s="168" t="s">
        <v>223</v>
      </c>
      <c r="C5181" s="168" t="s">
        <v>5427</v>
      </c>
      <c r="D5181" s="229">
        <v>26.5</v>
      </c>
      <c r="E5181" s="229">
        <v>30.0</v>
      </c>
      <c r="F5181" s="230">
        <v>3.0</v>
      </c>
      <c r="G5181" s="232"/>
    </row>
    <row r="5182">
      <c r="A5182" s="2"/>
      <c r="B5182" s="168" t="s">
        <v>217</v>
      </c>
      <c r="C5182" s="168" t="s">
        <v>5428</v>
      </c>
      <c r="D5182" s="229">
        <v>27.5</v>
      </c>
      <c r="E5182" s="229">
        <v>31.0</v>
      </c>
      <c r="F5182" s="230">
        <v>3.0</v>
      </c>
      <c r="G5182" s="232"/>
    </row>
    <row r="5183">
      <c r="A5183" s="2"/>
      <c r="B5183" s="168" t="s">
        <v>257</v>
      </c>
      <c r="C5183" s="168" t="s">
        <v>5429</v>
      </c>
      <c r="D5183" s="229">
        <v>28.5</v>
      </c>
      <c r="E5183" s="229">
        <v>32.0</v>
      </c>
      <c r="F5183" s="230">
        <v>3.0</v>
      </c>
      <c r="G5183" s="232"/>
    </row>
    <row r="5184">
      <c r="A5184" s="2"/>
      <c r="B5184" s="168" t="s">
        <v>269</v>
      </c>
      <c r="C5184" s="168" t="s">
        <v>5430</v>
      </c>
      <c r="D5184" s="229">
        <v>26.5</v>
      </c>
      <c r="E5184" s="229">
        <v>30.0</v>
      </c>
      <c r="F5184" s="230">
        <v>3.0</v>
      </c>
      <c r="G5184" s="232"/>
    </row>
    <row r="5185">
      <c r="A5185" s="2"/>
      <c r="B5185" s="168" t="s">
        <v>937</v>
      </c>
      <c r="C5185" s="168" t="s">
        <v>5431</v>
      </c>
      <c r="D5185" s="229">
        <v>21.5</v>
      </c>
      <c r="E5185" s="229">
        <v>25.0</v>
      </c>
      <c r="F5185" s="230">
        <v>3.0</v>
      </c>
      <c r="G5185" s="232"/>
    </row>
    <row r="5186">
      <c r="A5186" s="2"/>
      <c r="B5186" s="168" t="s">
        <v>288</v>
      </c>
      <c r="C5186" s="168" t="s">
        <v>5432</v>
      </c>
      <c r="D5186" s="229">
        <v>16.5</v>
      </c>
      <c r="E5186" s="229">
        <v>20.0</v>
      </c>
      <c r="F5186" s="230">
        <v>3.0</v>
      </c>
      <c r="G5186" s="232"/>
    </row>
    <row r="5187">
      <c r="A5187" s="2"/>
      <c r="B5187" s="168" t="s">
        <v>296</v>
      </c>
      <c r="C5187" s="168" t="s">
        <v>5433</v>
      </c>
      <c r="D5187" s="229">
        <v>26.5</v>
      </c>
      <c r="E5187" s="229">
        <v>30.0</v>
      </c>
      <c r="F5187" s="230">
        <v>3.0</v>
      </c>
      <c r="G5187" s="232"/>
    </row>
    <row r="5188">
      <c r="A5188" s="2"/>
      <c r="B5188" s="168" t="s">
        <v>232</v>
      </c>
      <c r="C5188" s="168" t="s">
        <v>5434</v>
      </c>
      <c r="D5188" s="229">
        <v>31.5</v>
      </c>
      <c r="E5188" s="229">
        <v>35.0</v>
      </c>
      <c r="F5188" s="230">
        <v>3.0</v>
      </c>
      <c r="G5188" s="232"/>
    </row>
    <row r="5189">
      <c r="A5189" s="2"/>
      <c r="B5189" s="168" t="s">
        <v>288</v>
      </c>
      <c r="C5189" s="168" t="s">
        <v>5435</v>
      </c>
      <c r="D5189" s="229">
        <v>21.5</v>
      </c>
      <c r="E5189" s="229">
        <v>25.0</v>
      </c>
      <c r="F5189" s="230">
        <v>3.0</v>
      </c>
      <c r="G5189" s="232"/>
    </row>
    <row r="5190">
      <c r="A5190" s="2"/>
      <c r="B5190" s="168" t="s">
        <v>230</v>
      </c>
      <c r="C5190" s="168" t="s">
        <v>5436</v>
      </c>
      <c r="D5190" s="229">
        <v>16.5</v>
      </c>
      <c r="E5190" s="229">
        <v>20.0</v>
      </c>
      <c r="F5190" s="230">
        <v>3.0</v>
      </c>
      <c r="G5190" s="232"/>
    </row>
    <row r="5191">
      <c r="A5191" s="2"/>
      <c r="B5191" s="168" t="s">
        <v>1432</v>
      </c>
      <c r="C5191" s="168" t="s">
        <v>5437</v>
      </c>
      <c r="D5191" s="229">
        <v>26.5</v>
      </c>
      <c r="E5191" s="229">
        <v>30.0</v>
      </c>
      <c r="F5191" s="230">
        <v>3.0</v>
      </c>
      <c r="G5191" s="232"/>
    </row>
    <row r="5192">
      <c r="A5192" s="2"/>
      <c r="B5192" s="168" t="s">
        <v>223</v>
      </c>
      <c r="C5192" s="168" t="s">
        <v>5438</v>
      </c>
      <c r="D5192" s="229">
        <v>26.5</v>
      </c>
      <c r="E5192" s="229">
        <v>30.0</v>
      </c>
      <c r="F5192" s="230">
        <v>3.0</v>
      </c>
      <c r="G5192" s="232"/>
    </row>
    <row r="5193">
      <c r="A5193" s="2"/>
      <c r="B5193" s="168" t="s">
        <v>427</v>
      </c>
      <c r="C5193" s="168" t="s">
        <v>5439</v>
      </c>
      <c r="D5193" s="229">
        <v>26.5</v>
      </c>
      <c r="E5193" s="229">
        <v>30.0</v>
      </c>
      <c r="F5193" s="230">
        <v>3.0</v>
      </c>
      <c r="G5193" s="232"/>
    </row>
    <row r="5194">
      <c r="A5194" s="2"/>
      <c r="B5194" s="168" t="s">
        <v>255</v>
      </c>
      <c r="C5194" s="168" t="s">
        <v>5440</v>
      </c>
      <c r="D5194" s="229">
        <v>31.5</v>
      </c>
      <c r="E5194" s="229">
        <v>35.0</v>
      </c>
      <c r="F5194" s="230">
        <v>3.0</v>
      </c>
      <c r="G5194" s="232"/>
    </row>
    <row r="5195">
      <c r="A5195" s="2"/>
      <c r="B5195" s="168" t="s">
        <v>345</v>
      </c>
      <c r="C5195" s="168" t="s">
        <v>5441</v>
      </c>
      <c r="D5195" s="229">
        <v>26.5</v>
      </c>
      <c r="E5195" s="229">
        <v>30.0</v>
      </c>
      <c r="F5195" s="230">
        <v>3.0</v>
      </c>
      <c r="G5195" s="232"/>
    </row>
    <row r="5196">
      <c r="A5196" s="2"/>
      <c r="B5196" s="168" t="s">
        <v>332</v>
      </c>
      <c r="C5196" s="168" t="s">
        <v>5442</v>
      </c>
      <c r="D5196" s="229">
        <v>3.0</v>
      </c>
      <c r="E5196" s="229">
        <v>3.0</v>
      </c>
      <c r="F5196" s="230">
        <v>3.0</v>
      </c>
      <c r="G5196" s="232"/>
    </row>
    <row r="5197">
      <c r="A5197" s="2"/>
      <c r="B5197" s="168" t="s">
        <v>565</v>
      </c>
      <c r="C5197" s="168" t="s">
        <v>5443</v>
      </c>
      <c r="D5197" s="229">
        <v>24.5</v>
      </c>
      <c r="E5197" s="229">
        <v>28.0</v>
      </c>
      <c r="F5197" s="230">
        <v>3.0</v>
      </c>
      <c r="G5197" s="232"/>
    </row>
    <row r="5198">
      <c r="A5198" s="2"/>
      <c r="B5198" s="168" t="s">
        <v>255</v>
      </c>
      <c r="C5198" s="168" t="s">
        <v>5444</v>
      </c>
      <c r="D5198" s="229">
        <v>30.5</v>
      </c>
      <c r="E5198" s="229">
        <v>34.0</v>
      </c>
      <c r="F5198" s="230">
        <v>3.0</v>
      </c>
      <c r="G5198" s="232"/>
    </row>
    <row r="5199">
      <c r="A5199" s="2"/>
      <c r="B5199" s="168" t="s">
        <v>290</v>
      </c>
      <c r="C5199" s="168" t="s">
        <v>5445</v>
      </c>
      <c r="D5199" s="229">
        <v>29.5</v>
      </c>
      <c r="E5199" s="229">
        <v>33.0</v>
      </c>
      <c r="F5199" s="230">
        <v>3.0</v>
      </c>
      <c r="G5199" s="232"/>
    </row>
    <row r="5200">
      <c r="A5200" s="2"/>
      <c r="B5200" s="168" t="s">
        <v>269</v>
      </c>
      <c r="C5200" s="168" t="s">
        <v>5446</v>
      </c>
      <c r="D5200" s="229">
        <v>26.5</v>
      </c>
      <c r="E5200" s="229">
        <v>30.0</v>
      </c>
      <c r="F5200" s="230">
        <v>3.0</v>
      </c>
      <c r="G5200" s="232"/>
    </row>
    <row r="5201">
      <c r="A5201" s="2"/>
      <c r="B5201" s="168" t="s">
        <v>223</v>
      </c>
      <c r="C5201" s="168" t="s">
        <v>5447</v>
      </c>
      <c r="D5201" s="229">
        <v>26.5</v>
      </c>
      <c r="E5201" s="229">
        <v>30.0</v>
      </c>
      <c r="F5201" s="230">
        <v>3.0</v>
      </c>
      <c r="G5201" s="232"/>
    </row>
    <row r="5202">
      <c r="A5202" s="2"/>
      <c r="B5202" s="168" t="s">
        <v>296</v>
      </c>
      <c r="C5202" s="168" t="s">
        <v>5448</v>
      </c>
      <c r="D5202" s="229">
        <v>26.5</v>
      </c>
      <c r="E5202" s="229">
        <v>30.0</v>
      </c>
      <c r="F5202" s="230">
        <v>3.0</v>
      </c>
      <c r="G5202" s="232"/>
    </row>
    <row r="5203">
      <c r="A5203" s="2"/>
      <c r="B5203" s="168" t="s">
        <v>318</v>
      </c>
      <c r="C5203" s="168" t="s">
        <v>5449</v>
      </c>
      <c r="D5203" s="229">
        <v>25.5</v>
      </c>
      <c r="E5203" s="229">
        <v>29.0</v>
      </c>
      <c r="F5203" s="230">
        <v>3.0</v>
      </c>
      <c r="G5203" s="232"/>
    </row>
    <row r="5204">
      <c r="A5204" s="2"/>
      <c r="B5204" s="168" t="s">
        <v>377</v>
      </c>
      <c r="C5204" s="168" t="s">
        <v>5450</v>
      </c>
      <c r="D5204" s="229">
        <v>29.5</v>
      </c>
      <c r="E5204" s="229">
        <v>33.0</v>
      </c>
      <c r="F5204" s="230">
        <v>3.0</v>
      </c>
      <c r="G5204" s="232"/>
    </row>
    <row r="5205">
      <c r="A5205" s="2"/>
      <c r="B5205" s="168" t="s">
        <v>592</v>
      </c>
      <c r="C5205" s="168" t="s">
        <v>5451</v>
      </c>
      <c r="D5205" s="229">
        <v>34.5</v>
      </c>
      <c r="E5205" s="229">
        <v>38.0</v>
      </c>
      <c r="F5205" s="230">
        <v>3.0</v>
      </c>
      <c r="G5205" s="232"/>
    </row>
    <row r="5206">
      <c r="A5206" s="2"/>
      <c r="B5206" s="168" t="s">
        <v>217</v>
      </c>
      <c r="C5206" s="168" t="s">
        <v>5452</v>
      </c>
      <c r="D5206" s="229">
        <v>27.5</v>
      </c>
      <c r="E5206" s="229">
        <v>31.0</v>
      </c>
      <c r="F5206" s="230">
        <v>3.0</v>
      </c>
      <c r="G5206" s="232"/>
    </row>
    <row r="5207">
      <c r="A5207" s="2"/>
      <c r="B5207" s="168" t="s">
        <v>404</v>
      </c>
      <c r="C5207" s="168" t="s">
        <v>404</v>
      </c>
      <c r="D5207" s="229">
        <v>29.5</v>
      </c>
      <c r="E5207" s="229">
        <v>33.0</v>
      </c>
      <c r="F5207" s="230">
        <v>3.0</v>
      </c>
      <c r="G5207" s="232"/>
    </row>
    <row r="5208">
      <c r="A5208" s="2"/>
      <c r="B5208" s="168" t="s">
        <v>266</v>
      </c>
      <c r="C5208" s="168" t="s">
        <v>5453</v>
      </c>
      <c r="D5208" s="229">
        <v>33.0</v>
      </c>
      <c r="E5208" s="229">
        <v>33.0</v>
      </c>
      <c r="F5208" s="230">
        <v>3.0</v>
      </c>
      <c r="G5208" s="232"/>
    </row>
    <row r="5209">
      <c r="A5209" s="2"/>
      <c r="B5209" s="168" t="s">
        <v>296</v>
      </c>
      <c r="C5209" s="168" t="s">
        <v>5454</v>
      </c>
      <c r="D5209" s="229">
        <v>26.5</v>
      </c>
      <c r="E5209" s="229">
        <v>30.0</v>
      </c>
      <c r="F5209" s="230">
        <v>3.0</v>
      </c>
      <c r="G5209" s="232"/>
    </row>
    <row r="5210">
      <c r="A5210" s="2"/>
      <c r="B5210" s="168" t="s">
        <v>368</v>
      </c>
      <c r="C5210" s="168" t="s">
        <v>5455</v>
      </c>
      <c r="D5210" s="229">
        <v>32.5</v>
      </c>
      <c r="E5210" s="229">
        <v>36.0</v>
      </c>
      <c r="F5210" s="230">
        <v>3.0</v>
      </c>
      <c r="G5210" s="232"/>
    </row>
    <row r="5211">
      <c r="A5211" s="2"/>
      <c r="B5211" s="168" t="s">
        <v>241</v>
      </c>
      <c r="C5211" s="168" t="s">
        <v>5456</v>
      </c>
      <c r="D5211" s="229">
        <v>32.5</v>
      </c>
      <c r="E5211" s="229">
        <v>36.0</v>
      </c>
      <c r="F5211" s="230">
        <v>3.0</v>
      </c>
      <c r="G5211" s="232"/>
    </row>
    <row r="5212">
      <c r="A5212" s="2"/>
      <c r="B5212" s="168" t="s">
        <v>269</v>
      </c>
      <c r="C5212" s="168" t="s">
        <v>5457</v>
      </c>
      <c r="D5212" s="229">
        <v>26.0</v>
      </c>
      <c r="E5212" s="229">
        <v>29.5</v>
      </c>
      <c r="F5212" s="230">
        <v>3.0</v>
      </c>
      <c r="G5212" s="232"/>
    </row>
    <row r="5213">
      <c r="A5213" s="2"/>
      <c r="B5213" s="168" t="s">
        <v>345</v>
      </c>
      <c r="C5213" s="168" t="s">
        <v>5458</v>
      </c>
      <c r="D5213" s="229">
        <v>26.5</v>
      </c>
      <c r="E5213" s="229">
        <v>30.0</v>
      </c>
      <c r="F5213" s="230">
        <v>3.0</v>
      </c>
      <c r="G5213" s="232"/>
    </row>
    <row r="5214">
      <c r="A5214" s="2"/>
      <c r="B5214" s="168" t="s">
        <v>381</v>
      </c>
      <c r="C5214" s="168" t="s">
        <v>5459</v>
      </c>
      <c r="D5214" s="229">
        <v>28.5</v>
      </c>
      <c r="E5214" s="229">
        <v>32.0</v>
      </c>
      <c r="F5214" s="230">
        <v>3.0</v>
      </c>
      <c r="G5214" s="232"/>
    </row>
    <row r="5215">
      <c r="A5215" s="2"/>
      <c r="B5215" s="168" t="s">
        <v>247</v>
      </c>
      <c r="C5215" s="168" t="s">
        <v>5460</v>
      </c>
      <c r="D5215" s="229">
        <v>29.5</v>
      </c>
      <c r="E5215" s="229">
        <v>33.0</v>
      </c>
      <c r="F5215" s="230">
        <v>3.0</v>
      </c>
      <c r="G5215" s="232"/>
    </row>
    <row r="5216">
      <c r="A5216" s="2"/>
      <c r="B5216" s="168" t="s">
        <v>241</v>
      </c>
      <c r="C5216" s="168" t="s">
        <v>5461</v>
      </c>
      <c r="D5216" s="229">
        <v>32.5</v>
      </c>
      <c r="E5216" s="229">
        <v>36.0</v>
      </c>
      <c r="F5216" s="230">
        <v>3.0</v>
      </c>
      <c r="G5216" s="232"/>
    </row>
    <row r="5217">
      <c r="A5217" s="2"/>
      <c r="B5217" s="168" t="s">
        <v>269</v>
      </c>
      <c r="C5217" s="168" t="s">
        <v>5462</v>
      </c>
      <c r="D5217" s="229">
        <v>26.5</v>
      </c>
      <c r="E5217" s="229">
        <v>30.0</v>
      </c>
      <c r="F5217" s="230">
        <v>3.0</v>
      </c>
      <c r="G5217" s="232"/>
    </row>
    <row r="5218">
      <c r="A5218" s="2"/>
      <c r="B5218" s="168" t="s">
        <v>285</v>
      </c>
      <c r="C5218" s="168" t="s">
        <v>5463</v>
      </c>
      <c r="D5218" s="229">
        <v>24.5</v>
      </c>
      <c r="E5218" s="229">
        <v>28.0</v>
      </c>
      <c r="F5218" s="230">
        <v>3.0</v>
      </c>
      <c r="G5218" s="232"/>
    </row>
    <row r="5219">
      <c r="A5219" s="2"/>
      <c r="B5219" s="168" t="s">
        <v>406</v>
      </c>
      <c r="C5219" s="168" t="s">
        <v>5464</v>
      </c>
      <c r="D5219" s="229">
        <v>27.5</v>
      </c>
      <c r="E5219" s="229">
        <v>31.0</v>
      </c>
      <c r="F5219" s="230">
        <v>3.0</v>
      </c>
      <c r="G5219" s="232"/>
    </row>
    <row r="5220">
      <c r="A5220" s="2"/>
      <c r="B5220" s="168" t="s">
        <v>221</v>
      </c>
      <c r="C5220" s="168" t="s">
        <v>5465</v>
      </c>
      <c r="D5220" s="229">
        <v>27.5</v>
      </c>
      <c r="E5220" s="229">
        <v>31.0</v>
      </c>
      <c r="F5220" s="230">
        <v>3.0</v>
      </c>
      <c r="G5220" s="232"/>
    </row>
    <row r="5221">
      <c r="A5221" s="2"/>
      <c r="B5221" s="168" t="s">
        <v>296</v>
      </c>
      <c r="C5221" s="168" t="s">
        <v>5466</v>
      </c>
      <c r="D5221" s="229">
        <v>26.5</v>
      </c>
      <c r="E5221" s="229">
        <v>30.0</v>
      </c>
      <c r="F5221" s="230">
        <v>3.0</v>
      </c>
      <c r="G5221" s="232"/>
    </row>
    <row r="5222">
      <c r="A5222" s="2"/>
      <c r="B5222" s="168" t="s">
        <v>219</v>
      </c>
      <c r="C5222" s="168" t="s">
        <v>5467</v>
      </c>
      <c r="D5222" s="229">
        <v>28.5</v>
      </c>
      <c r="E5222" s="229">
        <v>32.0</v>
      </c>
      <c r="F5222" s="230">
        <v>3.0</v>
      </c>
      <c r="G5222" s="232"/>
    </row>
    <row r="5223">
      <c r="A5223" s="2"/>
      <c r="B5223" s="168" t="s">
        <v>341</v>
      </c>
      <c r="C5223" s="168" t="s">
        <v>5468</v>
      </c>
      <c r="D5223" s="229">
        <v>29.5</v>
      </c>
      <c r="E5223" s="229">
        <v>29.5</v>
      </c>
      <c r="F5223" s="230">
        <v>3.0</v>
      </c>
      <c r="G5223" s="232"/>
    </row>
    <row r="5224">
      <c r="A5224" s="2"/>
      <c r="B5224" s="168" t="s">
        <v>427</v>
      </c>
      <c r="C5224" s="168" t="s">
        <v>5469</v>
      </c>
      <c r="D5224" s="229">
        <v>26.5</v>
      </c>
      <c r="E5224" s="229">
        <v>30.0</v>
      </c>
      <c r="F5224" s="230">
        <v>3.0</v>
      </c>
      <c r="G5224" s="232"/>
    </row>
    <row r="5225">
      <c r="A5225" s="2"/>
      <c r="B5225" s="168" t="s">
        <v>332</v>
      </c>
      <c r="C5225" s="168" t="s">
        <v>5470</v>
      </c>
      <c r="D5225" s="229">
        <v>23.5</v>
      </c>
      <c r="E5225" s="229">
        <v>27.0</v>
      </c>
      <c r="F5225" s="230">
        <v>3.0</v>
      </c>
      <c r="G5225" s="232"/>
    </row>
    <row r="5226">
      <c r="A5226" s="2"/>
      <c r="B5226" s="168" t="s">
        <v>290</v>
      </c>
      <c r="C5226" s="168" t="s">
        <v>5471</v>
      </c>
      <c r="D5226" s="229">
        <v>24.5</v>
      </c>
      <c r="E5226" s="229">
        <v>28.0</v>
      </c>
      <c r="F5226" s="230">
        <v>3.0</v>
      </c>
      <c r="G5226" s="232"/>
    </row>
    <row r="5227">
      <c r="A5227" s="2"/>
      <c r="B5227" s="168" t="s">
        <v>592</v>
      </c>
      <c r="C5227" s="168" t="s">
        <v>5472</v>
      </c>
      <c r="D5227" s="229">
        <v>34.5</v>
      </c>
      <c r="E5227" s="229">
        <v>38.0</v>
      </c>
      <c r="F5227" s="230">
        <v>3.0</v>
      </c>
      <c r="G5227" s="232"/>
    </row>
    <row r="5228">
      <c r="A5228" s="2"/>
      <c r="B5228" s="168" t="s">
        <v>269</v>
      </c>
      <c r="C5228" s="168" t="s">
        <v>5473</v>
      </c>
      <c r="D5228" s="229">
        <v>26.5</v>
      </c>
      <c r="E5228" s="229">
        <v>30.0</v>
      </c>
      <c r="F5228" s="230">
        <v>3.0</v>
      </c>
      <c r="G5228" s="232"/>
    </row>
    <row r="5229">
      <c r="A5229" s="2"/>
      <c r="B5229" s="168" t="s">
        <v>217</v>
      </c>
      <c r="C5229" s="168" t="s">
        <v>5474</v>
      </c>
      <c r="D5229" s="229">
        <v>27.5</v>
      </c>
      <c r="E5229" s="229">
        <v>31.0</v>
      </c>
      <c r="F5229" s="230">
        <v>3.0</v>
      </c>
      <c r="G5229" s="232"/>
    </row>
    <row r="5230">
      <c r="A5230" s="2"/>
      <c r="B5230" s="168" t="s">
        <v>232</v>
      </c>
      <c r="C5230" s="168" t="s">
        <v>5475</v>
      </c>
      <c r="D5230" s="229">
        <v>27.5</v>
      </c>
      <c r="E5230" s="229">
        <v>31.0</v>
      </c>
      <c r="F5230" s="230">
        <v>3.0</v>
      </c>
      <c r="G5230" s="232"/>
    </row>
    <row r="5231">
      <c r="A5231" s="2"/>
      <c r="B5231" s="168" t="s">
        <v>215</v>
      </c>
      <c r="C5231" s="168" t="s">
        <v>5476</v>
      </c>
      <c r="D5231" s="229">
        <v>29.5</v>
      </c>
      <c r="E5231" s="229">
        <v>33.0</v>
      </c>
      <c r="F5231" s="230">
        <v>3.0</v>
      </c>
      <c r="G5231" s="232"/>
    </row>
    <row r="5232">
      <c r="A5232" s="2"/>
      <c r="B5232" s="168" t="s">
        <v>290</v>
      </c>
      <c r="C5232" s="168" t="s">
        <v>5477</v>
      </c>
      <c r="D5232" s="229">
        <v>29.5</v>
      </c>
      <c r="E5232" s="229">
        <v>33.0</v>
      </c>
      <c r="F5232" s="230">
        <v>3.0</v>
      </c>
      <c r="G5232" s="232"/>
    </row>
    <row r="5233">
      <c r="A5233" s="2"/>
      <c r="B5233" s="168" t="s">
        <v>223</v>
      </c>
      <c r="C5233" s="168" t="s">
        <v>5478</v>
      </c>
      <c r="D5233" s="229">
        <v>26.5</v>
      </c>
      <c r="E5233" s="229">
        <v>30.0</v>
      </c>
      <c r="F5233" s="230">
        <v>3.0</v>
      </c>
      <c r="G5233" s="232"/>
    </row>
    <row r="5234">
      <c r="A5234" s="2"/>
      <c r="B5234" s="168" t="s">
        <v>348</v>
      </c>
      <c r="C5234" s="168" t="s">
        <v>5479</v>
      </c>
      <c r="D5234" s="229">
        <v>19.5</v>
      </c>
      <c r="E5234" s="229">
        <v>23.0</v>
      </c>
      <c r="F5234" s="230">
        <v>3.0</v>
      </c>
      <c r="G5234" s="232"/>
    </row>
    <row r="5235">
      <c r="A5235" s="2"/>
      <c r="B5235" s="168" t="s">
        <v>296</v>
      </c>
      <c r="C5235" s="168" t="s">
        <v>5480</v>
      </c>
      <c r="D5235" s="229">
        <v>26.5</v>
      </c>
      <c r="E5235" s="229">
        <v>30.0</v>
      </c>
      <c r="F5235" s="230">
        <v>3.0</v>
      </c>
      <c r="G5235" s="232"/>
    </row>
    <row r="5236">
      <c r="A5236" s="2"/>
      <c r="B5236" s="168" t="s">
        <v>345</v>
      </c>
      <c r="C5236" s="168" t="s">
        <v>5481</v>
      </c>
      <c r="D5236" s="229">
        <v>26.5</v>
      </c>
      <c r="E5236" s="229">
        <v>30.0</v>
      </c>
      <c r="F5236" s="230">
        <v>3.0</v>
      </c>
      <c r="G5236" s="232"/>
    </row>
    <row r="5237">
      <c r="A5237" s="2"/>
      <c r="B5237" s="168" t="s">
        <v>230</v>
      </c>
      <c r="C5237" s="168" t="s">
        <v>5482</v>
      </c>
      <c r="D5237" s="229">
        <v>16.5</v>
      </c>
      <c r="E5237" s="229">
        <v>20.0</v>
      </c>
      <c r="F5237" s="230">
        <v>3.0</v>
      </c>
      <c r="G5237" s="232"/>
    </row>
    <row r="5238">
      <c r="A5238" s="2"/>
      <c r="B5238" s="168" t="s">
        <v>430</v>
      </c>
      <c r="C5238" s="168" t="s">
        <v>5483</v>
      </c>
      <c r="D5238" s="229">
        <v>34.5</v>
      </c>
      <c r="E5238" s="229">
        <v>38.0</v>
      </c>
      <c r="F5238" s="230">
        <v>3.0</v>
      </c>
      <c r="G5238" s="232"/>
    </row>
    <row r="5239">
      <c r="A5239" s="2"/>
      <c r="B5239" s="168" t="s">
        <v>318</v>
      </c>
      <c r="C5239" s="168" t="s">
        <v>5484</v>
      </c>
      <c r="D5239" s="229">
        <v>25.5</v>
      </c>
      <c r="E5239" s="229">
        <v>29.0</v>
      </c>
      <c r="F5239" s="230">
        <v>3.0</v>
      </c>
      <c r="G5239" s="232"/>
    </row>
    <row r="5240">
      <c r="A5240" s="2"/>
      <c r="B5240" s="168" t="s">
        <v>937</v>
      </c>
      <c r="C5240" s="168" t="s">
        <v>5485</v>
      </c>
      <c r="D5240" s="229">
        <v>21.5</v>
      </c>
      <c r="E5240" s="229">
        <v>25.0</v>
      </c>
      <c r="F5240" s="230">
        <v>3.0</v>
      </c>
      <c r="G5240" s="232"/>
    </row>
    <row r="5241">
      <c r="A5241" s="2"/>
      <c r="B5241" s="168" t="s">
        <v>257</v>
      </c>
      <c r="C5241" s="168" t="s">
        <v>5486</v>
      </c>
      <c r="D5241" s="229">
        <v>28.5</v>
      </c>
      <c r="E5241" s="229">
        <v>32.0</v>
      </c>
      <c r="F5241" s="230">
        <v>3.0</v>
      </c>
      <c r="G5241" s="232"/>
    </row>
    <row r="5242">
      <c r="A5242" s="2"/>
      <c r="B5242" s="168" t="s">
        <v>232</v>
      </c>
      <c r="C5242" s="168" t="s">
        <v>5487</v>
      </c>
      <c r="D5242" s="229">
        <v>31.5</v>
      </c>
      <c r="E5242" s="229">
        <v>35.0</v>
      </c>
      <c r="F5242" s="230">
        <v>3.0</v>
      </c>
      <c r="G5242" s="232"/>
    </row>
    <row r="5243">
      <c r="A5243" s="2"/>
      <c r="B5243" s="168" t="s">
        <v>811</v>
      </c>
      <c r="C5243" s="168" t="s">
        <v>5488</v>
      </c>
      <c r="D5243" s="229">
        <v>29.5</v>
      </c>
      <c r="E5243" s="229">
        <v>33.0</v>
      </c>
      <c r="F5243" s="230">
        <v>3.0</v>
      </c>
      <c r="G5243" s="232"/>
    </row>
    <row r="5244">
      <c r="A5244" s="2"/>
      <c r="B5244" s="168" t="s">
        <v>375</v>
      </c>
      <c r="C5244" s="168" t="s">
        <v>5489</v>
      </c>
      <c r="D5244" s="229">
        <v>26.5</v>
      </c>
      <c r="E5244" s="229">
        <v>30.0</v>
      </c>
      <c r="F5244" s="230">
        <v>3.0</v>
      </c>
      <c r="G5244" s="232"/>
    </row>
    <row r="5245">
      <c r="A5245" s="2"/>
      <c r="B5245" s="168" t="s">
        <v>241</v>
      </c>
      <c r="C5245" s="168" t="s">
        <v>5490</v>
      </c>
      <c r="D5245" s="229">
        <v>32.5</v>
      </c>
      <c r="E5245" s="229">
        <v>36.0</v>
      </c>
      <c r="F5245" s="230">
        <v>3.0</v>
      </c>
      <c r="G5245" s="232"/>
    </row>
    <row r="5246">
      <c r="A5246" s="2"/>
      <c r="B5246" s="168" t="s">
        <v>720</v>
      </c>
      <c r="C5246" s="168" t="s">
        <v>5491</v>
      </c>
      <c r="D5246" s="229">
        <v>30.0</v>
      </c>
      <c r="E5246" s="229">
        <v>33.5</v>
      </c>
      <c r="F5246" s="230">
        <v>3.0</v>
      </c>
      <c r="G5246" s="232"/>
    </row>
    <row r="5247">
      <c r="A5247" s="2"/>
      <c r="B5247" s="168" t="s">
        <v>811</v>
      </c>
      <c r="C5247" s="168" t="s">
        <v>811</v>
      </c>
      <c r="D5247" s="229">
        <v>29.5</v>
      </c>
      <c r="E5247" s="229">
        <v>33.0</v>
      </c>
      <c r="F5247" s="230">
        <v>3.0</v>
      </c>
      <c r="G5247" s="232"/>
    </row>
    <row r="5248">
      <c r="A5248" s="2"/>
      <c r="B5248" s="168" t="s">
        <v>332</v>
      </c>
      <c r="C5248" s="168" t="s">
        <v>5492</v>
      </c>
      <c r="D5248" s="229">
        <v>28.5</v>
      </c>
      <c r="E5248" s="229">
        <v>32.0</v>
      </c>
      <c r="F5248" s="230">
        <v>3.0</v>
      </c>
      <c r="G5248" s="232"/>
    </row>
    <row r="5249">
      <c r="A5249" s="2"/>
      <c r="B5249" s="168" t="s">
        <v>574</v>
      </c>
      <c r="C5249" s="168" t="s">
        <v>5493</v>
      </c>
      <c r="D5249" s="229">
        <v>34.5</v>
      </c>
      <c r="E5249" s="229">
        <v>38.0</v>
      </c>
      <c r="F5249" s="230">
        <v>3.0</v>
      </c>
      <c r="G5249" s="232"/>
    </row>
    <row r="5250">
      <c r="A5250" s="2"/>
      <c r="B5250" s="168" t="s">
        <v>217</v>
      </c>
      <c r="C5250" s="168" t="s">
        <v>5494</v>
      </c>
      <c r="D5250" s="229">
        <v>27.5</v>
      </c>
      <c r="E5250" s="229">
        <v>31.0</v>
      </c>
      <c r="F5250" s="230">
        <v>3.0</v>
      </c>
      <c r="G5250" s="232"/>
    </row>
    <row r="5251">
      <c r="A5251" s="2"/>
      <c r="B5251" s="168" t="s">
        <v>341</v>
      </c>
      <c r="C5251" s="168" t="s">
        <v>5495</v>
      </c>
      <c r="D5251" s="229">
        <v>29.5</v>
      </c>
      <c r="E5251" s="229">
        <v>29.5</v>
      </c>
      <c r="F5251" s="230">
        <v>3.0</v>
      </c>
      <c r="G5251" s="232"/>
    </row>
    <row r="5252">
      <c r="A5252" s="2"/>
      <c r="B5252" s="168" t="s">
        <v>217</v>
      </c>
      <c r="C5252" s="168" t="s">
        <v>5496</v>
      </c>
      <c r="D5252" s="229">
        <v>27.5</v>
      </c>
      <c r="E5252" s="229">
        <v>31.0</v>
      </c>
      <c r="F5252" s="230">
        <v>3.0</v>
      </c>
      <c r="G5252" s="232"/>
    </row>
    <row r="5253">
      <c r="A5253" s="2"/>
      <c r="B5253" s="168" t="s">
        <v>830</v>
      </c>
      <c r="C5253" s="168" t="s">
        <v>5497</v>
      </c>
      <c r="D5253" s="229">
        <v>24.5</v>
      </c>
      <c r="E5253" s="229">
        <v>28.0</v>
      </c>
      <c r="F5253" s="230">
        <v>3.0</v>
      </c>
      <c r="G5253" s="232"/>
    </row>
    <row r="5254">
      <c r="A5254" s="2"/>
      <c r="B5254" s="168" t="s">
        <v>438</v>
      </c>
      <c r="C5254" s="168" t="s">
        <v>5498</v>
      </c>
      <c r="D5254" s="229">
        <v>29.5</v>
      </c>
      <c r="E5254" s="229">
        <v>33.0</v>
      </c>
      <c r="F5254" s="230">
        <v>3.0</v>
      </c>
      <c r="G5254" s="232"/>
    </row>
    <row r="5255">
      <c r="A5255" s="2"/>
      <c r="B5255" s="168" t="s">
        <v>337</v>
      </c>
      <c r="C5255" s="168" t="s">
        <v>5499</v>
      </c>
      <c r="D5255" s="229">
        <v>28.5</v>
      </c>
      <c r="E5255" s="229">
        <v>32.0</v>
      </c>
      <c r="F5255" s="230">
        <v>3.0</v>
      </c>
      <c r="G5255" s="232"/>
    </row>
    <row r="5256">
      <c r="A5256" s="2"/>
      <c r="B5256" s="168" t="s">
        <v>318</v>
      </c>
      <c r="C5256" s="168" t="s">
        <v>5500</v>
      </c>
      <c r="D5256" s="229">
        <v>25.5</v>
      </c>
      <c r="E5256" s="229">
        <v>29.0</v>
      </c>
      <c r="F5256" s="230">
        <v>3.0</v>
      </c>
      <c r="G5256" s="232"/>
    </row>
    <row r="5257">
      <c r="A5257" s="2"/>
      <c r="B5257" s="168" t="s">
        <v>288</v>
      </c>
      <c r="C5257" s="168" t="s">
        <v>5501</v>
      </c>
      <c r="D5257" s="229">
        <v>21.5</v>
      </c>
      <c r="E5257" s="229">
        <v>25.0</v>
      </c>
      <c r="F5257" s="230">
        <v>3.0</v>
      </c>
      <c r="G5257" s="232"/>
    </row>
    <row r="5258">
      <c r="A5258" s="2"/>
      <c r="B5258" s="168" t="s">
        <v>300</v>
      </c>
      <c r="C5258" s="168" t="s">
        <v>5502</v>
      </c>
      <c r="D5258" s="229">
        <v>27.0</v>
      </c>
      <c r="E5258" s="229">
        <v>30.5</v>
      </c>
      <c r="F5258" s="230">
        <v>3.0</v>
      </c>
      <c r="G5258" s="232"/>
    </row>
    <row r="5259">
      <c r="A5259" s="2"/>
      <c r="B5259" s="168" t="s">
        <v>217</v>
      </c>
      <c r="C5259" s="168" t="s">
        <v>5503</v>
      </c>
      <c r="D5259" s="229">
        <v>27.5</v>
      </c>
      <c r="E5259" s="229">
        <v>31.0</v>
      </c>
      <c r="F5259" s="230">
        <v>3.0</v>
      </c>
      <c r="G5259" s="232"/>
    </row>
    <row r="5260">
      <c r="A5260" s="2"/>
      <c r="B5260" s="168" t="s">
        <v>273</v>
      </c>
      <c r="C5260" s="168" t="s">
        <v>5504</v>
      </c>
      <c r="D5260" s="229">
        <v>24.5</v>
      </c>
      <c r="E5260" s="229">
        <v>28.0</v>
      </c>
      <c r="F5260" s="230">
        <v>3.0</v>
      </c>
      <c r="G5260" s="232"/>
    </row>
    <row r="5261">
      <c r="A5261" s="2"/>
      <c r="B5261" s="168" t="s">
        <v>290</v>
      </c>
      <c r="C5261" s="168" t="s">
        <v>5505</v>
      </c>
      <c r="D5261" s="229">
        <v>24.5</v>
      </c>
      <c r="E5261" s="229">
        <v>28.0</v>
      </c>
      <c r="F5261" s="230">
        <v>3.0</v>
      </c>
      <c r="G5261" s="232"/>
    </row>
    <row r="5262">
      <c r="A5262" s="2"/>
      <c r="B5262" s="168" t="s">
        <v>215</v>
      </c>
      <c r="C5262" s="168" t="s">
        <v>5506</v>
      </c>
      <c r="D5262" s="229">
        <v>29.5</v>
      </c>
      <c r="E5262" s="229">
        <v>33.0</v>
      </c>
      <c r="F5262" s="230">
        <v>3.0</v>
      </c>
      <c r="G5262" s="232"/>
    </row>
    <row r="5263">
      <c r="A5263" s="2"/>
      <c r="B5263" s="168" t="s">
        <v>280</v>
      </c>
      <c r="C5263" s="168" t="s">
        <v>5507</v>
      </c>
      <c r="D5263" s="229">
        <v>28.5</v>
      </c>
      <c r="E5263" s="229">
        <v>32.0</v>
      </c>
      <c r="F5263" s="230">
        <v>3.0</v>
      </c>
      <c r="G5263" s="232"/>
    </row>
    <row r="5264">
      <c r="A5264" s="2"/>
      <c r="B5264" s="168" t="s">
        <v>234</v>
      </c>
      <c r="C5264" s="168" t="s">
        <v>5508</v>
      </c>
      <c r="D5264" s="229">
        <v>29.5</v>
      </c>
      <c r="E5264" s="229">
        <v>33.0</v>
      </c>
      <c r="F5264" s="230">
        <v>3.0</v>
      </c>
      <c r="G5264" s="232"/>
    </row>
    <row r="5265">
      <c r="A5265" s="2"/>
      <c r="B5265" s="168" t="s">
        <v>847</v>
      </c>
      <c r="C5265" s="168" t="s">
        <v>5509</v>
      </c>
      <c r="D5265" s="229">
        <v>0.5</v>
      </c>
      <c r="E5265" s="229">
        <v>0.5</v>
      </c>
      <c r="F5265" s="230">
        <v>0.5</v>
      </c>
      <c r="G5265" s="232"/>
    </row>
    <row r="5266">
      <c r="A5266" s="2"/>
      <c r="B5266" s="168" t="s">
        <v>215</v>
      </c>
      <c r="C5266" s="168" t="s">
        <v>5510</v>
      </c>
      <c r="D5266" s="229">
        <v>27.5</v>
      </c>
      <c r="E5266" s="229">
        <v>31.0</v>
      </c>
      <c r="F5266" s="230">
        <v>3.0</v>
      </c>
      <c r="G5266" s="232"/>
    </row>
    <row r="5267">
      <c r="A5267" s="2"/>
      <c r="B5267" s="168" t="s">
        <v>249</v>
      </c>
      <c r="C5267" s="168" t="s">
        <v>5511</v>
      </c>
      <c r="D5267" s="229">
        <v>3.0</v>
      </c>
      <c r="E5267" s="229">
        <v>3.0</v>
      </c>
      <c r="F5267" s="230">
        <v>3.0</v>
      </c>
      <c r="G5267" s="232"/>
    </row>
    <row r="5268">
      <c r="A5268" s="2"/>
      <c r="B5268" s="168" t="s">
        <v>217</v>
      </c>
      <c r="C5268" s="168" t="s">
        <v>5512</v>
      </c>
      <c r="D5268" s="229">
        <v>27.5</v>
      </c>
      <c r="E5268" s="229">
        <v>31.0</v>
      </c>
      <c r="F5268" s="230">
        <v>3.0</v>
      </c>
      <c r="G5268" s="232"/>
    </row>
    <row r="5269">
      <c r="A5269" s="2"/>
      <c r="B5269" s="168" t="s">
        <v>223</v>
      </c>
      <c r="C5269" s="168" t="s">
        <v>5513</v>
      </c>
      <c r="D5269" s="229">
        <v>26.5</v>
      </c>
      <c r="E5269" s="229">
        <v>30.0</v>
      </c>
      <c r="F5269" s="230">
        <v>3.0</v>
      </c>
      <c r="G5269" s="232"/>
    </row>
    <row r="5270">
      <c r="A5270" s="2"/>
      <c r="B5270" s="168" t="s">
        <v>285</v>
      </c>
      <c r="C5270" s="168" t="s">
        <v>5514</v>
      </c>
      <c r="D5270" s="229">
        <v>24.5</v>
      </c>
      <c r="E5270" s="229">
        <v>28.0</v>
      </c>
      <c r="F5270" s="230">
        <v>3.0</v>
      </c>
      <c r="G5270" s="232"/>
    </row>
    <row r="5271">
      <c r="A5271" s="2"/>
      <c r="B5271" s="168" t="s">
        <v>296</v>
      </c>
      <c r="C5271" s="168" t="s">
        <v>5515</v>
      </c>
      <c r="D5271" s="229">
        <v>26.5</v>
      </c>
      <c r="E5271" s="229">
        <v>30.0</v>
      </c>
      <c r="F5271" s="230">
        <v>3.0</v>
      </c>
      <c r="G5271" s="232"/>
    </row>
    <row r="5272">
      <c r="A5272" s="2"/>
      <c r="B5272" s="168" t="s">
        <v>381</v>
      </c>
      <c r="C5272" s="168" t="s">
        <v>5516</v>
      </c>
      <c r="D5272" s="229">
        <v>28.5</v>
      </c>
      <c r="E5272" s="229">
        <v>32.0</v>
      </c>
      <c r="F5272" s="230">
        <v>3.0</v>
      </c>
      <c r="G5272" s="232"/>
    </row>
    <row r="5273">
      <c r="A5273" s="2"/>
      <c r="B5273" s="168" t="s">
        <v>337</v>
      </c>
      <c r="C5273" s="168" t="s">
        <v>5517</v>
      </c>
      <c r="D5273" s="229">
        <v>28.5</v>
      </c>
      <c r="E5273" s="229">
        <v>32.0</v>
      </c>
      <c r="F5273" s="230">
        <v>3.0</v>
      </c>
      <c r="G5273" s="232"/>
    </row>
    <row r="5274">
      <c r="A5274" s="2"/>
      <c r="B5274" s="168" t="s">
        <v>269</v>
      </c>
      <c r="C5274" s="168" t="s">
        <v>5518</v>
      </c>
      <c r="D5274" s="229">
        <v>26.5</v>
      </c>
      <c r="E5274" s="229">
        <v>30.0</v>
      </c>
      <c r="F5274" s="230">
        <v>3.0</v>
      </c>
      <c r="G5274" s="232"/>
    </row>
    <row r="5275">
      <c r="A5275" s="2"/>
      <c r="B5275" s="168" t="s">
        <v>217</v>
      </c>
      <c r="C5275" s="168" t="s">
        <v>5519</v>
      </c>
      <c r="D5275" s="229">
        <v>27.5</v>
      </c>
      <c r="E5275" s="229">
        <v>31.0</v>
      </c>
      <c r="F5275" s="230">
        <v>3.0</v>
      </c>
      <c r="G5275" s="232"/>
    </row>
    <row r="5276">
      <c r="A5276" s="2"/>
      <c r="B5276" s="168" t="s">
        <v>217</v>
      </c>
      <c r="C5276" s="168" t="s">
        <v>5520</v>
      </c>
      <c r="D5276" s="229">
        <v>27.5</v>
      </c>
      <c r="E5276" s="229">
        <v>31.0</v>
      </c>
      <c r="F5276" s="230">
        <v>3.0</v>
      </c>
      <c r="G5276" s="232"/>
    </row>
    <row r="5277">
      <c r="A5277" s="2"/>
      <c r="B5277" s="168" t="s">
        <v>254</v>
      </c>
      <c r="C5277" s="168" t="s">
        <v>5521</v>
      </c>
      <c r="D5277" s="229">
        <v>26.5</v>
      </c>
      <c r="E5277" s="229">
        <v>30.0</v>
      </c>
      <c r="F5277" s="230">
        <v>3.0</v>
      </c>
      <c r="G5277" s="232"/>
    </row>
    <row r="5278">
      <c r="A5278" s="2"/>
      <c r="B5278" s="168" t="s">
        <v>255</v>
      </c>
      <c r="C5278" s="168" t="s">
        <v>5522</v>
      </c>
      <c r="D5278" s="229">
        <v>31.5</v>
      </c>
      <c r="E5278" s="229">
        <v>35.0</v>
      </c>
      <c r="F5278" s="230">
        <v>3.0</v>
      </c>
      <c r="G5278" s="232"/>
    </row>
    <row r="5279">
      <c r="A5279" s="2"/>
      <c r="B5279" s="168" t="s">
        <v>337</v>
      </c>
      <c r="C5279" s="168" t="s">
        <v>5523</v>
      </c>
      <c r="D5279" s="229">
        <v>25.5</v>
      </c>
      <c r="E5279" s="229">
        <v>29.0</v>
      </c>
      <c r="F5279" s="230">
        <v>3.0</v>
      </c>
      <c r="G5279" s="232"/>
    </row>
    <row r="5280">
      <c r="A5280" s="2"/>
      <c r="B5280" s="168" t="s">
        <v>215</v>
      </c>
      <c r="C5280" s="168" t="s">
        <v>5524</v>
      </c>
      <c r="D5280" s="229">
        <v>24.5</v>
      </c>
      <c r="E5280" s="229">
        <v>28.0</v>
      </c>
      <c r="F5280" s="230">
        <v>3.0</v>
      </c>
      <c r="G5280" s="232"/>
    </row>
    <row r="5281">
      <c r="A5281" s="2"/>
      <c r="B5281" s="168" t="s">
        <v>232</v>
      </c>
      <c r="C5281" s="168" t="s">
        <v>5525</v>
      </c>
      <c r="D5281" s="229">
        <v>32.5</v>
      </c>
      <c r="E5281" s="229">
        <v>36.0</v>
      </c>
      <c r="F5281" s="230">
        <v>3.0</v>
      </c>
      <c r="G5281" s="232"/>
    </row>
    <row r="5282">
      <c r="A5282" s="2"/>
      <c r="B5282" s="168" t="s">
        <v>228</v>
      </c>
      <c r="C5282" s="168" t="s">
        <v>5526</v>
      </c>
      <c r="D5282" s="229">
        <v>19.0</v>
      </c>
      <c r="E5282" s="229">
        <v>19.0</v>
      </c>
      <c r="F5282" s="230">
        <v>3.0</v>
      </c>
      <c r="G5282" s="232"/>
    </row>
    <row r="5283">
      <c r="A5283" s="2"/>
      <c r="B5283" s="168" t="s">
        <v>345</v>
      </c>
      <c r="C5283" s="168" t="s">
        <v>5527</v>
      </c>
      <c r="D5283" s="229">
        <v>21.5</v>
      </c>
      <c r="E5283" s="229">
        <v>25.0</v>
      </c>
      <c r="F5283" s="230">
        <v>3.0</v>
      </c>
      <c r="G5283" s="232"/>
    </row>
    <row r="5284">
      <c r="A5284" s="2"/>
      <c r="B5284" s="168" t="s">
        <v>217</v>
      </c>
      <c r="C5284" s="168" t="s">
        <v>5528</v>
      </c>
      <c r="D5284" s="229">
        <v>27.5</v>
      </c>
      <c r="E5284" s="229">
        <v>31.0</v>
      </c>
      <c r="F5284" s="230">
        <v>3.0</v>
      </c>
      <c r="G5284" s="232"/>
    </row>
    <row r="5285">
      <c r="A5285" s="2"/>
      <c r="B5285" s="168" t="s">
        <v>576</v>
      </c>
      <c r="C5285" s="168" t="s">
        <v>5529</v>
      </c>
      <c r="D5285" s="229">
        <v>21.5</v>
      </c>
      <c r="E5285" s="229">
        <v>25.0</v>
      </c>
      <c r="F5285" s="230">
        <v>3.0</v>
      </c>
      <c r="G5285" s="232"/>
    </row>
    <row r="5286">
      <c r="A5286" s="2"/>
      <c r="B5286" s="168" t="s">
        <v>215</v>
      </c>
      <c r="C5286" s="168" t="s">
        <v>5530</v>
      </c>
      <c r="D5286" s="229">
        <v>27.5</v>
      </c>
      <c r="E5286" s="229">
        <v>31.0</v>
      </c>
      <c r="F5286" s="230">
        <v>3.0</v>
      </c>
      <c r="G5286" s="232"/>
    </row>
    <row r="5287">
      <c r="A5287" s="2"/>
      <c r="B5287" s="168" t="s">
        <v>232</v>
      </c>
      <c r="C5287" s="168" t="s">
        <v>5531</v>
      </c>
      <c r="D5287" s="229">
        <v>25.5</v>
      </c>
      <c r="E5287" s="229">
        <v>29.0</v>
      </c>
      <c r="F5287" s="230">
        <v>3.0</v>
      </c>
      <c r="G5287" s="232"/>
    </row>
    <row r="5288">
      <c r="A5288" s="2"/>
      <c r="B5288" s="168" t="s">
        <v>223</v>
      </c>
      <c r="C5288" s="168" t="s">
        <v>5532</v>
      </c>
      <c r="D5288" s="229">
        <v>26.5</v>
      </c>
      <c r="E5288" s="229">
        <v>30.0</v>
      </c>
      <c r="F5288" s="230">
        <v>3.0</v>
      </c>
      <c r="G5288" s="232"/>
    </row>
    <row r="5289">
      <c r="A5289" s="2"/>
      <c r="B5289" s="168" t="s">
        <v>269</v>
      </c>
      <c r="C5289" s="168" t="s">
        <v>5533</v>
      </c>
      <c r="D5289" s="229">
        <v>26.5</v>
      </c>
      <c r="E5289" s="229">
        <v>30.0</v>
      </c>
      <c r="F5289" s="230">
        <v>3.0</v>
      </c>
      <c r="G5289" s="232"/>
    </row>
    <row r="5290">
      <c r="A5290" s="2"/>
      <c r="B5290" s="168" t="s">
        <v>230</v>
      </c>
      <c r="C5290" s="168" t="s">
        <v>5534</v>
      </c>
      <c r="D5290" s="229">
        <v>21.5</v>
      </c>
      <c r="E5290" s="229">
        <v>25.0</v>
      </c>
      <c r="F5290" s="230">
        <v>3.0</v>
      </c>
      <c r="G5290" s="232"/>
    </row>
    <row r="5291">
      <c r="A5291" s="2"/>
      <c r="B5291" s="168" t="s">
        <v>247</v>
      </c>
      <c r="C5291" s="168" t="s">
        <v>5535</v>
      </c>
      <c r="D5291" s="229">
        <v>29.5</v>
      </c>
      <c r="E5291" s="229">
        <v>33.0</v>
      </c>
      <c r="F5291" s="230">
        <v>3.0</v>
      </c>
      <c r="G5291" s="232"/>
    </row>
    <row r="5292">
      <c r="A5292" s="2"/>
      <c r="B5292" s="168" t="s">
        <v>260</v>
      </c>
      <c r="C5292" s="168" t="s">
        <v>5536</v>
      </c>
      <c r="D5292" s="229">
        <v>28.5</v>
      </c>
      <c r="E5292" s="229">
        <v>32.0</v>
      </c>
      <c r="F5292" s="230">
        <v>3.0</v>
      </c>
      <c r="G5292" s="232"/>
    </row>
    <row r="5293">
      <c r="A5293" s="2"/>
      <c r="B5293" s="168" t="s">
        <v>335</v>
      </c>
      <c r="C5293" s="168" t="s">
        <v>5537</v>
      </c>
      <c r="D5293" s="229">
        <v>34.5</v>
      </c>
      <c r="E5293" s="229">
        <v>38.0</v>
      </c>
      <c r="F5293" s="230">
        <v>3.0</v>
      </c>
      <c r="G5293" s="232"/>
    </row>
    <row r="5294">
      <c r="A5294" s="2"/>
      <c r="B5294" s="168" t="s">
        <v>310</v>
      </c>
      <c r="C5294" s="168" t="s">
        <v>5538</v>
      </c>
      <c r="D5294" s="229">
        <v>34.5</v>
      </c>
      <c r="E5294" s="229">
        <v>38.0</v>
      </c>
      <c r="F5294" s="230">
        <v>3.0</v>
      </c>
      <c r="G5294" s="232"/>
    </row>
    <row r="5295">
      <c r="A5295" s="2"/>
      <c r="B5295" s="168" t="s">
        <v>280</v>
      </c>
      <c r="C5295" s="168" t="s">
        <v>5539</v>
      </c>
      <c r="D5295" s="229">
        <v>28.5</v>
      </c>
      <c r="E5295" s="229">
        <v>32.0</v>
      </c>
      <c r="F5295" s="230">
        <v>3.0</v>
      </c>
      <c r="G5295" s="232"/>
    </row>
    <row r="5296">
      <c r="A5296" s="2"/>
      <c r="B5296" s="168" t="s">
        <v>273</v>
      </c>
      <c r="C5296" s="168" t="s">
        <v>5540</v>
      </c>
      <c r="D5296" s="229">
        <v>28.0</v>
      </c>
      <c r="E5296" s="229">
        <v>31.5</v>
      </c>
      <c r="F5296" s="230">
        <v>3.0</v>
      </c>
      <c r="G5296" s="232"/>
    </row>
    <row r="5297">
      <c r="A5297" s="2"/>
      <c r="B5297" s="168" t="s">
        <v>386</v>
      </c>
      <c r="C5297" s="168" t="s">
        <v>5541</v>
      </c>
      <c r="D5297" s="229">
        <v>34.5</v>
      </c>
      <c r="E5297" s="229">
        <v>38.0</v>
      </c>
      <c r="F5297" s="230">
        <v>3.0</v>
      </c>
      <c r="G5297" s="232"/>
    </row>
    <row r="5298">
      <c r="A5298" s="2"/>
      <c r="B5298" s="168" t="s">
        <v>217</v>
      </c>
      <c r="C5298" s="168" t="s">
        <v>5542</v>
      </c>
      <c r="D5298" s="229">
        <v>27.5</v>
      </c>
      <c r="E5298" s="229">
        <v>31.0</v>
      </c>
      <c r="F5298" s="230">
        <v>3.0</v>
      </c>
      <c r="G5298" s="232"/>
    </row>
    <row r="5299">
      <c r="A5299" s="2"/>
      <c r="B5299" s="168" t="s">
        <v>262</v>
      </c>
      <c r="C5299" s="168" t="s">
        <v>262</v>
      </c>
      <c r="D5299" s="229">
        <v>29.5</v>
      </c>
      <c r="E5299" s="229">
        <v>33.0</v>
      </c>
      <c r="F5299" s="230">
        <v>3.0</v>
      </c>
      <c r="G5299" s="232"/>
    </row>
    <row r="5300">
      <c r="A5300" s="2"/>
      <c r="B5300" s="168" t="s">
        <v>288</v>
      </c>
      <c r="C5300" s="168" t="s">
        <v>5543</v>
      </c>
      <c r="D5300" s="229">
        <v>21.5</v>
      </c>
      <c r="E5300" s="229">
        <v>25.0</v>
      </c>
      <c r="F5300" s="230">
        <v>3.0</v>
      </c>
      <c r="G5300" s="232"/>
    </row>
    <row r="5301">
      <c r="A5301" s="2"/>
      <c r="B5301" s="168" t="s">
        <v>269</v>
      </c>
      <c r="C5301" s="168" t="s">
        <v>5544</v>
      </c>
      <c r="D5301" s="229">
        <v>26.5</v>
      </c>
      <c r="E5301" s="229">
        <v>30.0</v>
      </c>
      <c r="F5301" s="230">
        <v>3.0</v>
      </c>
      <c r="G5301" s="232"/>
    </row>
    <row r="5302">
      <c r="A5302" s="2"/>
      <c r="B5302" s="168" t="s">
        <v>337</v>
      </c>
      <c r="C5302" s="168" t="s">
        <v>5545</v>
      </c>
      <c r="D5302" s="229">
        <v>30.5</v>
      </c>
      <c r="E5302" s="229">
        <v>34.0</v>
      </c>
      <c r="F5302" s="230">
        <v>3.0</v>
      </c>
      <c r="G5302" s="232"/>
    </row>
    <row r="5303">
      <c r="A5303" s="2"/>
      <c r="B5303" s="168" t="s">
        <v>335</v>
      </c>
      <c r="C5303" s="168" t="s">
        <v>5546</v>
      </c>
      <c r="D5303" s="229">
        <v>34.5</v>
      </c>
      <c r="E5303" s="229">
        <v>38.0</v>
      </c>
      <c r="F5303" s="230">
        <v>3.0</v>
      </c>
      <c r="G5303" s="232"/>
    </row>
    <row r="5304">
      <c r="A5304" s="2"/>
      <c r="B5304" s="168" t="s">
        <v>269</v>
      </c>
      <c r="C5304" s="168" t="s">
        <v>5547</v>
      </c>
      <c r="D5304" s="229">
        <v>26.5</v>
      </c>
      <c r="E5304" s="229">
        <v>30.0</v>
      </c>
      <c r="F5304" s="230">
        <v>3.0</v>
      </c>
      <c r="G5304" s="232"/>
    </row>
    <row r="5305">
      <c r="A5305" s="2"/>
      <c r="B5305" s="168" t="s">
        <v>811</v>
      </c>
      <c r="C5305" s="168" t="s">
        <v>5548</v>
      </c>
      <c r="D5305" s="229">
        <v>29.5</v>
      </c>
      <c r="E5305" s="229">
        <v>33.0</v>
      </c>
      <c r="F5305" s="230">
        <v>3.0</v>
      </c>
      <c r="G5305" s="232"/>
    </row>
    <row r="5306">
      <c r="A5306" s="2"/>
      <c r="B5306" s="168" t="s">
        <v>215</v>
      </c>
      <c r="C5306" s="168" t="s">
        <v>5549</v>
      </c>
      <c r="D5306" s="229">
        <v>27.5</v>
      </c>
      <c r="E5306" s="229">
        <v>31.0</v>
      </c>
      <c r="F5306" s="230">
        <v>3.0</v>
      </c>
      <c r="G5306" s="232"/>
    </row>
    <row r="5307">
      <c r="A5307" s="2"/>
      <c r="B5307" s="168" t="s">
        <v>269</v>
      </c>
      <c r="C5307" s="168" t="s">
        <v>5550</v>
      </c>
      <c r="D5307" s="229">
        <v>26.5</v>
      </c>
      <c r="E5307" s="229">
        <v>30.0</v>
      </c>
      <c r="F5307" s="230">
        <v>3.0</v>
      </c>
      <c r="G5307" s="232"/>
    </row>
    <row r="5308">
      <c r="A5308" s="2"/>
      <c r="B5308" s="168" t="s">
        <v>388</v>
      </c>
      <c r="C5308" s="168" t="s">
        <v>5551</v>
      </c>
      <c r="D5308" s="229">
        <v>21.5</v>
      </c>
      <c r="E5308" s="229">
        <v>25.0</v>
      </c>
      <c r="F5308" s="230">
        <v>3.0</v>
      </c>
      <c r="G5308" s="232"/>
    </row>
    <row r="5309">
      <c r="A5309" s="2"/>
      <c r="B5309" s="168" t="s">
        <v>251</v>
      </c>
      <c r="C5309" s="168" t="s">
        <v>5552</v>
      </c>
      <c r="D5309" s="229">
        <v>34.5</v>
      </c>
      <c r="E5309" s="229">
        <v>38.0</v>
      </c>
      <c r="F5309" s="230">
        <v>3.0</v>
      </c>
      <c r="G5309" s="232"/>
    </row>
    <row r="5310">
      <c r="A5310" s="2"/>
      <c r="B5310" s="168" t="s">
        <v>234</v>
      </c>
      <c r="C5310" s="168" t="s">
        <v>5553</v>
      </c>
      <c r="D5310" s="229">
        <v>29.5</v>
      </c>
      <c r="E5310" s="229">
        <v>33.0</v>
      </c>
      <c r="F5310" s="230">
        <v>3.0</v>
      </c>
      <c r="G5310" s="232"/>
    </row>
    <row r="5311">
      <c r="A5311" s="2"/>
      <c r="B5311" s="168" t="s">
        <v>269</v>
      </c>
      <c r="C5311" s="168" t="s">
        <v>5554</v>
      </c>
      <c r="D5311" s="229">
        <v>26.5</v>
      </c>
      <c r="E5311" s="229">
        <v>30.0</v>
      </c>
      <c r="F5311" s="230">
        <v>3.0</v>
      </c>
      <c r="G5311" s="232"/>
    </row>
    <row r="5312">
      <c r="A5312" s="2"/>
      <c r="B5312" s="168" t="s">
        <v>230</v>
      </c>
      <c r="C5312" s="168" t="s">
        <v>5555</v>
      </c>
      <c r="D5312" s="229">
        <v>21.5</v>
      </c>
      <c r="E5312" s="229">
        <v>25.0</v>
      </c>
      <c r="F5312" s="230">
        <v>3.0</v>
      </c>
      <c r="G5312" s="232"/>
    </row>
    <row r="5313">
      <c r="A5313" s="2"/>
      <c r="B5313" s="168" t="s">
        <v>332</v>
      </c>
      <c r="C5313" s="168" t="s">
        <v>5556</v>
      </c>
      <c r="D5313" s="229">
        <v>28.5</v>
      </c>
      <c r="E5313" s="229">
        <v>32.0</v>
      </c>
      <c r="F5313" s="230">
        <v>3.0</v>
      </c>
      <c r="G5313" s="232"/>
    </row>
    <row r="5314">
      <c r="A5314" s="2"/>
      <c r="B5314" s="168" t="s">
        <v>294</v>
      </c>
      <c r="C5314" s="168" t="s">
        <v>5557</v>
      </c>
      <c r="D5314" s="229">
        <v>19.5</v>
      </c>
      <c r="E5314" s="229">
        <v>19.5</v>
      </c>
      <c r="F5314" s="230">
        <v>3.0</v>
      </c>
      <c r="G5314" s="232"/>
    </row>
    <row r="5315">
      <c r="A5315" s="2"/>
      <c r="B5315" s="168" t="s">
        <v>217</v>
      </c>
      <c r="C5315" s="168" t="s">
        <v>5558</v>
      </c>
      <c r="D5315" s="229">
        <v>27.5</v>
      </c>
      <c r="E5315" s="229">
        <v>31.0</v>
      </c>
      <c r="F5315" s="230">
        <v>3.0</v>
      </c>
      <c r="G5315" s="232"/>
    </row>
    <row r="5316">
      <c r="A5316" s="2"/>
      <c r="B5316" s="168" t="s">
        <v>269</v>
      </c>
      <c r="C5316" s="168" t="s">
        <v>5559</v>
      </c>
      <c r="D5316" s="229">
        <v>26.5</v>
      </c>
      <c r="E5316" s="229">
        <v>30.0</v>
      </c>
      <c r="F5316" s="230">
        <v>3.0</v>
      </c>
      <c r="G5316" s="232"/>
    </row>
    <row r="5317">
      <c r="A5317" s="2"/>
      <c r="B5317" s="168" t="s">
        <v>381</v>
      </c>
      <c r="C5317" s="168" t="s">
        <v>5560</v>
      </c>
      <c r="D5317" s="229">
        <v>28.5</v>
      </c>
      <c r="E5317" s="229">
        <v>32.0</v>
      </c>
      <c r="F5317" s="230">
        <v>3.0</v>
      </c>
      <c r="G5317" s="232"/>
    </row>
    <row r="5318">
      <c r="A5318" s="2"/>
      <c r="B5318" s="168" t="s">
        <v>296</v>
      </c>
      <c r="C5318" s="168" t="s">
        <v>5561</v>
      </c>
      <c r="D5318" s="229">
        <v>26.5</v>
      </c>
      <c r="E5318" s="229">
        <v>30.0</v>
      </c>
      <c r="F5318" s="230">
        <v>3.0</v>
      </c>
      <c r="G5318" s="232"/>
    </row>
    <row r="5319">
      <c r="A5319" s="2"/>
      <c r="B5319" s="168" t="s">
        <v>234</v>
      </c>
      <c r="C5319" s="168" t="s">
        <v>5562</v>
      </c>
      <c r="D5319" s="229">
        <v>24.5</v>
      </c>
      <c r="E5319" s="229">
        <v>28.0</v>
      </c>
      <c r="F5319" s="230">
        <v>3.0</v>
      </c>
      <c r="G5319" s="232"/>
    </row>
    <row r="5320">
      <c r="A5320" s="2"/>
      <c r="B5320" s="168" t="s">
        <v>341</v>
      </c>
      <c r="C5320" s="168" t="s">
        <v>5563</v>
      </c>
      <c r="D5320" s="229">
        <v>29.5</v>
      </c>
      <c r="E5320" s="229">
        <v>29.5</v>
      </c>
      <c r="F5320" s="230">
        <v>3.0</v>
      </c>
      <c r="G5320" s="232"/>
    </row>
    <row r="5321">
      <c r="A5321" s="2"/>
      <c r="B5321" s="168" t="s">
        <v>275</v>
      </c>
      <c r="C5321" s="168" t="s">
        <v>5564</v>
      </c>
      <c r="D5321" s="229">
        <v>26.5</v>
      </c>
      <c r="E5321" s="229">
        <v>30.0</v>
      </c>
      <c r="F5321" s="230">
        <v>3.0</v>
      </c>
      <c r="G5321" s="232"/>
    </row>
    <row r="5322">
      <c r="A5322" s="2"/>
      <c r="B5322" s="168" t="s">
        <v>288</v>
      </c>
      <c r="C5322" s="168" t="s">
        <v>5565</v>
      </c>
      <c r="D5322" s="229">
        <v>21.5</v>
      </c>
      <c r="E5322" s="229">
        <v>25.0</v>
      </c>
      <c r="F5322" s="230">
        <v>3.0</v>
      </c>
      <c r="G5322" s="232"/>
    </row>
    <row r="5323">
      <c r="A5323" s="2"/>
      <c r="B5323" s="168" t="s">
        <v>241</v>
      </c>
      <c r="C5323" s="168" t="s">
        <v>5566</v>
      </c>
      <c r="D5323" s="229">
        <v>32.5</v>
      </c>
      <c r="E5323" s="229">
        <v>36.0</v>
      </c>
      <c r="F5323" s="230">
        <v>3.0</v>
      </c>
      <c r="G5323" s="232"/>
    </row>
    <row r="5324">
      <c r="A5324" s="2"/>
      <c r="B5324" s="168" t="s">
        <v>260</v>
      </c>
      <c r="C5324" s="168" t="s">
        <v>5567</v>
      </c>
      <c r="D5324" s="229">
        <v>28.5</v>
      </c>
      <c r="E5324" s="229">
        <v>32.0</v>
      </c>
      <c r="F5324" s="230">
        <v>3.0</v>
      </c>
      <c r="G5324" s="232"/>
    </row>
    <row r="5325">
      <c r="A5325" s="2"/>
      <c r="B5325" s="168" t="s">
        <v>221</v>
      </c>
      <c r="C5325" s="168" t="s">
        <v>5568</v>
      </c>
      <c r="D5325" s="229">
        <v>27.5</v>
      </c>
      <c r="E5325" s="229">
        <v>31.0</v>
      </c>
      <c r="F5325" s="230">
        <v>3.0</v>
      </c>
      <c r="G5325" s="232"/>
    </row>
    <row r="5326">
      <c r="A5326" s="2"/>
      <c r="B5326" s="168" t="s">
        <v>377</v>
      </c>
      <c r="C5326" s="168" t="s">
        <v>5569</v>
      </c>
      <c r="D5326" s="229">
        <v>29.5</v>
      </c>
      <c r="E5326" s="229">
        <v>33.0</v>
      </c>
      <c r="F5326" s="230">
        <v>3.0</v>
      </c>
      <c r="G5326" s="232"/>
    </row>
    <row r="5327">
      <c r="A5327" s="2"/>
      <c r="B5327" s="168" t="s">
        <v>296</v>
      </c>
      <c r="C5327" s="168" t="s">
        <v>5570</v>
      </c>
      <c r="D5327" s="229">
        <v>26.5</v>
      </c>
      <c r="E5327" s="229">
        <v>30.0</v>
      </c>
      <c r="F5327" s="230">
        <v>3.0</v>
      </c>
      <c r="G5327" s="232"/>
    </row>
    <row r="5328">
      <c r="A5328" s="2"/>
      <c r="B5328" s="168" t="s">
        <v>215</v>
      </c>
      <c r="C5328" s="168" t="s">
        <v>5571</v>
      </c>
      <c r="D5328" s="229">
        <v>29.5</v>
      </c>
      <c r="E5328" s="229">
        <v>33.0</v>
      </c>
      <c r="F5328" s="230">
        <v>3.0</v>
      </c>
      <c r="G5328" s="232"/>
    </row>
    <row r="5329">
      <c r="A5329" s="2"/>
      <c r="B5329" s="168" t="s">
        <v>221</v>
      </c>
      <c r="C5329" s="168" t="s">
        <v>5572</v>
      </c>
      <c r="D5329" s="229">
        <v>27.5</v>
      </c>
      <c r="E5329" s="229">
        <v>31.0</v>
      </c>
      <c r="F5329" s="230">
        <v>3.0</v>
      </c>
      <c r="G5329" s="232"/>
    </row>
    <row r="5330">
      <c r="A5330" s="2"/>
      <c r="B5330" s="168" t="s">
        <v>243</v>
      </c>
      <c r="C5330" s="168" t="s">
        <v>5573</v>
      </c>
      <c r="D5330" s="229">
        <v>29.5</v>
      </c>
      <c r="E5330" s="229">
        <v>33.0</v>
      </c>
      <c r="F5330" s="230">
        <v>3.0</v>
      </c>
      <c r="G5330" s="232"/>
    </row>
    <row r="5331">
      <c r="A5331" s="2"/>
      <c r="B5331" s="168" t="s">
        <v>215</v>
      </c>
      <c r="C5331" s="168" t="s">
        <v>5574</v>
      </c>
      <c r="D5331" s="229">
        <v>27.5</v>
      </c>
      <c r="E5331" s="229">
        <v>31.0</v>
      </c>
      <c r="F5331" s="230">
        <v>3.0</v>
      </c>
      <c r="G5331" s="232"/>
    </row>
    <row r="5332">
      <c r="A5332" s="2"/>
      <c r="B5332" s="168" t="s">
        <v>223</v>
      </c>
      <c r="C5332" s="168" t="s">
        <v>5575</v>
      </c>
      <c r="D5332" s="229">
        <v>26.5</v>
      </c>
      <c r="E5332" s="229">
        <v>30.0</v>
      </c>
      <c r="F5332" s="230">
        <v>3.0</v>
      </c>
      <c r="G5332" s="232"/>
    </row>
    <row r="5333">
      <c r="A5333" s="2"/>
      <c r="B5333" s="168" t="s">
        <v>296</v>
      </c>
      <c r="C5333" s="168" t="s">
        <v>5576</v>
      </c>
      <c r="D5333" s="229">
        <v>26.0</v>
      </c>
      <c r="E5333" s="229">
        <v>29.5</v>
      </c>
      <c r="F5333" s="230">
        <v>3.0</v>
      </c>
      <c r="G5333" s="232"/>
    </row>
    <row r="5334">
      <c r="A5334" s="2"/>
      <c r="B5334" s="168" t="s">
        <v>296</v>
      </c>
      <c r="C5334" s="168" t="s">
        <v>5577</v>
      </c>
      <c r="D5334" s="229">
        <v>26.5</v>
      </c>
      <c r="E5334" s="229">
        <v>30.0</v>
      </c>
      <c r="F5334" s="230">
        <v>3.0</v>
      </c>
      <c r="G5334" s="232"/>
    </row>
    <row r="5335">
      <c r="A5335" s="2"/>
      <c r="B5335" s="168" t="s">
        <v>296</v>
      </c>
      <c r="C5335" s="168" t="s">
        <v>5578</v>
      </c>
      <c r="D5335" s="229">
        <v>26.5</v>
      </c>
      <c r="E5335" s="229">
        <v>30.0</v>
      </c>
      <c r="F5335" s="230">
        <v>3.0</v>
      </c>
      <c r="G5335" s="232"/>
    </row>
    <row r="5336">
      <c r="A5336" s="2"/>
      <c r="B5336" s="168" t="s">
        <v>217</v>
      </c>
      <c r="C5336" s="168" t="s">
        <v>5579</v>
      </c>
      <c r="D5336" s="229">
        <v>27.5</v>
      </c>
      <c r="E5336" s="229">
        <v>31.0</v>
      </c>
      <c r="F5336" s="230">
        <v>3.0</v>
      </c>
      <c r="G5336" s="232"/>
    </row>
    <row r="5337">
      <c r="A5337" s="2"/>
      <c r="B5337" s="168" t="s">
        <v>296</v>
      </c>
      <c r="C5337" s="168" t="s">
        <v>5580</v>
      </c>
      <c r="D5337" s="229">
        <v>26.5</v>
      </c>
      <c r="E5337" s="229">
        <v>30.0</v>
      </c>
      <c r="F5337" s="230">
        <v>3.0</v>
      </c>
      <c r="G5337" s="232"/>
    </row>
    <row r="5338">
      <c r="A5338" s="2"/>
      <c r="B5338" s="168" t="s">
        <v>337</v>
      </c>
      <c r="C5338" s="168" t="s">
        <v>5581</v>
      </c>
      <c r="D5338" s="229">
        <v>28.5</v>
      </c>
      <c r="E5338" s="229">
        <v>32.0</v>
      </c>
      <c r="F5338" s="230">
        <v>3.0</v>
      </c>
      <c r="G5338" s="232"/>
    </row>
    <row r="5339">
      <c r="A5339" s="2"/>
      <c r="B5339" s="168" t="s">
        <v>255</v>
      </c>
      <c r="C5339" s="168" t="s">
        <v>5582</v>
      </c>
      <c r="D5339" s="229">
        <v>31.5</v>
      </c>
      <c r="E5339" s="229">
        <v>35.0</v>
      </c>
      <c r="F5339" s="230">
        <v>3.0</v>
      </c>
      <c r="G5339" s="232"/>
    </row>
    <row r="5340">
      <c r="A5340" s="2"/>
      <c r="B5340" s="168" t="s">
        <v>337</v>
      </c>
      <c r="C5340" s="168" t="s">
        <v>5583</v>
      </c>
      <c r="D5340" s="229">
        <v>20.5</v>
      </c>
      <c r="E5340" s="229">
        <v>24.0</v>
      </c>
      <c r="F5340" s="230">
        <v>3.0</v>
      </c>
      <c r="G5340" s="232"/>
    </row>
    <row r="5341">
      <c r="A5341" s="2"/>
      <c r="B5341" s="168" t="s">
        <v>328</v>
      </c>
      <c r="C5341" s="168" t="s">
        <v>5584</v>
      </c>
      <c r="D5341" s="229">
        <v>34.5</v>
      </c>
      <c r="E5341" s="229">
        <v>38.0</v>
      </c>
      <c r="F5341" s="230">
        <v>3.0</v>
      </c>
      <c r="G5341" s="232"/>
    </row>
    <row r="5342">
      <c r="A5342" s="2"/>
      <c r="B5342" s="168" t="s">
        <v>221</v>
      </c>
      <c r="C5342" s="168" t="s">
        <v>5585</v>
      </c>
      <c r="D5342" s="229">
        <v>22.5</v>
      </c>
      <c r="E5342" s="229">
        <v>26.0</v>
      </c>
      <c r="F5342" s="230">
        <v>3.0</v>
      </c>
      <c r="G5342" s="232"/>
    </row>
    <row r="5343">
      <c r="A5343" s="2"/>
      <c r="B5343" s="168" t="s">
        <v>217</v>
      </c>
      <c r="C5343" s="168" t="s">
        <v>5586</v>
      </c>
      <c r="D5343" s="229">
        <v>27.5</v>
      </c>
      <c r="E5343" s="229">
        <v>31.0</v>
      </c>
      <c r="F5343" s="230">
        <v>3.0</v>
      </c>
      <c r="G5343" s="232"/>
    </row>
    <row r="5344">
      <c r="A5344" s="2"/>
      <c r="B5344" s="168" t="s">
        <v>275</v>
      </c>
      <c r="C5344" s="168" t="s">
        <v>5587</v>
      </c>
      <c r="D5344" s="229">
        <v>18.5</v>
      </c>
      <c r="E5344" s="229">
        <v>22.0</v>
      </c>
      <c r="F5344" s="230">
        <v>3.0</v>
      </c>
      <c r="G5344" s="232"/>
    </row>
    <row r="5345">
      <c r="A5345" s="2"/>
      <c r="B5345" s="168" t="s">
        <v>217</v>
      </c>
      <c r="C5345" s="168" t="s">
        <v>5588</v>
      </c>
      <c r="D5345" s="229">
        <v>27.5</v>
      </c>
      <c r="E5345" s="229">
        <v>31.0</v>
      </c>
      <c r="F5345" s="230">
        <v>3.0</v>
      </c>
      <c r="G5345" s="232"/>
    </row>
    <row r="5346">
      <c r="A5346" s="2"/>
      <c r="B5346" s="168" t="s">
        <v>239</v>
      </c>
      <c r="C5346" s="168" t="s">
        <v>5589</v>
      </c>
      <c r="D5346" s="229">
        <v>29.5</v>
      </c>
      <c r="E5346" s="229">
        <v>33.0</v>
      </c>
      <c r="F5346" s="230">
        <v>3.0</v>
      </c>
      <c r="G5346" s="232"/>
    </row>
    <row r="5347">
      <c r="A5347" s="2"/>
      <c r="B5347" s="168" t="s">
        <v>215</v>
      </c>
      <c r="C5347" s="168" t="s">
        <v>5590</v>
      </c>
      <c r="D5347" s="229">
        <v>19.5</v>
      </c>
      <c r="E5347" s="229">
        <v>23.0</v>
      </c>
      <c r="F5347" s="230">
        <v>3.0</v>
      </c>
      <c r="G5347" s="232"/>
    </row>
    <row r="5348">
      <c r="A5348" s="2"/>
      <c r="B5348" s="168" t="s">
        <v>302</v>
      </c>
      <c r="C5348" s="168" t="s">
        <v>5591</v>
      </c>
      <c r="D5348" s="229">
        <v>34.5</v>
      </c>
      <c r="E5348" s="229">
        <v>38.0</v>
      </c>
      <c r="F5348" s="230">
        <v>3.0</v>
      </c>
      <c r="G5348" s="232"/>
    </row>
    <row r="5349">
      <c r="A5349" s="2"/>
      <c r="B5349" s="168" t="s">
        <v>381</v>
      </c>
      <c r="C5349" s="168" t="s">
        <v>5592</v>
      </c>
      <c r="D5349" s="229">
        <v>28.5</v>
      </c>
      <c r="E5349" s="229">
        <v>32.0</v>
      </c>
      <c r="F5349" s="230">
        <v>3.0</v>
      </c>
      <c r="G5349" s="232"/>
    </row>
    <row r="5350">
      <c r="A5350" s="2"/>
      <c r="B5350" s="168" t="s">
        <v>254</v>
      </c>
      <c r="C5350" s="168" t="s">
        <v>5593</v>
      </c>
      <c r="D5350" s="229">
        <v>26.5</v>
      </c>
      <c r="E5350" s="229">
        <v>30.0</v>
      </c>
      <c r="F5350" s="230">
        <v>3.0</v>
      </c>
      <c r="G5350" s="232"/>
    </row>
    <row r="5351">
      <c r="A5351" s="2"/>
      <c r="B5351" s="168" t="s">
        <v>345</v>
      </c>
      <c r="C5351" s="168" t="s">
        <v>5594</v>
      </c>
      <c r="D5351" s="229">
        <v>26.5</v>
      </c>
      <c r="E5351" s="229">
        <v>30.0</v>
      </c>
      <c r="F5351" s="230">
        <v>3.0</v>
      </c>
      <c r="G5351" s="232"/>
    </row>
    <row r="5352">
      <c r="A5352" s="2"/>
      <c r="B5352" s="168" t="s">
        <v>296</v>
      </c>
      <c r="C5352" s="168" t="s">
        <v>5595</v>
      </c>
      <c r="D5352" s="229">
        <v>26.5</v>
      </c>
      <c r="E5352" s="229">
        <v>30.0</v>
      </c>
      <c r="F5352" s="230">
        <v>3.0</v>
      </c>
      <c r="G5352" s="232"/>
    </row>
    <row r="5353">
      <c r="A5353" s="2"/>
      <c r="B5353" s="168" t="s">
        <v>446</v>
      </c>
      <c r="C5353" s="168" t="s">
        <v>5596</v>
      </c>
      <c r="D5353" s="229">
        <v>4.5</v>
      </c>
      <c r="E5353" s="229">
        <v>4.5</v>
      </c>
      <c r="F5353" s="230">
        <v>3.0</v>
      </c>
      <c r="G5353" s="232"/>
    </row>
    <row r="5354">
      <c r="A5354" s="2"/>
      <c r="B5354" s="168" t="s">
        <v>280</v>
      </c>
      <c r="C5354" s="168" t="s">
        <v>5597</v>
      </c>
      <c r="D5354" s="229">
        <v>28.5</v>
      </c>
      <c r="E5354" s="229">
        <v>32.0</v>
      </c>
      <c r="F5354" s="230">
        <v>3.0</v>
      </c>
      <c r="G5354" s="232"/>
    </row>
    <row r="5355">
      <c r="A5355" s="2"/>
      <c r="B5355" s="168" t="s">
        <v>1311</v>
      </c>
      <c r="C5355" s="168" t="s">
        <v>5598</v>
      </c>
      <c r="D5355" s="229">
        <v>28.5</v>
      </c>
      <c r="E5355" s="229">
        <v>32.0</v>
      </c>
      <c r="F5355" s="230">
        <v>3.0</v>
      </c>
      <c r="G5355" s="232"/>
    </row>
    <row r="5356">
      <c r="A5356" s="2"/>
      <c r="B5356" s="168" t="s">
        <v>296</v>
      </c>
      <c r="C5356" s="168" t="s">
        <v>5599</v>
      </c>
      <c r="D5356" s="229">
        <v>26.5</v>
      </c>
      <c r="E5356" s="229">
        <v>30.0</v>
      </c>
      <c r="F5356" s="230">
        <v>3.0</v>
      </c>
      <c r="G5356" s="232"/>
    </row>
    <row r="5357">
      <c r="A5357" s="2"/>
      <c r="B5357" s="168" t="s">
        <v>273</v>
      </c>
      <c r="C5357" s="168" t="s">
        <v>5600</v>
      </c>
      <c r="D5357" s="229">
        <v>29.5</v>
      </c>
      <c r="E5357" s="229">
        <v>33.0</v>
      </c>
      <c r="F5357" s="230">
        <v>3.0</v>
      </c>
      <c r="G5357" s="232"/>
    </row>
    <row r="5358">
      <c r="A5358" s="2"/>
      <c r="B5358" s="168" t="s">
        <v>245</v>
      </c>
      <c r="C5358" s="168" t="s">
        <v>5601</v>
      </c>
      <c r="D5358" s="229">
        <v>29.5</v>
      </c>
      <c r="E5358" s="229">
        <v>33.0</v>
      </c>
      <c r="F5358" s="230">
        <v>3.0</v>
      </c>
      <c r="G5358" s="232"/>
    </row>
    <row r="5359">
      <c r="A5359" s="2"/>
      <c r="B5359" s="168" t="s">
        <v>348</v>
      </c>
      <c r="C5359" s="168" t="s">
        <v>5602</v>
      </c>
      <c r="D5359" s="229">
        <v>21.5</v>
      </c>
      <c r="E5359" s="229">
        <v>25.0</v>
      </c>
      <c r="F5359" s="230">
        <v>3.0</v>
      </c>
      <c r="G5359" s="232"/>
    </row>
    <row r="5360">
      <c r="A5360" s="2"/>
      <c r="B5360" s="168" t="s">
        <v>337</v>
      </c>
      <c r="C5360" s="168" t="s">
        <v>5603</v>
      </c>
      <c r="D5360" s="229">
        <v>28.5</v>
      </c>
      <c r="E5360" s="229">
        <v>32.0</v>
      </c>
      <c r="F5360" s="230">
        <v>3.0</v>
      </c>
      <c r="G5360" s="232"/>
    </row>
    <row r="5361">
      <c r="A5361" s="2"/>
      <c r="B5361" s="168" t="s">
        <v>377</v>
      </c>
      <c r="C5361" s="168" t="s">
        <v>5604</v>
      </c>
      <c r="D5361" s="229">
        <v>29.5</v>
      </c>
      <c r="E5361" s="229">
        <v>33.0</v>
      </c>
      <c r="F5361" s="230">
        <v>3.0</v>
      </c>
      <c r="G5361" s="232"/>
    </row>
    <row r="5362">
      <c r="A5362" s="2"/>
      <c r="B5362" s="168" t="s">
        <v>337</v>
      </c>
      <c r="C5362" s="168" t="s">
        <v>5605</v>
      </c>
      <c r="D5362" s="229">
        <v>28.5</v>
      </c>
      <c r="E5362" s="229">
        <v>32.0</v>
      </c>
      <c r="F5362" s="230">
        <v>3.0</v>
      </c>
      <c r="G5362" s="232"/>
    </row>
    <row r="5363">
      <c r="A5363" s="2"/>
      <c r="B5363" s="168" t="s">
        <v>288</v>
      </c>
      <c r="C5363" s="168" t="s">
        <v>5606</v>
      </c>
      <c r="D5363" s="229">
        <v>21.5</v>
      </c>
      <c r="E5363" s="229">
        <v>25.0</v>
      </c>
      <c r="F5363" s="230">
        <v>3.0</v>
      </c>
      <c r="G5363" s="232"/>
    </row>
    <row r="5364">
      <c r="A5364" s="2"/>
      <c r="B5364" s="168" t="s">
        <v>232</v>
      </c>
      <c r="C5364" s="168" t="s">
        <v>5607</v>
      </c>
      <c r="D5364" s="229">
        <v>31.5</v>
      </c>
      <c r="E5364" s="229">
        <v>35.0</v>
      </c>
      <c r="F5364" s="230">
        <v>3.0</v>
      </c>
      <c r="G5364" s="232"/>
    </row>
    <row r="5365">
      <c r="A5365" s="2"/>
      <c r="B5365" s="168" t="s">
        <v>217</v>
      </c>
      <c r="C5365" s="168" t="s">
        <v>5608</v>
      </c>
      <c r="D5365" s="229">
        <v>27.5</v>
      </c>
      <c r="E5365" s="229">
        <v>31.0</v>
      </c>
      <c r="F5365" s="230">
        <v>3.0</v>
      </c>
      <c r="G5365" s="232"/>
    </row>
    <row r="5366">
      <c r="A5366" s="2"/>
      <c r="B5366" s="168" t="s">
        <v>247</v>
      </c>
      <c r="C5366" s="168" t="s">
        <v>5609</v>
      </c>
      <c r="D5366" s="229">
        <v>29.5</v>
      </c>
      <c r="E5366" s="229">
        <v>33.0</v>
      </c>
      <c r="F5366" s="230">
        <v>3.0</v>
      </c>
      <c r="G5366" s="232"/>
    </row>
    <row r="5367">
      <c r="A5367" s="2"/>
      <c r="B5367" s="168" t="s">
        <v>232</v>
      </c>
      <c r="C5367" s="168" t="s">
        <v>5610</v>
      </c>
      <c r="D5367" s="229">
        <v>27.5</v>
      </c>
      <c r="E5367" s="229">
        <v>31.0</v>
      </c>
      <c r="F5367" s="230">
        <v>3.0</v>
      </c>
      <c r="G5367" s="232"/>
    </row>
    <row r="5368">
      <c r="A5368" s="2"/>
      <c r="B5368" s="168" t="s">
        <v>406</v>
      </c>
      <c r="C5368" s="168" t="s">
        <v>5611</v>
      </c>
      <c r="D5368" s="229">
        <v>21.5</v>
      </c>
      <c r="E5368" s="229">
        <v>25.0</v>
      </c>
      <c r="F5368" s="230">
        <v>3.0</v>
      </c>
      <c r="G5368" s="232"/>
    </row>
    <row r="5369">
      <c r="A5369" s="2"/>
      <c r="B5369" s="168" t="s">
        <v>269</v>
      </c>
      <c r="C5369" s="168" t="s">
        <v>5612</v>
      </c>
      <c r="D5369" s="229">
        <v>26.5</v>
      </c>
      <c r="E5369" s="229">
        <v>30.0</v>
      </c>
      <c r="F5369" s="230">
        <v>3.0</v>
      </c>
      <c r="G5369" s="232"/>
    </row>
    <row r="5370">
      <c r="A5370" s="2"/>
      <c r="B5370" s="168" t="s">
        <v>280</v>
      </c>
      <c r="C5370" s="168" t="s">
        <v>280</v>
      </c>
      <c r="D5370" s="229">
        <v>34.5</v>
      </c>
      <c r="E5370" s="229">
        <v>38.0</v>
      </c>
      <c r="F5370" s="230">
        <v>3.0</v>
      </c>
      <c r="G5370" s="232"/>
    </row>
    <row r="5371">
      <c r="A5371" s="2"/>
      <c r="B5371" s="168" t="s">
        <v>217</v>
      </c>
      <c r="C5371" s="168" t="s">
        <v>5613</v>
      </c>
      <c r="D5371" s="229">
        <v>27.5</v>
      </c>
      <c r="E5371" s="229">
        <v>31.0</v>
      </c>
      <c r="F5371" s="230">
        <v>3.0</v>
      </c>
      <c r="G5371" s="232"/>
    </row>
    <row r="5372">
      <c r="A5372" s="2"/>
      <c r="B5372" s="168" t="s">
        <v>288</v>
      </c>
      <c r="C5372" s="168" t="s">
        <v>5614</v>
      </c>
      <c r="D5372" s="229">
        <v>16.5</v>
      </c>
      <c r="E5372" s="229">
        <v>20.0</v>
      </c>
      <c r="F5372" s="230">
        <v>3.0</v>
      </c>
      <c r="G5372" s="232"/>
    </row>
    <row r="5373">
      <c r="A5373" s="2"/>
      <c r="B5373" s="168" t="s">
        <v>328</v>
      </c>
      <c r="C5373" s="168" t="s">
        <v>5615</v>
      </c>
      <c r="D5373" s="229">
        <v>34.5</v>
      </c>
      <c r="E5373" s="229">
        <v>38.0</v>
      </c>
      <c r="F5373" s="230">
        <v>3.0</v>
      </c>
      <c r="G5373" s="232"/>
    </row>
    <row r="5374">
      <c r="A5374" s="2"/>
      <c r="B5374" s="168" t="s">
        <v>1392</v>
      </c>
      <c r="C5374" s="168" t="s">
        <v>5616</v>
      </c>
      <c r="D5374" s="229">
        <v>26.5</v>
      </c>
      <c r="E5374" s="229">
        <v>30.0</v>
      </c>
      <c r="F5374" s="230">
        <v>3.0</v>
      </c>
      <c r="G5374" s="232"/>
    </row>
    <row r="5375">
      <c r="A5375" s="2"/>
      <c r="B5375" s="168" t="s">
        <v>217</v>
      </c>
      <c r="C5375" s="168" t="s">
        <v>5617</v>
      </c>
      <c r="D5375" s="229">
        <v>27.5</v>
      </c>
      <c r="E5375" s="229">
        <v>31.0</v>
      </c>
      <c r="F5375" s="230">
        <v>3.0</v>
      </c>
      <c r="G5375" s="232"/>
    </row>
    <row r="5376">
      <c r="A5376" s="2"/>
      <c r="B5376" s="168" t="s">
        <v>288</v>
      </c>
      <c r="C5376" s="168" t="s">
        <v>5618</v>
      </c>
      <c r="D5376" s="229">
        <v>21.5</v>
      </c>
      <c r="E5376" s="229">
        <v>25.0</v>
      </c>
      <c r="F5376" s="230">
        <v>3.0</v>
      </c>
      <c r="G5376" s="232"/>
    </row>
    <row r="5377">
      <c r="A5377" s="2"/>
      <c r="B5377" s="168" t="s">
        <v>341</v>
      </c>
      <c r="C5377" s="168" t="s">
        <v>5619</v>
      </c>
      <c r="D5377" s="229">
        <v>29.5</v>
      </c>
      <c r="E5377" s="229">
        <v>29.5</v>
      </c>
      <c r="F5377" s="230">
        <v>3.0</v>
      </c>
      <c r="G5377" s="232"/>
    </row>
    <row r="5378">
      <c r="A5378" s="2"/>
      <c r="B5378" s="168" t="s">
        <v>232</v>
      </c>
      <c r="C5378" s="168" t="s">
        <v>5620</v>
      </c>
      <c r="D5378" s="229">
        <v>25.0</v>
      </c>
      <c r="E5378" s="229">
        <v>28.5</v>
      </c>
      <c r="F5378" s="230">
        <v>3.0</v>
      </c>
      <c r="G5378" s="232"/>
    </row>
    <row r="5379">
      <c r="A5379" s="2"/>
      <c r="B5379" s="168" t="s">
        <v>290</v>
      </c>
      <c r="C5379" s="168" t="s">
        <v>5621</v>
      </c>
      <c r="D5379" s="229">
        <v>29.5</v>
      </c>
      <c r="E5379" s="229">
        <v>33.0</v>
      </c>
      <c r="F5379" s="230">
        <v>3.0</v>
      </c>
      <c r="G5379" s="232"/>
    </row>
    <row r="5380">
      <c r="A5380" s="2"/>
      <c r="B5380" s="168" t="s">
        <v>296</v>
      </c>
      <c r="C5380" s="168" t="s">
        <v>5622</v>
      </c>
      <c r="D5380" s="229">
        <v>21.5</v>
      </c>
      <c r="E5380" s="229">
        <v>25.0</v>
      </c>
      <c r="F5380" s="230">
        <v>3.0</v>
      </c>
      <c r="G5380" s="232"/>
    </row>
    <row r="5381">
      <c r="A5381" s="2"/>
      <c r="B5381" s="168" t="s">
        <v>230</v>
      </c>
      <c r="C5381" s="168" t="s">
        <v>5623</v>
      </c>
      <c r="D5381" s="229">
        <v>16.5</v>
      </c>
      <c r="E5381" s="229">
        <v>20.0</v>
      </c>
      <c r="F5381" s="230">
        <v>3.0</v>
      </c>
      <c r="G5381" s="232"/>
    </row>
    <row r="5382">
      <c r="A5382" s="2"/>
      <c r="B5382" s="168" t="s">
        <v>223</v>
      </c>
      <c r="C5382" s="168" t="s">
        <v>5624</v>
      </c>
      <c r="D5382" s="229">
        <v>26.5</v>
      </c>
      <c r="E5382" s="229">
        <v>30.0</v>
      </c>
      <c r="F5382" s="230">
        <v>3.0</v>
      </c>
      <c r="G5382" s="232"/>
    </row>
    <row r="5383">
      <c r="A5383" s="2"/>
      <c r="B5383" s="168" t="s">
        <v>280</v>
      </c>
      <c r="C5383" s="168" t="s">
        <v>5625</v>
      </c>
      <c r="D5383" s="229">
        <v>32.5</v>
      </c>
      <c r="E5383" s="229">
        <v>36.0</v>
      </c>
      <c r="F5383" s="230">
        <v>3.0</v>
      </c>
      <c r="G5383" s="232"/>
    </row>
    <row r="5384">
      <c r="A5384" s="2"/>
      <c r="B5384" s="168" t="s">
        <v>269</v>
      </c>
      <c r="C5384" s="168" t="s">
        <v>5626</v>
      </c>
      <c r="D5384" s="229">
        <v>26.5</v>
      </c>
      <c r="E5384" s="229">
        <v>30.0</v>
      </c>
      <c r="F5384" s="230">
        <v>3.0</v>
      </c>
      <c r="G5384" s="232"/>
    </row>
    <row r="5385">
      <c r="A5385" s="2"/>
      <c r="B5385" s="168" t="s">
        <v>245</v>
      </c>
      <c r="C5385" s="168" t="s">
        <v>5627</v>
      </c>
      <c r="D5385" s="229">
        <v>29.5</v>
      </c>
      <c r="E5385" s="229">
        <v>33.0</v>
      </c>
      <c r="F5385" s="230">
        <v>3.0</v>
      </c>
      <c r="G5385" s="232"/>
    </row>
    <row r="5386">
      <c r="A5386" s="2"/>
      <c r="B5386" s="168" t="s">
        <v>290</v>
      </c>
      <c r="C5386" s="168" t="s">
        <v>5628</v>
      </c>
      <c r="D5386" s="229">
        <v>29.5</v>
      </c>
      <c r="E5386" s="229">
        <v>33.0</v>
      </c>
      <c r="F5386" s="230">
        <v>3.0</v>
      </c>
      <c r="G5386" s="232"/>
    </row>
    <row r="5387">
      <c r="A5387" s="2"/>
      <c r="B5387" s="168" t="s">
        <v>217</v>
      </c>
      <c r="C5387" s="168" t="s">
        <v>5629</v>
      </c>
      <c r="D5387" s="229">
        <v>27.5</v>
      </c>
      <c r="E5387" s="229">
        <v>31.0</v>
      </c>
      <c r="F5387" s="230">
        <v>3.0</v>
      </c>
      <c r="G5387" s="232"/>
    </row>
    <row r="5388">
      <c r="A5388" s="2"/>
      <c r="B5388" s="168" t="s">
        <v>280</v>
      </c>
      <c r="C5388" s="168" t="s">
        <v>5630</v>
      </c>
      <c r="D5388" s="229">
        <v>28.5</v>
      </c>
      <c r="E5388" s="229">
        <v>32.0</v>
      </c>
      <c r="F5388" s="230">
        <v>3.0</v>
      </c>
      <c r="G5388" s="232"/>
    </row>
    <row r="5389">
      <c r="A5389" s="2"/>
      <c r="B5389" s="168" t="s">
        <v>269</v>
      </c>
      <c r="C5389" s="168" t="s">
        <v>5631</v>
      </c>
      <c r="D5389" s="229">
        <v>26.5</v>
      </c>
      <c r="E5389" s="229">
        <v>30.0</v>
      </c>
      <c r="F5389" s="230">
        <v>3.0</v>
      </c>
      <c r="G5389" s="232"/>
    </row>
    <row r="5390">
      <c r="A5390" s="2"/>
      <c r="B5390" s="168" t="s">
        <v>1392</v>
      </c>
      <c r="C5390" s="168" t="s">
        <v>5632</v>
      </c>
      <c r="D5390" s="229">
        <v>26.5</v>
      </c>
      <c r="E5390" s="229">
        <v>30.0</v>
      </c>
      <c r="F5390" s="230">
        <v>3.0</v>
      </c>
      <c r="G5390" s="232"/>
    </row>
    <row r="5391">
      <c r="A5391" s="2"/>
      <c r="B5391" s="168" t="s">
        <v>232</v>
      </c>
      <c r="C5391" s="168" t="s">
        <v>5633</v>
      </c>
      <c r="D5391" s="229">
        <v>27.5</v>
      </c>
      <c r="E5391" s="229">
        <v>31.0</v>
      </c>
      <c r="F5391" s="230">
        <v>3.0</v>
      </c>
      <c r="G5391" s="232"/>
    </row>
    <row r="5392">
      <c r="A5392" s="2"/>
      <c r="B5392" s="168" t="s">
        <v>430</v>
      </c>
      <c r="C5392" s="168" t="s">
        <v>5634</v>
      </c>
      <c r="D5392" s="229">
        <v>34.5</v>
      </c>
      <c r="E5392" s="229">
        <v>38.0</v>
      </c>
      <c r="F5392" s="230">
        <v>3.0</v>
      </c>
      <c r="G5392" s="232"/>
    </row>
    <row r="5393">
      <c r="A5393" s="2"/>
      <c r="B5393" s="168" t="s">
        <v>260</v>
      </c>
      <c r="C5393" s="168" t="s">
        <v>5635</v>
      </c>
      <c r="D5393" s="229">
        <v>28.5</v>
      </c>
      <c r="E5393" s="229">
        <v>32.0</v>
      </c>
      <c r="F5393" s="230">
        <v>3.0</v>
      </c>
      <c r="G5393" s="232"/>
    </row>
    <row r="5394">
      <c r="A5394" s="2"/>
      <c r="B5394" s="168" t="s">
        <v>245</v>
      </c>
      <c r="C5394" s="168" t="s">
        <v>5636</v>
      </c>
      <c r="D5394" s="229">
        <v>24.5</v>
      </c>
      <c r="E5394" s="229">
        <v>28.0</v>
      </c>
      <c r="F5394" s="230">
        <v>3.0</v>
      </c>
      <c r="G5394" s="232"/>
    </row>
    <row r="5395">
      <c r="A5395" s="2"/>
      <c r="B5395" s="168" t="s">
        <v>413</v>
      </c>
      <c r="C5395" s="168" t="s">
        <v>5637</v>
      </c>
      <c r="D5395" s="229">
        <v>29.5</v>
      </c>
      <c r="E5395" s="229">
        <v>33.0</v>
      </c>
      <c r="F5395" s="230">
        <v>3.0</v>
      </c>
      <c r="G5395" s="232"/>
    </row>
    <row r="5396">
      <c r="A5396" s="2"/>
      <c r="B5396" s="168" t="s">
        <v>245</v>
      </c>
      <c r="C5396" s="168" t="s">
        <v>5638</v>
      </c>
      <c r="D5396" s="229">
        <v>29.5</v>
      </c>
      <c r="E5396" s="229">
        <v>33.0</v>
      </c>
      <c r="F5396" s="230">
        <v>3.0</v>
      </c>
      <c r="G5396" s="232"/>
    </row>
    <row r="5397">
      <c r="A5397" s="2"/>
      <c r="B5397" s="168" t="s">
        <v>288</v>
      </c>
      <c r="C5397" s="168" t="s">
        <v>5639</v>
      </c>
      <c r="D5397" s="229">
        <v>21.5</v>
      </c>
      <c r="E5397" s="229">
        <v>25.0</v>
      </c>
      <c r="F5397" s="230">
        <v>3.0</v>
      </c>
      <c r="G5397" s="232"/>
    </row>
    <row r="5398">
      <c r="A5398" s="2"/>
      <c r="B5398" s="168" t="s">
        <v>386</v>
      </c>
      <c r="C5398" s="168" t="s">
        <v>5640</v>
      </c>
      <c r="D5398" s="229">
        <v>34.5</v>
      </c>
      <c r="E5398" s="229">
        <v>38.0</v>
      </c>
      <c r="F5398" s="230">
        <v>3.0</v>
      </c>
      <c r="G5398" s="232"/>
    </row>
    <row r="5399">
      <c r="A5399" s="2"/>
      <c r="B5399" s="168" t="s">
        <v>269</v>
      </c>
      <c r="C5399" s="168" t="s">
        <v>5641</v>
      </c>
      <c r="D5399" s="229">
        <v>26.5</v>
      </c>
      <c r="E5399" s="229">
        <v>30.0</v>
      </c>
      <c r="F5399" s="230">
        <v>3.0</v>
      </c>
      <c r="G5399" s="232"/>
    </row>
    <row r="5400">
      <c r="A5400" s="2"/>
      <c r="B5400" s="168" t="s">
        <v>328</v>
      </c>
      <c r="C5400" s="168" t="s">
        <v>5642</v>
      </c>
      <c r="D5400" s="229">
        <v>34.5</v>
      </c>
      <c r="E5400" s="229">
        <v>38.0</v>
      </c>
      <c r="F5400" s="230">
        <v>3.0</v>
      </c>
      <c r="G5400" s="232"/>
    </row>
    <row r="5401">
      <c r="A5401" s="2"/>
      <c r="B5401" s="168" t="s">
        <v>449</v>
      </c>
      <c r="C5401" s="168" t="s">
        <v>5643</v>
      </c>
      <c r="D5401" s="229">
        <v>28.5</v>
      </c>
      <c r="E5401" s="229">
        <v>32.0</v>
      </c>
      <c r="F5401" s="230">
        <v>3.0</v>
      </c>
      <c r="G5401" s="232"/>
    </row>
    <row r="5402">
      <c r="A5402" s="2"/>
      <c r="B5402" s="168" t="s">
        <v>241</v>
      </c>
      <c r="C5402" s="168" t="s">
        <v>5644</v>
      </c>
      <c r="D5402" s="229">
        <v>32.5</v>
      </c>
      <c r="E5402" s="229">
        <v>36.0</v>
      </c>
      <c r="F5402" s="230">
        <v>3.0</v>
      </c>
      <c r="G5402" s="232"/>
    </row>
    <row r="5403">
      <c r="A5403" s="2"/>
      <c r="B5403" s="168" t="s">
        <v>232</v>
      </c>
      <c r="C5403" s="168" t="s">
        <v>5645</v>
      </c>
      <c r="D5403" s="229">
        <v>25.0</v>
      </c>
      <c r="E5403" s="229">
        <v>28.5</v>
      </c>
      <c r="F5403" s="230">
        <v>3.0</v>
      </c>
      <c r="G5403" s="232"/>
    </row>
    <row r="5404">
      <c r="A5404" s="2"/>
      <c r="B5404" s="168" t="s">
        <v>427</v>
      </c>
      <c r="C5404" s="168" t="s">
        <v>5646</v>
      </c>
      <c r="D5404" s="229">
        <v>26.5</v>
      </c>
      <c r="E5404" s="229">
        <v>30.0</v>
      </c>
      <c r="F5404" s="230">
        <v>3.0</v>
      </c>
      <c r="G5404" s="232"/>
    </row>
    <row r="5405">
      <c r="A5405" s="2"/>
      <c r="B5405" s="168" t="s">
        <v>241</v>
      </c>
      <c r="C5405" s="168" t="s">
        <v>5647</v>
      </c>
      <c r="D5405" s="229">
        <v>32.5</v>
      </c>
      <c r="E5405" s="229">
        <v>36.0</v>
      </c>
      <c r="F5405" s="230">
        <v>3.0</v>
      </c>
      <c r="G5405" s="232"/>
    </row>
    <row r="5406">
      <c r="A5406" s="2"/>
      <c r="B5406" s="168" t="s">
        <v>280</v>
      </c>
      <c r="C5406" s="168" t="s">
        <v>5648</v>
      </c>
      <c r="D5406" s="229">
        <v>34.5</v>
      </c>
      <c r="E5406" s="229">
        <v>38.0</v>
      </c>
      <c r="F5406" s="230">
        <v>3.0</v>
      </c>
      <c r="G5406" s="232"/>
    </row>
    <row r="5407">
      <c r="A5407" s="2"/>
      <c r="B5407" s="168" t="s">
        <v>449</v>
      </c>
      <c r="C5407" s="168" t="s">
        <v>5649</v>
      </c>
      <c r="D5407" s="229">
        <v>28.5</v>
      </c>
      <c r="E5407" s="229">
        <v>32.0</v>
      </c>
      <c r="F5407" s="230">
        <v>3.0</v>
      </c>
      <c r="G5407" s="232"/>
    </row>
    <row r="5408">
      <c r="A5408" s="2"/>
      <c r="B5408" s="168" t="s">
        <v>1432</v>
      </c>
      <c r="C5408" s="168" t="s">
        <v>5650</v>
      </c>
      <c r="D5408" s="229">
        <v>26.5</v>
      </c>
      <c r="E5408" s="229">
        <v>30.0</v>
      </c>
      <c r="F5408" s="230">
        <v>3.0</v>
      </c>
      <c r="G5408" s="232"/>
    </row>
    <row r="5409">
      <c r="A5409" s="2"/>
      <c r="B5409" s="168" t="s">
        <v>720</v>
      </c>
      <c r="C5409" s="168" t="s">
        <v>5651</v>
      </c>
      <c r="D5409" s="229">
        <v>30.5</v>
      </c>
      <c r="E5409" s="229">
        <v>34.0</v>
      </c>
      <c r="F5409" s="230">
        <v>3.0</v>
      </c>
      <c r="G5409" s="232"/>
    </row>
    <row r="5410">
      <c r="A5410" s="2"/>
      <c r="B5410" s="168" t="s">
        <v>332</v>
      </c>
      <c r="C5410" s="168" t="s">
        <v>5652</v>
      </c>
      <c r="D5410" s="229">
        <v>28.5</v>
      </c>
      <c r="E5410" s="229">
        <v>32.0</v>
      </c>
      <c r="F5410" s="230">
        <v>3.0</v>
      </c>
      <c r="G5410" s="232"/>
    </row>
    <row r="5411">
      <c r="A5411" s="2"/>
      <c r="B5411" s="168" t="s">
        <v>615</v>
      </c>
      <c r="C5411" s="168" t="s">
        <v>5653</v>
      </c>
      <c r="D5411" s="229">
        <v>24.5</v>
      </c>
      <c r="E5411" s="229">
        <v>28.0</v>
      </c>
      <c r="F5411" s="230">
        <v>3.0</v>
      </c>
      <c r="G5411" s="232"/>
    </row>
    <row r="5412">
      <c r="A5412" s="2"/>
      <c r="B5412" s="168" t="s">
        <v>245</v>
      </c>
      <c r="C5412" s="168" t="s">
        <v>5654</v>
      </c>
      <c r="D5412" s="229">
        <v>29.5</v>
      </c>
      <c r="E5412" s="229">
        <v>33.0</v>
      </c>
      <c r="F5412" s="230">
        <v>3.0</v>
      </c>
      <c r="G5412" s="232"/>
    </row>
    <row r="5413">
      <c r="A5413" s="2"/>
      <c r="B5413" s="168" t="s">
        <v>413</v>
      </c>
      <c r="C5413" s="168" t="s">
        <v>5655</v>
      </c>
      <c r="D5413" s="229">
        <v>29.5</v>
      </c>
      <c r="E5413" s="229">
        <v>33.0</v>
      </c>
      <c r="F5413" s="230">
        <v>3.0</v>
      </c>
      <c r="G5413" s="232"/>
    </row>
    <row r="5414">
      <c r="A5414" s="2"/>
      <c r="B5414" s="168" t="s">
        <v>337</v>
      </c>
      <c r="C5414" s="168" t="s">
        <v>5656</v>
      </c>
      <c r="D5414" s="229">
        <v>23.5</v>
      </c>
      <c r="E5414" s="229">
        <v>27.0</v>
      </c>
      <c r="F5414" s="230">
        <v>3.0</v>
      </c>
      <c r="G5414" s="232"/>
    </row>
    <row r="5415">
      <c r="A5415" s="2"/>
      <c r="B5415" s="168" t="s">
        <v>217</v>
      </c>
      <c r="C5415" s="168" t="s">
        <v>5657</v>
      </c>
      <c r="D5415" s="229">
        <v>27.5</v>
      </c>
      <c r="E5415" s="229">
        <v>31.0</v>
      </c>
      <c r="F5415" s="230">
        <v>3.0</v>
      </c>
      <c r="G5415" s="232"/>
    </row>
    <row r="5416">
      <c r="A5416" s="2"/>
      <c r="B5416" s="168" t="s">
        <v>255</v>
      </c>
      <c r="C5416" s="168" t="s">
        <v>5658</v>
      </c>
      <c r="D5416" s="229">
        <v>31.5</v>
      </c>
      <c r="E5416" s="229">
        <v>35.0</v>
      </c>
      <c r="F5416" s="230">
        <v>3.0</v>
      </c>
      <c r="G5416" s="232"/>
    </row>
    <row r="5417">
      <c r="A5417" s="2"/>
      <c r="B5417" s="168" t="s">
        <v>271</v>
      </c>
      <c r="C5417" s="168" t="s">
        <v>5659</v>
      </c>
      <c r="D5417" s="229">
        <v>30.5</v>
      </c>
      <c r="E5417" s="229">
        <v>34.0</v>
      </c>
      <c r="F5417" s="230">
        <v>3.0</v>
      </c>
      <c r="G5417" s="232"/>
    </row>
    <row r="5418">
      <c r="A5418" s="2"/>
      <c r="B5418" s="168" t="s">
        <v>217</v>
      </c>
      <c r="C5418" s="168" t="s">
        <v>5660</v>
      </c>
      <c r="D5418" s="229">
        <v>22.5</v>
      </c>
      <c r="E5418" s="229">
        <v>26.0</v>
      </c>
      <c r="F5418" s="230">
        <v>3.0</v>
      </c>
      <c r="G5418" s="232"/>
    </row>
    <row r="5419">
      <c r="A5419" s="2"/>
      <c r="B5419" s="168" t="s">
        <v>221</v>
      </c>
      <c r="C5419" s="168" t="s">
        <v>5661</v>
      </c>
      <c r="D5419" s="229">
        <v>27.5</v>
      </c>
      <c r="E5419" s="229">
        <v>31.0</v>
      </c>
      <c r="F5419" s="230">
        <v>3.0</v>
      </c>
      <c r="G5419" s="232"/>
    </row>
    <row r="5420">
      <c r="A5420" s="2"/>
      <c r="B5420" s="168" t="s">
        <v>328</v>
      </c>
      <c r="C5420" s="168" t="s">
        <v>5662</v>
      </c>
      <c r="D5420" s="229">
        <v>34.5</v>
      </c>
      <c r="E5420" s="229">
        <v>38.0</v>
      </c>
      <c r="F5420" s="230">
        <v>3.0</v>
      </c>
      <c r="G5420" s="232"/>
    </row>
    <row r="5421">
      <c r="A5421" s="2"/>
      <c r="B5421" s="168" t="s">
        <v>296</v>
      </c>
      <c r="C5421" s="168" t="s">
        <v>5663</v>
      </c>
      <c r="D5421" s="229">
        <v>26.5</v>
      </c>
      <c r="E5421" s="229">
        <v>30.0</v>
      </c>
      <c r="F5421" s="230">
        <v>3.0</v>
      </c>
      <c r="G5421" s="232"/>
    </row>
    <row r="5422">
      <c r="A5422" s="2"/>
      <c r="B5422" s="168" t="s">
        <v>377</v>
      </c>
      <c r="C5422" s="168" t="s">
        <v>5664</v>
      </c>
      <c r="D5422" s="229">
        <v>24.5</v>
      </c>
      <c r="E5422" s="229">
        <v>28.0</v>
      </c>
      <c r="F5422" s="230">
        <v>3.0</v>
      </c>
      <c r="G5422" s="232"/>
    </row>
    <row r="5423">
      <c r="A5423" s="2"/>
      <c r="B5423" s="168" t="s">
        <v>217</v>
      </c>
      <c r="C5423" s="168" t="s">
        <v>5665</v>
      </c>
      <c r="D5423" s="229">
        <v>27.5</v>
      </c>
      <c r="E5423" s="229">
        <v>31.0</v>
      </c>
      <c r="F5423" s="230">
        <v>3.0</v>
      </c>
      <c r="G5423" s="232"/>
    </row>
    <row r="5424">
      <c r="A5424" s="2"/>
      <c r="B5424" s="168" t="s">
        <v>296</v>
      </c>
      <c r="C5424" s="168" t="s">
        <v>5666</v>
      </c>
      <c r="D5424" s="229">
        <v>26.5</v>
      </c>
      <c r="E5424" s="229">
        <v>30.0</v>
      </c>
      <c r="F5424" s="230">
        <v>3.0</v>
      </c>
      <c r="G5424" s="232"/>
    </row>
    <row r="5425">
      <c r="A5425" s="2"/>
      <c r="B5425" s="168" t="s">
        <v>269</v>
      </c>
      <c r="C5425" s="168" t="s">
        <v>5667</v>
      </c>
      <c r="D5425" s="229">
        <v>26.5</v>
      </c>
      <c r="E5425" s="229">
        <v>30.0</v>
      </c>
      <c r="F5425" s="230">
        <v>3.0</v>
      </c>
      <c r="G5425" s="232"/>
    </row>
    <row r="5426">
      <c r="A5426" s="2"/>
      <c r="B5426" s="168" t="s">
        <v>335</v>
      </c>
      <c r="C5426" s="168" t="s">
        <v>5668</v>
      </c>
      <c r="D5426" s="229">
        <v>34.5</v>
      </c>
      <c r="E5426" s="229">
        <v>38.0</v>
      </c>
      <c r="F5426" s="230">
        <v>3.0</v>
      </c>
      <c r="G5426" s="232"/>
    </row>
    <row r="5427">
      <c r="A5427" s="2"/>
      <c r="B5427" s="168" t="s">
        <v>720</v>
      </c>
      <c r="C5427" s="168" t="s">
        <v>5669</v>
      </c>
      <c r="D5427" s="229">
        <v>28.5</v>
      </c>
      <c r="E5427" s="229">
        <v>32.0</v>
      </c>
      <c r="F5427" s="230">
        <v>3.0</v>
      </c>
      <c r="G5427" s="232"/>
    </row>
    <row r="5428">
      <c r="A5428" s="2"/>
      <c r="B5428" s="168" t="s">
        <v>296</v>
      </c>
      <c r="C5428" s="168" t="s">
        <v>5670</v>
      </c>
      <c r="D5428" s="229">
        <v>26.5</v>
      </c>
      <c r="E5428" s="229">
        <v>30.0</v>
      </c>
      <c r="F5428" s="230">
        <v>3.0</v>
      </c>
      <c r="G5428" s="232"/>
    </row>
    <row r="5429">
      <c r="A5429" s="2"/>
      <c r="B5429" s="168" t="s">
        <v>217</v>
      </c>
      <c r="C5429" s="168" t="s">
        <v>5671</v>
      </c>
      <c r="D5429" s="229">
        <v>27.5</v>
      </c>
      <c r="E5429" s="229">
        <v>31.0</v>
      </c>
      <c r="F5429" s="230">
        <v>3.0</v>
      </c>
      <c r="G5429" s="232"/>
    </row>
    <row r="5430">
      <c r="A5430" s="2"/>
      <c r="B5430" s="168" t="s">
        <v>318</v>
      </c>
      <c r="C5430" s="168" t="s">
        <v>5672</v>
      </c>
      <c r="D5430" s="229">
        <v>25.5</v>
      </c>
      <c r="E5430" s="229">
        <v>29.0</v>
      </c>
      <c r="F5430" s="230">
        <v>3.0</v>
      </c>
      <c r="G5430" s="232"/>
    </row>
    <row r="5431">
      <c r="A5431" s="2"/>
      <c r="B5431" s="168" t="s">
        <v>255</v>
      </c>
      <c r="C5431" s="168" t="s">
        <v>5673</v>
      </c>
      <c r="D5431" s="229">
        <v>31.5</v>
      </c>
      <c r="E5431" s="229">
        <v>35.0</v>
      </c>
      <c r="F5431" s="230">
        <v>3.0</v>
      </c>
      <c r="G5431" s="232"/>
    </row>
    <row r="5432">
      <c r="A5432" s="2"/>
      <c r="B5432" s="168" t="s">
        <v>296</v>
      </c>
      <c r="C5432" s="168" t="s">
        <v>5674</v>
      </c>
      <c r="D5432" s="229">
        <v>26.5</v>
      </c>
      <c r="E5432" s="229">
        <v>30.0</v>
      </c>
      <c r="F5432" s="230">
        <v>3.0</v>
      </c>
      <c r="G5432" s="232"/>
    </row>
    <row r="5433">
      <c r="A5433" s="2"/>
      <c r="B5433" s="168" t="s">
        <v>273</v>
      </c>
      <c r="C5433" s="168" t="s">
        <v>5675</v>
      </c>
      <c r="D5433" s="229">
        <v>29.5</v>
      </c>
      <c r="E5433" s="229">
        <v>33.0</v>
      </c>
      <c r="F5433" s="230">
        <v>3.0</v>
      </c>
      <c r="G5433" s="232"/>
    </row>
    <row r="5434">
      <c r="A5434" s="2"/>
      <c r="B5434" s="168" t="s">
        <v>332</v>
      </c>
      <c r="C5434" s="168" t="s">
        <v>5676</v>
      </c>
      <c r="D5434" s="229">
        <v>28.5</v>
      </c>
      <c r="E5434" s="229">
        <v>32.0</v>
      </c>
      <c r="F5434" s="230">
        <v>3.0</v>
      </c>
      <c r="G5434" s="232"/>
    </row>
    <row r="5435">
      <c r="A5435" s="2"/>
      <c r="B5435" s="168" t="s">
        <v>337</v>
      </c>
      <c r="C5435" s="168" t="s">
        <v>5677</v>
      </c>
      <c r="D5435" s="229">
        <v>28.5</v>
      </c>
      <c r="E5435" s="229">
        <v>32.0</v>
      </c>
      <c r="F5435" s="230">
        <v>3.0</v>
      </c>
      <c r="G5435" s="232"/>
    </row>
    <row r="5436">
      <c r="A5436" s="2"/>
      <c r="B5436" s="168" t="s">
        <v>241</v>
      </c>
      <c r="C5436" s="168" t="s">
        <v>5678</v>
      </c>
      <c r="D5436" s="229">
        <v>32.5</v>
      </c>
      <c r="E5436" s="229">
        <v>36.0</v>
      </c>
      <c r="F5436" s="230">
        <v>3.0</v>
      </c>
      <c r="G5436" s="232"/>
    </row>
    <row r="5437">
      <c r="A5437" s="2"/>
      <c r="B5437" s="168" t="s">
        <v>375</v>
      </c>
      <c r="C5437" s="168" t="s">
        <v>5679</v>
      </c>
      <c r="D5437" s="229">
        <v>26.5</v>
      </c>
      <c r="E5437" s="229">
        <v>30.0</v>
      </c>
      <c r="F5437" s="230">
        <v>3.0</v>
      </c>
      <c r="G5437" s="232"/>
    </row>
    <row r="5438">
      <c r="A5438" s="2"/>
      <c r="B5438" s="168" t="s">
        <v>217</v>
      </c>
      <c r="C5438" s="168" t="s">
        <v>5680</v>
      </c>
      <c r="D5438" s="229">
        <v>27.5</v>
      </c>
      <c r="E5438" s="229">
        <v>31.0</v>
      </c>
      <c r="F5438" s="230">
        <v>3.0</v>
      </c>
      <c r="G5438" s="232"/>
    </row>
    <row r="5439">
      <c r="A5439" s="2"/>
      <c r="B5439" s="168" t="s">
        <v>260</v>
      </c>
      <c r="C5439" s="168" t="s">
        <v>5681</v>
      </c>
      <c r="D5439" s="229">
        <v>28.5</v>
      </c>
      <c r="E5439" s="229">
        <v>32.0</v>
      </c>
      <c r="F5439" s="230">
        <v>3.0</v>
      </c>
      <c r="G5439" s="232"/>
    </row>
    <row r="5440">
      <c r="A5440" s="2"/>
      <c r="B5440" s="168" t="s">
        <v>260</v>
      </c>
      <c r="C5440" s="168" t="s">
        <v>5682</v>
      </c>
      <c r="D5440" s="229">
        <v>28.5</v>
      </c>
      <c r="E5440" s="229">
        <v>32.0</v>
      </c>
      <c r="F5440" s="230">
        <v>3.0</v>
      </c>
      <c r="G5440" s="232"/>
    </row>
    <row r="5441">
      <c r="A5441" s="2"/>
      <c r="B5441" s="168" t="s">
        <v>290</v>
      </c>
      <c r="C5441" s="168" t="s">
        <v>5683</v>
      </c>
      <c r="D5441" s="229">
        <v>24.5</v>
      </c>
      <c r="E5441" s="229">
        <v>28.0</v>
      </c>
      <c r="F5441" s="230">
        <v>3.0</v>
      </c>
      <c r="G5441" s="232"/>
    </row>
    <row r="5442">
      <c r="A5442" s="2"/>
      <c r="B5442" s="168" t="s">
        <v>296</v>
      </c>
      <c r="C5442" s="168" t="s">
        <v>5684</v>
      </c>
      <c r="D5442" s="229">
        <v>26.5</v>
      </c>
      <c r="E5442" s="229">
        <v>30.0</v>
      </c>
      <c r="F5442" s="230">
        <v>3.0</v>
      </c>
      <c r="G5442" s="232"/>
    </row>
    <row r="5443">
      <c r="A5443" s="2"/>
      <c r="B5443" s="168" t="s">
        <v>280</v>
      </c>
      <c r="C5443" s="168" t="s">
        <v>5685</v>
      </c>
      <c r="D5443" s="229">
        <v>34.5</v>
      </c>
      <c r="E5443" s="229">
        <v>38.0</v>
      </c>
      <c r="F5443" s="230">
        <v>3.0</v>
      </c>
      <c r="G5443" s="232"/>
    </row>
    <row r="5444">
      <c r="A5444" s="2"/>
      <c r="B5444" s="168" t="s">
        <v>288</v>
      </c>
      <c r="C5444" s="168" t="s">
        <v>5686</v>
      </c>
      <c r="D5444" s="229">
        <v>21.5</v>
      </c>
      <c r="E5444" s="229">
        <v>25.0</v>
      </c>
      <c r="F5444" s="230">
        <v>3.0</v>
      </c>
      <c r="G5444" s="232"/>
    </row>
    <row r="5445">
      <c r="A5445" s="2"/>
      <c r="B5445" s="168" t="s">
        <v>271</v>
      </c>
      <c r="C5445" s="168" t="s">
        <v>5687</v>
      </c>
      <c r="D5445" s="229">
        <v>31.5</v>
      </c>
      <c r="E5445" s="229">
        <v>35.0</v>
      </c>
      <c r="F5445" s="230">
        <v>3.0</v>
      </c>
      <c r="G5445" s="232"/>
    </row>
    <row r="5446">
      <c r="A5446" s="2"/>
      <c r="B5446" s="168" t="s">
        <v>269</v>
      </c>
      <c r="C5446" s="168" t="s">
        <v>5688</v>
      </c>
      <c r="D5446" s="229">
        <v>21.5</v>
      </c>
      <c r="E5446" s="229">
        <v>25.0</v>
      </c>
      <c r="F5446" s="230">
        <v>3.0</v>
      </c>
      <c r="G5446" s="232"/>
    </row>
    <row r="5447">
      <c r="A5447" s="2"/>
      <c r="B5447" s="168" t="s">
        <v>381</v>
      </c>
      <c r="C5447" s="168" t="s">
        <v>381</v>
      </c>
      <c r="D5447" s="229">
        <v>28.5</v>
      </c>
      <c r="E5447" s="229">
        <v>32.0</v>
      </c>
      <c r="F5447" s="230">
        <v>3.0</v>
      </c>
      <c r="G5447" s="232"/>
    </row>
    <row r="5448">
      <c r="A5448" s="2"/>
      <c r="B5448" s="168" t="s">
        <v>275</v>
      </c>
      <c r="C5448" s="168" t="s">
        <v>5689</v>
      </c>
      <c r="D5448" s="229">
        <v>26.5</v>
      </c>
      <c r="E5448" s="229">
        <v>30.0</v>
      </c>
      <c r="F5448" s="230">
        <v>3.0</v>
      </c>
      <c r="G5448" s="232"/>
    </row>
    <row r="5449">
      <c r="A5449" s="2"/>
      <c r="B5449" s="168" t="s">
        <v>341</v>
      </c>
      <c r="C5449" s="168" t="s">
        <v>5690</v>
      </c>
      <c r="D5449" s="229">
        <v>29.5</v>
      </c>
      <c r="E5449" s="229">
        <v>29.5</v>
      </c>
      <c r="F5449" s="230">
        <v>3.0</v>
      </c>
      <c r="G5449" s="232"/>
    </row>
    <row r="5450">
      <c r="A5450" s="2"/>
      <c r="B5450" s="168" t="s">
        <v>245</v>
      </c>
      <c r="C5450" s="168" t="s">
        <v>5691</v>
      </c>
      <c r="D5450" s="229">
        <v>29.5</v>
      </c>
      <c r="E5450" s="229">
        <v>33.0</v>
      </c>
      <c r="F5450" s="230">
        <v>3.0</v>
      </c>
      <c r="G5450" s="232"/>
    </row>
    <row r="5451">
      <c r="A5451" s="2"/>
      <c r="B5451" s="168" t="s">
        <v>241</v>
      </c>
      <c r="C5451" s="168" t="s">
        <v>5692</v>
      </c>
      <c r="D5451" s="229">
        <v>32.5</v>
      </c>
      <c r="E5451" s="229">
        <v>36.0</v>
      </c>
      <c r="F5451" s="230">
        <v>3.0</v>
      </c>
      <c r="G5451" s="232"/>
    </row>
    <row r="5452">
      <c r="A5452" s="2"/>
      <c r="B5452" s="168" t="s">
        <v>243</v>
      </c>
      <c r="C5452" s="168" t="s">
        <v>5693</v>
      </c>
      <c r="D5452" s="229">
        <v>29.5</v>
      </c>
      <c r="E5452" s="229">
        <v>33.0</v>
      </c>
      <c r="F5452" s="230">
        <v>3.0</v>
      </c>
      <c r="G5452" s="232"/>
    </row>
    <row r="5453">
      <c r="A5453" s="2"/>
      <c r="B5453" s="168" t="s">
        <v>221</v>
      </c>
      <c r="C5453" s="168" t="s">
        <v>5694</v>
      </c>
      <c r="D5453" s="229">
        <v>27.5</v>
      </c>
      <c r="E5453" s="229">
        <v>31.0</v>
      </c>
      <c r="F5453" s="230">
        <v>3.0</v>
      </c>
      <c r="G5453" s="232"/>
    </row>
    <row r="5454">
      <c r="A5454" s="2"/>
      <c r="B5454" s="168" t="s">
        <v>337</v>
      </c>
      <c r="C5454" s="168" t="s">
        <v>5695</v>
      </c>
      <c r="D5454" s="229">
        <v>28.5</v>
      </c>
      <c r="E5454" s="229">
        <v>32.0</v>
      </c>
      <c r="F5454" s="230">
        <v>3.0</v>
      </c>
      <c r="G5454" s="232"/>
    </row>
    <row r="5455">
      <c r="A5455" s="2"/>
      <c r="B5455" s="168" t="s">
        <v>684</v>
      </c>
      <c r="C5455" s="168" t="s">
        <v>5696</v>
      </c>
      <c r="D5455" s="229">
        <v>25.5</v>
      </c>
      <c r="E5455" s="229">
        <v>29.0</v>
      </c>
      <c r="F5455" s="230">
        <v>3.0</v>
      </c>
      <c r="G5455" s="232"/>
    </row>
    <row r="5456">
      <c r="A5456" s="2"/>
      <c r="B5456" s="168" t="s">
        <v>260</v>
      </c>
      <c r="C5456" s="168" t="s">
        <v>5697</v>
      </c>
      <c r="D5456" s="229">
        <v>28.5</v>
      </c>
      <c r="E5456" s="229">
        <v>32.0</v>
      </c>
      <c r="F5456" s="230">
        <v>3.0</v>
      </c>
      <c r="G5456" s="232"/>
    </row>
    <row r="5457">
      <c r="A5457" s="2"/>
      <c r="B5457" s="168" t="s">
        <v>230</v>
      </c>
      <c r="C5457" s="168" t="s">
        <v>5698</v>
      </c>
      <c r="D5457" s="229">
        <v>21.5</v>
      </c>
      <c r="E5457" s="229">
        <v>25.0</v>
      </c>
      <c r="F5457" s="230">
        <v>3.0</v>
      </c>
      <c r="G5457" s="232"/>
    </row>
    <row r="5458">
      <c r="A5458" s="2"/>
      <c r="B5458" s="168" t="s">
        <v>275</v>
      </c>
      <c r="C5458" s="168" t="s">
        <v>5699</v>
      </c>
      <c r="D5458" s="229">
        <v>26.5</v>
      </c>
      <c r="E5458" s="229">
        <v>30.0</v>
      </c>
      <c r="F5458" s="230">
        <v>3.0</v>
      </c>
      <c r="G5458" s="232"/>
    </row>
    <row r="5459">
      <c r="A5459" s="2"/>
      <c r="B5459" s="168" t="s">
        <v>328</v>
      </c>
      <c r="C5459" s="168" t="s">
        <v>5700</v>
      </c>
      <c r="D5459" s="229">
        <v>34.5</v>
      </c>
      <c r="E5459" s="229">
        <v>38.0</v>
      </c>
      <c r="F5459" s="230">
        <v>3.0</v>
      </c>
      <c r="G5459" s="232"/>
    </row>
    <row r="5460">
      <c r="A5460" s="2"/>
      <c r="B5460" s="168" t="s">
        <v>328</v>
      </c>
      <c r="C5460" s="168" t="s">
        <v>5701</v>
      </c>
      <c r="D5460" s="229">
        <v>34.5</v>
      </c>
      <c r="E5460" s="229">
        <v>38.0</v>
      </c>
      <c r="F5460" s="230">
        <v>3.0</v>
      </c>
      <c r="G5460" s="232"/>
    </row>
    <row r="5461">
      <c r="A5461" s="2"/>
      <c r="B5461" s="168" t="s">
        <v>215</v>
      </c>
      <c r="C5461" s="168" t="s">
        <v>5702</v>
      </c>
      <c r="D5461" s="229">
        <v>27.5</v>
      </c>
      <c r="E5461" s="229">
        <v>31.0</v>
      </c>
      <c r="F5461" s="230">
        <v>3.0</v>
      </c>
      <c r="G5461" s="232"/>
    </row>
    <row r="5462">
      <c r="A5462" s="2"/>
      <c r="B5462" s="168" t="s">
        <v>257</v>
      </c>
      <c r="C5462" s="168" t="s">
        <v>5703</v>
      </c>
      <c r="D5462" s="229">
        <v>28.5</v>
      </c>
      <c r="E5462" s="229">
        <v>32.0</v>
      </c>
      <c r="F5462" s="230">
        <v>3.0</v>
      </c>
      <c r="G5462" s="232"/>
    </row>
    <row r="5463">
      <c r="A5463" s="2"/>
      <c r="B5463" s="168" t="s">
        <v>318</v>
      </c>
      <c r="C5463" s="168" t="s">
        <v>5704</v>
      </c>
      <c r="D5463" s="229">
        <v>25.5</v>
      </c>
      <c r="E5463" s="229">
        <v>29.0</v>
      </c>
      <c r="F5463" s="230">
        <v>3.0</v>
      </c>
      <c r="G5463" s="232"/>
    </row>
    <row r="5464">
      <c r="A5464" s="2"/>
      <c r="B5464" s="168" t="s">
        <v>288</v>
      </c>
      <c r="C5464" s="168" t="s">
        <v>5705</v>
      </c>
      <c r="D5464" s="229">
        <v>21.5</v>
      </c>
      <c r="E5464" s="229">
        <v>25.0</v>
      </c>
      <c r="F5464" s="230">
        <v>3.0</v>
      </c>
      <c r="G5464" s="232"/>
    </row>
    <row r="5465">
      <c r="A5465" s="2"/>
      <c r="B5465" s="168" t="s">
        <v>288</v>
      </c>
      <c r="C5465" s="168" t="s">
        <v>5706</v>
      </c>
      <c r="D5465" s="229">
        <v>21.5</v>
      </c>
      <c r="E5465" s="229">
        <v>25.0</v>
      </c>
      <c r="F5465" s="230">
        <v>3.0</v>
      </c>
      <c r="G5465" s="232"/>
    </row>
    <row r="5466">
      <c r="A5466" s="2"/>
      <c r="B5466" s="168" t="s">
        <v>221</v>
      </c>
      <c r="C5466" s="168" t="s">
        <v>5707</v>
      </c>
      <c r="D5466" s="229">
        <v>27.5</v>
      </c>
      <c r="E5466" s="229">
        <v>31.0</v>
      </c>
      <c r="F5466" s="230">
        <v>3.0</v>
      </c>
      <c r="G5466" s="232"/>
    </row>
    <row r="5467">
      <c r="A5467" s="2"/>
      <c r="B5467" s="168" t="s">
        <v>217</v>
      </c>
      <c r="C5467" s="168" t="s">
        <v>5708</v>
      </c>
      <c r="D5467" s="229">
        <v>27.5</v>
      </c>
      <c r="E5467" s="229">
        <v>31.0</v>
      </c>
      <c r="F5467" s="230">
        <v>3.0</v>
      </c>
      <c r="G5467" s="232"/>
    </row>
    <row r="5468">
      <c r="A5468" s="2"/>
      <c r="B5468" s="168" t="s">
        <v>296</v>
      </c>
      <c r="C5468" s="168" t="s">
        <v>5709</v>
      </c>
      <c r="D5468" s="229">
        <v>26.5</v>
      </c>
      <c r="E5468" s="229">
        <v>30.0</v>
      </c>
      <c r="F5468" s="230">
        <v>3.0</v>
      </c>
      <c r="G5468" s="232"/>
    </row>
    <row r="5469">
      <c r="A5469" s="2"/>
      <c r="B5469" s="168" t="s">
        <v>217</v>
      </c>
      <c r="C5469" s="168" t="s">
        <v>5710</v>
      </c>
      <c r="D5469" s="229">
        <v>27.5</v>
      </c>
      <c r="E5469" s="229">
        <v>31.0</v>
      </c>
      <c r="F5469" s="230">
        <v>3.0</v>
      </c>
      <c r="G5469" s="232"/>
    </row>
    <row r="5470">
      <c r="A5470" s="2"/>
      <c r="B5470" s="168" t="s">
        <v>288</v>
      </c>
      <c r="C5470" s="168" t="s">
        <v>5711</v>
      </c>
      <c r="D5470" s="229">
        <v>21.5</v>
      </c>
      <c r="E5470" s="229">
        <v>25.0</v>
      </c>
      <c r="F5470" s="230">
        <v>3.0</v>
      </c>
      <c r="G5470" s="232"/>
    </row>
    <row r="5471">
      <c r="A5471" s="2"/>
      <c r="B5471" s="168" t="s">
        <v>341</v>
      </c>
      <c r="C5471" s="168" t="s">
        <v>5712</v>
      </c>
      <c r="D5471" s="229">
        <v>29.0</v>
      </c>
      <c r="E5471" s="229">
        <v>29.0</v>
      </c>
      <c r="F5471" s="230">
        <v>3.0</v>
      </c>
      <c r="G5471" s="232"/>
    </row>
    <row r="5472">
      <c r="A5472" s="2"/>
      <c r="B5472" s="168" t="s">
        <v>260</v>
      </c>
      <c r="C5472" s="168" t="s">
        <v>5713</v>
      </c>
      <c r="D5472" s="229">
        <v>28.5</v>
      </c>
      <c r="E5472" s="229">
        <v>32.0</v>
      </c>
      <c r="F5472" s="230">
        <v>3.0</v>
      </c>
      <c r="G5472" s="232"/>
    </row>
    <row r="5473">
      <c r="A5473" s="2"/>
      <c r="B5473" s="168" t="s">
        <v>377</v>
      </c>
      <c r="C5473" s="168" t="s">
        <v>5714</v>
      </c>
      <c r="D5473" s="229">
        <v>29.5</v>
      </c>
      <c r="E5473" s="229">
        <v>33.0</v>
      </c>
      <c r="F5473" s="230">
        <v>3.0</v>
      </c>
      <c r="G5473" s="232"/>
    </row>
    <row r="5474">
      <c r="A5474" s="2"/>
      <c r="B5474" s="168" t="s">
        <v>232</v>
      </c>
      <c r="C5474" s="168" t="s">
        <v>5715</v>
      </c>
      <c r="D5474" s="229">
        <v>25.5</v>
      </c>
      <c r="E5474" s="229">
        <v>29.0</v>
      </c>
      <c r="F5474" s="230">
        <v>3.0</v>
      </c>
      <c r="G5474" s="232"/>
    </row>
    <row r="5475">
      <c r="A5475" s="2"/>
      <c r="B5475" s="168" t="s">
        <v>275</v>
      </c>
      <c r="C5475" s="168" t="s">
        <v>5716</v>
      </c>
      <c r="D5475" s="229">
        <v>26.5</v>
      </c>
      <c r="E5475" s="229">
        <v>30.0</v>
      </c>
      <c r="F5475" s="230">
        <v>3.0</v>
      </c>
      <c r="G5475" s="232"/>
    </row>
    <row r="5476">
      <c r="A5476" s="2"/>
      <c r="B5476" s="168" t="s">
        <v>290</v>
      </c>
      <c r="C5476" s="168" t="s">
        <v>5717</v>
      </c>
      <c r="D5476" s="229">
        <v>29.5</v>
      </c>
      <c r="E5476" s="229">
        <v>33.0</v>
      </c>
      <c r="F5476" s="230">
        <v>3.0</v>
      </c>
      <c r="G5476" s="232"/>
    </row>
    <row r="5477">
      <c r="A5477" s="2"/>
      <c r="B5477" s="168" t="s">
        <v>217</v>
      </c>
      <c r="C5477" s="168" t="s">
        <v>5718</v>
      </c>
      <c r="D5477" s="229">
        <v>27.5</v>
      </c>
      <c r="E5477" s="229">
        <v>31.0</v>
      </c>
      <c r="F5477" s="230">
        <v>3.0</v>
      </c>
      <c r="G5477" s="232"/>
    </row>
    <row r="5478">
      <c r="A5478" s="2"/>
      <c r="B5478" s="168" t="s">
        <v>260</v>
      </c>
      <c r="C5478" s="168" t="s">
        <v>5719</v>
      </c>
      <c r="D5478" s="229">
        <v>28.5</v>
      </c>
      <c r="E5478" s="229">
        <v>32.0</v>
      </c>
      <c r="F5478" s="230">
        <v>3.0</v>
      </c>
      <c r="G5478" s="232"/>
    </row>
    <row r="5479">
      <c r="A5479" s="2"/>
      <c r="B5479" s="168" t="s">
        <v>239</v>
      </c>
      <c r="C5479" s="168" t="s">
        <v>5720</v>
      </c>
      <c r="D5479" s="229">
        <v>29.5</v>
      </c>
      <c r="E5479" s="229">
        <v>33.0</v>
      </c>
      <c r="F5479" s="230">
        <v>3.0</v>
      </c>
      <c r="G5479" s="232"/>
    </row>
    <row r="5480">
      <c r="A5480" s="2"/>
      <c r="B5480" s="168" t="s">
        <v>217</v>
      </c>
      <c r="C5480" s="168" t="s">
        <v>5721</v>
      </c>
      <c r="D5480" s="229">
        <v>27.5</v>
      </c>
      <c r="E5480" s="229">
        <v>31.0</v>
      </c>
      <c r="F5480" s="230">
        <v>3.0</v>
      </c>
      <c r="G5480" s="232"/>
    </row>
    <row r="5481">
      <c r="A5481" s="2"/>
      <c r="B5481" s="168" t="s">
        <v>684</v>
      </c>
      <c r="C5481" s="168" t="s">
        <v>5722</v>
      </c>
      <c r="D5481" s="229">
        <v>25.5</v>
      </c>
      <c r="E5481" s="229">
        <v>29.0</v>
      </c>
      <c r="F5481" s="230">
        <v>3.0</v>
      </c>
      <c r="G5481" s="232"/>
    </row>
    <row r="5482">
      <c r="A5482" s="2"/>
      <c r="B5482" s="168" t="s">
        <v>290</v>
      </c>
      <c r="C5482" s="168" t="s">
        <v>5723</v>
      </c>
      <c r="D5482" s="229">
        <v>29.5</v>
      </c>
      <c r="E5482" s="229">
        <v>33.0</v>
      </c>
      <c r="F5482" s="230">
        <v>3.0</v>
      </c>
      <c r="G5482" s="232"/>
    </row>
    <row r="5483">
      <c r="A5483" s="2"/>
      <c r="B5483" s="168" t="s">
        <v>223</v>
      </c>
      <c r="C5483" s="168" t="s">
        <v>5724</v>
      </c>
      <c r="D5483" s="229">
        <v>26.5</v>
      </c>
      <c r="E5483" s="229">
        <v>30.0</v>
      </c>
      <c r="F5483" s="230">
        <v>3.0</v>
      </c>
      <c r="G5483" s="232"/>
    </row>
    <row r="5484">
      <c r="A5484" s="2"/>
      <c r="B5484" s="168" t="s">
        <v>285</v>
      </c>
      <c r="C5484" s="168" t="s">
        <v>5725</v>
      </c>
      <c r="D5484" s="229">
        <v>24.5</v>
      </c>
      <c r="E5484" s="229">
        <v>28.0</v>
      </c>
      <c r="F5484" s="230">
        <v>3.0</v>
      </c>
      <c r="G5484" s="232"/>
    </row>
    <row r="5485">
      <c r="A5485" s="2"/>
      <c r="B5485" s="168" t="s">
        <v>239</v>
      </c>
      <c r="C5485" s="168" t="s">
        <v>5726</v>
      </c>
      <c r="D5485" s="229">
        <v>29.5</v>
      </c>
      <c r="E5485" s="229">
        <v>33.0</v>
      </c>
      <c r="F5485" s="230">
        <v>3.0</v>
      </c>
      <c r="G5485" s="232"/>
    </row>
    <row r="5486">
      <c r="A5486" s="2"/>
      <c r="B5486" s="168" t="s">
        <v>241</v>
      </c>
      <c r="C5486" s="168" t="s">
        <v>5727</v>
      </c>
      <c r="D5486" s="229">
        <v>32.5</v>
      </c>
      <c r="E5486" s="229">
        <v>36.0</v>
      </c>
      <c r="F5486" s="230">
        <v>3.0</v>
      </c>
      <c r="G5486" s="232"/>
    </row>
    <row r="5487">
      <c r="A5487" s="2"/>
      <c r="B5487" s="168" t="s">
        <v>368</v>
      </c>
      <c r="C5487" s="168" t="s">
        <v>5728</v>
      </c>
      <c r="D5487" s="229">
        <v>32.5</v>
      </c>
      <c r="E5487" s="229">
        <v>36.0</v>
      </c>
      <c r="F5487" s="230">
        <v>3.0</v>
      </c>
      <c r="G5487" s="232"/>
    </row>
    <row r="5488">
      <c r="A5488" s="2"/>
      <c r="B5488" s="168" t="s">
        <v>232</v>
      </c>
      <c r="C5488" s="168" t="s">
        <v>5729</v>
      </c>
      <c r="D5488" s="229">
        <v>30.5</v>
      </c>
      <c r="E5488" s="229">
        <v>34.0</v>
      </c>
      <c r="F5488" s="230">
        <v>3.0</v>
      </c>
      <c r="G5488" s="232"/>
    </row>
    <row r="5489">
      <c r="A5489" s="2"/>
      <c r="B5489" s="168" t="s">
        <v>406</v>
      </c>
      <c r="C5489" s="168" t="s">
        <v>5730</v>
      </c>
      <c r="D5489" s="229">
        <v>21.5</v>
      </c>
      <c r="E5489" s="229">
        <v>25.0</v>
      </c>
      <c r="F5489" s="230">
        <v>3.0</v>
      </c>
      <c r="G5489" s="232"/>
    </row>
    <row r="5490">
      <c r="A5490" s="2"/>
      <c r="B5490" s="168" t="s">
        <v>269</v>
      </c>
      <c r="C5490" s="168" t="s">
        <v>5731</v>
      </c>
      <c r="D5490" s="229">
        <v>26.5</v>
      </c>
      <c r="E5490" s="229">
        <v>30.0</v>
      </c>
      <c r="F5490" s="230">
        <v>3.0</v>
      </c>
      <c r="G5490" s="232"/>
    </row>
    <row r="5491">
      <c r="A5491" s="2"/>
      <c r="B5491" s="168" t="s">
        <v>228</v>
      </c>
      <c r="C5491" s="168" t="s">
        <v>5732</v>
      </c>
      <c r="D5491" s="229">
        <v>19.0</v>
      </c>
      <c r="E5491" s="229">
        <v>19.0</v>
      </c>
      <c r="F5491" s="230">
        <v>3.0</v>
      </c>
      <c r="G5491" s="232"/>
    </row>
    <row r="5492">
      <c r="A5492" s="2"/>
      <c r="B5492" s="168" t="s">
        <v>811</v>
      </c>
      <c r="C5492" s="168" t="s">
        <v>5733</v>
      </c>
      <c r="D5492" s="229">
        <v>29.5</v>
      </c>
      <c r="E5492" s="229">
        <v>33.0</v>
      </c>
      <c r="F5492" s="230">
        <v>3.0</v>
      </c>
      <c r="G5492" s="232"/>
    </row>
    <row r="5493">
      <c r="A5493" s="2"/>
      <c r="B5493" s="168" t="s">
        <v>341</v>
      </c>
      <c r="C5493" s="168" t="s">
        <v>5734</v>
      </c>
      <c r="D5493" s="229">
        <v>29.5</v>
      </c>
      <c r="E5493" s="229">
        <v>29.5</v>
      </c>
      <c r="F5493" s="230">
        <v>3.0</v>
      </c>
      <c r="G5493" s="232"/>
    </row>
    <row r="5494">
      <c r="A5494" s="2"/>
      <c r="B5494" s="168" t="s">
        <v>215</v>
      </c>
      <c r="C5494" s="168" t="s">
        <v>5735</v>
      </c>
      <c r="D5494" s="229">
        <v>25.5</v>
      </c>
      <c r="E5494" s="229">
        <v>29.0</v>
      </c>
      <c r="F5494" s="230">
        <v>3.0</v>
      </c>
      <c r="G5494" s="232"/>
    </row>
    <row r="5495">
      <c r="A5495" s="2"/>
      <c r="B5495" s="168" t="s">
        <v>247</v>
      </c>
      <c r="C5495" s="168" t="s">
        <v>5736</v>
      </c>
      <c r="D5495" s="229">
        <v>29.5</v>
      </c>
      <c r="E5495" s="229">
        <v>33.0</v>
      </c>
      <c r="F5495" s="230">
        <v>3.0</v>
      </c>
      <c r="G5495" s="232"/>
    </row>
    <row r="5496">
      <c r="A5496" s="2"/>
      <c r="B5496" s="168" t="s">
        <v>296</v>
      </c>
      <c r="C5496" s="168" t="s">
        <v>5737</v>
      </c>
      <c r="D5496" s="229">
        <v>26.5</v>
      </c>
      <c r="E5496" s="229">
        <v>30.0</v>
      </c>
      <c r="F5496" s="230">
        <v>3.0</v>
      </c>
      <c r="G5496" s="232"/>
    </row>
    <row r="5497">
      <c r="A5497" s="2"/>
      <c r="B5497" s="168" t="s">
        <v>290</v>
      </c>
      <c r="C5497" s="168" t="s">
        <v>5738</v>
      </c>
      <c r="D5497" s="229">
        <v>29.5</v>
      </c>
      <c r="E5497" s="229">
        <v>33.0</v>
      </c>
      <c r="F5497" s="230">
        <v>3.0</v>
      </c>
      <c r="G5497" s="232"/>
    </row>
    <row r="5498">
      <c r="A5498" s="2"/>
      <c r="B5498" s="168" t="s">
        <v>830</v>
      </c>
      <c r="C5498" s="168" t="s">
        <v>5739</v>
      </c>
      <c r="D5498" s="229">
        <v>24.5</v>
      </c>
      <c r="E5498" s="229">
        <v>28.0</v>
      </c>
      <c r="F5498" s="230">
        <v>3.0</v>
      </c>
      <c r="G5498" s="232"/>
    </row>
    <row r="5499">
      <c r="A5499" s="2"/>
      <c r="B5499" s="168" t="s">
        <v>275</v>
      </c>
      <c r="C5499" s="168" t="s">
        <v>5740</v>
      </c>
      <c r="D5499" s="229">
        <v>26.5</v>
      </c>
      <c r="E5499" s="229">
        <v>30.0</v>
      </c>
      <c r="F5499" s="230">
        <v>3.0</v>
      </c>
      <c r="G5499" s="232"/>
    </row>
    <row r="5500">
      <c r="A5500" s="2"/>
      <c r="B5500" s="168" t="s">
        <v>215</v>
      </c>
      <c r="C5500" s="168" t="s">
        <v>5741</v>
      </c>
      <c r="D5500" s="229">
        <v>27.5</v>
      </c>
      <c r="E5500" s="229">
        <v>31.0</v>
      </c>
      <c r="F5500" s="230">
        <v>3.0</v>
      </c>
      <c r="G5500" s="232"/>
    </row>
    <row r="5501">
      <c r="A5501" s="2"/>
      <c r="B5501" s="168" t="s">
        <v>217</v>
      </c>
      <c r="C5501" s="168" t="s">
        <v>5742</v>
      </c>
      <c r="D5501" s="229">
        <v>22.5</v>
      </c>
      <c r="E5501" s="229">
        <v>26.0</v>
      </c>
      <c r="F5501" s="230">
        <v>3.0</v>
      </c>
      <c r="G5501" s="232"/>
    </row>
    <row r="5502">
      <c r="A5502" s="2"/>
      <c r="B5502" s="168" t="s">
        <v>249</v>
      </c>
      <c r="C5502" s="168" t="s">
        <v>5743</v>
      </c>
      <c r="D5502" s="229">
        <v>3.0</v>
      </c>
      <c r="E5502" s="229">
        <v>3.0</v>
      </c>
      <c r="F5502" s="230">
        <v>3.0</v>
      </c>
      <c r="G5502" s="232"/>
    </row>
    <row r="5503">
      <c r="A5503" s="2"/>
      <c r="B5503" s="168" t="s">
        <v>245</v>
      </c>
      <c r="C5503" s="168" t="s">
        <v>5744</v>
      </c>
      <c r="D5503" s="229">
        <v>29.5</v>
      </c>
      <c r="E5503" s="229">
        <v>33.0</v>
      </c>
      <c r="F5503" s="230">
        <v>3.0</v>
      </c>
      <c r="G5503" s="232"/>
    </row>
    <row r="5504">
      <c r="A5504" s="2"/>
      <c r="B5504" s="168" t="s">
        <v>228</v>
      </c>
      <c r="C5504" s="168" t="s">
        <v>5745</v>
      </c>
      <c r="D5504" s="229">
        <v>26.5</v>
      </c>
      <c r="E5504" s="229">
        <v>26.5</v>
      </c>
      <c r="F5504" s="230">
        <v>3.0</v>
      </c>
      <c r="G5504" s="232"/>
    </row>
    <row r="5505">
      <c r="A5505" s="2"/>
      <c r="B5505" s="168" t="s">
        <v>241</v>
      </c>
      <c r="C5505" s="168" t="s">
        <v>5746</v>
      </c>
      <c r="D5505" s="229">
        <v>27.5</v>
      </c>
      <c r="E5505" s="229">
        <v>31.0</v>
      </c>
      <c r="F5505" s="230">
        <v>3.0</v>
      </c>
      <c r="G5505" s="232"/>
    </row>
    <row r="5506">
      <c r="A5506" s="2"/>
      <c r="B5506" s="168" t="s">
        <v>257</v>
      </c>
      <c r="C5506" s="168" t="s">
        <v>5747</v>
      </c>
      <c r="D5506" s="229">
        <v>28.5</v>
      </c>
      <c r="E5506" s="229">
        <v>32.0</v>
      </c>
      <c r="F5506" s="230">
        <v>3.0</v>
      </c>
      <c r="G5506" s="232"/>
    </row>
    <row r="5507">
      <c r="A5507" s="2"/>
      <c r="B5507" s="168" t="s">
        <v>217</v>
      </c>
      <c r="C5507" s="168" t="s">
        <v>5748</v>
      </c>
      <c r="D5507" s="229">
        <v>27.5</v>
      </c>
      <c r="E5507" s="229">
        <v>31.0</v>
      </c>
      <c r="F5507" s="230">
        <v>3.0</v>
      </c>
      <c r="G5507" s="232"/>
    </row>
    <row r="5508">
      <c r="A5508" s="2"/>
      <c r="B5508" s="168" t="s">
        <v>269</v>
      </c>
      <c r="C5508" s="168" t="s">
        <v>5749</v>
      </c>
      <c r="D5508" s="229">
        <v>26.5</v>
      </c>
      <c r="E5508" s="229">
        <v>30.0</v>
      </c>
      <c r="F5508" s="230">
        <v>3.0</v>
      </c>
      <c r="G5508" s="232"/>
    </row>
    <row r="5509">
      <c r="A5509" s="2"/>
      <c r="B5509" s="168" t="s">
        <v>296</v>
      </c>
      <c r="C5509" s="168" t="s">
        <v>5750</v>
      </c>
      <c r="D5509" s="229">
        <v>26.5</v>
      </c>
      <c r="E5509" s="229">
        <v>30.0</v>
      </c>
      <c r="F5509" s="230">
        <v>3.0</v>
      </c>
      <c r="G5509" s="232"/>
    </row>
    <row r="5510">
      <c r="A5510" s="2"/>
      <c r="B5510" s="168" t="s">
        <v>243</v>
      </c>
      <c r="C5510" s="168" t="s">
        <v>5751</v>
      </c>
      <c r="D5510" s="229">
        <v>29.5</v>
      </c>
      <c r="E5510" s="229">
        <v>33.0</v>
      </c>
      <c r="F5510" s="230">
        <v>3.0</v>
      </c>
      <c r="G5510" s="232"/>
    </row>
    <row r="5511">
      <c r="A5511" s="2"/>
      <c r="B5511" s="168" t="s">
        <v>288</v>
      </c>
      <c r="C5511" s="168" t="s">
        <v>5752</v>
      </c>
      <c r="D5511" s="229">
        <v>21.5</v>
      </c>
      <c r="E5511" s="229">
        <v>25.0</v>
      </c>
      <c r="F5511" s="230">
        <v>3.0</v>
      </c>
      <c r="G5511" s="232"/>
    </row>
    <row r="5512">
      <c r="A5512" s="2"/>
      <c r="B5512" s="168" t="s">
        <v>241</v>
      </c>
      <c r="C5512" s="168" t="s">
        <v>5753</v>
      </c>
      <c r="D5512" s="229">
        <v>27.5</v>
      </c>
      <c r="E5512" s="229">
        <v>31.0</v>
      </c>
      <c r="F5512" s="230">
        <v>3.0</v>
      </c>
      <c r="G5512" s="232"/>
    </row>
    <row r="5513">
      <c r="A5513" s="2"/>
      <c r="B5513" s="168" t="s">
        <v>345</v>
      </c>
      <c r="C5513" s="168" t="s">
        <v>5754</v>
      </c>
      <c r="D5513" s="229">
        <v>26.5</v>
      </c>
      <c r="E5513" s="229">
        <v>30.0</v>
      </c>
      <c r="F5513" s="230">
        <v>3.0</v>
      </c>
      <c r="G5513" s="232"/>
    </row>
    <row r="5514">
      <c r="A5514" s="2"/>
      <c r="B5514" s="168" t="s">
        <v>377</v>
      </c>
      <c r="C5514" s="168" t="s">
        <v>5755</v>
      </c>
      <c r="D5514" s="229">
        <v>29.5</v>
      </c>
      <c r="E5514" s="229">
        <v>33.0</v>
      </c>
      <c r="F5514" s="230">
        <v>3.0</v>
      </c>
      <c r="G5514" s="232"/>
    </row>
    <row r="5515">
      <c r="A5515" s="2"/>
      <c r="B5515" s="168" t="s">
        <v>217</v>
      </c>
      <c r="C5515" s="168" t="s">
        <v>5756</v>
      </c>
      <c r="D5515" s="229">
        <v>27.5</v>
      </c>
      <c r="E5515" s="229">
        <v>31.0</v>
      </c>
      <c r="F5515" s="230">
        <v>3.0</v>
      </c>
      <c r="G5515" s="232"/>
    </row>
    <row r="5516">
      <c r="A5516" s="2"/>
      <c r="B5516" s="168" t="s">
        <v>377</v>
      </c>
      <c r="C5516" s="168" t="s">
        <v>5757</v>
      </c>
      <c r="D5516" s="229">
        <v>29.5</v>
      </c>
      <c r="E5516" s="229">
        <v>33.0</v>
      </c>
      <c r="F5516" s="230">
        <v>3.0</v>
      </c>
      <c r="G5516" s="232"/>
    </row>
    <row r="5517">
      <c r="A5517" s="2"/>
      <c r="B5517" s="168" t="s">
        <v>302</v>
      </c>
      <c r="C5517" s="168" t="s">
        <v>5758</v>
      </c>
      <c r="D5517" s="229">
        <v>34.5</v>
      </c>
      <c r="E5517" s="229">
        <v>38.0</v>
      </c>
      <c r="F5517" s="230">
        <v>3.0</v>
      </c>
      <c r="G5517" s="232"/>
    </row>
    <row r="5518">
      <c r="A5518" s="2"/>
      <c r="B5518" s="168" t="s">
        <v>345</v>
      </c>
      <c r="C5518" s="168" t="s">
        <v>5759</v>
      </c>
      <c r="D5518" s="229">
        <v>26.5</v>
      </c>
      <c r="E5518" s="229">
        <v>30.0</v>
      </c>
      <c r="F5518" s="230">
        <v>3.0</v>
      </c>
      <c r="G5518" s="232"/>
    </row>
    <row r="5519">
      <c r="A5519" s="2"/>
      <c r="B5519" s="168" t="s">
        <v>271</v>
      </c>
      <c r="C5519" s="168" t="s">
        <v>5760</v>
      </c>
      <c r="D5519" s="229">
        <v>31.5</v>
      </c>
      <c r="E5519" s="229">
        <v>35.0</v>
      </c>
      <c r="F5519" s="230">
        <v>3.0</v>
      </c>
      <c r="G5519" s="232"/>
    </row>
    <row r="5520">
      <c r="A5520" s="2"/>
      <c r="B5520" s="168" t="s">
        <v>232</v>
      </c>
      <c r="C5520" s="168" t="s">
        <v>5761</v>
      </c>
      <c r="D5520" s="229">
        <v>25.0</v>
      </c>
      <c r="E5520" s="229">
        <v>28.5</v>
      </c>
      <c r="F5520" s="230">
        <v>3.0</v>
      </c>
      <c r="G5520" s="232"/>
    </row>
    <row r="5521">
      <c r="A5521" s="2"/>
      <c r="B5521" s="168" t="s">
        <v>255</v>
      </c>
      <c r="C5521" s="168" t="s">
        <v>5762</v>
      </c>
      <c r="D5521" s="229">
        <v>31.5</v>
      </c>
      <c r="E5521" s="229">
        <v>35.0</v>
      </c>
      <c r="F5521" s="230">
        <v>3.0</v>
      </c>
      <c r="G5521" s="232"/>
    </row>
    <row r="5522">
      <c r="A5522" s="2"/>
      <c r="B5522" s="168" t="s">
        <v>247</v>
      </c>
      <c r="C5522" s="168" t="s">
        <v>5763</v>
      </c>
      <c r="D5522" s="229">
        <v>28.5</v>
      </c>
      <c r="E5522" s="229">
        <v>32.0</v>
      </c>
      <c r="F5522" s="230">
        <v>3.0</v>
      </c>
      <c r="G5522" s="232"/>
    </row>
    <row r="5523">
      <c r="A5523" s="2"/>
      <c r="B5523" s="168" t="s">
        <v>241</v>
      </c>
      <c r="C5523" s="168" t="s">
        <v>5764</v>
      </c>
      <c r="D5523" s="229">
        <v>27.5</v>
      </c>
      <c r="E5523" s="229">
        <v>31.0</v>
      </c>
      <c r="F5523" s="230">
        <v>3.0</v>
      </c>
      <c r="G5523" s="232"/>
    </row>
    <row r="5524">
      <c r="A5524" s="2"/>
      <c r="B5524" s="168" t="s">
        <v>381</v>
      </c>
      <c r="C5524" s="168" t="s">
        <v>5765</v>
      </c>
      <c r="D5524" s="229">
        <v>27.0</v>
      </c>
      <c r="E5524" s="229">
        <v>30.5</v>
      </c>
      <c r="F5524" s="230">
        <v>3.0</v>
      </c>
      <c r="G5524" s="232"/>
    </row>
    <row r="5525">
      <c r="A5525" s="2"/>
      <c r="B5525" s="168" t="s">
        <v>290</v>
      </c>
      <c r="C5525" s="168" t="s">
        <v>5766</v>
      </c>
      <c r="D5525" s="229">
        <v>29.5</v>
      </c>
      <c r="E5525" s="229">
        <v>33.0</v>
      </c>
      <c r="F5525" s="230">
        <v>3.0</v>
      </c>
      <c r="G5525" s="232"/>
    </row>
    <row r="5526">
      <c r="A5526" s="2"/>
      <c r="B5526" s="168" t="s">
        <v>230</v>
      </c>
      <c r="C5526" s="168" t="s">
        <v>5767</v>
      </c>
      <c r="D5526" s="229">
        <v>21.5</v>
      </c>
      <c r="E5526" s="229">
        <v>25.0</v>
      </c>
      <c r="F5526" s="230">
        <v>3.0</v>
      </c>
      <c r="G5526" s="232"/>
    </row>
    <row r="5527">
      <c r="A5527" s="2"/>
      <c r="B5527" s="168" t="s">
        <v>275</v>
      </c>
      <c r="C5527" s="168" t="s">
        <v>5768</v>
      </c>
      <c r="D5527" s="229">
        <v>26.5</v>
      </c>
      <c r="E5527" s="229">
        <v>30.0</v>
      </c>
      <c r="F5527" s="230">
        <v>3.0</v>
      </c>
      <c r="G5527" s="232"/>
    </row>
    <row r="5528">
      <c r="A5528" s="2"/>
      <c r="B5528" s="168" t="s">
        <v>241</v>
      </c>
      <c r="C5528" s="168" t="s">
        <v>5769</v>
      </c>
      <c r="D5528" s="229">
        <v>27.5</v>
      </c>
      <c r="E5528" s="229">
        <v>31.0</v>
      </c>
      <c r="F5528" s="230">
        <v>3.0</v>
      </c>
      <c r="G5528" s="232"/>
    </row>
    <row r="5529">
      <c r="A5529" s="2"/>
      <c r="B5529" s="168" t="s">
        <v>300</v>
      </c>
      <c r="C5529" s="168" t="s">
        <v>5770</v>
      </c>
      <c r="D5529" s="229">
        <v>28.5</v>
      </c>
      <c r="E5529" s="229">
        <v>32.0</v>
      </c>
      <c r="F5529" s="230">
        <v>3.0</v>
      </c>
      <c r="G5529" s="232"/>
    </row>
    <row r="5530">
      <c r="A5530" s="2"/>
      <c r="B5530" s="168" t="s">
        <v>217</v>
      </c>
      <c r="C5530" s="168" t="s">
        <v>5771</v>
      </c>
      <c r="D5530" s="229">
        <v>22.5</v>
      </c>
      <c r="E5530" s="229">
        <v>26.0</v>
      </c>
      <c r="F5530" s="230">
        <v>3.0</v>
      </c>
      <c r="G5530" s="232"/>
    </row>
    <row r="5531">
      <c r="A5531" s="2"/>
      <c r="B5531" s="168" t="s">
        <v>273</v>
      </c>
      <c r="C5531" s="168" t="s">
        <v>5772</v>
      </c>
      <c r="D5531" s="229">
        <v>24.5</v>
      </c>
      <c r="E5531" s="229">
        <v>28.0</v>
      </c>
      <c r="F5531" s="230">
        <v>3.0</v>
      </c>
      <c r="G5531" s="232"/>
    </row>
    <row r="5532">
      <c r="A5532" s="2"/>
      <c r="B5532" s="168" t="s">
        <v>245</v>
      </c>
      <c r="C5532" s="168" t="s">
        <v>5773</v>
      </c>
      <c r="D5532" s="229">
        <v>29.5</v>
      </c>
      <c r="E5532" s="229">
        <v>33.0</v>
      </c>
      <c r="F5532" s="230">
        <v>3.0</v>
      </c>
      <c r="G5532" s="232"/>
    </row>
    <row r="5533">
      <c r="A5533" s="2"/>
      <c r="B5533" s="168" t="s">
        <v>239</v>
      </c>
      <c r="C5533" s="168" t="s">
        <v>5774</v>
      </c>
      <c r="D5533" s="229">
        <v>29.5</v>
      </c>
      <c r="E5533" s="229">
        <v>33.0</v>
      </c>
      <c r="F5533" s="230">
        <v>3.0</v>
      </c>
      <c r="G5533" s="232"/>
    </row>
    <row r="5534">
      <c r="A5534" s="2"/>
      <c r="B5534" s="168" t="s">
        <v>215</v>
      </c>
      <c r="C5534" s="168" t="s">
        <v>5775</v>
      </c>
      <c r="D5534" s="229">
        <v>19.5</v>
      </c>
      <c r="E5534" s="229">
        <v>23.0</v>
      </c>
      <c r="F5534" s="230">
        <v>3.0</v>
      </c>
      <c r="G5534" s="232"/>
    </row>
    <row r="5535">
      <c r="A5535" s="2"/>
      <c r="B5535" s="168" t="s">
        <v>228</v>
      </c>
      <c r="C5535" s="168" t="s">
        <v>5776</v>
      </c>
      <c r="D5535" s="229">
        <v>26.5</v>
      </c>
      <c r="E5535" s="229">
        <v>26.5</v>
      </c>
      <c r="F5535" s="230">
        <v>3.0</v>
      </c>
      <c r="G5535" s="232"/>
    </row>
    <row r="5536">
      <c r="A5536" s="2"/>
      <c r="B5536" s="168" t="s">
        <v>255</v>
      </c>
      <c r="C5536" s="168" t="s">
        <v>5777</v>
      </c>
      <c r="D5536" s="229">
        <v>31.5</v>
      </c>
      <c r="E5536" s="229">
        <v>35.0</v>
      </c>
      <c r="F5536" s="230">
        <v>3.0</v>
      </c>
      <c r="G5536" s="232"/>
    </row>
    <row r="5537">
      <c r="A5537" s="2"/>
      <c r="B5537" s="168" t="s">
        <v>273</v>
      </c>
      <c r="C5537" s="168" t="s">
        <v>5778</v>
      </c>
      <c r="D5537" s="229">
        <v>29.5</v>
      </c>
      <c r="E5537" s="229">
        <v>33.0</v>
      </c>
      <c r="F5537" s="230">
        <v>3.0</v>
      </c>
      <c r="G5537" s="232"/>
    </row>
    <row r="5538">
      <c r="A5538" s="2"/>
      <c r="B5538" s="168" t="s">
        <v>241</v>
      </c>
      <c r="C5538" s="168" t="s">
        <v>5779</v>
      </c>
      <c r="D5538" s="229">
        <v>32.5</v>
      </c>
      <c r="E5538" s="229">
        <v>36.0</v>
      </c>
      <c r="F5538" s="230">
        <v>3.0</v>
      </c>
      <c r="G5538" s="232"/>
    </row>
    <row r="5539">
      <c r="A5539" s="2"/>
      <c r="B5539" s="168" t="s">
        <v>236</v>
      </c>
      <c r="C5539" s="168" t="s">
        <v>236</v>
      </c>
      <c r="D5539" s="229">
        <v>34.5</v>
      </c>
      <c r="E5539" s="229">
        <v>38.0</v>
      </c>
      <c r="F5539" s="230">
        <v>3.0</v>
      </c>
      <c r="G5539" s="232"/>
    </row>
    <row r="5540">
      <c r="A5540" s="2"/>
      <c r="B5540" s="168" t="s">
        <v>269</v>
      </c>
      <c r="C5540" s="168" t="s">
        <v>5780</v>
      </c>
      <c r="D5540" s="229">
        <v>26.5</v>
      </c>
      <c r="E5540" s="229">
        <v>30.0</v>
      </c>
      <c r="F5540" s="230">
        <v>3.0</v>
      </c>
      <c r="G5540" s="232"/>
    </row>
    <row r="5541">
      <c r="A5541" s="2"/>
      <c r="B5541" s="168" t="s">
        <v>337</v>
      </c>
      <c r="C5541" s="168" t="s">
        <v>5781</v>
      </c>
      <c r="D5541" s="229">
        <v>28.5</v>
      </c>
      <c r="E5541" s="229">
        <v>32.0</v>
      </c>
      <c r="F5541" s="230">
        <v>3.0</v>
      </c>
      <c r="G5541" s="232"/>
    </row>
    <row r="5542">
      <c r="A5542" s="2"/>
      <c r="B5542" s="168" t="s">
        <v>223</v>
      </c>
      <c r="C5542" s="168" t="s">
        <v>5782</v>
      </c>
      <c r="D5542" s="229">
        <v>26.5</v>
      </c>
      <c r="E5542" s="229">
        <v>30.0</v>
      </c>
      <c r="F5542" s="230">
        <v>3.0</v>
      </c>
      <c r="G5542" s="232"/>
    </row>
    <row r="5543">
      <c r="A5543" s="2"/>
      <c r="B5543" s="168" t="s">
        <v>217</v>
      </c>
      <c r="C5543" s="168" t="s">
        <v>5783</v>
      </c>
      <c r="D5543" s="229">
        <v>27.5</v>
      </c>
      <c r="E5543" s="229">
        <v>31.0</v>
      </c>
      <c r="F5543" s="230">
        <v>3.0</v>
      </c>
      <c r="G5543" s="232"/>
    </row>
    <row r="5544">
      <c r="A5544" s="2"/>
      <c r="B5544" s="168" t="s">
        <v>310</v>
      </c>
      <c r="C5544" s="168" t="s">
        <v>5784</v>
      </c>
      <c r="D5544" s="229">
        <v>34.5</v>
      </c>
      <c r="E5544" s="229">
        <v>38.0</v>
      </c>
      <c r="F5544" s="230">
        <v>3.0</v>
      </c>
      <c r="G5544" s="232"/>
    </row>
    <row r="5545">
      <c r="A5545" s="2"/>
      <c r="B5545" s="168" t="s">
        <v>381</v>
      </c>
      <c r="C5545" s="168" t="s">
        <v>5785</v>
      </c>
      <c r="D5545" s="229">
        <v>28.5</v>
      </c>
      <c r="E5545" s="229">
        <v>32.0</v>
      </c>
      <c r="F5545" s="230">
        <v>3.0</v>
      </c>
      <c r="G5545" s="232"/>
    </row>
    <row r="5546">
      <c r="A5546" s="2"/>
      <c r="B5546" s="168" t="s">
        <v>381</v>
      </c>
      <c r="C5546" s="168" t="s">
        <v>5786</v>
      </c>
      <c r="D5546" s="229">
        <v>28.5</v>
      </c>
      <c r="E5546" s="229">
        <v>32.0</v>
      </c>
      <c r="F5546" s="230">
        <v>3.0</v>
      </c>
      <c r="G5546" s="232"/>
    </row>
    <row r="5547">
      <c r="A5547" s="2"/>
      <c r="B5547" s="168" t="s">
        <v>275</v>
      </c>
      <c r="C5547" s="168" t="s">
        <v>5787</v>
      </c>
      <c r="D5547" s="229">
        <v>26.5</v>
      </c>
      <c r="E5547" s="229">
        <v>30.0</v>
      </c>
      <c r="F5547" s="230">
        <v>3.0</v>
      </c>
      <c r="G5547" s="232"/>
    </row>
    <row r="5548">
      <c r="A5548" s="2"/>
      <c r="B5548" s="168" t="s">
        <v>275</v>
      </c>
      <c r="C5548" s="168" t="s">
        <v>5788</v>
      </c>
      <c r="D5548" s="229">
        <v>26.5</v>
      </c>
      <c r="E5548" s="229">
        <v>30.0</v>
      </c>
      <c r="F5548" s="230">
        <v>3.0</v>
      </c>
      <c r="G5548" s="232"/>
    </row>
    <row r="5549">
      <c r="A5549" s="2"/>
      <c r="B5549" s="168" t="s">
        <v>269</v>
      </c>
      <c r="C5549" s="168" t="s">
        <v>5789</v>
      </c>
      <c r="D5549" s="229">
        <v>26.5</v>
      </c>
      <c r="E5549" s="229">
        <v>30.0</v>
      </c>
      <c r="F5549" s="230">
        <v>3.0</v>
      </c>
      <c r="G5549" s="232"/>
    </row>
    <row r="5550">
      <c r="A5550" s="2"/>
      <c r="B5550" s="168" t="s">
        <v>280</v>
      </c>
      <c r="C5550" s="168" t="s">
        <v>5790</v>
      </c>
      <c r="D5550" s="229">
        <v>28.5</v>
      </c>
      <c r="E5550" s="229">
        <v>32.0</v>
      </c>
      <c r="F5550" s="230">
        <v>3.0</v>
      </c>
      <c r="G5550" s="232"/>
    </row>
    <row r="5551">
      <c r="A5551" s="2"/>
      <c r="B5551" s="168" t="s">
        <v>438</v>
      </c>
      <c r="C5551" s="168" t="s">
        <v>5791</v>
      </c>
      <c r="D5551" s="229">
        <v>29.5</v>
      </c>
      <c r="E5551" s="229">
        <v>33.0</v>
      </c>
      <c r="F5551" s="230">
        <v>3.0</v>
      </c>
      <c r="G5551" s="232"/>
    </row>
    <row r="5552">
      <c r="A5552" s="2"/>
      <c r="B5552" s="168" t="s">
        <v>239</v>
      </c>
      <c r="C5552" s="168" t="s">
        <v>5792</v>
      </c>
      <c r="D5552" s="229">
        <v>29.5</v>
      </c>
      <c r="E5552" s="229">
        <v>33.0</v>
      </c>
      <c r="F5552" s="230">
        <v>3.0</v>
      </c>
      <c r="G5552" s="232"/>
    </row>
    <row r="5553">
      <c r="A5553" s="2"/>
      <c r="B5553" s="168" t="s">
        <v>269</v>
      </c>
      <c r="C5553" s="168" t="s">
        <v>5793</v>
      </c>
      <c r="D5553" s="229">
        <v>26.5</v>
      </c>
      <c r="E5553" s="229">
        <v>30.0</v>
      </c>
      <c r="F5553" s="230">
        <v>3.0</v>
      </c>
      <c r="G5553" s="232"/>
    </row>
    <row r="5554">
      <c r="A5554" s="2"/>
      <c r="B5554" s="168" t="s">
        <v>217</v>
      </c>
      <c r="C5554" s="168" t="s">
        <v>5794</v>
      </c>
      <c r="D5554" s="229">
        <v>27.5</v>
      </c>
      <c r="E5554" s="229">
        <v>31.0</v>
      </c>
      <c r="F5554" s="230">
        <v>3.0</v>
      </c>
      <c r="G5554" s="232"/>
    </row>
    <row r="5555">
      <c r="A5555" s="2"/>
      <c r="B5555" s="168" t="s">
        <v>255</v>
      </c>
      <c r="C5555" s="168" t="s">
        <v>5795</v>
      </c>
      <c r="D5555" s="229">
        <v>31.5</v>
      </c>
      <c r="E5555" s="229">
        <v>35.0</v>
      </c>
      <c r="F5555" s="230">
        <v>3.0</v>
      </c>
      <c r="G5555" s="232"/>
    </row>
    <row r="5556">
      <c r="A5556" s="2"/>
      <c r="B5556" s="168" t="s">
        <v>245</v>
      </c>
      <c r="C5556" s="168" t="s">
        <v>5796</v>
      </c>
      <c r="D5556" s="229">
        <v>29.5</v>
      </c>
      <c r="E5556" s="229">
        <v>33.0</v>
      </c>
      <c r="F5556" s="230">
        <v>3.0</v>
      </c>
      <c r="G5556" s="232"/>
    </row>
    <row r="5557">
      <c r="A5557" s="2"/>
      <c r="B5557" s="168" t="s">
        <v>269</v>
      </c>
      <c r="C5557" s="168" t="s">
        <v>5797</v>
      </c>
      <c r="D5557" s="229">
        <v>26.5</v>
      </c>
      <c r="E5557" s="229">
        <v>30.0</v>
      </c>
      <c r="F5557" s="230">
        <v>3.0</v>
      </c>
      <c r="G5557" s="232"/>
    </row>
    <row r="5558">
      <c r="A5558" s="2"/>
      <c r="B5558" s="168" t="s">
        <v>245</v>
      </c>
      <c r="C5558" s="168" t="s">
        <v>5798</v>
      </c>
      <c r="D5558" s="229">
        <v>29.5</v>
      </c>
      <c r="E5558" s="229">
        <v>33.0</v>
      </c>
      <c r="F5558" s="230">
        <v>3.0</v>
      </c>
      <c r="G5558" s="232"/>
    </row>
    <row r="5559">
      <c r="A5559" s="2"/>
      <c r="B5559" s="168" t="s">
        <v>241</v>
      </c>
      <c r="C5559" s="168" t="s">
        <v>5799</v>
      </c>
      <c r="D5559" s="229">
        <v>30.5</v>
      </c>
      <c r="E5559" s="229">
        <v>34.0</v>
      </c>
      <c r="F5559" s="230">
        <v>3.0</v>
      </c>
      <c r="G5559" s="232"/>
    </row>
    <row r="5560">
      <c r="A5560" s="2"/>
      <c r="B5560" s="168" t="s">
        <v>241</v>
      </c>
      <c r="C5560" s="168" t="s">
        <v>5800</v>
      </c>
      <c r="D5560" s="229">
        <v>32.5</v>
      </c>
      <c r="E5560" s="229">
        <v>36.0</v>
      </c>
      <c r="F5560" s="230">
        <v>3.0</v>
      </c>
      <c r="G5560" s="232"/>
    </row>
    <row r="5561">
      <c r="A5561" s="2"/>
      <c r="B5561" s="168" t="s">
        <v>377</v>
      </c>
      <c r="C5561" s="168" t="s">
        <v>5801</v>
      </c>
      <c r="D5561" s="229">
        <v>29.5</v>
      </c>
      <c r="E5561" s="229">
        <v>33.0</v>
      </c>
      <c r="F5561" s="230">
        <v>3.0</v>
      </c>
      <c r="G5561" s="232"/>
    </row>
    <row r="5562">
      <c r="A5562" s="2"/>
      <c r="B5562" s="168" t="s">
        <v>245</v>
      </c>
      <c r="C5562" s="168" t="s">
        <v>5802</v>
      </c>
      <c r="D5562" s="229">
        <v>29.5</v>
      </c>
      <c r="E5562" s="229">
        <v>33.0</v>
      </c>
      <c r="F5562" s="230">
        <v>3.0</v>
      </c>
      <c r="G5562" s="232"/>
    </row>
    <row r="5563">
      <c r="A5563" s="2"/>
      <c r="B5563" s="168" t="s">
        <v>290</v>
      </c>
      <c r="C5563" s="168" t="s">
        <v>5803</v>
      </c>
      <c r="D5563" s="229">
        <v>29.5</v>
      </c>
      <c r="E5563" s="229">
        <v>33.0</v>
      </c>
      <c r="F5563" s="230">
        <v>3.0</v>
      </c>
      <c r="G5563" s="232"/>
    </row>
    <row r="5564">
      <c r="A5564" s="2"/>
      <c r="B5564" s="168" t="s">
        <v>217</v>
      </c>
      <c r="C5564" s="168" t="s">
        <v>5804</v>
      </c>
      <c r="D5564" s="229">
        <v>27.5</v>
      </c>
      <c r="E5564" s="229">
        <v>31.0</v>
      </c>
      <c r="F5564" s="230">
        <v>3.0</v>
      </c>
      <c r="G5564" s="232"/>
    </row>
    <row r="5565">
      <c r="A5565" s="2"/>
      <c r="B5565" s="168" t="s">
        <v>232</v>
      </c>
      <c r="C5565" s="168" t="s">
        <v>5805</v>
      </c>
      <c r="D5565" s="229">
        <v>31.5</v>
      </c>
      <c r="E5565" s="229">
        <v>35.0</v>
      </c>
      <c r="F5565" s="230">
        <v>3.0</v>
      </c>
      <c r="G5565" s="232"/>
    </row>
    <row r="5566">
      <c r="A5566" s="2"/>
      <c r="B5566" s="168" t="s">
        <v>239</v>
      </c>
      <c r="C5566" s="168" t="s">
        <v>5806</v>
      </c>
      <c r="D5566" s="229">
        <v>24.5</v>
      </c>
      <c r="E5566" s="229">
        <v>28.0</v>
      </c>
      <c r="F5566" s="230">
        <v>3.0</v>
      </c>
      <c r="G5566" s="232"/>
    </row>
    <row r="5567">
      <c r="A5567" s="2"/>
      <c r="B5567" s="168" t="s">
        <v>275</v>
      </c>
      <c r="C5567" s="168" t="s">
        <v>5807</v>
      </c>
      <c r="D5567" s="229">
        <v>26.5</v>
      </c>
      <c r="E5567" s="229">
        <v>30.0</v>
      </c>
      <c r="F5567" s="230">
        <v>3.0</v>
      </c>
      <c r="G5567" s="232"/>
    </row>
    <row r="5568">
      <c r="A5568" s="2"/>
      <c r="B5568" s="168" t="s">
        <v>241</v>
      </c>
      <c r="C5568" s="168" t="s">
        <v>5808</v>
      </c>
      <c r="D5568" s="229">
        <v>32.5</v>
      </c>
      <c r="E5568" s="229">
        <v>36.0</v>
      </c>
      <c r="F5568" s="230">
        <v>3.0</v>
      </c>
      <c r="G5568" s="232"/>
    </row>
    <row r="5569">
      <c r="A5569" s="2"/>
      <c r="B5569" s="168" t="s">
        <v>337</v>
      </c>
      <c r="C5569" s="168" t="s">
        <v>5809</v>
      </c>
      <c r="D5569" s="229">
        <v>20.5</v>
      </c>
      <c r="E5569" s="229">
        <v>24.0</v>
      </c>
      <c r="F5569" s="230">
        <v>3.0</v>
      </c>
      <c r="G5569" s="232"/>
    </row>
    <row r="5570">
      <c r="A5570" s="2"/>
      <c r="B5570" s="168" t="s">
        <v>275</v>
      </c>
      <c r="C5570" s="168" t="s">
        <v>5810</v>
      </c>
      <c r="D5570" s="229">
        <v>26.5</v>
      </c>
      <c r="E5570" s="229">
        <v>30.0</v>
      </c>
      <c r="F5570" s="230">
        <v>3.0</v>
      </c>
      <c r="G5570" s="232"/>
    </row>
    <row r="5571">
      <c r="A5571" s="2"/>
      <c r="B5571" s="168" t="s">
        <v>288</v>
      </c>
      <c r="C5571" s="168" t="s">
        <v>288</v>
      </c>
      <c r="D5571" s="229">
        <v>21.5</v>
      </c>
      <c r="E5571" s="229">
        <v>25.0</v>
      </c>
      <c r="F5571" s="230">
        <v>3.0</v>
      </c>
      <c r="G5571" s="232"/>
    </row>
    <row r="5572">
      <c r="A5572" s="2"/>
      <c r="B5572" s="168" t="s">
        <v>241</v>
      </c>
      <c r="C5572" s="168" t="s">
        <v>5811</v>
      </c>
      <c r="D5572" s="229">
        <v>32.5</v>
      </c>
      <c r="E5572" s="229">
        <v>36.0</v>
      </c>
      <c r="F5572" s="230">
        <v>3.0</v>
      </c>
      <c r="G5572" s="232"/>
    </row>
    <row r="5573">
      <c r="A5573" s="2"/>
      <c r="B5573" s="168" t="s">
        <v>232</v>
      </c>
      <c r="C5573" s="168" t="s">
        <v>5812</v>
      </c>
      <c r="D5573" s="229">
        <v>31.5</v>
      </c>
      <c r="E5573" s="229">
        <v>35.0</v>
      </c>
      <c r="F5573" s="230">
        <v>3.0</v>
      </c>
      <c r="G5573" s="232"/>
    </row>
    <row r="5574">
      <c r="A5574" s="2"/>
      <c r="B5574" s="168" t="s">
        <v>260</v>
      </c>
      <c r="C5574" s="168" t="s">
        <v>5813</v>
      </c>
      <c r="D5574" s="229">
        <v>28.5</v>
      </c>
      <c r="E5574" s="229">
        <v>32.0</v>
      </c>
      <c r="F5574" s="230">
        <v>3.0</v>
      </c>
      <c r="G5574" s="232"/>
    </row>
    <row r="5575">
      <c r="A5575" s="2"/>
      <c r="B5575" s="168" t="s">
        <v>241</v>
      </c>
      <c r="C5575" s="168" t="s">
        <v>5814</v>
      </c>
      <c r="D5575" s="229">
        <v>32.5</v>
      </c>
      <c r="E5575" s="229">
        <v>36.0</v>
      </c>
      <c r="F5575" s="230">
        <v>3.0</v>
      </c>
      <c r="G5575" s="232"/>
    </row>
    <row r="5576">
      <c r="A5576" s="2"/>
      <c r="B5576" s="168" t="s">
        <v>290</v>
      </c>
      <c r="C5576" s="168" t="s">
        <v>5815</v>
      </c>
      <c r="D5576" s="229">
        <v>21.5</v>
      </c>
      <c r="E5576" s="229">
        <v>25.0</v>
      </c>
      <c r="F5576" s="230">
        <v>3.0</v>
      </c>
      <c r="G5576" s="232"/>
    </row>
    <row r="5577">
      <c r="A5577" s="2"/>
      <c r="B5577" s="168" t="s">
        <v>615</v>
      </c>
      <c r="C5577" s="168" t="s">
        <v>5816</v>
      </c>
      <c r="D5577" s="229">
        <v>24.5</v>
      </c>
      <c r="E5577" s="229">
        <v>28.0</v>
      </c>
      <c r="F5577" s="230">
        <v>3.0</v>
      </c>
      <c r="G5577" s="232"/>
    </row>
    <row r="5578">
      <c r="A5578" s="2"/>
      <c r="B5578" s="168" t="s">
        <v>217</v>
      </c>
      <c r="C5578" s="168" t="s">
        <v>5817</v>
      </c>
      <c r="D5578" s="229">
        <v>27.5</v>
      </c>
      <c r="E5578" s="229">
        <v>31.0</v>
      </c>
      <c r="F5578" s="230">
        <v>3.0</v>
      </c>
      <c r="G5578" s="232"/>
    </row>
    <row r="5579">
      <c r="A5579" s="2"/>
      <c r="B5579" s="168" t="s">
        <v>341</v>
      </c>
      <c r="C5579" s="168" t="s">
        <v>5818</v>
      </c>
      <c r="D5579" s="229">
        <v>29.5</v>
      </c>
      <c r="E5579" s="229">
        <v>29.5</v>
      </c>
      <c r="F5579" s="230">
        <v>3.0</v>
      </c>
      <c r="G5579" s="232"/>
    </row>
    <row r="5580">
      <c r="A5580" s="2"/>
      <c r="B5580" s="168" t="s">
        <v>302</v>
      </c>
      <c r="C5580" s="168" t="s">
        <v>5819</v>
      </c>
      <c r="D5580" s="229">
        <v>34.5</v>
      </c>
      <c r="E5580" s="229">
        <v>38.0</v>
      </c>
      <c r="F5580" s="230">
        <v>3.0</v>
      </c>
      <c r="G5580" s="232"/>
    </row>
    <row r="5581">
      <c r="A5581" s="2"/>
      <c r="B5581" s="168" t="s">
        <v>337</v>
      </c>
      <c r="C5581" s="168" t="s">
        <v>5820</v>
      </c>
      <c r="D5581" s="229">
        <v>25.5</v>
      </c>
      <c r="E5581" s="229">
        <v>29.0</v>
      </c>
      <c r="F5581" s="230">
        <v>3.0</v>
      </c>
      <c r="G5581" s="232"/>
    </row>
    <row r="5582">
      <c r="A5582" s="2"/>
      <c r="B5582" s="168" t="s">
        <v>282</v>
      </c>
      <c r="C5582" s="168" t="s">
        <v>5821</v>
      </c>
      <c r="D5582" s="229">
        <v>34.5</v>
      </c>
      <c r="E5582" s="229">
        <v>38.0</v>
      </c>
      <c r="F5582" s="230">
        <v>3.0</v>
      </c>
      <c r="G5582" s="232"/>
    </row>
    <row r="5583">
      <c r="A5583" s="2"/>
      <c r="B5583" s="168" t="s">
        <v>232</v>
      </c>
      <c r="C5583" s="168" t="s">
        <v>5822</v>
      </c>
      <c r="D5583" s="229">
        <v>27.5</v>
      </c>
      <c r="E5583" s="229">
        <v>31.0</v>
      </c>
      <c r="F5583" s="230">
        <v>3.0</v>
      </c>
      <c r="G5583" s="232"/>
    </row>
    <row r="5584">
      <c r="A5584" s="2"/>
      <c r="B5584" s="168" t="s">
        <v>241</v>
      </c>
      <c r="C5584" s="168" t="s">
        <v>5823</v>
      </c>
      <c r="D5584" s="229">
        <v>27.5</v>
      </c>
      <c r="E5584" s="229">
        <v>31.0</v>
      </c>
      <c r="F5584" s="230">
        <v>3.0</v>
      </c>
      <c r="G5584" s="232"/>
    </row>
    <row r="5585">
      <c r="A5585" s="2"/>
      <c r="B5585" s="168" t="s">
        <v>232</v>
      </c>
      <c r="C5585" s="168" t="s">
        <v>5824</v>
      </c>
      <c r="D5585" s="229">
        <v>25.5</v>
      </c>
      <c r="E5585" s="229">
        <v>29.0</v>
      </c>
      <c r="F5585" s="230">
        <v>3.0</v>
      </c>
      <c r="G5585" s="232"/>
    </row>
    <row r="5586">
      <c r="A5586" s="2"/>
      <c r="B5586" s="168" t="s">
        <v>257</v>
      </c>
      <c r="C5586" s="168" t="s">
        <v>5825</v>
      </c>
      <c r="D5586" s="229">
        <v>28.5</v>
      </c>
      <c r="E5586" s="229">
        <v>32.0</v>
      </c>
      <c r="F5586" s="230">
        <v>3.0</v>
      </c>
      <c r="G5586" s="232"/>
    </row>
    <row r="5587">
      <c r="A5587" s="2"/>
      <c r="B5587" s="168" t="s">
        <v>348</v>
      </c>
      <c r="C5587" s="168" t="s">
        <v>5826</v>
      </c>
      <c r="D5587" s="229">
        <v>24.5</v>
      </c>
      <c r="E5587" s="229">
        <v>28.0</v>
      </c>
      <c r="F5587" s="230">
        <v>3.0</v>
      </c>
      <c r="G5587" s="232"/>
    </row>
    <row r="5588">
      <c r="A5588" s="2"/>
      <c r="B5588" s="168" t="s">
        <v>232</v>
      </c>
      <c r="C5588" s="168" t="s">
        <v>5827</v>
      </c>
      <c r="D5588" s="229">
        <v>25.5</v>
      </c>
      <c r="E5588" s="229">
        <v>29.0</v>
      </c>
      <c r="F5588" s="230">
        <v>3.0</v>
      </c>
      <c r="G5588" s="232"/>
    </row>
    <row r="5589">
      <c r="A5589" s="2"/>
      <c r="B5589" s="168" t="s">
        <v>273</v>
      </c>
      <c r="C5589" s="168" t="s">
        <v>5828</v>
      </c>
      <c r="D5589" s="229">
        <v>24.5</v>
      </c>
      <c r="E5589" s="229">
        <v>28.0</v>
      </c>
      <c r="F5589" s="230">
        <v>3.0</v>
      </c>
      <c r="G5589" s="232"/>
    </row>
    <row r="5590">
      <c r="A5590" s="2"/>
      <c r="B5590" s="168" t="s">
        <v>275</v>
      </c>
      <c r="C5590" s="168" t="s">
        <v>5829</v>
      </c>
      <c r="D5590" s="229">
        <v>26.5</v>
      </c>
      <c r="E5590" s="229">
        <v>30.0</v>
      </c>
      <c r="F5590" s="230">
        <v>3.0</v>
      </c>
      <c r="G5590" s="232"/>
    </row>
    <row r="5591">
      <c r="A5591" s="2"/>
      <c r="B5591" s="168" t="s">
        <v>1392</v>
      </c>
      <c r="C5591" s="168" t="s">
        <v>5830</v>
      </c>
      <c r="D5591" s="229">
        <v>26.5</v>
      </c>
      <c r="E5591" s="229">
        <v>30.0</v>
      </c>
      <c r="F5591" s="230">
        <v>3.0</v>
      </c>
      <c r="G5591" s="232"/>
    </row>
    <row r="5592">
      <c r="A5592" s="2"/>
      <c r="B5592" s="168" t="s">
        <v>232</v>
      </c>
      <c r="C5592" s="168" t="s">
        <v>5831</v>
      </c>
      <c r="D5592" s="229">
        <v>32.0</v>
      </c>
      <c r="E5592" s="229">
        <v>35.5</v>
      </c>
      <c r="F5592" s="230">
        <v>3.0</v>
      </c>
      <c r="G5592" s="232"/>
    </row>
    <row r="5593">
      <c r="A5593" s="2"/>
      <c r="B5593" s="168" t="s">
        <v>290</v>
      </c>
      <c r="C5593" s="168" t="s">
        <v>5832</v>
      </c>
      <c r="D5593" s="229">
        <v>29.5</v>
      </c>
      <c r="E5593" s="229">
        <v>33.0</v>
      </c>
      <c r="F5593" s="230">
        <v>3.0</v>
      </c>
      <c r="G5593" s="232"/>
    </row>
    <row r="5594">
      <c r="A5594" s="2"/>
      <c r="B5594" s="168" t="s">
        <v>446</v>
      </c>
      <c r="C5594" s="168" t="s">
        <v>5833</v>
      </c>
      <c r="D5594" s="229">
        <v>4.5</v>
      </c>
      <c r="E5594" s="229">
        <v>4.5</v>
      </c>
      <c r="F5594" s="230">
        <v>3.0</v>
      </c>
      <c r="G5594" s="232"/>
    </row>
    <row r="5595">
      <c r="A5595" s="2"/>
      <c r="B5595" s="168" t="s">
        <v>247</v>
      </c>
      <c r="C5595" s="168" t="s">
        <v>5834</v>
      </c>
      <c r="D5595" s="229">
        <v>29.5</v>
      </c>
      <c r="E5595" s="229">
        <v>33.0</v>
      </c>
      <c r="F5595" s="230">
        <v>3.0</v>
      </c>
      <c r="G5595" s="232"/>
    </row>
    <row r="5596">
      <c r="A5596" s="2"/>
      <c r="B5596" s="168" t="s">
        <v>430</v>
      </c>
      <c r="C5596" s="168" t="s">
        <v>5835</v>
      </c>
      <c r="D5596" s="229">
        <v>34.5</v>
      </c>
      <c r="E5596" s="229">
        <v>38.0</v>
      </c>
      <c r="F5596" s="230">
        <v>3.0</v>
      </c>
      <c r="G5596" s="232"/>
    </row>
    <row r="5597">
      <c r="A5597" s="2"/>
      <c r="B5597" s="168" t="s">
        <v>232</v>
      </c>
      <c r="C5597" s="168" t="s">
        <v>5836</v>
      </c>
      <c r="D5597" s="229">
        <v>32.5</v>
      </c>
      <c r="E5597" s="229">
        <v>36.0</v>
      </c>
      <c r="F5597" s="230">
        <v>3.0</v>
      </c>
      <c r="G5597" s="232"/>
    </row>
    <row r="5598">
      <c r="A5598" s="2"/>
      <c r="B5598" s="168" t="s">
        <v>269</v>
      </c>
      <c r="C5598" s="168" t="s">
        <v>5837</v>
      </c>
      <c r="D5598" s="229">
        <v>26.5</v>
      </c>
      <c r="E5598" s="229">
        <v>30.0</v>
      </c>
      <c r="F5598" s="230">
        <v>3.0</v>
      </c>
      <c r="G5598" s="232"/>
    </row>
    <row r="5599">
      <c r="A5599" s="2"/>
      <c r="B5599" s="168" t="s">
        <v>255</v>
      </c>
      <c r="C5599" s="168" t="s">
        <v>5838</v>
      </c>
      <c r="D5599" s="229">
        <v>31.5</v>
      </c>
      <c r="E5599" s="229">
        <v>35.0</v>
      </c>
      <c r="F5599" s="230">
        <v>3.0</v>
      </c>
      <c r="G5599" s="232"/>
    </row>
    <row r="5600">
      <c r="A5600" s="2"/>
      <c r="B5600" s="168" t="s">
        <v>245</v>
      </c>
      <c r="C5600" s="168" t="s">
        <v>5839</v>
      </c>
      <c r="D5600" s="229">
        <v>29.0</v>
      </c>
      <c r="E5600" s="229">
        <v>32.5</v>
      </c>
      <c r="F5600" s="230">
        <v>3.0</v>
      </c>
      <c r="G5600" s="232"/>
    </row>
    <row r="5601">
      <c r="A5601" s="2"/>
      <c r="B5601" s="168" t="s">
        <v>232</v>
      </c>
      <c r="C5601" s="168" t="s">
        <v>5840</v>
      </c>
      <c r="D5601" s="229">
        <v>25.5</v>
      </c>
      <c r="E5601" s="229">
        <v>29.0</v>
      </c>
      <c r="F5601" s="230">
        <v>3.0</v>
      </c>
      <c r="G5601" s="232"/>
    </row>
    <row r="5602">
      <c r="A5602" s="2"/>
      <c r="B5602" s="168" t="s">
        <v>290</v>
      </c>
      <c r="C5602" s="168" t="s">
        <v>5841</v>
      </c>
      <c r="D5602" s="229">
        <v>29.5</v>
      </c>
      <c r="E5602" s="229">
        <v>33.0</v>
      </c>
      <c r="F5602" s="230">
        <v>3.0</v>
      </c>
      <c r="G5602" s="232"/>
    </row>
    <row r="5603">
      <c r="A5603" s="2"/>
      <c r="B5603" s="168" t="s">
        <v>273</v>
      </c>
      <c r="C5603" s="168" t="s">
        <v>5842</v>
      </c>
      <c r="D5603" s="229">
        <v>29.5</v>
      </c>
      <c r="E5603" s="229">
        <v>33.0</v>
      </c>
      <c r="F5603" s="230">
        <v>3.0</v>
      </c>
      <c r="G5603" s="232"/>
    </row>
    <row r="5604">
      <c r="A5604" s="2"/>
      <c r="B5604" s="168" t="s">
        <v>296</v>
      </c>
      <c r="C5604" s="168" t="s">
        <v>5843</v>
      </c>
      <c r="D5604" s="229">
        <v>26.0</v>
      </c>
      <c r="E5604" s="229">
        <v>29.5</v>
      </c>
      <c r="F5604" s="230">
        <v>3.0</v>
      </c>
      <c r="G5604" s="232"/>
    </row>
    <row r="5605">
      <c r="A5605" s="2"/>
      <c r="B5605" s="168" t="s">
        <v>288</v>
      </c>
      <c r="C5605" s="168" t="s">
        <v>5844</v>
      </c>
      <c r="D5605" s="229">
        <v>21.5</v>
      </c>
      <c r="E5605" s="229">
        <v>25.0</v>
      </c>
      <c r="F5605" s="230">
        <v>3.0</v>
      </c>
      <c r="G5605" s="232"/>
    </row>
    <row r="5606">
      <c r="A5606" s="2"/>
      <c r="B5606" s="168" t="s">
        <v>290</v>
      </c>
      <c r="C5606" s="168" t="s">
        <v>5845</v>
      </c>
      <c r="D5606" s="229">
        <v>26.5</v>
      </c>
      <c r="E5606" s="229">
        <v>30.0</v>
      </c>
      <c r="F5606" s="230">
        <v>3.0</v>
      </c>
      <c r="G5606" s="232"/>
    </row>
    <row r="5607">
      <c r="A5607" s="2"/>
      <c r="B5607" s="168" t="s">
        <v>232</v>
      </c>
      <c r="C5607" s="168" t="s">
        <v>5846</v>
      </c>
      <c r="D5607" s="229">
        <v>25.5</v>
      </c>
      <c r="E5607" s="229">
        <v>29.0</v>
      </c>
      <c r="F5607" s="230">
        <v>3.0</v>
      </c>
      <c r="G5607" s="232"/>
    </row>
    <row r="5608">
      <c r="A5608" s="2"/>
      <c r="B5608" s="168" t="s">
        <v>239</v>
      </c>
      <c r="C5608" s="168" t="s">
        <v>5847</v>
      </c>
      <c r="D5608" s="229">
        <v>24.5</v>
      </c>
      <c r="E5608" s="229">
        <v>28.0</v>
      </c>
      <c r="F5608" s="230">
        <v>3.0</v>
      </c>
      <c r="G5608" s="232"/>
    </row>
    <row r="5609">
      <c r="A5609" s="2"/>
      <c r="B5609" s="168" t="s">
        <v>290</v>
      </c>
      <c r="C5609" s="168" t="s">
        <v>5848</v>
      </c>
      <c r="D5609" s="229">
        <v>29.5</v>
      </c>
      <c r="E5609" s="229">
        <v>33.0</v>
      </c>
      <c r="F5609" s="230">
        <v>3.0</v>
      </c>
      <c r="G5609" s="232"/>
    </row>
    <row r="5610">
      <c r="A5610" s="2"/>
      <c r="B5610" s="168" t="s">
        <v>260</v>
      </c>
      <c r="C5610" s="168" t="s">
        <v>5849</v>
      </c>
      <c r="D5610" s="229">
        <v>28.5</v>
      </c>
      <c r="E5610" s="229">
        <v>32.0</v>
      </c>
      <c r="F5610" s="230">
        <v>3.0</v>
      </c>
      <c r="G5610" s="232"/>
    </row>
    <row r="5611">
      <c r="A5611" s="2"/>
      <c r="B5611" s="168" t="s">
        <v>328</v>
      </c>
      <c r="C5611" s="168" t="s">
        <v>5850</v>
      </c>
      <c r="D5611" s="229">
        <v>34.5</v>
      </c>
      <c r="E5611" s="229">
        <v>38.0</v>
      </c>
      <c r="F5611" s="230">
        <v>3.0</v>
      </c>
      <c r="G5611" s="232"/>
    </row>
    <row r="5612">
      <c r="A5612" s="2"/>
      <c r="B5612" s="168" t="s">
        <v>296</v>
      </c>
      <c r="C5612" s="168" t="s">
        <v>5851</v>
      </c>
      <c r="D5612" s="229">
        <v>26.5</v>
      </c>
      <c r="E5612" s="229">
        <v>30.0</v>
      </c>
      <c r="F5612" s="230">
        <v>3.0</v>
      </c>
      <c r="G5612" s="232"/>
    </row>
    <row r="5613">
      <c r="A5613" s="2"/>
      <c r="B5613" s="168" t="s">
        <v>318</v>
      </c>
      <c r="C5613" s="168" t="s">
        <v>5852</v>
      </c>
      <c r="D5613" s="229">
        <v>25.5</v>
      </c>
      <c r="E5613" s="229">
        <v>29.0</v>
      </c>
      <c r="F5613" s="230">
        <v>3.0</v>
      </c>
      <c r="G5613" s="232"/>
    </row>
    <row r="5614">
      <c r="A5614" s="2"/>
      <c r="B5614" s="168" t="s">
        <v>449</v>
      </c>
      <c r="C5614" s="168" t="s">
        <v>5853</v>
      </c>
      <c r="D5614" s="229">
        <v>28.5</v>
      </c>
      <c r="E5614" s="229">
        <v>32.0</v>
      </c>
      <c r="F5614" s="230">
        <v>3.0</v>
      </c>
      <c r="G5614" s="232"/>
    </row>
    <row r="5615">
      <c r="A5615" s="2"/>
      <c r="B5615" s="168" t="s">
        <v>1329</v>
      </c>
      <c r="C5615" s="168" t="s">
        <v>5854</v>
      </c>
      <c r="D5615" s="229">
        <v>26.5</v>
      </c>
      <c r="E5615" s="229">
        <v>30.0</v>
      </c>
      <c r="F5615" s="230">
        <v>3.0</v>
      </c>
      <c r="G5615" s="232"/>
    </row>
    <row r="5616">
      <c r="A5616" s="2"/>
      <c r="B5616" s="168" t="s">
        <v>337</v>
      </c>
      <c r="C5616" s="168" t="s">
        <v>5855</v>
      </c>
      <c r="D5616" s="229">
        <v>24.5</v>
      </c>
      <c r="E5616" s="229">
        <v>28.0</v>
      </c>
      <c r="F5616" s="230">
        <v>3.0</v>
      </c>
      <c r="G5616" s="232"/>
    </row>
    <row r="5617">
      <c r="A5617" s="2"/>
      <c r="B5617" s="168" t="s">
        <v>330</v>
      </c>
      <c r="C5617" s="168" t="s">
        <v>5856</v>
      </c>
      <c r="D5617" s="229">
        <v>24.5</v>
      </c>
      <c r="E5617" s="229">
        <v>28.0</v>
      </c>
      <c r="F5617" s="230">
        <v>3.0</v>
      </c>
      <c r="G5617" s="232"/>
    </row>
    <row r="5618">
      <c r="A5618" s="2"/>
      <c r="B5618" s="168" t="s">
        <v>217</v>
      </c>
      <c r="C5618" s="168" t="s">
        <v>5857</v>
      </c>
      <c r="D5618" s="229">
        <v>27.5</v>
      </c>
      <c r="E5618" s="229">
        <v>31.0</v>
      </c>
      <c r="F5618" s="230">
        <v>3.0</v>
      </c>
      <c r="G5618" s="232"/>
    </row>
    <row r="5619">
      <c r="A5619" s="2"/>
      <c r="B5619" s="168" t="s">
        <v>247</v>
      </c>
      <c r="C5619" s="168" t="s">
        <v>5858</v>
      </c>
      <c r="D5619" s="229">
        <v>29.5</v>
      </c>
      <c r="E5619" s="229">
        <v>33.0</v>
      </c>
      <c r="F5619" s="230">
        <v>3.0</v>
      </c>
      <c r="G5619" s="232"/>
    </row>
    <row r="5620">
      <c r="A5620" s="2"/>
      <c r="B5620" s="168" t="s">
        <v>217</v>
      </c>
      <c r="C5620" s="168" t="s">
        <v>5859</v>
      </c>
      <c r="D5620" s="229">
        <v>27.5</v>
      </c>
      <c r="E5620" s="229">
        <v>31.0</v>
      </c>
      <c r="F5620" s="230">
        <v>3.0</v>
      </c>
      <c r="G5620" s="232"/>
    </row>
    <row r="5621">
      <c r="A5621" s="2"/>
      <c r="B5621" s="168" t="s">
        <v>446</v>
      </c>
      <c r="C5621" s="168" t="s">
        <v>5860</v>
      </c>
      <c r="D5621" s="229">
        <v>4.5</v>
      </c>
      <c r="E5621" s="229">
        <v>4.5</v>
      </c>
      <c r="F5621" s="230">
        <v>3.0</v>
      </c>
      <c r="G5621" s="232"/>
    </row>
    <row r="5622">
      <c r="A5622" s="2"/>
      <c r="B5622" s="168" t="s">
        <v>217</v>
      </c>
      <c r="C5622" s="168" t="s">
        <v>5861</v>
      </c>
      <c r="D5622" s="229">
        <v>27.5</v>
      </c>
      <c r="E5622" s="229">
        <v>31.0</v>
      </c>
      <c r="F5622" s="230">
        <v>3.0</v>
      </c>
      <c r="G5622" s="232"/>
    </row>
    <row r="5623">
      <c r="A5623" s="2"/>
      <c r="B5623" s="168" t="s">
        <v>255</v>
      </c>
      <c r="C5623" s="168" t="s">
        <v>5862</v>
      </c>
      <c r="D5623" s="229">
        <v>31.5</v>
      </c>
      <c r="E5623" s="229">
        <v>35.0</v>
      </c>
      <c r="F5623" s="230">
        <v>3.0</v>
      </c>
      <c r="G5623" s="232"/>
    </row>
    <row r="5624">
      <c r="A5624" s="2"/>
      <c r="B5624" s="168" t="s">
        <v>337</v>
      </c>
      <c r="C5624" s="168" t="s">
        <v>5863</v>
      </c>
      <c r="D5624" s="229">
        <v>20.5</v>
      </c>
      <c r="E5624" s="229">
        <v>24.0</v>
      </c>
      <c r="F5624" s="230">
        <v>3.0</v>
      </c>
      <c r="G5624" s="232"/>
    </row>
    <row r="5625">
      <c r="A5625" s="2"/>
      <c r="B5625" s="168" t="s">
        <v>245</v>
      </c>
      <c r="C5625" s="168" t="s">
        <v>5864</v>
      </c>
      <c r="D5625" s="229">
        <v>29.5</v>
      </c>
      <c r="E5625" s="229">
        <v>33.0</v>
      </c>
      <c r="F5625" s="230">
        <v>3.0</v>
      </c>
      <c r="G5625" s="232"/>
    </row>
    <row r="5626">
      <c r="A5626" s="2"/>
      <c r="B5626" s="168" t="s">
        <v>377</v>
      </c>
      <c r="C5626" s="168" t="s">
        <v>5865</v>
      </c>
      <c r="D5626" s="229">
        <v>29.5</v>
      </c>
      <c r="E5626" s="229">
        <v>33.0</v>
      </c>
      <c r="F5626" s="230">
        <v>3.0</v>
      </c>
      <c r="G5626" s="232"/>
    </row>
    <row r="5627">
      <c r="A5627" s="2"/>
      <c r="B5627" s="168" t="s">
        <v>241</v>
      </c>
      <c r="C5627" s="168" t="s">
        <v>5866</v>
      </c>
      <c r="D5627" s="229">
        <v>32.5</v>
      </c>
      <c r="E5627" s="229">
        <v>36.0</v>
      </c>
      <c r="F5627" s="230">
        <v>3.0</v>
      </c>
      <c r="G5627" s="232"/>
    </row>
    <row r="5628">
      <c r="A5628" s="2"/>
      <c r="B5628" s="168" t="s">
        <v>221</v>
      </c>
      <c r="C5628" s="168" t="s">
        <v>5867</v>
      </c>
      <c r="D5628" s="229">
        <v>27.5</v>
      </c>
      <c r="E5628" s="229">
        <v>31.0</v>
      </c>
      <c r="F5628" s="230">
        <v>3.0</v>
      </c>
      <c r="G5628" s="232"/>
    </row>
    <row r="5629">
      <c r="A5629" s="2"/>
      <c r="B5629" s="168" t="s">
        <v>241</v>
      </c>
      <c r="C5629" s="168" t="s">
        <v>5868</v>
      </c>
      <c r="D5629" s="229">
        <v>31.5</v>
      </c>
      <c r="E5629" s="229">
        <v>35.0</v>
      </c>
      <c r="F5629" s="230">
        <v>3.0</v>
      </c>
      <c r="G5629" s="232"/>
    </row>
    <row r="5630">
      <c r="A5630" s="2"/>
      <c r="B5630" s="168" t="s">
        <v>302</v>
      </c>
      <c r="C5630" s="168" t="s">
        <v>5869</v>
      </c>
      <c r="D5630" s="229">
        <v>34.5</v>
      </c>
      <c r="E5630" s="229">
        <v>38.0</v>
      </c>
      <c r="F5630" s="230">
        <v>3.0</v>
      </c>
      <c r="G5630" s="232"/>
    </row>
    <row r="5631">
      <c r="A5631" s="2"/>
      <c r="B5631" s="168" t="s">
        <v>230</v>
      </c>
      <c r="C5631" s="168" t="s">
        <v>5870</v>
      </c>
      <c r="D5631" s="229">
        <v>21.5</v>
      </c>
      <c r="E5631" s="229">
        <v>25.0</v>
      </c>
      <c r="F5631" s="230">
        <v>3.0</v>
      </c>
      <c r="G5631" s="232"/>
    </row>
    <row r="5632">
      <c r="A5632" s="2"/>
      <c r="B5632" s="168" t="s">
        <v>255</v>
      </c>
      <c r="C5632" s="168" t="s">
        <v>5871</v>
      </c>
      <c r="D5632" s="229">
        <v>31.5</v>
      </c>
      <c r="E5632" s="229">
        <v>35.0</v>
      </c>
      <c r="F5632" s="230">
        <v>3.0</v>
      </c>
      <c r="G5632" s="232"/>
    </row>
    <row r="5633">
      <c r="A5633" s="2"/>
      <c r="B5633" s="168" t="s">
        <v>337</v>
      </c>
      <c r="C5633" s="168" t="s">
        <v>5872</v>
      </c>
      <c r="D5633" s="229">
        <v>28.5</v>
      </c>
      <c r="E5633" s="229">
        <v>32.0</v>
      </c>
      <c r="F5633" s="230">
        <v>3.0</v>
      </c>
      <c r="G5633" s="232"/>
    </row>
    <row r="5634">
      <c r="A5634" s="2"/>
      <c r="B5634" s="168" t="s">
        <v>271</v>
      </c>
      <c r="C5634" s="168" t="s">
        <v>5873</v>
      </c>
      <c r="D5634" s="229">
        <v>31.5</v>
      </c>
      <c r="E5634" s="229">
        <v>35.0</v>
      </c>
      <c r="F5634" s="230">
        <v>3.0</v>
      </c>
      <c r="G5634" s="232"/>
    </row>
    <row r="5635">
      <c r="A5635" s="2"/>
      <c r="B5635" s="168" t="s">
        <v>271</v>
      </c>
      <c r="C5635" s="168" t="s">
        <v>5874</v>
      </c>
      <c r="D5635" s="229">
        <v>31.0</v>
      </c>
      <c r="E5635" s="229">
        <v>34.5</v>
      </c>
      <c r="F5635" s="230">
        <v>3.0</v>
      </c>
      <c r="G5635" s="232"/>
    </row>
    <row r="5636">
      <c r="A5636" s="2"/>
      <c r="B5636" s="168" t="s">
        <v>381</v>
      </c>
      <c r="C5636" s="168" t="s">
        <v>5875</v>
      </c>
      <c r="D5636" s="229">
        <v>28.5</v>
      </c>
      <c r="E5636" s="229">
        <v>32.0</v>
      </c>
      <c r="F5636" s="230">
        <v>3.0</v>
      </c>
      <c r="G5636" s="232"/>
    </row>
    <row r="5637">
      <c r="A5637" s="2"/>
      <c r="B5637" s="168" t="s">
        <v>271</v>
      </c>
      <c r="C5637" s="168" t="s">
        <v>5876</v>
      </c>
      <c r="D5637" s="229">
        <v>30.5</v>
      </c>
      <c r="E5637" s="229">
        <v>34.0</v>
      </c>
      <c r="F5637" s="230">
        <v>3.0</v>
      </c>
      <c r="G5637" s="232"/>
    </row>
    <row r="5638">
      <c r="A5638" s="2"/>
      <c r="B5638" s="168" t="s">
        <v>239</v>
      </c>
      <c r="C5638" s="168" t="s">
        <v>5877</v>
      </c>
      <c r="D5638" s="229">
        <v>29.5</v>
      </c>
      <c r="E5638" s="229">
        <v>33.0</v>
      </c>
      <c r="F5638" s="230">
        <v>3.0</v>
      </c>
      <c r="G5638" s="232"/>
    </row>
    <row r="5639">
      <c r="A5639" s="2"/>
      <c r="B5639" s="168" t="s">
        <v>236</v>
      </c>
      <c r="C5639" s="168" t="s">
        <v>5878</v>
      </c>
      <c r="D5639" s="229">
        <v>34.5</v>
      </c>
      <c r="E5639" s="229">
        <v>38.0</v>
      </c>
      <c r="F5639" s="230">
        <v>3.0</v>
      </c>
      <c r="G5639" s="232"/>
    </row>
    <row r="5640">
      <c r="A5640" s="2"/>
      <c r="B5640" s="168" t="s">
        <v>217</v>
      </c>
      <c r="C5640" s="168" t="s">
        <v>5879</v>
      </c>
      <c r="D5640" s="229">
        <v>27.5</v>
      </c>
      <c r="E5640" s="229">
        <v>31.0</v>
      </c>
      <c r="F5640" s="230">
        <v>3.0</v>
      </c>
      <c r="G5640" s="232"/>
    </row>
    <row r="5641">
      <c r="A5641" s="2"/>
      <c r="B5641" s="168" t="s">
        <v>269</v>
      </c>
      <c r="C5641" s="168" t="s">
        <v>5880</v>
      </c>
      <c r="D5641" s="229">
        <v>26.5</v>
      </c>
      <c r="E5641" s="229">
        <v>30.0</v>
      </c>
      <c r="F5641" s="230">
        <v>3.0</v>
      </c>
      <c r="G5641" s="232"/>
    </row>
    <row r="5642">
      <c r="A5642" s="2"/>
      <c r="B5642" s="168" t="s">
        <v>275</v>
      </c>
      <c r="C5642" s="168" t="s">
        <v>5881</v>
      </c>
      <c r="D5642" s="229">
        <v>26.5</v>
      </c>
      <c r="E5642" s="229">
        <v>30.0</v>
      </c>
      <c r="F5642" s="230">
        <v>3.0</v>
      </c>
      <c r="G5642" s="232"/>
    </row>
    <row r="5643">
      <c r="A5643" s="2"/>
      <c r="B5643" s="168" t="s">
        <v>221</v>
      </c>
      <c r="C5643" s="168" t="s">
        <v>5882</v>
      </c>
      <c r="D5643" s="229">
        <v>27.5</v>
      </c>
      <c r="E5643" s="229">
        <v>31.0</v>
      </c>
      <c r="F5643" s="230">
        <v>3.0</v>
      </c>
      <c r="G5643" s="232"/>
    </row>
    <row r="5644">
      <c r="A5644" s="2"/>
      <c r="B5644" s="168" t="s">
        <v>296</v>
      </c>
      <c r="C5644" s="168" t="s">
        <v>5883</v>
      </c>
      <c r="D5644" s="229">
        <v>26.5</v>
      </c>
      <c r="E5644" s="229">
        <v>30.0</v>
      </c>
      <c r="F5644" s="230">
        <v>3.0</v>
      </c>
      <c r="G5644" s="232"/>
    </row>
    <row r="5645">
      <c r="A5645" s="2"/>
      <c r="B5645" s="168" t="s">
        <v>217</v>
      </c>
      <c r="C5645" s="168" t="s">
        <v>5884</v>
      </c>
      <c r="D5645" s="229">
        <v>27.5</v>
      </c>
      <c r="E5645" s="229">
        <v>31.0</v>
      </c>
      <c r="F5645" s="230">
        <v>3.0</v>
      </c>
      <c r="G5645" s="232"/>
    </row>
    <row r="5646">
      <c r="A5646" s="2"/>
      <c r="B5646" s="168" t="s">
        <v>811</v>
      </c>
      <c r="C5646" s="168" t="s">
        <v>5885</v>
      </c>
      <c r="D5646" s="229">
        <v>29.5</v>
      </c>
      <c r="E5646" s="229">
        <v>33.0</v>
      </c>
      <c r="F5646" s="230">
        <v>3.0</v>
      </c>
      <c r="G5646" s="232"/>
    </row>
    <row r="5647">
      <c r="A5647" s="2"/>
      <c r="B5647" s="168" t="s">
        <v>215</v>
      </c>
      <c r="C5647" s="168" t="s">
        <v>5886</v>
      </c>
      <c r="D5647" s="229">
        <v>27.5</v>
      </c>
      <c r="E5647" s="229">
        <v>31.0</v>
      </c>
      <c r="F5647" s="230">
        <v>3.0</v>
      </c>
      <c r="G5647" s="232"/>
    </row>
    <row r="5648">
      <c r="A5648" s="2"/>
      <c r="B5648" s="168" t="s">
        <v>574</v>
      </c>
      <c r="C5648" s="168" t="s">
        <v>5887</v>
      </c>
      <c r="D5648" s="229">
        <v>34.5</v>
      </c>
      <c r="E5648" s="229">
        <v>38.0</v>
      </c>
      <c r="F5648" s="230">
        <v>3.0</v>
      </c>
      <c r="G5648" s="232"/>
    </row>
    <row r="5649">
      <c r="A5649" s="2"/>
      <c r="B5649" s="168" t="s">
        <v>337</v>
      </c>
      <c r="C5649" s="168" t="s">
        <v>5888</v>
      </c>
      <c r="D5649" s="229">
        <v>23.5</v>
      </c>
      <c r="E5649" s="229">
        <v>27.0</v>
      </c>
      <c r="F5649" s="230">
        <v>3.0</v>
      </c>
      <c r="G5649" s="232"/>
    </row>
    <row r="5650">
      <c r="A5650" s="2"/>
      <c r="B5650" s="168" t="s">
        <v>232</v>
      </c>
      <c r="C5650" s="168" t="s">
        <v>5889</v>
      </c>
      <c r="D5650" s="229">
        <v>25.5</v>
      </c>
      <c r="E5650" s="229">
        <v>29.0</v>
      </c>
      <c r="F5650" s="230">
        <v>3.0</v>
      </c>
      <c r="G5650" s="232"/>
    </row>
    <row r="5651">
      <c r="A5651" s="2"/>
      <c r="B5651" s="168" t="s">
        <v>318</v>
      </c>
      <c r="C5651" s="168" t="s">
        <v>5890</v>
      </c>
      <c r="D5651" s="229">
        <v>25.5</v>
      </c>
      <c r="E5651" s="229">
        <v>29.0</v>
      </c>
      <c r="F5651" s="230">
        <v>3.0</v>
      </c>
      <c r="G5651" s="232"/>
    </row>
    <row r="5652">
      <c r="A5652" s="2"/>
      <c r="B5652" s="168" t="s">
        <v>273</v>
      </c>
      <c r="C5652" s="168" t="s">
        <v>5891</v>
      </c>
      <c r="D5652" s="229">
        <v>29.5</v>
      </c>
      <c r="E5652" s="229">
        <v>33.0</v>
      </c>
      <c r="F5652" s="230">
        <v>3.0</v>
      </c>
      <c r="G5652" s="232"/>
    </row>
    <row r="5653">
      <c r="A5653" s="2"/>
      <c r="B5653" s="168" t="s">
        <v>245</v>
      </c>
      <c r="C5653" s="168" t="s">
        <v>5892</v>
      </c>
      <c r="D5653" s="229">
        <v>29.5</v>
      </c>
      <c r="E5653" s="229">
        <v>33.0</v>
      </c>
      <c r="F5653" s="230">
        <v>3.0</v>
      </c>
      <c r="G5653" s="232"/>
    </row>
    <row r="5654">
      <c r="A5654" s="2"/>
      <c r="B5654" s="168" t="s">
        <v>377</v>
      </c>
      <c r="C5654" s="168" t="s">
        <v>5893</v>
      </c>
      <c r="D5654" s="229">
        <v>29.5</v>
      </c>
      <c r="E5654" s="229">
        <v>33.0</v>
      </c>
      <c r="F5654" s="230">
        <v>3.0</v>
      </c>
      <c r="G5654" s="232"/>
    </row>
    <row r="5655">
      <c r="A5655" s="2"/>
      <c r="B5655" s="168" t="s">
        <v>275</v>
      </c>
      <c r="C5655" s="168" t="s">
        <v>5894</v>
      </c>
      <c r="D5655" s="229">
        <v>26.5</v>
      </c>
      <c r="E5655" s="229">
        <v>30.0</v>
      </c>
      <c r="F5655" s="230">
        <v>3.0</v>
      </c>
      <c r="G5655" s="232"/>
    </row>
    <row r="5656">
      <c r="A5656" s="2"/>
      <c r="B5656" s="168" t="s">
        <v>269</v>
      </c>
      <c r="C5656" s="168" t="s">
        <v>5895</v>
      </c>
      <c r="D5656" s="229">
        <v>26.5</v>
      </c>
      <c r="E5656" s="229">
        <v>30.0</v>
      </c>
      <c r="F5656" s="230">
        <v>3.0</v>
      </c>
      <c r="G5656" s="232"/>
    </row>
    <row r="5657">
      <c r="A5657" s="2"/>
      <c r="B5657" s="168" t="s">
        <v>241</v>
      </c>
      <c r="C5657" s="168" t="s">
        <v>5896</v>
      </c>
      <c r="D5657" s="229">
        <v>32.5</v>
      </c>
      <c r="E5657" s="229">
        <v>36.0</v>
      </c>
      <c r="F5657" s="230">
        <v>3.0</v>
      </c>
      <c r="G5657" s="232"/>
    </row>
    <row r="5658">
      <c r="A5658" s="2"/>
      <c r="B5658" s="168" t="s">
        <v>232</v>
      </c>
      <c r="C5658" s="168" t="s">
        <v>5897</v>
      </c>
      <c r="D5658" s="229">
        <v>25.5</v>
      </c>
      <c r="E5658" s="229">
        <v>29.0</v>
      </c>
      <c r="F5658" s="230">
        <v>3.0</v>
      </c>
      <c r="G5658" s="232"/>
    </row>
    <row r="5659">
      <c r="A5659" s="2"/>
      <c r="B5659" s="168" t="s">
        <v>290</v>
      </c>
      <c r="C5659" s="168" t="s">
        <v>5898</v>
      </c>
      <c r="D5659" s="229">
        <v>29.5</v>
      </c>
      <c r="E5659" s="229">
        <v>33.0</v>
      </c>
      <c r="F5659" s="230">
        <v>3.0</v>
      </c>
      <c r="G5659" s="232"/>
    </row>
    <row r="5660">
      <c r="A5660" s="2"/>
      <c r="B5660" s="168" t="s">
        <v>215</v>
      </c>
      <c r="C5660" s="168" t="s">
        <v>5899</v>
      </c>
      <c r="D5660" s="229">
        <v>27.5</v>
      </c>
      <c r="E5660" s="229">
        <v>31.0</v>
      </c>
      <c r="F5660" s="230">
        <v>3.0</v>
      </c>
      <c r="G5660" s="232"/>
    </row>
    <row r="5661">
      <c r="A5661" s="2"/>
      <c r="B5661" s="168" t="s">
        <v>217</v>
      </c>
      <c r="C5661" s="168" t="s">
        <v>5900</v>
      </c>
      <c r="D5661" s="229">
        <v>27.5</v>
      </c>
      <c r="E5661" s="229">
        <v>31.0</v>
      </c>
      <c r="F5661" s="230">
        <v>3.0</v>
      </c>
      <c r="G5661" s="232"/>
    </row>
    <row r="5662">
      <c r="A5662" s="2"/>
      <c r="B5662" s="168" t="s">
        <v>285</v>
      </c>
      <c r="C5662" s="168" t="s">
        <v>5901</v>
      </c>
      <c r="D5662" s="229">
        <v>24.5</v>
      </c>
      <c r="E5662" s="229">
        <v>28.0</v>
      </c>
      <c r="F5662" s="230">
        <v>3.0</v>
      </c>
      <c r="G5662" s="232"/>
    </row>
    <row r="5663">
      <c r="A5663" s="2"/>
      <c r="B5663" s="168" t="s">
        <v>830</v>
      </c>
      <c r="C5663" s="168" t="s">
        <v>5902</v>
      </c>
      <c r="D5663" s="229">
        <v>24.5</v>
      </c>
      <c r="E5663" s="229">
        <v>28.0</v>
      </c>
      <c r="F5663" s="230">
        <v>3.0</v>
      </c>
      <c r="G5663" s="232"/>
    </row>
    <row r="5664">
      <c r="A5664" s="2"/>
      <c r="B5664" s="168" t="s">
        <v>255</v>
      </c>
      <c r="C5664" s="168" t="s">
        <v>5903</v>
      </c>
      <c r="D5664" s="229">
        <v>31.5</v>
      </c>
      <c r="E5664" s="229">
        <v>35.0</v>
      </c>
      <c r="F5664" s="230">
        <v>3.0</v>
      </c>
      <c r="G5664" s="232"/>
    </row>
    <row r="5665">
      <c r="A5665" s="2"/>
      <c r="B5665" s="168" t="s">
        <v>273</v>
      </c>
      <c r="C5665" s="168" t="s">
        <v>5904</v>
      </c>
      <c r="D5665" s="229">
        <v>29.5</v>
      </c>
      <c r="E5665" s="229">
        <v>33.0</v>
      </c>
      <c r="F5665" s="230">
        <v>3.0</v>
      </c>
      <c r="G5665" s="232"/>
    </row>
    <row r="5666">
      <c r="A5666" s="2"/>
      <c r="B5666" s="168" t="s">
        <v>266</v>
      </c>
      <c r="C5666" s="168" t="s">
        <v>5905</v>
      </c>
      <c r="D5666" s="229">
        <v>33.0</v>
      </c>
      <c r="E5666" s="229">
        <v>33.0</v>
      </c>
      <c r="F5666" s="230">
        <v>3.0</v>
      </c>
      <c r="G5666" s="232"/>
    </row>
    <row r="5667">
      <c r="A5667" s="2"/>
      <c r="B5667" s="168" t="s">
        <v>273</v>
      </c>
      <c r="C5667" s="168" t="s">
        <v>5906</v>
      </c>
      <c r="D5667" s="229">
        <v>29.5</v>
      </c>
      <c r="E5667" s="229">
        <v>33.0</v>
      </c>
      <c r="F5667" s="230">
        <v>3.0</v>
      </c>
      <c r="G5667" s="232"/>
    </row>
    <row r="5668">
      <c r="A5668" s="2"/>
      <c r="B5668" s="168" t="s">
        <v>296</v>
      </c>
      <c r="C5668" s="168" t="s">
        <v>5907</v>
      </c>
      <c r="D5668" s="229">
        <v>26.5</v>
      </c>
      <c r="E5668" s="229">
        <v>30.0</v>
      </c>
      <c r="F5668" s="230">
        <v>3.0</v>
      </c>
      <c r="G5668" s="232"/>
    </row>
    <row r="5669">
      <c r="A5669" s="2"/>
      <c r="B5669" s="168" t="s">
        <v>337</v>
      </c>
      <c r="C5669" s="168" t="s">
        <v>5908</v>
      </c>
      <c r="D5669" s="229">
        <v>28.5</v>
      </c>
      <c r="E5669" s="229">
        <v>32.0</v>
      </c>
      <c r="F5669" s="230">
        <v>3.0</v>
      </c>
      <c r="G5669" s="232"/>
    </row>
    <row r="5670">
      <c r="A5670" s="2"/>
      <c r="B5670" s="168" t="s">
        <v>290</v>
      </c>
      <c r="C5670" s="168" t="s">
        <v>5909</v>
      </c>
      <c r="D5670" s="229">
        <v>29.5</v>
      </c>
      <c r="E5670" s="229">
        <v>33.0</v>
      </c>
      <c r="F5670" s="230">
        <v>3.0</v>
      </c>
      <c r="G5670" s="232"/>
    </row>
    <row r="5671">
      <c r="A5671" s="2"/>
      <c r="B5671" s="168" t="s">
        <v>296</v>
      </c>
      <c r="C5671" s="168" t="s">
        <v>5910</v>
      </c>
      <c r="D5671" s="229">
        <v>26.5</v>
      </c>
      <c r="E5671" s="229">
        <v>30.0</v>
      </c>
      <c r="F5671" s="230">
        <v>3.0</v>
      </c>
      <c r="G5671" s="232"/>
    </row>
    <row r="5672">
      <c r="A5672" s="2"/>
      <c r="B5672" s="168" t="s">
        <v>234</v>
      </c>
      <c r="C5672" s="168" t="s">
        <v>5911</v>
      </c>
      <c r="D5672" s="229">
        <v>29.5</v>
      </c>
      <c r="E5672" s="229">
        <v>33.0</v>
      </c>
      <c r="F5672" s="230">
        <v>3.0</v>
      </c>
      <c r="G5672" s="232"/>
    </row>
    <row r="5673">
      <c r="A5673" s="2"/>
      <c r="B5673" s="168" t="s">
        <v>241</v>
      </c>
      <c r="C5673" s="168" t="s">
        <v>5912</v>
      </c>
      <c r="D5673" s="229">
        <v>32.5</v>
      </c>
      <c r="E5673" s="229">
        <v>36.0</v>
      </c>
      <c r="F5673" s="230">
        <v>3.0</v>
      </c>
      <c r="G5673" s="232"/>
    </row>
    <row r="5674">
      <c r="A5674" s="2"/>
      <c r="B5674" s="168" t="s">
        <v>217</v>
      </c>
      <c r="C5674" s="168" t="s">
        <v>5913</v>
      </c>
      <c r="D5674" s="229">
        <v>27.0</v>
      </c>
      <c r="E5674" s="229">
        <v>30.5</v>
      </c>
      <c r="F5674" s="230">
        <v>3.0</v>
      </c>
      <c r="G5674" s="232"/>
    </row>
    <row r="5675">
      <c r="A5675" s="2"/>
      <c r="B5675" s="168" t="s">
        <v>275</v>
      </c>
      <c r="C5675" s="168" t="s">
        <v>5914</v>
      </c>
      <c r="D5675" s="229">
        <v>26.5</v>
      </c>
      <c r="E5675" s="229">
        <v>30.0</v>
      </c>
      <c r="F5675" s="230">
        <v>3.0</v>
      </c>
      <c r="G5675" s="232"/>
    </row>
    <row r="5676">
      <c r="A5676" s="2"/>
      <c r="B5676" s="168" t="s">
        <v>221</v>
      </c>
      <c r="C5676" s="168" t="s">
        <v>5915</v>
      </c>
      <c r="D5676" s="229">
        <v>27.5</v>
      </c>
      <c r="E5676" s="229">
        <v>31.0</v>
      </c>
      <c r="F5676" s="230">
        <v>3.0</v>
      </c>
      <c r="G5676" s="232"/>
    </row>
    <row r="5677">
      <c r="A5677" s="2"/>
      <c r="B5677" s="168" t="s">
        <v>576</v>
      </c>
      <c r="C5677" s="168" t="s">
        <v>5916</v>
      </c>
      <c r="D5677" s="229">
        <v>20.5</v>
      </c>
      <c r="E5677" s="229">
        <v>24.0</v>
      </c>
      <c r="F5677" s="230">
        <v>3.0</v>
      </c>
      <c r="G5677" s="232"/>
    </row>
    <row r="5678">
      <c r="A5678" s="2"/>
      <c r="B5678" s="168" t="s">
        <v>234</v>
      </c>
      <c r="C5678" s="168" t="s">
        <v>5917</v>
      </c>
      <c r="D5678" s="229">
        <v>29.5</v>
      </c>
      <c r="E5678" s="229">
        <v>33.0</v>
      </c>
      <c r="F5678" s="230">
        <v>3.0</v>
      </c>
      <c r="G5678" s="232"/>
    </row>
    <row r="5679">
      <c r="A5679" s="2"/>
      <c r="B5679" s="168" t="s">
        <v>243</v>
      </c>
      <c r="C5679" s="168" t="s">
        <v>5918</v>
      </c>
      <c r="D5679" s="229">
        <v>29.5</v>
      </c>
      <c r="E5679" s="229">
        <v>33.0</v>
      </c>
      <c r="F5679" s="230">
        <v>3.0</v>
      </c>
      <c r="G5679" s="232"/>
    </row>
    <row r="5680">
      <c r="A5680" s="2"/>
      <c r="B5680" s="168" t="s">
        <v>273</v>
      </c>
      <c r="C5680" s="168" t="s">
        <v>5919</v>
      </c>
      <c r="D5680" s="229">
        <v>24.5</v>
      </c>
      <c r="E5680" s="229">
        <v>28.0</v>
      </c>
      <c r="F5680" s="230">
        <v>3.0</v>
      </c>
      <c r="G5680" s="232"/>
    </row>
    <row r="5681">
      <c r="A5681" s="2"/>
      <c r="B5681" s="168" t="s">
        <v>574</v>
      </c>
      <c r="C5681" s="168" t="s">
        <v>5920</v>
      </c>
      <c r="D5681" s="229">
        <v>34.5</v>
      </c>
      <c r="E5681" s="229">
        <v>38.0</v>
      </c>
      <c r="F5681" s="230">
        <v>3.0</v>
      </c>
      <c r="G5681" s="232"/>
    </row>
    <row r="5682">
      <c r="A5682" s="2"/>
      <c r="B5682" s="168" t="s">
        <v>232</v>
      </c>
      <c r="C5682" s="168" t="s">
        <v>5921</v>
      </c>
      <c r="D5682" s="229">
        <v>27.5</v>
      </c>
      <c r="E5682" s="229">
        <v>31.0</v>
      </c>
      <c r="F5682" s="230">
        <v>3.0</v>
      </c>
      <c r="G5682" s="232"/>
    </row>
    <row r="5683">
      <c r="A5683" s="2"/>
      <c r="B5683" s="168" t="s">
        <v>232</v>
      </c>
      <c r="C5683" s="168" t="s">
        <v>5922</v>
      </c>
      <c r="D5683" s="229">
        <v>25.5</v>
      </c>
      <c r="E5683" s="229">
        <v>29.0</v>
      </c>
      <c r="F5683" s="230">
        <v>3.0</v>
      </c>
      <c r="G5683" s="232"/>
    </row>
    <row r="5684">
      <c r="A5684" s="2"/>
      <c r="B5684" s="168" t="s">
        <v>337</v>
      </c>
      <c r="C5684" s="168" t="s">
        <v>5923</v>
      </c>
      <c r="D5684" s="229">
        <v>28.5</v>
      </c>
      <c r="E5684" s="229">
        <v>32.0</v>
      </c>
      <c r="F5684" s="230">
        <v>3.0</v>
      </c>
      <c r="G5684" s="232"/>
    </row>
    <row r="5685">
      <c r="A5685" s="2"/>
      <c r="B5685" s="168" t="s">
        <v>348</v>
      </c>
      <c r="C5685" s="168" t="s">
        <v>5924</v>
      </c>
      <c r="D5685" s="229">
        <v>21.5</v>
      </c>
      <c r="E5685" s="229">
        <v>25.0</v>
      </c>
      <c r="F5685" s="230">
        <v>3.0</v>
      </c>
      <c r="G5685" s="232"/>
    </row>
    <row r="5686">
      <c r="A5686" s="2"/>
      <c r="B5686" s="168" t="s">
        <v>592</v>
      </c>
      <c r="C5686" s="168" t="s">
        <v>5925</v>
      </c>
      <c r="D5686" s="229">
        <v>29.5</v>
      </c>
      <c r="E5686" s="229">
        <v>33.0</v>
      </c>
      <c r="F5686" s="230">
        <v>3.0</v>
      </c>
      <c r="G5686" s="232"/>
    </row>
    <row r="5687">
      <c r="A5687" s="2"/>
      <c r="B5687" s="168" t="s">
        <v>300</v>
      </c>
      <c r="C5687" s="168" t="s">
        <v>5926</v>
      </c>
      <c r="D5687" s="229">
        <v>28.0</v>
      </c>
      <c r="E5687" s="229">
        <v>31.5</v>
      </c>
      <c r="F5687" s="230">
        <v>3.0</v>
      </c>
      <c r="G5687" s="232"/>
    </row>
    <row r="5688">
      <c r="A5688" s="2"/>
      <c r="B5688" s="168" t="s">
        <v>280</v>
      </c>
      <c r="C5688" s="168" t="s">
        <v>5927</v>
      </c>
      <c r="D5688" s="229">
        <v>28.5</v>
      </c>
      <c r="E5688" s="229">
        <v>32.0</v>
      </c>
      <c r="F5688" s="230">
        <v>3.0</v>
      </c>
      <c r="G5688" s="232"/>
    </row>
    <row r="5689">
      <c r="A5689" s="2"/>
      <c r="B5689" s="168" t="s">
        <v>275</v>
      </c>
      <c r="C5689" s="168" t="s">
        <v>5928</v>
      </c>
      <c r="D5689" s="229">
        <v>26.5</v>
      </c>
      <c r="E5689" s="229">
        <v>30.0</v>
      </c>
      <c r="F5689" s="230">
        <v>3.0</v>
      </c>
      <c r="G5689" s="232"/>
    </row>
    <row r="5690">
      <c r="A5690" s="2"/>
      <c r="B5690" s="168" t="s">
        <v>239</v>
      </c>
      <c r="C5690" s="168" t="s">
        <v>5929</v>
      </c>
      <c r="D5690" s="229">
        <v>29.5</v>
      </c>
      <c r="E5690" s="229">
        <v>33.0</v>
      </c>
      <c r="F5690" s="230">
        <v>3.0</v>
      </c>
      <c r="G5690" s="232"/>
    </row>
    <row r="5691">
      <c r="A5691" s="2"/>
      <c r="B5691" s="168" t="s">
        <v>811</v>
      </c>
      <c r="C5691" s="168" t="s">
        <v>5930</v>
      </c>
      <c r="D5691" s="229">
        <v>29.5</v>
      </c>
      <c r="E5691" s="229">
        <v>33.0</v>
      </c>
      <c r="F5691" s="230">
        <v>3.0</v>
      </c>
      <c r="G5691" s="232"/>
    </row>
    <row r="5692">
      <c r="A5692" s="2"/>
      <c r="B5692" s="168" t="s">
        <v>215</v>
      </c>
      <c r="C5692" s="168" t="s">
        <v>5931</v>
      </c>
      <c r="D5692" s="229">
        <v>27.5</v>
      </c>
      <c r="E5692" s="229">
        <v>31.0</v>
      </c>
      <c r="F5692" s="230">
        <v>3.0</v>
      </c>
      <c r="G5692" s="232"/>
    </row>
    <row r="5693">
      <c r="A5693" s="2"/>
      <c r="B5693" s="168" t="s">
        <v>341</v>
      </c>
      <c r="C5693" s="168" t="s">
        <v>5932</v>
      </c>
      <c r="D5693" s="229">
        <v>29.5</v>
      </c>
      <c r="E5693" s="229">
        <v>29.5</v>
      </c>
      <c r="F5693" s="230">
        <v>3.0</v>
      </c>
      <c r="G5693" s="232"/>
    </row>
    <row r="5694">
      <c r="A5694" s="2"/>
      <c r="B5694" s="168" t="s">
        <v>234</v>
      </c>
      <c r="C5694" s="168" t="s">
        <v>5933</v>
      </c>
      <c r="D5694" s="229">
        <v>29.5</v>
      </c>
      <c r="E5694" s="229">
        <v>33.0</v>
      </c>
      <c r="F5694" s="230">
        <v>3.0</v>
      </c>
      <c r="G5694" s="232"/>
    </row>
    <row r="5695">
      <c r="A5695" s="2"/>
      <c r="B5695" s="168" t="s">
        <v>245</v>
      </c>
      <c r="C5695" s="168" t="s">
        <v>5934</v>
      </c>
      <c r="D5695" s="229">
        <v>28.5</v>
      </c>
      <c r="E5695" s="229">
        <v>32.0</v>
      </c>
      <c r="F5695" s="230">
        <v>3.0</v>
      </c>
      <c r="G5695" s="232"/>
    </row>
    <row r="5696">
      <c r="A5696" s="2"/>
      <c r="B5696" s="168" t="s">
        <v>288</v>
      </c>
      <c r="C5696" s="168" t="s">
        <v>5935</v>
      </c>
      <c r="D5696" s="229">
        <v>21.5</v>
      </c>
      <c r="E5696" s="229">
        <v>25.0</v>
      </c>
      <c r="F5696" s="230">
        <v>3.0</v>
      </c>
      <c r="G5696" s="232"/>
    </row>
    <row r="5697">
      <c r="A5697" s="2"/>
      <c r="B5697" s="168" t="s">
        <v>217</v>
      </c>
      <c r="C5697" s="168" t="s">
        <v>5936</v>
      </c>
      <c r="D5697" s="229">
        <v>27.5</v>
      </c>
      <c r="E5697" s="229">
        <v>31.0</v>
      </c>
      <c r="F5697" s="230">
        <v>3.0</v>
      </c>
      <c r="G5697" s="232"/>
    </row>
    <row r="5698">
      <c r="A5698" s="2"/>
      <c r="B5698" s="168" t="s">
        <v>275</v>
      </c>
      <c r="C5698" s="168" t="s">
        <v>5937</v>
      </c>
      <c r="D5698" s="229">
        <v>26.5</v>
      </c>
      <c r="E5698" s="229">
        <v>30.0</v>
      </c>
      <c r="F5698" s="230">
        <v>3.0</v>
      </c>
      <c r="G5698" s="232"/>
    </row>
    <row r="5699">
      <c r="A5699" s="2"/>
      <c r="B5699" s="168" t="s">
        <v>241</v>
      </c>
      <c r="C5699" s="168" t="s">
        <v>5938</v>
      </c>
      <c r="D5699" s="229">
        <v>27.5</v>
      </c>
      <c r="E5699" s="229">
        <v>31.0</v>
      </c>
      <c r="F5699" s="230">
        <v>3.0</v>
      </c>
      <c r="G5699" s="232"/>
    </row>
    <row r="5700">
      <c r="A5700" s="2"/>
      <c r="B5700" s="168" t="s">
        <v>245</v>
      </c>
      <c r="C5700" s="168" t="s">
        <v>5939</v>
      </c>
      <c r="D5700" s="229">
        <v>24.5</v>
      </c>
      <c r="E5700" s="229">
        <v>28.0</v>
      </c>
      <c r="F5700" s="230">
        <v>3.0</v>
      </c>
      <c r="G5700" s="232"/>
    </row>
    <row r="5701">
      <c r="A5701" s="2"/>
      <c r="B5701" s="168" t="s">
        <v>269</v>
      </c>
      <c r="C5701" s="168" t="s">
        <v>5940</v>
      </c>
      <c r="D5701" s="229">
        <v>26.5</v>
      </c>
      <c r="E5701" s="229">
        <v>30.0</v>
      </c>
      <c r="F5701" s="230">
        <v>3.0</v>
      </c>
      <c r="G5701" s="232"/>
    </row>
    <row r="5702">
      <c r="A5702" s="2"/>
      <c r="B5702" s="168" t="s">
        <v>337</v>
      </c>
      <c r="C5702" s="168" t="s">
        <v>5941</v>
      </c>
      <c r="D5702" s="229">
        <v>23.5</v>
      </c>
      <c r="E5702" s="229">
        <v>27.0</v>
      </c>
      <c r="F5702" s="230">
        <v>3.0</v>
      </c>
      <c r="G5702" s="232"/>
    </row>
    <row r="5703">
      <c r="A5703" s="2"/>
      <c r="B5703" s="168" t="s">
        <v>241</v>
      </c>
      <c r="C5703" s="168" t="s">
        <v>5942</v>
      </c>
      <c r="D5703" s="229">
        <v>32.5</v>
      </c>
      <c r="E5703" s="229">
        <v>36.0</v>
      </c>
      <c r="F5703" s="230">
        <v>3.0</v>
      </c>
      <c r="G5703" s="232"/>
    </row>
    <row r="5704">
      <c r="A5704" s="2"/>
      <c r="B5704" s="168" t="s">
        <v>332</v>
      </c>
      <c r="C5704" s="168" t="s">
        <v>5943</v>
      </c>
      <c r="D5704" s="229">
        <v>28.5</v>
      </c>
      <c r="E5704" s="229">
        <v>32.0</v>
      </c>
      <c r="F5704" s="230">
        <v>3.0</v>
      </c>
      <c r="G5704" s="232"/>
    </row>
    <row r="5705">
      <c r="A5705" s="2"/>
      <c r="B5705" s="168" t="s">
        <v>275</v>
      </c>
      <c r="C5705" s="168" t="s">
        <v>5944</v>
      </c>
      <c r="D5705" s="229">
        <v>26.5</v>
      </c>
      <c r="E5705" s="229">
        <v>30.0</v>
      </c>
      <c r="F5705" s="230">
        <v>3.0</v>
      </c>
      <c r="G5705" s="232"/>
    </row>
    <row r="5706">
      <c r="A5706" s="2"/>
      <c r="B5706" s="168" t="s">
        <v>464</v>
      </c>
      <c r="C5706" s="168" t="s">
        <v>5945</v>
      </c>
      <c r="D5706" s="229">
        <v>0.5</v>
      </c>
      <c r="E5706" s="229">
        <v>0.5</v>
      </c>
      <c r="F5706" s="230">
        <v>0.5</v>
      </c>
      <c r="G5706" s="232"/>
    </row>
    <row r="5707">
      <c r="A5707" s="2"/>
      <c r="B5707" s="168" t="s">
        <v>381</v>
      </c>
      <c r="C5707" s="168" t="s">
        <v>5946</v>
      </c>
      <c r="D5707" s="229">
        <v>28.5</v>
      </c>
      <c r="E5707" s="229">
        <v>32.0</v>
      </c>
      <c r="F5707" s="230">
        <v>3.0</v>
      </c>
      <c r="G5707" s="232"/>
    </row>
    <row r="5708">
      <c r="A5708" s="2"/>
      <c r="B5708" s="168" t="s">
        <v>275</v>
      </c>
      <c r="C5708" s="168" t="s">
        <v>5947</v>
      </c>
      <c r="D5708" s="229">
        <v>26.5</v>
      </c>
      <c r="E5708" s="229">
        <v>30.0</v>
      </c>
      <c r="F5708" s="230">
        <v>3.0</v>
      </c>
      <c r="G5708" s="232"/>
    </row>
    <row r="5709">
      <c r="A5709" s="2"/>
      <c r="B5709" s="168" t="s">
        <v>217</v>
      </c>
      <c r="C5709" s="168" t="s">
        <v>5948</v>
      </c>
      <c r="D5709" s="229">
        <v>27.5</v>
      </c>
      <c r="E5709" s="229">
        <v>31.0</v>
      </c>
      <c r="F5709" s="230">
        <v>3.0</v>
      </c>
      <c r="G5709" s="232"/>
    </row>
    <row r="5710">
      <c r="A5710" s="2"/>
      <c r="B5710" s="168" t="s">
        <v>223</v>
      </c>
      <c r="C5710" s="168" t="s">
        <v>5949</v>
      </c>
      <c r="D5710" s="229">
        <v>26.5</v>
      </c>
      <c r="E5710" s="229">
        <v>30.0</v>
      </c>
      <c r="F5710" s="230">
        <v>3.0</v>
      </c>
      <c r="G5710" s="232"/>
    </row>
    <row r="5711">
      <c r="A5711" s="2"/>
      <c r="B5711" s="168" t="s">
        <v>215</v>
      </c>
      <c r="C5711" s="168" t="s">
        <v>5950</v>
      </c>
      <c r="D5711" s="229">
        <v>27.5</v>
      </c>
      <c r="E5711" s="229">
        <v>31.0</v>
      </c>
      <c r="F5711" s="230">
        <v>3.0</v>
      </c>
      <c r="G5711" s="232"/>
    </row>
    <row r="5712">
      <c r="A5712" s="2"/>
      <c r="B5712" s="168" t="s">
        <v>271</v>
      </c>
      <c r="C5712" s="168" t="s">
        <v>5951</v>
      </c>
      <c r="D5712" s="229">
        <v>31.5</v>
      </c>
      <c r="E5712" s="229">
        <v>35.0</v>
      </c>
      <c r="F5712" s="230">
        <v>3.0</v>
      </c>
      <c r="G5712" s="232"/>
    </row>
    <row r="5713">
      <c r="A5713" s="2"/>
      <c r="B5713" s="168" t="s">
        <v>332</v>
      </c>
      <c r="C5713" s="168" t="s">
        <v>5952</v>
      </c>
      <c r="D5713" s="229">
        <v>28.5</v>
      </c>
      <c r="E5713" s="229">
        <v>32.0</v>
      </c>
      <c r="F5713" s="230">
        <v>3.0</v>
      </c>
      <c r="G5713" s="232"/>
    </row>
    <row r="5714">
      <c r="A5714" s="2"/>
      <c r="B5714" s="168" t="s">
        <v>1311</v>
      </c>
      <c r="C5714" s="168" t="s">
        <v>5953</v>
      </c>
      <c r="D5714" s="229">
        <v>28.5</v>
      </c>
      <c r="E5714" s="229">
        <v>32.0</v>
      </c>
      <c r="F5714" s="230">
        <v>3.0</v>
      </c>
      <c r="G5714" s="232"/>
    </row>
    <row r="5715">
      <c r="A5715" s="2"/>
      <c r="B5715" s="168" t="s">
        <v>217</v>
      </c>
      <c r="C5715" s="168" t="s">
        <v>5954</v>
      </c>
      <c r="D5715" s="229">
        <v>27.5</v>
      </c>
      <c r="E5715" s="229">
        <v>31.0</v>
      </c>
      <c r="F5715" s="230">
        <v>3.0</v>
      </c>
      <c r="G5715" s="232"/>
    </row>
    <row r="5716">
      <c r="A5716" s="2"/>
      <c r="B5716" s="168" t="s">
        <v>234</v>
      </c>
      <c r="C5716" s="168" t="s">
        <v>5955</v>
      </c>
      <c r="D5716" s="229">
        <v>29.5</v>
      </c>
      <c r="E5716" s="229">
        <v>33.0</v>
      </c>
      <c r="F5716" s="230">
        <v>3.0</v>
      </c>
      <c r="G5716" s="232"/>
    </row>
    <row r="5717">
      <c r="A5717" s="2"/>
      <c r="B5717" s="168" t="s">
        <v>296</v>
      </c>
      <c r="C5717" s="168" t="s">
        <v>5956</v>
      </c>
      <c r="D5717" s="229">
        <v>26.5</v>
      </c>
      <c r="E5717" s="229">
        <v>30.0</v>
      </c>
      <c r="F5717" s="230">
        <v>3.0</v>
      </c>
      <c r="G5717" s="232"/>
    </row>
    <row r="5718">
      <c r="A5718" s="2"/>
      <c r="B5718" s="168" t="s">
        <v>300</v>
      </c>
      <c r="C5718" s="168" t="s">
        <v>5957</v>
      </c>
      <c r="D5718" s="229">
        <v>27.0</v>
      </c>
      <c r="E5718" s="229">
        <v>30.5</v>
      </c>
      <c r="F5718" s="230">
        <v>3.0</v>
      </c>
      <c r="G5718" s="232"/>
    </row>
    <row r="5719">
      <c r="A5719" s="2"/>
      <c r="B5719" s="168" t="s">
        <v>217</v>
      </c>
      <c r="C5719" s="168" t="s">
        <v>5958</v>
      </c>
      <c r="D5719" s="229">
        <v>27.5</v>
      </c>
      <c r="E5719" s="229">
        <v>31.0</v>
      </c>
      <c r="F5719" s="230">
        <v>3.0</v>
      </c>
      <c r="G5719" s="232"/>
    </row>
    <row r="5720">
      <c r="A5720" s="2"/>
      <c r="B5720" s="168" t="s">
        <v>302</v>
      </c>
      <c r="C5720" s="168" t="s">
        <v>5959</v>
      </c>
      <c r="D5720" s="229">
        <v>34.5</v>
      </c>
      <c r="E5720" s="229">
        <v>38.0</v>
      </c>
      <c r="F5720" s="230">
        <v>3.0</v>
      </c>
      <c r="G5720" s="232"/>
    </row>
    <row r="5721">
      <c r="A5721" s="2"/>
      <c r="B5721" s="168" t="s">
        <v>335</v>
      </c>
      <c r="C5721" s="168" t="s">
        <v>5960</v>
      </c>
      <c r="D5721" s="229">
        <v>34.5</v>
      </c>
      <c r="E5721" s="229">
        <v>38.0</v>
      </c>
      <c r="F5721" s="230">
        <v>3.0</v>
      </c>
      <c r="G5721" s="232"/>
    </row>
    <row r="5722">
      <c r="A5722" s="2"/>
      <c r="B5722" s="168" t="s">
        <v>275</v>
      </c>
      <c r="C5722" s="168" t="s">
        <v>5961</v>
      </c>
      <c r="D5722" s="229">
        <v>26.5</v>
      </c>
      <c r="E5722" s="229">
        <v>30.0</v>
      </c>
      <c r="F5722" s="230">
        <v>3.0</v>
      </c>
      <c r="G5722" s="232"/>
    </row>
    <row r="5723">
      <c r="A5723" s="2"/>
      <c r="B5723" s="168" t="s">
        <v>230</v>
      </c>
      <c r="C5723" s="168" t="s">
        <v>5962</v>
      </c>
      <c r="D5723" s="229">
        <v>21.5</v>
      </c>
      <c r="E5723" s="229">
        <v>25.0</v>
      </c>
      <c r="F5723" s="230">
        <v>3.0</v>
      </c>
      <c r="G5723" s="232"/>
    </row>
    <row r="5724">
      <c r="A5724" s="2"/>
      <c r="B5724" s="168" t="s">
        <v>241</v>
      </c>
      <c r="C5724" s="168" t="s">
        <v>5963</v>
      </c>
      <c r="D5724" s="229">
        <v>32.5</v>
      </c>
      <c r="E5724" s="229">
        <v>36.0</v>
      </c>
      <c r="F5724" s="230">
        <v>3.0</v>
      </c>
      <c r="G5724" s="232"/>
    </row>
    <row r="5725">
      <c r="A5725" s="2"/>
      <c r="B5725" s="168" t="s">
        <v>328</v>
      </c>
      <c r="C5725" s="168" t="s">
        <v>5964</v>
      </c>
      <c r="D5725" s="229">
        <v>34.5</v>
      </c>
      <c r="E5725" s="229">
        <v>38.0</v>
      </c>
      <c r="F5725" s="230">
        <v>3.0</v>
      </c>
      <c r="G5725" s="232"/>
    </row>
    <row r="5726">
      <c r="A5726" s="2"/>
      <c r="B5726" s="168" t="s">
        <v>230</v>
      </c>
      <c r="C5726" s="168" t="s">
        <v>5965</v>
      </c>
      <c r="D5726" s="229">
        <v>21.5</v>
      </c>
      <c r="E5726" s="229">
        <v>25.0</v>
      </c>
      <c r="F5726" s="230">
        <v>3.0</v>
      </c>
      <c r="G5726" s="232"/>
    </row>
    <row r="5727">
      <c r="A5727" s="2"/>
      <c r="B5727" s="168" t="s">
        <v>269</v>
      </c>
      <c r="C5727" s="168" t="s">
        <v>5966</v>
      </c>
      <c r="D5727" s="229">
        <v>21.5</v>
      </c>
      <c r="E5727" s="229">
        <v>25.0</v>
      </c>
      <c r="F5727" s="230">
        <v>3.0</v>
      </c>
      <c r="G5727" s="232"/>
    </row>
    <row r="5728">
      <c r="A5728" s="2"/>
      <c r="B5728" s="168" t="s">
        <v>335</v>
      </c>
      <c r="C5728" s="168" t="s">
        <v>5967</v>
      </c>
      <c r="D5728" s="229">
        <v>34.5</v>
      </c>
      <c r="E5728" s="229">
        <v>38.0</v>
      </c>
      <c r="F5728" s="230">
        <v>3.0</v>
      </c>
      <c r="G5728" s="232"/>
    </row>
    <row r="5729">
      <c r="A5729" s="2"/>
      <c r="B5729" s="168" t="s">
        <v>341</v>
      </c>
      <c r="C5729" s="168" t="s">
        <v>5968</v>
      </c>
      <c r="D5729" s="229">
        <v>29.5</v>
      </c>
      <c r="E5729" s="229">
        <v>29.5</v>
      </c>
      <c r="F5729" s="230">
        <v>3.0</v>
      </c>
      <c r="G5729" s="232"/>
    </row>
    <row r="5730">
      <c r="A5730" s="2"/>
      <c r="B5730" s="168" t="s">
        <v>332</v>
      </c>
      <c r="C5730" s="168" t="s">
        <v>5969</v>
      </c>
      <c r="D5730" s="229">
        <v>28.0</v>
      </c>
      <c r="E5730" s="229">
        <v>31.5</v>
      </c>
      <c r="F5730" s="230">
        <v>3.0</v>
      </c>
      <c r="G5730" s="232"/>
    </row>
    <row r="5731">
      <c r="A5731" s="2"/>
      <c r="B5731" s="168" t="s">
        <v>266</v>
      </c>
      <c r="C5731" s="168" t="s">
        <v>5970</v>
      </c>
      <c r="D5731" s="229">
        <v>33.0</v>
      </c>
      <c r="E5731" s="229">
        <v>33.0</v>
      </c>
      <c r="F5731" s="230">
        <v>3.0</v>
      </c>
      <c r="G5731" s="232"/>
    </row>
    <row r="5732">
      <c r="A5732" s="2"/>
      <c r="B5732" s="168" t="s">
        <v>230</v>
      </c>
      <c r="C5732" s="168" t="s">
        <v>5971</v>
      </c>
      <c r="D5732" s="229">
        <v>16.5</v>
      </c>
      <c r="E5732" s="229">
        <v>20.0</v>
      </c>
      <c r="F5732" s="230">
        <v>3.0</v>
      </c>
      <c r="G5732" s="232"/>
    </row>
    <row r="5733">
      <c r="A5733" s="2"/>
      <c r="B5733" s="168" t="s">
        <v>592</v>
      </c>
      <c r="C5733" s="168" t="s">
        <v>5972</v>
      </c>
      <c r="D5733" s="229">
        <v>34.5</v>
      </c>
      <c r="E5733" s="229">
        <v>38.0</v>
      </c>
      <c r="F5733" s="230">
        <v>3.0</v>
      </c>
      <c r="G5733" s="232"/>
    </row>
    <row r="5734">
      <c r="A5734" s="2"/>
      <c r="B5734" s="168" t="s">
        <v>381</v>
      </c>
      <c r="C5734" s="168" t="s">
        <v>5973</v>
      </c>
      <c r="D5734" s="229">
        <v>23.5</v>
      </c>
      <c r="E5734" s="229">
        <v>27.0</v>
      </c>
      <c r="F5734" s="230">
        <v>3.0</v>
      </c>
      <c r="G5734" s="232"/>
    </row>
    <row r="5735">
      <c r="A5735" s="2"/>
      <c r="B5735" s="168" t="s">
        <v>269</v>
      </c>
      <c r="C5735" s="168" t="s">
        <v>5974</v>
      </c>
      <c r="D5735" s="229">
        <v>26.5</v>
      </c>
      <c r="E5735" s="229">
        <v>30.0</v>
      </c>
      <c r="F5735" s="230">
        <v>3.0</v>
      </c>
      <c r="G5735" s="232"/>
    </row>
    <row r="5736">
      <c r="A5736" s="2"/>
      <c r="B5736" s="168" t="s">
        <v>285</v>
      </c>
      <c r="C5736" s="168" t="s">
        <v>5975</v>
      </c>
      <c r="D5736" s="229">
        <v>24.5</v>
      </c>
      <c r="E5736" s="229">
        <v>28.0</v>
      </c>
      <c r="F5736" s="230">
        <v>3.0</v>
      </c>
      <c r="G5736" s="232"/>
    </row>
    <row r="5737">
      <c r="A5737" s="2"/>
      <c r="B5737" s="168" t="s">
        <v>273</v>
      </c>
      <c r="C5737" s="168" t="s">
        <v>5976</v>
      </c>
      <c r="D5737" s="229">
        <v>29.5</v>
      </c>
      <c r="E5737" s="229">
        <v>33.0</v>
      </c>
      <c r="F5737" s="230">
        <v>3.0</v>
      </c>
      <c r="G5737" s="232"/>
    </row>
    <row r="5738">
      <c r="A5738" s="2"/>
      <c r="B5738" s="168" t="s">
        <v>341</v>
      </c>
      <c r="C5738" s="168" t="s">
        <v>5977</v>
      </c>
      <c r="D5738" s="229">
        <v>29.5</v>
      </c>
      <c r="E5738" s="229">
        <v>29.5</v>
      </c>
      <c r="F5738" s="230">
        <v>3.0</v>
      </c>
      <c r="G5738" s="232"/>
    </row>
    <row r="5739">
      <c r="A5739" s="2"/>
      <c r="B5739" s="168" t="s">
        <v>215</v>
      </c>
      <c r="C5739" s="168" t="s">
        <v>5978</v>
      </c>
      <c r="D5739" s="229">
        <v>27.5</v>
      </c>
      <c r="E5739" s="229">
        <v>31.0</v>
      </c>
      <c r="F5739" s="230">
        <v>3.0</v>
      </c>
      <c r="G5739" s="232"/>
    </row>
    <row r="5740">
      <c r="A5740" s="2"/>
      <c r="B5740" s="168" t="s">
        <v>285</v>
      </c>
      <c r="C5740" s="168" t="s">
        <v>5979</v>
      </c>
      <c r="D5740" s="229">
        <v>24.5</v>
      </c>
      <c r="E5740" s="229">
        <v>28.0</v>
      </c>
      <c r="F5740" s="230">
        <v>3.0</v>
      </c>
      <c r="G5740" s="232"/>
    </row>
    <row r="5741">
      <c r="A5741" s="2"/>
      <c r="B5741" s="168" t="s">
        <v>302</v>
      </c>
      <c r="C5741" s="168" t="s">
        <v>5980</v>
      </c>
      <c r="D5741" s="229">
        <v>34.5</v>
      </c>
      <c r="E5741" s="229">
        <v>38.0</v>
      </c>
      <c r="F5741" s="230">
        <v>3.0</v>
      </c>
      <c r="G5741" s="232"/>
    </row>
    <row r="5742">
      <c r="A5742" s="2"/>
      <c r="B5742" s="168" t="s">
        <v>375</v>
      </c>
      <c r="C5742" s="168" t="s">
        <v>5981</v>
      </c>
      <c r="D5742" s="229">
        <v>26.5</v>
      </c>
      <c r="E5742" s="229">
        <v>30.0</v>
      </c>
      <c r="F5742" s="230">
        <v>3.0</v>
      </c>
      <c r="G5742" s="232"/>
    </row>
    <row r="5743">
      <c r="A5743" s="2"/>
      <c r="B5743" s="168" t="s">
        <v>273</v>
      </c>
      <c r="C5743" s="168" t="s">
        <v>5982</v>
      </c>
      <c r="D5743" s="229">
        <v>24.5</v>
      </c>
      <c r="E5743" s="229">
        <v>28.0</v>
      </c>
      <c r="F5743" s="230">
        <v>3.0</v>
      </c>
      <c r="G5743" s="232"/>
    </row>
    <row r="5744">
      <c r="A5744" s="2"/>
      <c r="B5744" s="168" t="s">
        <v>245</v>
      </c>
      <c r="C5744" s="168" t="s">
        <v>5983</v>
      </c>
      <c r="D5744" s="229">
        <v>24.5</v>
      </c>
      <c r="E5744" s="229">
        <v>28.0</v>
      </c>
      <c r="F5744" s="230">
        <v>3.0</v>
      </c>
      <c r="G5744" s="232"/>
    </row>
    <row r="5745">
      <c r="A5745" s="2"/>
      <c r="B5745" s="168" t="s">
        <v>257</v>
      </c>
      <c r="C5745" s="168" t="s">
        <v>5984</v>
      </c>
      <c r="D5745" s="229">
        <v>28.5</v>
      </c>
      <c r="E5745" s="229">
        <v>32.0</v>
      </c>
      <c r="F5745" s="230">
        <v>3.0</v>
      </c>
      <c r="G5745" s="232"/>
    </row>
    <row r="5746">
      <c r="A5746" s="2"/>
      <c r="B5746" s="168" t="s">
        <v>269</v>
      </c>
      <c r="C5746" s="168" t="s">
        <v>5985</v>
      </c>
      <c r="D5746" s="229">
        <v>26.5</v>
      </c>
      <c r="E5746" s="229">
        <v>30.0</v>
      </c>
      <c r="F5746" s="230">
        <v>3.0</v>
      </c>
      <c r="G5746" s="232"/>
    </row>
    <row r="5747">
      <c r="A5747" s="2"/>
      <c r="B5747" s="168" t="s">
        <v>290</v>
      </c>
      <c r="C5747" s="168" t="s">
        <v>5986</v>
      </c>
      <c r="D5747" s="229">
        <v>29.5</v>
      </c>
      <c r="E5747" s="229">
        <v>33.0</v>
      </c>
      <c r="F5747" s="230">
        <v>3.0</v>
      </c>
      <c r="G5747" s="232"/>
    </row>
    <row r="5748">
      <c r="A5748" s="2"/>
      <c r="B5748" s="168" t="s">
        <v>273</v>
      </c>
      <c r="C5748" s="168" t="s">
        <v>5987</v>
      </c>
      <c r="D5748" s="229">
        <v>29.5</v>
      </c>
      <c r="E5748" s="229">
        <v>33.0</v>
      </c>
      <c r="F5748" s="230">
        <v>3.0</v>
      </c>
      <c r="G5748" s="232"/>
    </row>
    <row r="5749">
      <c r="A5749" s="2"/>
      <c r="B5749" s="168" t="s">
        <v>255</v>
      </c>
      <c r="C5749" s="168" t="s">
        <v>5988</v>
      </c>
      <c r="D5749" s="229">
        <v>31.5</v>
      </c>
      <c r="E5749" s="229">
        <v>35.0</v>
      </c>
      <c r="F5749" s="230">
        <v>3.0</v>
      </c>
      <c r="G5749" s="232"/>
    </row>
    <row r="5750">
      <c r="A5750" s="2"/>
      <c r="B5750" s="168" t="s">
        <v>318</v>
      </c>
      <c r="C5750" s="168" t="s">
        <v>5989</v>
      </c>
      <c r="D5750" s="229">
        <v>25.5</v>
      </c>
      <c r="E5750" s="229">
        <v>29.0</v>
      </c>
      <c r="F5750" s="230">
        <v>3.0</v>
      </c>
      <c r="G5750" s="232"/>
    </row>
    <row r="5751">
      <c r="A5751" s="2"/>
      <c r="B5751" s="168" t="s">
        <v>260</v>
      </c>
      <c r="C5751" s="168" t="s">
        <v>5990</v>
      </c>
      <c r="D5751" s="229">
        <v>28.5</v>
      </c>
      <c r="E5751" s="229">
        <v>32.0</v>
      </c>
      <c r="F5751" s="230">
        <v>3.0</v>
      </c>
      <c r="G5751" s="232"/>
    </row>
    <row r="5752">
      <c r="A5752" s="2"/>
      <c r="B5752" s="168" t="s">
        <v>288</v>
      </c>
      <c r="C5752" s="168" t="s">
        <v>5991</v>
      </c>
      <c r="D5752" s="229">
        <v>16.5</v>
      </c>
      <c r="E5752" s="229">
        <v>20.0</v>
      </c>
      <c r="F5752" s="230">
        <v>3.0</v>
      </c>
      <c r="G5752" s="232"/>
    </row>
    <row r="5753">
      <c r="A5753" s="2"/>
      <c r="B5753" s="168" t="s">
        <v>241</v>
      </c>
      <c r="C5753" s="168" t="s">
        <v>5992</v>
      </c>
      <c r="D5753" s="229">
        <v>30.5</v>
      </c>
      <c r="E5753" s="229">
        <v>34.0</v>
      </c>
      <c r="F5753" s="230">
        <v>3.0</v>
      </c>
      <c r="G5753" s="232"/>
    </row>
    <row r="5754">
      <c r="A5754" s="2"/>
      <c r="B5754" s="168" t="s">
        <v>215</v>
      </c>
      <c r="C5754" s="168" t="s">
        <v>5993</v>
      </c>
      <c r="D5754" s="229">
        <v>27.5</v>
      </c>
      <c r="E5754" s="229">
        <v>31.0</v>
      </c>
      <c r="F5754" s="230">
        <v>3.0</v>
      </c>
      <c r="G5754" s="232"/>
    </row>
    <row r="5755">
      <c r="A5755" s="2"/>
      <c r="B5755" s="168" t="s">
        <v>581</v>
      </c>
      <c r="C5755" s="168" t="s">
        <v>5994</v>
      </c>
      <c r="D5755" s="229">
        <v>26.5</v>
      </c>
      <c r="E5755" s="229">
        <v>30.0</v>
      </c>
      <c r="F5755" s="230">
        <v>3.0</v>
      </c>
      <c r="G5755" s="232"/>
    </row>
    <row r="5756">
      <c r="A5756" s="2"/>
      <c r="B5756" s="168" t="s">
        <v>230</v>
      </c>
      <c r="C5756" s="168" t="s">
        <v>5995</v>
      </c>
      <c r="D5756" s="229">
        <v>21.5</v>
      </c>
      <c r="E5756" s="229">
        <v>25.0</v>
      </c>
      <c r="F5756" s="230">
        <v>3.0</v>
      </c>
      <c r="G5756" s="232"/>
    </row>
    <row r="5757">
      <c r="A5757" s="2"/>
      <c r="B5757" s="168" t="s">
        <v>288</v>
      </c>
      <c r="C5757" s="168" t="s">
        <v>5996</v>
      </c>
      <c r="D5757" s="229">
        <v>21.5</v>
      </c>
      <c r="E5757" s="229">
        <v>25.0</v>
      </c>
      <c r="F5757" s="230">
        <v>3.0</v>
      </c>
      <c r="G5757" s="232"/>
    </row>
    <row r="5758">
      <c r="A5758" s="2"/>
      <c r="B5758" s="168" t="s">
        <v>318</v>
      </c>
      <c r="C5758" s="168" t="s">
        <v>5997</v>
      </c>
      <c r="D5758" s="229">
        <v>25.5</v>
      </c>
      <c r="E5758" s="229">
        <v>29.0</v>
      </c>
      <c r="F5758" s="230">
        <v>3.0</v>
      </c>
      <c r="G5758" s="232"/>
    </row>
    <row r="5759">
      <c r="A5759" s="2"/>
      <c r="B5759" s="168" t="s">
        <v>288</v>
      </c>
      <c r="C5759" s="168" t="s">
        <v>5998</v>
      </c>
      <c r="D5759" s="229">
        <v>21.5</v>
      </c>
      <c r="E5759" s="229">
        <v>25.0</v>
      </c>
      <c r="F5759" s="230">
        <v>3.0</v>
      </c>
      <c r="G5759" s="232"/>
    </row>
    <row r="5760">
      <c r="A5760" s="2"/>
      <c r="B5760" s="168" t="s">
        <v>255</v>
      </c>
      <c r="C5760" s="168" t="s">
        <v>5999</v>
      </c>
      <c r="D5760" s="229">
        <v>31.0</v>
      </c>
      <c r="E5760" s="229">
        <v>34.5</v>
      </c>
      <c r="F5760" s="230">
        <v>3.0</v>
      </c>
      <c r="G5760" s="232"/>
    </row>
    <row r="5761">
      <c r="A5761" s="2"/>
      <c r="B5761" s="168" t="s">
        <v>217</v>
      </c>
      <c r="C5761" s="168" t="s">
        <v>6000</v>
      </c>
      <c r="D5761" s="229">
        <v>27.5</v>
      </c>
      <c r="E5761" s="229">
        <v>31.0</v>
      </c>
      <c r="F5761" s="230">
        <v>3.0</v>
      </c>
      <c r="G5761" s="232"/>
    </row>
    <row r="5762">
      <c r="A5762" s="2"/>
      <c r="B5762" s="168" t="s">
        <v>217</v>
      </c>
      <c r="C5762" s="168" t="s">
        <v>6001</v>
      </c>
      <c r="D5762" s="229">
        <v>27.5</v>
      </c>
      <c r="E5762" s="229">
        <v>31.0</v>
      </c>
      <c r="F5762" s="230">
        <v>3.0</v>
      </c>
      <c r="G5762" s="232"/>
    </row>
    <row r="5763">
      <c r="A5763" s="2"/>
      <c r="B5763" s="168" t="s">
        <v>328</v>
      </c>
      <c r="C5763" s="168" t="s">
        <v>6002</v>
      </c>
      <c r="D5763" s="229">
        <v>34.5</v>
      </c>
      <c r="E5763" s="229">
        <v>38.0</v>
      </c>
      <c r="F5763" s="230">
        <v>3.0</v>
      </c>
      <c r="G5763" s="232"/>
    </row>
    <row r="5764">
      <c r="A5764" s="2"/>
      <c r="B5764" s="168" t="s">
        <v>269</v>
      </c>
      <c r="C5764" s="168" t="s">
        <v>6003</v>
      </c>
      <c r="D5764" s="229">
        <v>26.5</v>
      </c>
      <c r="E5764" s="229">
        <v>30.0</v>
      </c>
      <c r="F5764" s="230">
        <v>3.0</v>
      </c>
      <c r="G5764" s="232"/>
    </row>
    <row r="5765">
      <c r="A5765" s="2"/>
      <c r="B5765" s="168" t="s">
        <v>290</v>
      </c>
      <c r="C5765" s="168" t="s">
        <v>6004</v>
      </c>
      <c r="D5765" s="229">
        <v>29.5</v>
      </c>
      <c r="E5765" s="229">
        <v>33.0</v>
      </c>
      <c r="F5765" s="230">
        <v>3.0</v>
      </c>
      <c r="G5765" s="232"/>
    </row>
    <row r="5766">
      <c r="A5766" s="2"/>
      <c r="B5766" s="168" t="s">
        <v>217</v>
      </c>
      <c r="C5766" s="168" t="s">
        <v>6005</v>
      </c>
      <c r="D5766" s="229">
        <v>27.5</v>
      </c>
      <c r="E5766" s="229">
        <v>31.0</v>
      </c>
      <c r="F5766" s="230">
        <v>3.0</v>
      </c>
      <c r="G5766" s="232"/>
    </row>
    <row r="5767">
      <c r="A5767" s="2"/>
      <c r="B5767" s="168" t="s">
        <v>217</v>
      </c>
      <c r="C5767" s="168" t="s">
        <v>6006</v>
      </c>
      <c r="D5767" s="229">
        <v>27.5</v>
      </c>
      <c r="E5767" s="229">
        <v>31.0</v>
      </c>
      <c r="F5767" s="230">
        <v>3.0</v>
      </c>
      <c r="G5767" s="232"/>
    </row>
    <row r="5768">
      <c r="A5768" s="2"/>
      <c r="B5768" s="168" t="s">
        <v>247</v>
      </c>
      <c r="C5768" s="168" t="s">
        <v>6007</v>
      </c>
      <c r="D5768" s="229">
        <v>29.5</v>
      </c>
      <c r="E5768" s="229">
        <v>33.0</v>
      </c>
      <c r="F5768" s="230">
        <v>3.0</v>
      </c>
      <c r="G5768" s="232"/>
    </row>
    <row r="5769">
      <c r="A5769" s="2"/>
      <c r="B5769" s="168" t="s">
        <v>446</v>
      </c>
      <c r="C5769" s="168" t="s">
        <v>6008</v>
      </c>
      <c r="D5769" s="229">
        <v>4.5</v>
      </c>
      <c r="E5769" s="229">
        <v>4.5</v>
      </c>
      <c r="F5769" s="230">
        <v>3.0</v>
      </c>
      <c r="G5769" s="232"/>
    </row>
    <row r="5770">
      <c r="A5770" s="2"/>
      <c r="B5770" s="168" t="s">
        <v>269</v>
      </c>
      <c r="C5770" s="168" t="s">
        <v>6009</v>
      </c>
      <c r="D5770" s="229">
        <v>26.5</v>
      </c>
      <c r="E5770" s="229">
        <v>30.0</v>
      </c>
      <c r="F5770" s="230">
        <v>3.0</v>
      </c>
      <c r="G5770" s="232"/>
    </row>
    <row r="5771">
      <c r="A5771" s="2"/>
      <c r="B5771" s="168" t="s">
        <v>296</v>
      </c>
      <c r="C5771" s="168" t="s">
        <v>6010</v>
      </c>
      <c r="D5771" s="229">
        <v>26.5</v>
      </c>
      <c r="E5771" s="229">
        <v>30.0</v>
      </c>
      <c r="F5771" s="230">
        <v>3.0</v>
      </c>
      <c r="G5771" s="232"/>
    </row>
    <row r="5772">
      <c r="A5772" s="2"/>
      <c r="B5772" s="168" t="s">
        <v>269</v>
      </c>
      <c r="C5772" s="168" t="s">
        <v>6011</v>
      </c>
      <c r="D5772" s="229">
        <v>26.5</v>
      </c>
      <c r="E5772" s="229">
        <v>30.0</v>
      </c>
      <c r="F5772" s="230">
        <v>3.0</v>
      </c>
      <c r="G5772" s="232"/>
    </row>
    <row r="5773">
      <c r="A5773" s="2"/>
      <c r="B5773" s="168" t="s">
        <v>5376</v>
      </c>
      <c r="C5773" s="168" t="s">
        <v>6012</v>
      </c>
      <c r="D5773" s="229">
        <v>21.5</v>
      </c>
      <c r="E5773" s="229">
        <v>21.5</v>
      </c>
      <c r="F5773" s="230">
        <v>3.0</v>
      </c>
      <c r="G5773" s="232"/>
    </row>
    <row r="5774">
      <c r="A5774" s="2"/>
      <c r="B5774" s="168" t="s">
        <v>285</v>
      </c>
      <c r="C5774" s="168" t="s">
        <v>6013</v>
      </c>
      <c r="D5774" s="229">
        <v>24.5</v>
      </c>
      <c r="E5774" s="229">
        <v>28.0</v>
      </c>
      <c r="F5774" s="230">
        <v>3.0</v>
      </c>
      <c r="G5774" s="232"/>
    </row>
    <row r="5775">
      <c r="A5775" s="2"/>
      <c r="B5775" s="168" t="s">
        <v>464</v>
      </c>
      <c r="C5775" s="168" t="s">
        <v>6014</v>
      </c>
      <c r="D5775" s="229">
        <v>0.5</v>
      </c>
      <c r="E5775" s="229">
        <v>0.5</v>
      </c>
      <c r="F5775" s="230">
        <v>0.5</v>
      </c>
      <c r="G5775" s="232"/>
    </row>
    <row r="5776">
      <c r="A5776" s="2"/>
      <c r="B5776" s="168" t="s">
        <v>232</v>
      </c>
      <c r="C5776" s="168" t="s">
        <v>6015</v>
      </c>
      <c r="D5776" s="229">
        <v>31.5</v>
      </c>
      <c r="E5776" s="229">
        <v>35.0</v>
      </c>
      <c r="F5776" s="230">
        <v>3.0</v>
      </c>
      <c r="G5776" s="232"/>
    </row>
    <row r="5777">
      <c r="A5777" s="2"/>
      <c r="B5777" s="168" t="s">
        <v>241</v>
      </c>
      <c r="C5777" s="168" t="s">
        <v>6016</v>
      </c>
      <c r="D5777" s="229">
        <v>32.5</v>
      </c>
      <c r="E5777" s="229">
        <v>36.0</v>
      </c>
      <c r="F5777" s="230">
        <v>3.0</v>
      </c>
      <c r="G5777" s="232"/>
    </row>
    <row r="5778">
      <c r="A5778" s="2"/>
      <c r="B5778" s="168" t="s">
        <v>280</v>
      </c>
      <c r="C5778" s="168" t="s">
        <v>6017</v>
      </c>
      <c r="D5778" s="229">
        <v>34.5</v>
      </c>
      <c r="E5778" s="229">
        <v>38.0</v>
      </c>
      <c r="F5778" s="230">
        <v>3.0</v>
      </c>
      <c r="G5778" s="232"/>
    </row>
    <row r="5779">
      <c r="A5779" s="2"/>
      <c r="B5779" s="168" t="s">
        <v>232</v>
      </c>
      <c r="C5779" s="168" t="s">
        <v>6018</v>
      </c>
      <c r="D5779" s="229">
        <v>25.5</v>
      </c>
      <c r="E5779" s="229">
        <v>29.0</v>
      </c>
      <c r="F5779" s="230">
        <v>3.0</v>
      </c>
      <c r="G5779" s="232"/>
    </row>
    <row r="5780">
      <c r="A5780" s="2"/>
      <c r="B5780" s="168" t="s">
        <v>464</v>
      </c>
      <c r="C5780" s="168" t="s">
        <v>6019</v>
      </c>
      <c r="D5780" s="229">
        <v>0.5</v>
      </c>
      <c r="E5780" s="229">
        <v>0.5</v>
      </c>
      <c r="F5780" s="230">
        <v>0.5</v>
      </c>
      <c r="G5780" s="232"/>
    </row>
    <row r="5781">
      <c r="A5781" s="2"/>
      <c r="B5781" s="168" t="s">
        <v>296</v>
      </c>
      <c r="C5781" s="168" t="s">
        <v>6020</v>
      </c>
      <c r="D5781" s="229">
        <v>26.5</v>
      </c>
      <c r="E5781" s="229">
        <v>30.0</v>
      </c>
      <c r="F5781" s="230">
        <v>3.0</v>
      </c>
      <c r="G5781" s="232"/>
    </row>
    <row r="5782">
      <c r="A5782" s="2"/>
      <c r="B5782" s="168" t="s">
        <v>335</v>
      </c>
      <c r="C5782" s="168" t="s">
        <v>6021</v>
      </c>
      <c r="D5782" s="229">
        <v>34.5</v>
      </c>
      <c r="E5782" s="229">
        <v>38.0</v>
      </c>
      <c r="F5782" s="230">
        <v>3.0</v>
      </c>
      <c r="G5782" s="232"/>
    </row>
    <row r="5783">
      <c r="A5783" s="2"/>
      <c r="B5783" s="168" t="s">
        <v>328</v>
      </c>
      <c r="C5783" s="168" t="s">
        <v>6022</v>
      </c>
      <c r="D5783" s="229">
        <v>34.5</v>
      </c>
      <c r="E5783" s="229">
        <v>38.0</v>
      </c>
      <c r="F5783" s="230">
        <v>3.0</v>
      </c>
      <c r="G5783" s="232"/>
    </row>
    <row r="5784">
      <c r="A5784" s="2"/>
      <c r="B5784" s="168" t="s">
        <v>232</v>
      </c>
      <c r="C5784" s="168" t="s">
        <v>6023</v>
      </c>
      <c r="D5784" s="229">
        <v>31.5</v>
      </c>
      <c r="E5784" s="229">
        <v>35.0</v>
      </c>
      <c r="F5784" s="230">
        <v>3.0</v>
      </c>
      <c r="G5784" s="232"/>
    </row>
    <row r="5785">
      <c r="A5785" s="2"/>
      <c r="B5785" s="168" t="s">
        <v>345</v>
      </c>
      <c r="C5785" s="168" t="s">
        <v>6024</v>
      </c>
      <c r="D5785" s="229">
        <v>20.5</v>
      </c>
      <c r="E5785" s="229">
        <v>24.0</v>
      </c>
      <c r="F5785" s="230">
        <v>3.0</v>
      </c>
      <c r="G5785" s="232"/>
    </row>
    <row r="5786">
      <c r="A5786" s="2"/>
      <c r="B5786" s="168" t="s">
        <v>269</v>
      </c>
      <c r="C5786" s="168" t="s">
        <v>6025</v>
      </c>
      <c r="D5786" s="229">
        <v>26.5</v>
      </c>
      <c r="E5786" s="229">
        <v>30.0</v>
      </c>
      <c r="F5786" s="230">
        <v>3.0</v>
      </c>
      <c r="G5786" s="232"/>
    </row>
    <row r="5787">
      <c r="A5787" s="2"/>
      <c r="B5787" s="168" t="s">
        <v>615</v>
      </c>
      <c r="C5787" s="168" t="s">
        <v>6026</v>
      </c>
      <c r="D5787" s="229">
        <v>24.5</v>
      </c>
      <c r="E5787" s="229">
        <v>28.0</v>
      </c>
      <c r="F5787" s="230">
        <v>3.0</v>
      </c>
      <c r="G5787" s="232"/>
    </row>
    <row r="5788">
      <c r="A5788" s="2"/>
      <c r="B5788" s="168" t="s">
        <v>377</v>
      </c>
      <c r="C5788" s="168" t="s">
        <v>377</v>
      </c>
      <c r="D5788" s="229">
        <v>29.5</v>
      </c>
      <c r="E5788" s="229">
        <v>33.0</v>
      </c>
      <c r="F5788" s="230">
        <v>3.0</v>
      </c>
      <c r="G5788" s="232"/>
    </row>
    <row r="5789">
      <c r="A5789" s="2"/>
      <c r="B5789" s="168" t="s">
        <v>296</v>
      </c>
      <c r="C5789" s="168" t="s">
        <v>6027</v>
      </c>
      <c r="D5789" s="229">
        <v>26.5</v>
      </c>
      <c r="E5789" s="229">
        <v>30.0</v>
      </c>
      <c r="F5789" s="230">
        <v>3.0</v>
      </c>
      <c r="G5789" s="232"/>
    </row>
    <row r="5790">
      <c r="A5790" s="2"/>
      <c r="B5790" s="168" t="s">
        <v>271</v>
      </c>
      <c r="C5790" s="168" t="s">
        <v>6028</v>
      </c>
      <c r="D5790" s="229">
        <v>31.5</v>
      </c>
      <c r="E5790" s="229">
        <v>35.0</v>
      </c>
      <c r="F5790" s="230">
        <v>3.0</v>
      </c>
      <c r="G5790" s="232"/>
    </row>
    <row r="5791">
      <c r="A5791" s="2"/>
      <c r="B5791" s="168" t="s">
        <v>377</v>
      </c>
      <c r="C5791" s="168" t="s">
        <v>6029</v>
      </c>
      <c r="D5791" s="229">
        <v>24.5</v>
      </c>
      <c r="E5791" s="229">
        <v>28.0</v>
      </c>
      <c r="F5791" s="230">
        <v>3.0</v>
      </c>
      <c r="G5791" s="232"/>
    </row>
    <row r="5792">
      <c r="A5792" s="2"/>
      <c r="B5792" s="168" t="s">
        <v>217</v>
      </c>
      <c r="C5792" s="168" t="s">
        <v>6030</v>
      </c>
      <c r="D5792" s="229">
        <v>27.5</v>
      </c>
      <c r="E5792" s="229">
        <v>31.0</v>
      </c>
      <c r="F5792" s="230">
        <v>3.0</v>
      </c>
      <c r="G5792" s="232"/>
    </row>
    <row r="5793">
      <c r="A5793" s="2"/>
      <c r="B5793" s="168" t="s">
        <v>337</v>
      </c>
      <c r="C5793" s="168" t="s">
        <v>6031</v>
      </c>
      <c r="D5793" s="229">
        <v>28.5</v>
      </c>
      <c r="E5793" s="229">
        <v>32.0</v>
      </c>
      <c r="F5793" s="230">
        <v>3.0</v>
      </c>
      <c r="G5793" s="232"/>
    </row>
    <row r="5794">
      <c r="A5794" s="2"/>
      <c r="B5794" s="168" t="s">
        <v>337</v>
      </c>
      <c r="C5794" s="168" t="s">
        <v>6032</v>
      </c>
      <c r="D5794" s="229">
        <v>28.5</v>
      </c>
      <c r="E5794" s="229">
        <v>32.0</v>
      </c>
      <c r="F5794" s="230">
        <v>3.0</v>
      </c>
      <c r="G5794" s="232"/>
    </row>
    <row r="5795">
      <c r="A5795" s="2"/>
      <c r="B5795" s="168" t="s">
        <v>377</v>
      </c>
      <c r="C5795" s="168" t="s">
        <v>6033</v>
      </c>
      <c r="D5795" s="229">
        <v>24.5</v>
      </c>
      <c r="E5795" s="229">
        <v>28.0</v>
      </c>
      <c r="F5795" s="230">
        <v>3.0</v>
      </c>
      <c r="G5795" s="232"/>
    </row>
    <row r="5796">
      <c r="A5796" s="2"/>
      <c r="B5796" s="168" t="s">
        <v>337</v>
      </c>
      <c r="C5796" s="168" t="s">
        <v>6034</v>
      </c>
      <c r="D5796" s="229">
        <v>32.5</v>
      </c>
      <c r="E5796" s="229">
        <v>36.0</v>
      </c>
      <c r="F5796" s="230">
        <v>3.0</v>
      </c>
      <c r="G5796" s="232"/>
    </row>
    <row r="5797">
      <c r="A5797" s="2"/>
      <c r="B5797" s="168" t="s">
        <v>280</v>
      </c>
      <c r="C5797" s="168" t="s">
        <v>6035</v>
      </c>
      <c r="D5797" s="229">
        <v>28.5</v>
      </c>
      <c r="E5797" s="229">
        <v>32.0</v>
      </c>
      <c r="F5797" s="230">
        <v>3.0</v>
      </c>
      <c r="G5797" s="232"/>
    </row>
    <row r="5798">
      <c r="A5798" s="2"/>
      <c r="B5798" s="168" t="s">
        <v>255</v>
      </c>
      <c r="C5798" s="168" t="s">
        <v>6036</v>
      </c>
      <c r="D5798" s="229">
        <v>31.5</v>
      </c>
      <c r="E5798" s="229">
        <v>35.0</v>
      </c>
      <c r="F5798" s="230">
        <v>3.0</v>
      </c>
      <c r="G5798" s="232"/>
    </row>
    <row r="5799">
      <c r="A5799" s="2"/>
      <c r="B5799" s="168" t="s">
        <v>255</v>
      </c>
      <c r="C5799" s="168" t="s">
        <v>6037</v>
      </c>
      <c r="D5799" s="229">
        <v>31.5</v>
      </c>
      <c r="E5799" s="229">
        <v>35.0</v>
      </c>
      <c r="F5799" s="230">
        <v>3.0</v>
      </c>
      <c r="G5799" s="232"/>
    </row>
    <row r="5800">
      <c r="A5800" s="2"/>
      <c r="B5800" s="168" t="s">
        <v>217</v>
      </c>
      <c r="C5800" s="168" t="s">
        <v>6038</v>
      </c>
      <c r="D5800" s="229">
        <v>27.5</v>
      </c>
      <c r="E5800" s="229">
        <v>31.0</v>
      </c>
      <c r="F5800" s="230">
        <v>3.0</v>
      </c>
      <c r="G5800" s="232"/>
    </row>
    <row r="5801">
      <c r="A5801" s="2"/>
      <c r="B5801" s="168" t="s">
        <v>341</v>
      </c>
      <c r="C5801" s="168" t="s">
        <v>6039</v>
      </c>
      <c r="D5801" s="229">
        <v>24.5</v>
      </c>
      <c r="E5801" s="229">
        <v>24.5</v>
      </c>
      <c r="F5801" s="230">
        <v>3.0</v>
      </c>
      <c r="G5801" s="232"/>
    </row>
    <row r="5802">
      <c r="A5802" s="2"/>
      <c r="B5802" s="168" t="s">
        <v>271</v>
      </c>
      <c r="C5802" s="168" t="s">
        <v>6040</v>
      </c>
      <c r="D5802" s="229">
        <v>30.5</v>
      </c>
      <c r="E5802" s="229">
        <v>34.0</v>
      </c>
      <c r="F5802" s="230">
        <v>3.0</v>
      </c>
      <c r="G5802" s="232"/>
    </row>
    <row r="5803">
      <c r="A5803" s="2"/>
      <c r="B5803" s="168" t="s">
        <v>1432</v>
      </c>
      <c r="C5803" s="168" t="s">
        <v>6041</v>
      </c>
      <c r="D5803" s="229">
        <v>26.5</v>
      </c>
      <c r="E5803" s="229">
        <v>30.0</v>
      </c>
      <c r="F5803" s="230">
        <v>3.0</v>
      </c>
      <c r="G5803" s="232"/>
    </row>
    <row r="5804">
      <c r="A5804" s="2"/>
      <c r="B5804" s="168" t="s">
        <v>239</v>
      </c>
      <c r="C5804" s="168" t="s">
        <v>6042</v>
      </c>
      <c r="D5804" s="229">
        <v>29.5</v>
      </c>
      <c r="E5804" s="229">
        <v>33.0</v>
      </c>
      <c r="F5804" s="230">
        <v>3.0</v>
      </c>
      <c r="G5804" s="232"/>
    </row>
    <row r="5805">
      <c r="A5805" s="2"/>
      <c r="B5805" s="168" t="s">
        <v>221</v>
      </c>
      <c r="C5805" s="168" t="s">
        <v>6043</v>
      </c>
      <c r="D5805" s="229">
        <v>27.5</v>
      </c>
      <c r="E5805" s="229">
        <v>31.0</v>
      </c>
      <c r="F5805" s="230">
        <v>3.0</v>
      </c>
      <c r="G5805" s="232"/>
    </row>
    <row r="5806">
      <c r="A5806" s="2"/>
      <c r="B5806" s="168" t="s">
        <v>255</v>
      </c>
      <c r="C5806" s="168" t="s">
        <v>6044</v>
      </c>
      <c r="D5806" s="229">
        <v>30.5</v>
      </c>
      <c r="E5806" s="229">
        <v>34.0</v>
      </c>
      <c r="F5806" s="230">
        <v>3.0</v>
      </c>
      <c r="G5806" s="232"/>
    </row>
    <row r="5807">
      <c r="A5807" s="2"/>
      <c r="B5807" s="168" t="s">
        <v>388</v>
      </c>
      <c r="C5807" s="168" t="s">
        <v>6045</v>
      </c>
      <c r="D5807" s="229">
        <v>21.5</v>
      </c>
      <c r="E5807" s="229">
        <v>25.0</v>
      </c>
      <c r="F5807" s="230">
        <v>3.0</v>
      </c>
      <c r="G5807" s="232"/>
    </row>
    <row r="5808">
      <c r="A5808" s="2"/>
      <c r="B5808" s="168" t="s">
        <v>684</v>
      </c>
      <c r="C5808" s="168" t="s">
        <v>6046</v>
      </c>
      <c r="D5808" s="229">
        <v>25.5</v>
      </c>
      <c r="E5808" s="229">
        <v>29.0</v>
      </c>
      <c r="F5808" s="230">
        <v>3.0</v>
      </c>
      <c r="G5808" s="232"/>
    </row>
    <row r="5809">
      <c r="A5809" s="2"/>
      <c r="B5809" s="168" t="s">
        <v>217</v>
      </c>
      <c r="C5809" s="168" t="s">
        <v>6047</v>
      </c>
      <c r="D5809" s="229">
        <v>22.5</v>
      </c>
      <c r="E5809" s="229">
        <v>26.0</v>
      </c>
      <c r="F5809" s="230">
        <v>3.0</v>
      </c>
      <c r="G5809" s="232"/>
    </row>
    <row r="5810">
      <c r="A5810" s="2"/>
      <c r="B5810" s="168" t="s">
        <v>273</v>
      </c>
      <c r="C5810" s="168" t="s">
        <v>6048</v>
      </c>
      <c r="D5810" s="229">
        <v>29.5</v>
      </c>
      <c r="E5810" s="229">
        <v>33.0</v>
      </c>
      <c r="F5810" s="230">
        <v>3.0</v>
      </c>
      <c r="G5810" s="232"/>
    </row>
    <row r="5811">
      <c r="A5811" s="2"/>
      <c r="B5811" s="168" t="s">
        <v>290</v>
      </c>
      <c r="C5811" s="168" t="s">
        <v>6049</v>
      </c>
      <c r="D5811" s="229">
        <v>29.5</v>
      </c>
      <c r="E5811" s="229">
        <v>33.0</v>
      </c>
      <c r="F5811" s="230">
        <v>3.0</v>
      </c>
      <c r="G5811" s="232"/>
    </row>
    <row r="5812">
      <c r="A5812" s="2"/>
      <c r="B5812" s="168" t="s">
        <v>245</v>
      </c>
      <c r="C5812" s="168" t="s">
        <v>6050</v>
      </c>
      <c r="D5812" s="229">
        <v>29.0</v>
      </c>
      <c r="E5812" s="229">
        <v>32.5</v>
      </c>
      <c r="F5812" s="230">
        <v>3.0</v>
      </c>
      <c r="G5812" s="232"/>
    </row>
    <row r="5813">
      <c r="A5813" s="2"/>
      <c r="B5813" s="168" t="s">
        <v>288</v>
      </c>
      <c r="C5813" s="168" t="s">
        <v>6051</v>
      </c>
      <c r="D5813" s="229">
        <v>21.5</v>
      </c>
      <c r="E5813" s="229">
        <v>25.0</v>
      </c>
      <c r="F5813" s="230">
        <v>3.0</v>
      </c>
      <c r="G5813" s="232"/>
    </row>
    <row r="5814">
      <c r="A5814" s="2"/>
      <c r="B5814" s="168" t="s">
        <v>288</v>
      </c>
      <c r="C5814" s="168" t="s">
        <v>6052</v>
      </c>
      <c r="D5814" s="229">
        <v>21.5</v>
      </c>
      <c r="E5814" s="229">
        <v>25.0</v>
      </c>
      <c r="F5814" s="230">
        <v>3.0</v>
      </c>
      <c r="G5814" s="232"/>
    </row>
    <row r="5815">
      <c r="A5815" s="2"/>
      <c r="B5815" s="168" t="s">
        <v>217</v>
      </c>
      <c r="C5815" s="168" t="s">
        <v>6053</v>
      </c>
      <c r="D5815" s="229">
        <v>27.5</v>
      </c>
      <c r="E5815" s="229">
        <v>31.0</v>
      </c>
      <c r="F5815" s="230">
        <v>3.0</v>
      </c>
      <c r="G5815" s="232"/>
    </row>
    <row r="5816">
      <c r="A5816" s="2"/>
      <c r="B5816" s="168" t="s">
        <v>285</v>
      </c>
      <c r="C5816" s="168" t="s">
        <v>6054</v>
      </c>
      <c r="D5816" s="229">
        <v>24.5</v>
      </c>
      <c r="E5816" s="229">
        <v>28.0</v>
      </c>
      <c r="F5816" s="230">
        <v>3.0</v>
      </c>
      <c r="G5816" s="232"/>
    </row>
    <row r="5817">
      <c r="A5817" s="2"/>
      <c r="B5817" s="168" t="s">
        <v>271</v>
      </c>
      <c r="C5817" s="168" t="s">
        <v>6055</v>
      </c>
      <c r="D5817" s="229">
        <v>30.5</v>
      </c>
      <c r="E5817" s="229">
        <v>34.0</v>
      </c>
      <c r="F5817" s="230">
        <v>3.0</v>
      </c>
      <c r="G5817" s="232"/>
    </row>
    <row r="5818">
      <c r="A5818" s="2"/>
      <c r="B5818" s="168" t="s">
        <v>241</v>
      </c>
      <c r="C5818" s="168" t="s">
        <v>6056</v>
      </c>
      <c r="D5818" s="229">
        <v>32.5</v>
      </c>
      <c r="E5818" s="229">
        <v>36.0</v>
      </c>
      <c r="F5818" s="230">
        <v>3.0</v>
      </c>
      <c r="G5818" s="232"/>
    </row>
    <row r="5819">
      <c r="A5819" s="2"/>
      <c r="B5819" s="168" t="s">
        <v>269</v>
      </c>
      <c r="C5819" s="168" t="s">
        <v>6057</v>
      </c>
      <c r="D5819" s="229">
        <v>26.5</v>
      </c>
      <c r="E5819" s="229">
        <v>30.0</v>
      </c>
      <c r="F5819" s="230">
        <v>3.0</v>
      </c>
      <c r="G5819" s="232"/>
    </row>
    <row r="5820">
      <c r="A5820" s="2"/>
      <c r="B5820" s="168" t="s">
        <v>255</v>
      </c>
      <c r="C5820" s="168" t="s">
        <v>6058</v>
      </c>
      <c r="D5820" s="229">
        <v>31.5</v>
      </c>
      <c r="E5820" s="229">
        <v>35.0</v>
      </c>
      <c r="F5820" s="230">
        <v>3.0</v>
      </c>
      <c r="G5820" s="232"/>
    </row>
    <row r="5821">
      <c r="A5821" s="2"/>
      <c r="B5821" s="168" t="s">
        <v>615</v>
      </c>
      <c r="C5821" s="168" t="s">
        <v>6059</v>
      </c>
      <c r="D5821" s="229">
        <v>24.5</v>
      </c>
      <c r="E5821" s="229">
        <v>28.0</v>
      </c>
      <c r="F5821" s="230">
        <v>3.0</v>
      </c>
      <c r="G5821" s="232"/>
    </row>
    <row r="5822">
      <c r="A5822" s="2"/>
      <c r="B5822" s="168" t="s">
        <v>449</v>
      </c>
      <c r="C5822" s="168" t="s">
        <v>6060</v>
      </c>
      <c r="D5822" s="229">
        <v>28.5</v>
      </c>
      <c r="E5822" s="229">
        <v>32.0</v>
      </c>
      <c r="F5822" s="230">
        <v>3.0</v>
      </c>
      <c r="G5822" s="232"/>
    </row>
    <row r="5823">
      <c r="A5823" s="2"/>
      <c r="B5823" s="168" t="s">
        <v>269</v>
      </c>
      <c r="C5823" s="168" t="s">
        <v>6061</v>
      </c>
      <c r="D5823" s="229">
        <v>26.5</v>
      </c>
      <c r="E5823" s="229">
        <v>30.0</v>
      </c>
      <c r="F5823" s="230">
        <v>3.0</v>
      </c>
      <c r="G5823" s="232"/>
    </row>
    <row r="5824">
      <c r="A5824" s="2"/>
      <c r="B5824" s="168" t="s">
        <v>241</v>
      </c>
      <c r="C5824" s="168" t="s">
        <v>6062</v>
      </c>
      <c r="D5824" s="229">
        <v>32.5</v>
      </c>
      <c r="E5824" s="229">
        <v>36.0</v>
      </c>
      <c r="F5824" s="230">
        <v>3.0</v>
      </c>
      <c r="G5824" s="232"/>
    </row>
    <row r="5825">
      <c r="A5825" s="2"/>
      <c r="B5825" s="168" t="s">
        <v>288</v>
      </c>
      <c r="C5825" s="168" t="s">
        <v>6063</v>
      </c>
      <c r="D5825" s="229">
        <v>21.5</v>
      </c>
      <c r="E5825" s="229">
        <v>25.0</v>
      </c>
      <c r="F5825" s="230">
        <v>3.0</v>
      </c>
      <c r="G5825" s="232"/>
    </row>
    <row r="5826">
      <c r="A5826" s="2"/>
      <c r="B5826" s="168" t="s">
        <v>243</v>
      </c>
      <c r="C5826" s="168" t="s">
        <v>6064</v>
      </c>
      <c r="D5826" s="229">
        <v>29.5</v>
      </c>
      <c r="E5826" s="229">
        <v>33.0</v>
      </c>
      <c r="F5826" s="230">
        <v>3.0</v>
      </c>
      <c r="G5826" s="232"/>
    </row>
    <row r="5827">
      <c r="A5827" s="2"/>
      <c r="B5827" s="168" t="s">
        <v>230</v>
      </c>
      <c r="C5827" s="168" t="s">
        <v>6065</v>
      </c>
      <c r="D5827" s="229">
        <v>21.5</v>
      </c>
      <c r="E5827" s="229">
        <v>25.0</v>
      </c>
      <c r="F5827" s="230">
        <v>3.0</v>
      </c>
      <c r="G5827" s="232"/>
    </row>
    <row r="5828">
      <c r="A5828" s="2"/>
      <c r="B5828" s="168" t="s">
        <v>388</v>
      </c>
      <c r="C5828" s="168" t="s">
        <v>6066</v>
      </c>
      <c r="D5828" s="229">
        <v>16.5</v>
      </c>
      <c r="E5828" s="229">
        <v>20.0</v>
      </c>
      <c r="F5828" s="230">
        <v>3.0</v>
      </c>
      <c r="G5828" s="232"/>
    </row>
    <row r="5829">
      <c r="A5829" s="2"/>
      <c r="B5829" s="168" t="s">
        <v>318</v>
      </c>
      <c r="C5829" s="168" t="s">
        <v>6067</v>
      </c>
      <c r="D5829" s="229">
        <v>25.5</v>
      </c>
      <c r="E5829" s="229">
        <v>29.0</v>
      </c>
      <c r="F5829" s="230">
        <v>3.0</v>
      </c>
      <c r="G5829" s="232"/>
    </row>
    <row r="5830">
      <c r="A5830" s="2"/>
      <c r="B5830" s="168" t="s">
        <v>377</v>
      </c>
      <c r="C5830" s="168" t="s">
        <v>6068</v>
      </c>
      <c r="D5830" s="229">
        <v>24.5</v>
      </c>
      <c r="E5830" s="229">
        <v>28.0</v>
      </c>
      <c r="F5830" s="230">
        <v>3.0</v>
      </c>
      <c r="G5830" s="232"/>
    </row>
    <row r="5831">
      <c r="A5831" s="2"/>
      <c r="B5831" s="168" t="s">
        <v>239</v>
      </c>
      <c r="C5831" s="168" t="s">
        <v>6069</v>
      </c>
      <c r="D5831" s="229">
        <v>29.5</v>
      </c>
      <c r="E5831" s="229">
        <v>33.0</v>
      </c>
      <c r="F5831" s="230">
        <v>3.0</v>
      </c>
      <c r="G5831" s="232"/>
    </row>
    <row r="5832">
      <c r="A5832" s="2"/>
      <c r="B5832" s="168" t="s">
        <v>368</v>
      </c>
      <c r="C5832" s="168" t="s">
        <v>6070</v>
      </c>
      <c r="D5832" s="229">
        <v>32.5</v>
      </c>
      <c r="E5832" s="229">
        <v>36.0</v>
      </c>
      <c r="F5832" s="230">
        <v>3.0</v>
      </c>
      <c r="G5832" s="232"/>
    </row>
    <row r="5833">
      <c r="A5833" s="2"/>
      <c r="B5833" s="168" t="s">
        <v>288</v>
      </c>
      <c r="C5833" s="168" t="s">
        <v>6071</v>
      </c>
      <c r="D5833" s="229">
        <v>16.5</v>
      </c>
      <c r="E5833" s="229">
        <v>20.0</v>
      </c>
      <c r="F5833" s="230">
        <v>3.0</v>
      </c>
      <c r="G5833" s="232"/>
    </row>
    <row r="5834">
      <c r="A5834" s="2"/>
      <c r="B5834" s="168" t="s">
        <v>438</v>
      </c>
      <c r="C5834" s="168" t="s">
        <v>6072</v>
      </c>
      <c r="D5834" s="229">
        <v>29.5</v>
      </c>
      <c r="E5834" s="229">
        <v>33.0</v>
      </c>
      <c r="F5834" s="230">
        <v>3.0</v>
      </c>
      <c r="G5834" s="232"/>
    </row>
    <row r="5835">
      <c r="A5835" s="2"/>
      <c r="B5835" s="168" t="s">
        <v>223</v>
      </c>
      <c r="C5835" s="168" t="s">
        <v>6073</v>
      </c>
      <c r="D5835" s="229">
        <v>26.5</v>
      </c>
      <c r="E5835" s="229">
        <v>30.0</v>
      </c>
      <c r="F5835" s="230">
        <v>3.0</v>
      </c>
      <c r="G5835" s="232"/>
    </row>
    <row r="5836">
      <c r="A5836" s="2"/>
      <c r="B5836" s="168" t="s">
        <v>269</v>
      </c>
      <c r="C5836" s="168" t="s">
        <v>6074</v>
      </c>
      <c r="D5836" s="229">
        <v>26.5</v>
      </c>
      <c r="E5836" s="229">
        <v>30.0</v>
      </c>
      <c r="F5836" s="230">
        <v>3.0</v>
      </c>
      <c r="G5836" s="232"/>
    </row>
    <row r="5837">
      <c r="A5837" s="2"/>
      <c r="B5837" s="168" t="s">
        <v>255</v>
      </c>
      <c r="C5837" s="168" t="s">
        <v>6075</v>
      </c>
      <c r="D5837" s="229">
        <v>31.5</v>
      </c>
      <c r="E5837" s="229">
        <v>35.0</v>
      </c>
      <c r="F5837" s="230">
        <v>3.0</v>
      </c>
      <c r="G5837" s="232"/>
    </row>
    <row r="5838">
      <c r="A5838" s="2"/>
      <c r="B5838" s="168" t="s">
        <v>215</v>
      </c>
      <c r="C5838" s="168" t="s">
        <v>6076</v>
      </c>
      <c r="D5838" s="229">
        <v>29.5</v>
      </c>
      <c r="E5838" s="229">
        <v>33.0</v>
      </c>
      <c r="F5838" s="230">
        <v>3.0</v>
      </c>
      <c r="G5838" s="232"/>
    </row>
    <row r="5839">
      <c r="A5839" s="2"/>
      <c r="B5839" s="168" t="s">
        <v>341</v>
      </c>
      <c r="C5839" s="168" t="s">
        <v>6077</v>
      </c>
      <c r="D5839" s="229">
        <v>29.5</v>
      </c>
      <c r="E5839" s="229">
        <v>29.5</v>
      </c>
      <c r="F5839" s="230">
        <v>3.0</v>
      </c>
      <c r="G5839" s="232"/>
    </row>
    <row r="5840">
      <c r="A5840" s="2"/>
      <c r="B5840" s="168" t="s">
        <v>223</v>
      </c>
      <c r="C5840" s="168" t="s">
        <v>6078</v>
      </c>
      <c r="D5840" s="229">
        <v>26.5</v>
      </c>
      <c r="E5840" s="229">
        <v>30.0</v>
      </c>
      <c r="F5840" s="230">
        <v>3.0</v>
      </c>
      <c r="G5840" s="232"/>
    </row>
    <row r="5841">
      <c r="A5841" s="2"/>
      <c r="B5841" s="168" t="s">
        <v>232</v>
      </c>
      <c r="C5841" s="168" t="s">
        <v>6079</v>
      </c>
      <c r="D5841" s="229">
        <v>32.5</v>
      </c>
      <c r="E5841" s="229">
        <v>36.0</v>
      </c>
      <c r="F5841" s="230">
        <v>3.0</v>
      </c>
      <c r="G5841" s="232"/>
    </row>
    <row r="5842">
      <c r="A5842" s="2"/>
      <c r="B5842" s="168" t="s">
        <v>217</v>
      </c>
      <c r="C5842" s="168" t="s">
        <v>6080</v>
      </c>
      <c r="D5842" s="229">
        <v>27.5</v>
      </c>
      <c r="E5842" s="229">
        <v>31.0</v>
      </c>
      <c r="F5842" s="230">
        <v>3.0</v>
      </c>
      <c r="G5842" s="232"/>
    </row>
    <row r="5843">
      <c r="A5843" s="2"/>
      <c r="B5843" s="168" t="s">
        <v>1392</v>
      </c>
      <c r="C5843" s="168" t="s">
        <v>6081</v>
      </c>
      <c r="D5843" s="229">
        <v>26.5</v>
      </c>
      <c r="E5843" s="229">
        <v>30.0</v>
      </c>
      <c r="F5843" s="230">
        <v>3.0</v>
      </c>
      <c r="G5843" s="232"/>
    </row>
    <row r="5844">
      <c r="A5844" s="2"/>
      <c r="B5844" s="168" t="s">
        <v>243</v>
      </c>
      <c r="C5844" s="168" t="s">
        <v>6082</v>
      </c>
      <c r="D5844" s="229">
        <v>29.5</v>
      </c>
      <c r="E5844" s="229">
        <v>33.0</v>
      </c>
      <c r="F5844" s="230">
        <v>3.0</v>
      </c>
      <c r="G5844" s="232"/>
    </row>
    <row r="5845">
      <c r="A5845" s="2"/>
      <c r="B5845" s="168" t="s">
        <v>269</v>
      </c>
      <c r="C5845" s="168" t="s">
        <v>6083</v>
      </c>
      <c r="D5845" s="229">
        <v>26.5</v>
      </c>
      <c r="E5845" s="229">
        <v>30.0</v>
      </c>
      <c r="F5845" s="230">
        <v>3.0</v>
      </c>
      <c r="G5845" s="232"/>
    </row>
    <row r="5846">
      <c r="A5846" s="2"/>
      <c r="B5846" s="168" t="s">
        <v>217</v>
      </c>
      <c r="C5846" s="168" t="s">
        <v>6084</v>
      </c>
      <c r="D5846" s="229">
        <v>27.5</v>
      </c>
      <c r="E5846" s="229">
        <v>31.0</v>
      </c>
      <c r="F5846" s="230">
        <v>3.0</v>
      </c>
      <c r="G5846" s="232"/>
    </row>
    <row r="5847">
      <c r="A5847" s="2"/>
      <c r="B5847" s="168" t="s">
        <v>215</v>
      </c>
      <c r="C5847" s="168" t="s">
        <v>6085</v>
      </c>
      <c r="D5847" s="229">
        <v>25.5</v>
      </c>
      <c r="E5847" s="229">
        <v>29.0</v>
      </c>
      <c r="F5847" s="230">
        <v>3.0</v>
      </c>
      <c r="G5847" s="232"/>
    </row>
    <row r="5848">
      <c r="A5848" s="2"/>
      <c r="B5848" s="168" t="s">
        <v>255</v>
      </c>
      <c r="C5848" s="168" t="s">
        <v>6086</v>
      </c>
      <c r="D5848" s="229">
        <v>31.5</v>
      </c>
      <c r="E5848" s="229">
        <v>35.0</v>
      </c>
      <c r="F5848" s="230">
        <v>3.0</v>
      </c>
      <c r="G5848" s="232"/>
    </row>
    <row r="5849">
      <c r="A5849" s="2"/>
      <c r="B5849" s="168" t="s">
        <v>217</v>
      </c>
      <c r="C5849" s="168" t="s">
        <v>6087</v>
      </c>
      <c r="D5849" s="229">
        <v>27.5</v>
      </c>
      <c r="E5849" s="229">
        <v>31.0</v>
      </c>
      <c r="F5849" s="230">
        <v>3.0</v>
      </c>
      <c r="G5849" s="232"/>
    </row>
    <row r="5850">
      <c r="A5850" s="2"/>
      <c r="B5850" s="168" t="s">
        <v>219</v>
      </c>
      <c r="C5850" s="168" t="s">
        <v>6088</v>
      </c>
      <c r="D5850" s="229">
        <v>28.5</v>
      </c>
      <c r="E5850" s="229">
        <v>32.0</v>
      </c>
      <c r="F5850" s="230">
        <v>3.0</v>
      </c>
      <c r="G5850" s="232"/>
    </row>
    <row r="5851">
      <c r="A5851" s="2"/>
      <c r="B5851" s="168" t="s">
        <v>285</v>
      </c>
      <c r="C5851" s="168" t="s">
        <v>6089</v>
      </c>
      <c r="D5851" s="229">
        <v>19.5</v>
      </c>
      <c r="E5851" s="229">
        <v>23.0</v>
      </c>
      <c r="F5851" s="230">
        <v>3.0</v>
      </c>
      <c r="G5851" s="232"/>
    </row>
    <row r="5852">
      <c r="A5852" s="2"/>
      <c r="B5852" s="168" t="s">
        <v>328</v>
      </c>
      <c r="C5852" s="168" t="s">
        <v>6090</v>
      </c>
      <c r="D5852" s="229">
        <v>34.5</v>
      </c>
      <c r="E5852" s="229">
        <v>38.0</v>
      </c>
      <c r="F5852" s="230">
        <v>3.0</v>
      </c>
      <c r="G5852" s="232"/>
    </row>
    <row r="5853">
      <c r="A5853" s="2"/>
      <c r="B5853" s="168" t="s">
        <v>273</v>
      </c>
      <c r="C5853" s="168" t="s">
        <v>6091</v>
      </c>
      <c r="D5853" s="229">
        <v>24.5</v>
      </c>
      <c r="E5853" s="229">
        <v>28.0</v>
      </c>
      <c r="F5853" s="230">
        <v>3.0</v>
      </c>
      <c r="G5853" s="232"/>
    </row>
    <row r="5854">
      <c r="A5854" s="2"/>
      <c r="B5854" s="168" t="s">
        <v>830</v>
      </c>
      <c r="C5854" s="168" t="s">
        <v>6092</v>
      </c>
      <c r="D5854" s="229">
        <v>24.5</v>
      </c>
      <c r="E5854" s="229">
        <v>28.0</v>
      </c>
      <c r="F5854" s="230">
        <v>3.0</v>
      </c>
      <c r="G5854" s="232"/>
    </row>
    <row r="5855">
      <c r="A5855" s="2"/>
      <c r="B5855" s="168" t="s">
        <v>269</v>
      </c>
      <c r="C5855" s="168" t="s">
        <v>6093</v>
      </c>
      <c r="D5855" s="229">
        <v>26.5</v>
      </c>
      <c r="E5855" s="229">
        <v>30.0</v>
      </c>
      <c r="F5855" s="230">
        <v>3.0</v>
      </c>
      <c r="G5855" s="232"/>
    </row>
    <row r="5856">
      <c r="A5856" s="2"/>
      <c r="B5856" s="168" t="s">
        <v>345</v>
      </c>
      <c r="C5856" s="168" t="s">
        <v>6094</v>
      </c>
      <c r="D5856" s="229">
        <v>26.5</v>
      </c>
      <c r="E5856" s="229">
        <v>30.0</v>
      </c>
      <c r="F5856" s="230">
        <v>3.0</v>
      </c>
      <c r="G5856" s="232"/>
    </row>
    <row r="5857">
      <c r="A5857" s="2"/>
      <c r="B5857" s="168" t="s">
        <v>332</v>
      </c>
      <c r="C5857" s="168" t="s">
        <v>6095</v>
      </c>
      <c r="D5857" s="229">
        <v>28.5</v>
      </c>
      <c r="E5857" s="229">
        <v>32.0</v>
      </c>
      <c r="F5857" s="230">
        <v>3.0</v>
      </c>
      <c r="G5857" s="232"/>
    </row>
    <row r="5858">
      <c r="A5858" s="2"/>
      <c r="B5858" s="168" t="s">
        <v>232</v>
      </c>
      <c r="C5858" s="168" t="s">
        <v>6096</v>
      </c>
      <c r="D5858" s="229">
        <v>25.0</v>
      </c>
      <c r="E5858" s="229">
        <v>28.5</v>
      </c>
      <c r="F5858" s="230">
        <v>3.0</v>
      </c>
      <c r="G5858" s="232"/>
    </row>
    <row r="5859">
      <c r="A5859" s="2"/>
      <c r="B5859" s="168" t="s">
        <v>296</v>
      </c>
      <c r="C5859" s="168" t="s">
        <v>6097</v>
      </c>
      <c r="D5859" s="229">
        <v>26.5</v>
      </c>
      <c r="E5859" s="229">
        <v>30.0</v>
      </c>
      <c r="F5859" s="230">
        <v>3.0</v>
      </c>
      <c r="G5859" s="232"/>
    </row>
    <row r="5860">
      <c r="A5860" s="2"/>
      <c r="B5860" s="168" t="s">
        <v>255</v>
      </c>
      <c r="C5860" s="168" t="s">
        <v>6098</v>
      </c>
      <c r="D5860" s="229">
        <v>31.5</v>
      </c>
      <c r="E5860" s="229">
        <v>35.0</v>
      </c>
      <c r="F5860" s="230">
        <v>3.0</v>
      </c>
      <c r="G5860" s="232"/>
    </row>
    <row r="5861">
      <c r="A5861" s="2"/>
      <c r="B5861" s="168" t="s">
        <v>288</v>
      </c>
      <c r="C5861" s="168" t="s">
        <v>6099</v>
      </c>
      <c r="D5861" s="229">
        <v>16.5</v>
      </c>
      <c r="E5861" s="229">
        <v>20.0</v>
      </c>
      <c r="F5861" s="230">
        <v>3.0</v>
      </c>
      <c r="G5861" s="232"/>
    </row>
    <row r="5862">
      <c r="A5862" s="2"/>
      <c r="B5862" s="168" t="s">
        <v>223</v>
      </c>
      <c r="C5862" s="168" t="s">
        <v>6100</v>
      </c>
      <c r="D5862" s="229">
        <v>26.5</v>
      </c>
      <c r="E5862" s="229">
        <v>30.0</v>
      </c>
      <c r="F5862" s="230">
        <v>3.0</v>
      </c>
      <c r="G5862" s="232"/>
    </row>
    <row r="5863">
      <c r="A5863" s="2"/>
      <c r="B5863" s="168" t="s">
        <v>288</v>
      </c>
      <c r="C5863" s="168" t="s">
        <v>6101</v>
      </c>
      <c r="D5863" s="229">
        <v>21.5</v>
      </c>
      <c r="E5863" s="229">
        <v>25.0</v>
      </c>
      <c r="F5863" s="230">
        <v>3.0</v>
      </c>
      <c r="G5863" s="232"/>
    </row>
    <row r="5864">
      <c r="A5864" s="2"/>
      <c r="B5864" s="168" t="s">
        <v>302</v>
      </c>
      <c r="C5864" s="168" t="s">
        <v>6102</v>
      </c>
      <c r="D5864" s="229">
        <v>34.5</v>
      </c>
      <c r="E5864" s="229">
        <v>38.0</v>
      </c>
      <c r="F5864" s="230">
        <v>3.0</v>
      </c>
      <c r="G5864" s="232"/>
    </row>
    <row r="5865">
      <c r="A5865" s="2"/>
      <c r="B5865" s="168" t="s">
        <v>236</v>
      </c>
      <c r="C5865" s="168" t="s">
        <v>6103</v>
      </c>
      <c r="D5865" s="229">
        <v>34.5</v>
      </c>
      <c r="E5865" s="229">
        <v>38.0</v>
      </c>
      <c r="F5865" s="230">
        <v>3.0</v>
      </c>
      <c r="G5865" s="232"/>
    </row>
    <row r="5866">
      <c r="A5866" s="2"/>
      <c r="B5866" s="168" t="s">
        <v>574</v>
      </c>
      <c r="C5866" s="168" t="s">
        <v>6104</v>
      </c>
      <c r="D5866" s="229">
        <v>34.5</v>
      </c>
      <c r="E5866" s="229">
        <v>38.0</v>
      </c>
      <c r="F5866" s="230">
        <v>3.0</v>
      </c>
      <c r="G5866" s="232"/>
    </row>
    <row r="5867">
      <c r="A5867" s="2"/>
      <c r="B5867" s="168" t="s">
        <v>296</v>
      </c>
      <c r="C5867" s="168" t="s">
        <v>6105</v>
      </c>
      <c r="D5867" s="229">
        <v>26.5</v>
      </c>
      <c r="E5867" s="229">
        <v>30.0</v>
      </c>
      <c r="F5867" s="230">
        <v>3.0</v>
      </c>
      <c r="G5867" s="232"/>
    </row>
    <row r="5868">
      <c r="A5868" s="2"/>
      <c r="B5868" s="168" t="s">
        <v>332</v>
      </c>
      <c r="C5868" s="168" t="s">
        <v>6106</v>
      </c>
      <c r="D5868" s="229">
        <v>28.5</v>
      </c>
      <c r="E5868" s="229">
        <v>32.0</v>
      </c>
      <c r="F5868" s="230">
        <v>3.0</v>
      </c>
      <c r="G5868" s="232"/>
    </row>
    <row r="5869">
      <c r="A5869" s="2"/>
      <c r="B5869" s="168" t="s">
        <v>296</v>
      </c>
      <c r="C5869" s="168" t="s">
        <v>6107</v>
      </c>
      <c r="D5869" s="229">
        <v>26.5</v>
      </c>
      <c r="E5869" s="229">
        <v>30.0</v>
      </c>
      <c r="F5869" s="230">
        <v>3.0</v>
      </c>
      <c r="G5869" s="232"/>
    </row>
    <row r="5870">
      <c r="A5870" s="2"/>
      <c r="B5870" s="168" t="s">
        <v>296</v>
      </c>
      <c r="C5870" s="168" t="s">
        <v>6108</v>
      </c>
      <c r="D5870" s="229">
        <v>26.5</v>
      </c>
      <c r="E5870" s="229">
        <v>30.0</v>
      </c>
      <c r="F5870" s="230">
        <v>3.0</v>
      </c>
      <c r="G5870" s="232"/>
    </row>
    <row r="5871">
      <c r="A5871" s="2"/>
      <c r="B5871" s="168" t="s">
        <v>215</v>
      </c>
      <c r="C5871" s="168" t="s">
        <v>6109</v>
      </c>
      <c r="D5871" s="229">
        <v>29.5</v>
      </c>
      <c r="E5871" s="229">
        <v>33.0</v>
      </c>
      <c r="F5871" s="230">
        <v>3.0</v>
      </c>
      <c r="G5871" s="232"/>
    </row>
    <row r="5872">
      <c r="A5872" s="2"/>
      <c r="B5872" s="168" t="s">
        <v>388</v>
      </c>
      <c r="C5872" s="168" t="s">
        <v>6110</v>
      </c>
      <c r="D5872" s="229">
        <v>17.5</v>
      </c>
      <c r="E5872" s="229">
        <v>21.0</v>
      </c>
      <c r="F5872" s="230">
        <v>3.0</v>
      </c>
      <c r="G5872" s="232"/>
    </row>
    <row r="5873">
      <c r="A5873" s="2"/>
      <c r="B5873" s="168" t="s">
        <v>386</v>
      </c>
      <c r="C5873" s="168" t="s">
        <v>6111</v>
      </c>
      <c r="D5873" s="229">
        <v>34.5</v>
      </c>
      <c r="E5873" s="229">
        <v>38.0</v>
      </c>
      <c r="F5873" s="230">
        <v>3.0</v>
      </c>
      <c r="G5873" s="232"/>
    </row>
    <row r="5874">
      <c r="A5874" s="2"/>
      <c r="B5874" s="168" t="s">
        <v>269</v>
      </c>
      <c r="C5874" s="168" t="s">
        <v>6112</v>
      </c>
      <c r="D5874" s="229">
        <v>26.5</v>
      </c>
      <c r="E5874" s="229">
        <v>30.0</v>
      </c>
      <c r="F5874" s="230">
        <v>3.0</v>
      </c>
      <c r="G5874" s="232"/>
    </row>
    <row r="5875">
      <c r="A5875" s="2"/>
      <c r="B5875" s="168" t="s">
        <v>345</v>
      </c>
      <c r="C5875" s="168" t="s">
        <v>6113</v>
      </c>
      <c r="D5875" s="229">
        <v>21.5</v>
      </c>
      <c r="E5875" s="229">
        <v>25.0</v>
      </c>
      <c r="F5875" s="230">
        <v>3.0</v>
      </c>
      <c r="G5875" s="232"/>
    </row>
    <row r="5876">
      <c r="A5876" s="2"/>
      <c r="B5876" s="168" t="s">
        <v>241</v>
      </c>
      <c r="C5876" s="168" t="s">
        <v>6114</v>
      </c>
      <c r="D5876" s="229">
        <v>27.5</v>
      </c>
      <c r="E5876" s="229">
        <v>31.0</v>
      </c>
      <c r="F5876" s="230">
        <v>3.0</v>
      </c>
      <c r="G5876" s="232"/>
    </row>
    <row r="5877">
      <c r="A5877" s="2"/>
      <c r="B5877" s="168" t="s">
        <v>318</v>
      </c>
      <c r="C5877" s="168" t="s">
        <v>6115</v>
      </c>
      <c r="D5877" s="229">
        <v>25.5</v>
      </c>
      <c r="E5877" s="229">
        <v>29.0</v>
      </c>
      <c r="F5877" s="230">
        <v>3.0</v>
      </c>
      <c r="G5877" s="232"/>
    </row>
    <row r="5878">
      <c r="A5878" s="2"/>
      <c r="B5878" s="168" t="s">
        <v>337</v>
      </c>
      <c r="C5878" s="168" t="s">
        <v>6116</v>
      </c>
      <c r="D5878" s="229">
        <v>28.5</v>
      </c>
      <c r="E5878" s="229">
        <v>32.0</v>
      </c>
      <c r="F5878" s="230">
        <v>3.0</v>
      </c>
      <c r="G5878" s="232"/>
    </row>
    <row r="5879">
      <c r="A5879" s="2"/>
      <c r="B5879" s="168" t="s">
        <v>271</v>
      </c>
      <c r="C5879" s="168" t="s">
        <v>6117</v>
      </c>
      <c r="D5879" s="229">
        <v>31.5</v>
      </c>
      <c r="E5879" s="229">
        <v>35.0</v>
      </c>
      <c r="F5879" s="230">
        <v>3.0</v>
      </c>
      <c r="G5879" s="232"/>
    </row>
    <row r="5880">
      <c r="A5880" s="2"/>
      <c r="B5880" s="168" t="s">
        <v>285</v>
      </c>
      <c r="C5880" s="168" t="s">
        <v>6118</v>
      </c>
      <c r="D5880" s="229">
        <v>24.5</v>
      </c>
      <c r="E5880" s="229">
        <v>28.0</v>
      </c>
      <c r="F5880" s="230">
        <v>3.0</v>
      </c>
      <c r="G5880" s="232"/>
    </row>
    <row r="5881">
      <c r="A5881" s="2"/>
      <c r="B5881" s="168" t="s">
        <v>438</v>
      </c>
      <c r="C5881" s="168" t="s">
        <v>6119</v>
      </c>
      <c r="D5881" s="229">
        <v>29.5</v>
      </c>
      <c r="E5881" s="229">
        <v>33.0</v>
      </c>
      <c r="F5881" s="230">
        <v>3.0</v>
      </c>
      <c r="G5881" s="232"/>
    </row>
    <row r="5882">
      <c r="A5882" s="2"/>
      <c r="B5882" s="168" t="s">
        <v>257</v>
      </c>
      <c r="C5882" s="168" t="s">
        <v>6120</v>
      </c>
      <c r="D5882" s="229">
        <v>28.5</v>
      </c>
      <c r="E5882" s="229">
        <v>32.0</v>
      </c>
      <c r="F5882" s="230">
        <v>3.0</v>
      </c>
      <c r="G5882" s="232"/>
    </row>
    <row r="5883">
      <c r="A5883" s="2"/>
      <c r="B5883" s="168" t="s">
        <v>296</v>
      </c>
      <c r="C5883" s="168" t="s">
        <v>6121</v>
      </c>
      <c r="D5883" s="229">
        <v>26.5</v>
      </c>
      <c r="E5883" s="229">
        <v>30.0</v>
      </c>
      <c r="F5883" s="230">
        <v>3.0</v>
      </c>
      <c r="G5883" s="232"/>
    </row>
    <row r="5884">
      <c r="A5884" s="2"/>
      <c r="B5884" s="168" t="s">
        <v>215</v>
      </c>
      <c r="C5884" s="168" t="s">
        <v>6122</v>
      </c>
      <c r="D5884" s="229">
        <v>29.5</v>
      </c>
      <c r="E5884" s="229">
        <v>33.0</v>
      </c>
      <c r="F5884" s="230">
        <v>3.0</v>
      </c>
      <c r="G5884" s="232"/>
    </row>
    <row r="5885">
      <c r="A5885" s="2"/>
      <c r="B5885" s="168" t="s">
        <v>241</v>
      </c>
      <c r="C5885" s="168" t="s">
        <v>6123</v>
      </c>
      <c r="D5885" s="229">
        <v>32.5</v>
      </c>
      <c r="E5885" s="229">
        <v>36.0</v>
      </c>
      <c r="F5885" s="230">
        <v>3.0</v>
      </c>
      <c r="G5885" s="232"/>
    </row>
    <row r="5886">
      <c r="A5886" s="2"/>
      <c r="B5886" s="168" t="s">
        <v>234</v>
      </c>
      <c r="C5886" s="168" t="s">
        <v>6124</v>
      </c>
      <c r="D5886" s="229">
        <v>29.5</v>
      </c>
      <c r="E5886" s="229">
        <v>33.0</v>
      </c>
      <c r="F5886" s="230">
        <v>3.0</v>
      </c>
      <c r="G5886" s="232"/>
    </row>
    <row r="5887">
      <c r="A5887" s="2"/>
      <c r="B5887" s="168" t="s">
        <v>255</v>
      </c>
      <c r="C5887" s="168" t="s">
        <v>6125</v>
      </c>
      <c r="D5887" s="229">
        <v>31.5</v>
      </c>
      <c r="E5887" s="229">
        <v>35.0</v>
      </c>
      <c r="F5887" s="230">
        <v>3.0</v>
      </c>
      <c r="G5887" s="232"/>
    </row>
    <row r="5888">
      <c r="A5888" s="2"/>
      <c r="B5888" s="168" t="s">
        <v>257</v>
      </c>
      <c r="C5888" s="168" t="s">
        <v>6126</v>
      </c>
      <c r="D5888" s="229">
        <v>28.5</v>
      </c>
      <c r="E5888" s="229">
        <v>32.0</v>
      </c>
      <c r="F5888" s="230">
        <v>3.0</v>
      </c>
      <c r="G5888" s="232"/>
    </row>
    <row r="5889">
      <c r="A5889" s="2"/>
      <c r="B5889" s="168" t="s">
        <v>260</v>
      </c>
      <c r="C5889" s="168" t="s">
        <v>6127</v>
      </c>
      <c r="D5889" s="229">
        <v>28.5</v>
      </c>
      <c r="E5889" s="229">
        <v>32.0</v>
      </c>
      <c r="F5889" s="230">
        <v>3.0</v>
      </c>
      <c r="G5889" s="232"/>
    </row>
    <row r="5890">
      <c r="A5890" s="2"/>
      <c r="B5890" s="168" t="s">
        <v>275</v>
      </c>
      <c r="C5890" s="168" t="s">
        <v>6128</v>
      </c>
      <c r="D5890" s="229">
        <v>26.5</v>
      </c>
      <c r="E5890" s="229">
        <v>30.0</v>
      </c>
      <c r="F5890" s="230">
        <v>3.0</v>
      </c>
      <c r="G5890" s="232"/>
    </row>
    <row r="5891">
      <c r="A5891" s="2"/>
      <c r="B5891" s="168" t="s">
        <v>269</v>
      </c>
      <c r="C5891" s="168" t="s">
        <v>6129</v>
      </c>
      <c r="D5891" s="229">
        <v>26.5</v>
      </c>
      <c r="E5891" s="229">
        <v>30.0</v>
      </c>
      <c r="F5891" s="230">
        <v>3.0</v>
      </c>
      <c r="G5891" s="232"/>
    </row>
    <row r="5892">
      <c r="A5892" s="2"/>
      <c r="B5892" s="168" t="s">
        <v>215</v>
      </c>
      <c r="C5892" s="168" t="s">
        <v>6130</v>
      </c>
      <c r="D5892" s="229">
        <v>27.5</v>
      </c>
      <c r="E5892" s="229">
        <v>31.0</v>
      </c>
      <c r="F5892" s="230">
        <v>3.0</v>
      </c>
      <c r="G5892" s="232"/>
    </row>
    <row r="5893">
      <c r="A5893" s="2"/>
      <c r="B5893" s="168" t="s">
        <v>269</v>
      </c>
      <c r="C5893" s="168" t="s">
        <v>6131</v>
      </c>
      <c r="D5893" s="229">
        <v>26.5</v>
      </c>
      <c r="E5893" s="229">
        <v>30.0</v>
      </c>
      <c r="F5893" s="230">
        <v>3.0</v>
      </c>
      <c r="G5893" s="232"/>
    </row>
    <row r="5894">
      <c r="A5894" s="2"/>
      <c r="B5894" s="168" t="s">
        <v>217</v>
      </c>
      <c r="C5894" s="168" t="s">
        <v>6132</v>
      </c>
      <c r="D5894" s="229">
        <v>27.5</v>
      </c>
      <c r="E5894" s="229">
        <v>31.0</v>
      </c>
      <c r="F5894" s="230">
        <v>3.0</v>
      </c>
      <c r="G5894" s="232"/>
    </row>
    <row r="5895">
      <c r="A5895" s="2"/>
      <c r="B5895" s="168" t="s">
        <v>296</v>
      </c>
      <c r="C5895" s="168" t="s">
        <v>6133</v>
      </c>
      <c r="D5895" s="229">
        <v>26.5</v>
      </c>
      <c r="E5895" s="229">
        <v>30.0</v>
      </c>
      <c r="F5895" s="230">
        <v>3.0</v>
      </c>
      <c r="G5895" s="232"/>
    </row>
    <row r="5896">
      <c r="A5896" s="2"/>
      <c r="B5896" s="168" t="s">
        <v>260</v>
      </c>
      <c r="C5896" s="168" t="s">
        <v>6134</v>
      </c>
      <c r="D5896" s="229">
        <v>28.5</v>
      </c>
      <c r="E5896" s="229">
        <v>32.0</v>
      </c>
      <c r="F5896" s="230">
        <v>3.0</v>
      </c>
      <c r="G5896" s="232"/>
    </row>
    <row r="5897">
      <c r="A5897" s="2"/>
      <c r="B5897" s="168" t="s">
        <v>302</v>
      </c>
      <c r="C5897" s="168" t="s">
        <v>6135</v>
      </c>
      <c r="D5897" s="229">
        <v>34.5</v>
      </c>
      <c r="E5897" s="229">
        <v>38.0</v>
      </c>
      <c r="F5897" s="230">
        <v>3.0</v>
      </c>
      <c r="G5897" s="232"/>
    </row>
    <row r="5898">
      <c r="A5898" s="2"/>
      <c r="B5898" s="168" t="s">
        <v>257</v>
      </c>
      <c r="C5898" s="168" t="s">
        <v>6136</v>
      </c>
      <c r="D5898" s="229">
        <v>28.5</v>
      </c>
      <c r="E5898" s="229">
        <v>32.0</v>
      </c>
      <c r="F5898" s="230">
        <v>3.0</v>
      </c>
      <c r="G5898" s="232"/>
    </row>
    <row r="5899">
      <c r="A5899" s="2"/>
      <c r="B5899" s="168" t="s">
        <v>232</v>
      </c>
      <c r="C5899" s="168" t="s">
        <v>6137</v>
      </c>
      <c r="D5899" s="229">
        <v>25.5</v>
      </c>
      <c r="E5899" s="229">
        <v>29.0</v>
      </c>
      <c r="F5899" s="230">
        <v>3.0</v>
      </c>
      <c r="G5899" s="232"/>
    </row>
    <row r="5900">
      <c r="A5900" s="2"/>
      <c r="B5900" s="168" t="s">
        <v>217</v>
      </c>
      <c r="C5900" s="168" t="s">
        <v>6138</v>
      </c>
      <c r="D5900" s="229">
        <v>27.5</v>
      </c>
      <c r="E5900" s="229">
        <v>31.0</v>
      </c>
      <c r="F5900" s="230">
        <v>3.0</v>
      </c>
      <c r="G5900" s="232"/>
    </row>
    <row r="5901">
      <c r="A5901" s="2"/>
      <c r="B5901" s="168" t="s">
        <v>592</v>
      </c>
      <c r="C5901" s="168" t="s">
        <v>6139</v>
      </c>
      <c r="D5901" s="229">
        <v>34.5</v>
      </c>
      <c r="E5901" s="229">
        <v>38.0</v>
      </c>
      <c r="F5901" s="230">
        <v>3.0</v>
      </c>
      <c r="G5901" s="232"/>
    </row>
    <row r="5902">
      <c r="A5902" s="2"/>
      <c r="B5902" s="168" t="s">
        <v>449</v>
      </c>
      <c r="C5902" s="168" t="s">
        <v>6140</v>
      </c>
      <c r="D5902" s="229">
        <v>28.5</v>
      </c>
      <c r="E5902" s="229">
        <v>32.0</v>
      </c>
      <c r="F5902" s="230">
        <v>3.0</v>
      </c>
      <c r="G5902" s="232"/>
    </row>
    <row r="5903">
      <c r="A5903" s="2"/>
      <c r="B5903" s="168" t="s">
        <v>615</v>
      </c>
      <c r="C5903" s="168" t="s">
        <v>6141</v>
      </c>
      <c r="D5903" s="229">
        <v>24.5</v>
      </c>
      <c r="E5903" s="229">
        <v>28.0</v>
      </c>
      <c r="F5903" s="230">
        <v>3.0</v>
      </c>
      <c r="G5903" s="232"/>
    </row>
    <row r="5904">
      <c r="A5904" s="2"/>
      <c r="B5904" s="168" t="s">
        <v>221</v>
      </c>
      <c r="C5904" s="168" t="s">
        <v>6142</v>
      </c>
      <c r="D5904" s="229">
        <v>27.5</v>
      </c>
      <c r="E5904" s="229">
        <v>31.0</v>
      </c>
      <c r="F5904" s="230">
        <v>3.0</v>
      </c>
      <c r="G5904" s="232"/>
    </row>
    <row r="5905">
      <c r="A5905" s="2"/>
      <c r="B5905" s="168" t="s">
        <v>830</v>
      </c>
      <c r="C5905" s="168" t="s">
        <v>6143</v>
      </c>
      <c r="D5905" s="229">
        <v>24.5</v>
      </c>
      <c r="E5905" s="229">
        <v>28.0</v>
      </c>
      <c r="F5905" s="230">
        <v>3.0</v>
      </c>
      <c r="G5905" s="232"/>
    </row>
    <row r="5906">
      <c r="A5906" s="2"/>
      <c r="B5906" s="168" t="s">
        <v>377</v>
      </c>
      <c r="C5906" s="168" t="s">
        <v>6144</v>
      </c>
      <c r="D5906" s="229">
        <v>29.5</v>
      </c>
      <c r="E5906" s="229">
        <v>33.0</v>
      </c>
      <c r="F5906" s="230">
        <v>3.0</v>
      </c>
      <c r="G5906" s="232"/>
    </row>
    <row r="5907">
      <c r="A5907" s="2"/>
      <c r="B5907" s="168" t="s">
        <v>262</v>
      </c>
      <c r="C5907" s="168" t="s">
        <v>6145</v>
      </c>
      <c r="D5907" s="229">
        <v>29.5</v>
      </c>
      <c r="E5907" s="229">
        <v>33.0</v>
      </c>
      <c r="F5907" s="230">
        <v>3.0</v>
      </c>
      <c r="G5907" s="232"/>
    </row>
    <row r="5908">
      <c r="A5908" s="2"/>
      <c r="B5908" s="168" t="s">
        <v>232</v>
      </c>
      <c r="C5908" s="168" t="s">
        <v>6146</v>
      </c>
      <c r="D5908" s="229">
        <v>31.5</v>
      </c>
      <c r="E5908" s="229">
        <v>35.0</v>
      </c>
      <c r="F5908" s="230">
        <v>3.0</v>
      </c>
      <c r="G5908" s="232"/>
    </row>
    <row r="5909">
      <c r="A5909" s="2"/>
      <c r="B5909" s="168" t="s">
        <v>241</v>
      </c>
      <c r="C5909" s="168" t="s">
        <v>6147</v>
      </c>
      <c r="D5909" s="229">
        <v>27.5</v>
      </c>
      <c r="E5909" s="229">
        <v>31.0</v>
      </c>
      <c r="F5909" s="230">
        <v>3.0</v>
      </c>
      <c r="G5909" s="232"/>
    </row>
    <row r="5910">
      <c r="A5910" s="2"/>
      <c r="B5910" s="168" t="s">
        <v>217</v>
      </c>
      <c r="C5910" s="168" t="s">
        <v>6148</v>
      </c>
      <c r="D5910" s="229">
        <v>22.5</v>
      </c>
      <c r="E5910" s="229">
        <v>26.0</v>
      </c>
      <c r="F5910" s="230">
        <v>3.0</v>
      </c>
      <c r="G5910" s="232"/>
    </row>
    <row r="5911">
      <c r="A5911" s="2"/>
      <c r="B5911" s="168" t="s">
        <v>223</v>
      </c>
      <c r="C5911" s="168" t="s">
        <v>6149</v>
      </c>
      <c r="D5911" s="229">
        <v>26.5</v>
      </c>
      <c r="E5911" s="229">
        <v>30.0</v>
      </c>
      <c r="F5911" s="230">
        <v>3.0</v>
      </c>
      <c r="G5911" s="232"/>
    </row>
    <row r="5912">
      <c r="A5912" s="2"/>
      <c r="B5912" s="168" t="s">
        <v>271</v>
      </c>
      <c r="C5912" s="168" t="s">
        <v>271</v>
      </c>
      <c r="D5912" s="229">
        <v>31.5</v>
      </c>
      <c r="E5912" s="229">
        <v>35.0</v>
      </c>
      <c r="F5912" s="230">
        <v>3.0</v>
      </c>
      <c r="G5912" s="232"/>
    </row>
    <row r="5913">
      <c r="A5913" s="2"/>
      <c r="B5913" s="168" t="s">
        <v>269</v>
      </c>
      <c r="C5913" s="168" t="s">
        <v>6150</v>
      </c>
      <c r="D5913" s="229">
        <v>26.5</v>
      </c>
      <c r="E5913" s="229">
        <v>30.0</v>
      </c>
      <c r="F5913" s="230">
        <v>3.0</v>
      </c>
      <c r="G5913" s="232"/>
    </row>
    <row r="5914">
      <c r="A5914" s="2"/>
      <c r="B5914" s="168" t="s">
        <v>241</v>
      </c>
      <c r="C5914" s="168" t="s">
        <v>6151</v>
      </c>
      <c r="D5914" s="229">
        <v>32.5</v>
      </c>
      <c r="E5914" s="229">
        <v>36.0</v>
      </c>
      <c r="F5914" s="230">
        <v>3.0</v>
      </c>
      <c r="G5914" s="232"/>
    </row>
    <row r="5915">
      <c r="A5915" s="2"/>
      <c r="B5915" s="168" t="s">
        <v>219</v>
      </c>
      <c r="C5915" s="168" t="s">
        <v>6152</v>
      </c>
      <c r="D5915" s="229">
        <v>28.5</v>
      </c>
      <c r="E5915" s="229">
        <v>32.0</v>
      </c>
      <c r="F5915" s="230">
        <v>3.0</v>
      </c>
      <c r="G5915" s="232"/>
    </row>
    <row r="5916">
      <c r="A5916" s="2"/>
      <c r="B5916" s="168" t="s">
        <v>388</v>
      </c>
      <c r="C5916" s="168" t="s">
        <v>6153</v>
      </c>
      <c r="D5916" s="229">
        <v>17.5</v>
      </c>
      <c r="E5916" s="229">
        <v>21.0</v>
      </c>
      <c r="F5916" s="230">
        <v>3.0</v>
      </c>
      <c r="G5916" s="232"/>
    </row>
    <row r="5917">
      <c r="A5917" s="2"/>
      <c r="B5917" s="168" t="s">
        <v>217</v>
      </c>
      <c r="C5917" s="168" t="s">
        <v>6154</v>
      </c>
      <c r="D5917" s="229">
        <v>27.5</v>
      </c>
      <c r="E5917" s="229">
        <v>31.0</v>
      </c>
      <c r="F5917" s="230">
        <v>3.0</v>
      </c>
      <c r="G5917" s="232"/>
    </row>
    <row r="5918">
      <c r="A5918" s="2"/>
      <c r="B5918" s="168" t="s">
        <v>247</v>
      </c>
      <c r="C5918" s="168" t="s">
        <v>6155</v>
      </c>
      <c r="D5918" s="229">
        <v>29.5</v>
      </c>
      <c r="E5918" s="229">
        <v>33.0</v>
      </c>
      <c r="F5918" s="230">
        <v>3.0</v>
      </c>
      <c r="G5918" s="232"/>
    </row>
    <row r="5919">
      <c r="A5919" s="2"/>
      <c r="B5919" s="168" t="s">
        <v>290</v>
      </c>
      <c r="C5919" s="168" t="s">
        <v>6156</v>
      </c>
      <c r="D5919" s="229">
        <v>29.5</v>
      </c>
      <c r="E5919" s="229">
        <v>33.0</v>
      </c>
      <c r="F5919" s="230">
        <v>3.0</v>
      </c>
      <c r="G5919" s="232"/>
    </row>
    <row r="5920">
      <c r="A5920" s="2"/>
      <c r="B5920" s="168" t="s">
        <v>310</v>
      </c>
      <c r="C5920" s="168" t="s">
        <v>6157</v>
      </c>
      <c r="D5920" s="229">
        <v>34.5</v>
      </c>
      <c r="E5920" s="229">
        <v>38.0</v>
      </c>
      <c r="F5920" s="230">
        <v>3.0</v>
      </c>
      <c r="G5920" s="232"/>
    </row>
    <row r="5921">
      <c r="A5921" s="2"/>
      <c r="B5921" s="168" t="s">
        <v>217</v>
      </c>
      <c r="C5921" s="168" t="s">
        <v>6158</v>
      </c>
      <c r="D5921" s="229">
        <v>22.5</v>
      </c>
      <c r="E5921" s="229">
        <v>26.0</v>
      </c>
      <c r="F5921" s="230">
        <v>3.0</v>
      </c>
      <c r="G5921" s="232"/>
    </row>
    <row r="5922">
      <c r="A5922" s="2"/>
      <c r="B5922" s="168" t="s">
        <v>368</v>
      </c>
      <c r="C5922" s="168" t="s">
        <v>6159</v>
      </c>
      <c r="D5922" s="229">
        <v>32.5</v>
      </c>
      <c r="E5922" s="229">
        <v>36.0</v>
      </c>
      <c r="F5922" s="230">
        <v>3.0</v>
      </c>
      <c r="G5922" s="232"/>
    </row>
    <row r="5923">
      <c r="A5923" s="2"/>
      <c r="B5923" s="168" t="s">
        <v>285</v>
      </c>
      <c r="C5923" s="168" t="s">
        <v>6160</v>
      </c>
      <c r="D5923" s="229">
        <v>19.5</v>
      </c>
      <c r="E5923" s="229">
        <v>23.0</v>
      </c>
      <c r="F5923" s="230">
        <v>3.0</v>
      </c>
      <c r="G5923" s="232"/>
    </row>
    <row r="5924">
      <c r="A5924" s="2"/>
      <c r="B5924" s="168" t="s">
        <v>1329</v>
      </c>
      <c r="C5924" s="168" t="s">
        <v>6161</v>
      </c>
      <c r="D5924" s="229">
        <v>26.5</v>
      </c>
      <c r="E5924" s="229">
        <v>30.0</v>
      </c>
      <c r="F5924" s="230">
        <v>3.0</v>
      </c>
      <c r="G5924" s="232"/>
    </row>
    <row r="5925">
      <c r="A5925" s="2"/>
      <c r="B5925" s="168" t="s">
        <v>257</v>
      </c>
      <c r="C5925" s="168" t="s">
        <v>6162</v>
      </c>
      <c r="D5925" s="229">
        <v>28.5</v>
      </c>
      <c r="E5925" s="229">
        <v>32.0</v>
      </c>
      <c r="F5925" s="230">
        <v>3.0</v>
      </c>
      <c r="G5925" s="232"/>
    </row>
    <row r="5926">
      <c r="A5926" s="2"/>
      <c r="B5926" s="168" t="s">
        <v>290</v>
      </c>
      <c r="C5926" s="168" t="s">
        <v>6163</v>
      </c>
      <c r="D5926" s="229">
        <v>29.5</v>
      </c>
      <c r="E5926" s="229">
        <v>33.0</v>
      </c>
      <c r="F5926" s="230">
        <v>3.0</v>
      </c>
      <c r="G5926" s="232"/>
    </row>
    <row r="5927">
      <c r="A5927" s="2"/>
      <c r="B5927" s="168" t="s">
        <v>275</v>
      </c>
      <c r="C5927" s="168" t="s">
        <v>6164</v>
      </c>
      <c r="D5927" s="229">
        <v>26.5</v>
      </c>
      <c r="E5927" s="229">
        <v>30.0</v>
      </c>
      <c r="F5927" s="230">
        <v>3.0</v>
      </c>
      <c r="G5927" s="232"/>
    </row>
    <row r="5928">
      <c r="A5928" s="2"/>
      <c r="B5928" s="168" t="s">
        <v>684</v>
      </c>
      <c r="C5928" s="168" t="s">
        <v>6165</v>
      </c>
      <c r="D5928" s="229">
        <v>25.5</v>
      </c>
      <c r="E5928" s="229">
        <v>29.0</v>
      </c>
      <c r="F5928" s="230">
        <v>3.0</v>
      </c>
      <c r="G5928" s="232"/>
    </row>
    <row r="5929">
      <c r="A5929" s="2"/>
      <c r="B5929" s="168" t="s">
        <v>388</v>
      </c>
      <c r="C5929" s="168" t="s">
        <v>6166</v>
      </c>
      <c r="D5929" s="229">
        <v>16.5</v>
      </c>
      <c r="E5929" s="229">
        <v>20.0</v>
      </c>
      <c r="F5929" s="230">
        <v>3.0</v>
      </c>
      <c r="G5929" s="232"/>
    </row>
    <row r="5930">
      <c r="A5930" s="2"/>
      <c r="B5930" s="168" t="s">
        <v>337</v>
      </c>
      <c r="C5930" s="168" t="s">
        <v>6167</v>
      </c>
      <c r="D5930" s="229">
        <v>23.5</v>
      </c>
      <c r="E5930" s="229">
        <v>27.0</v>
      </c>
      <c r="F5930" s="230">
        <v>3.0</v>
      </c>
      <c r="G5930" s="232"/>
    </row>
    <row r="5931">
      <c r="A5931" s="2"/>
      <c r="B5931" s="168" t="s">
        <v>269</v>
      </c>
      <c r="C5931" s="168" t="s">
        <v>6168</v>
      </c>
      <c r="D5931" s="229">
        <v>26.5</v>
      </c>
      <c r="E5931" s="229">
        <v>30.0</v>
      </c>
      <c r="F5931" s="230">
        <v>3.0</v>
      </c>
      <c r="G5931" s="232"/>
    </row>
    <row r="5932">
      <c r="A5932" s="2"/>
      <c r="B5932" s="168" t="s">
        <v>288</v>
      </c>
      <c r="C5932" s="168" t="s">
        <v>6169</v>
      </c>
      <c r="D5932" s="229">
        <v>21.5</v>
      </c>
      <c r="E5932" s="229">
        <v>25.0</v>
      </c>
      <c r="F5932" s="230">
        <v>3.0</v>
      </c>
      <c r="G5932" s="232"/>
    </row>
    <row r="5933">
      <c r="A5933" s="2"/>
      <c r="B5933" s="168" t="s">
        <v>247</v>
      </c>
      <c r="C5933" s="168" t="s">
        <v>6170</v>
      </c>
      <c r="D5933" s="229">
        <v>24.5</v>
      </c>
      <c r="E5933" s="229">
        <v>28.0</v>
      </c>
      <c r="F5933" s="230">
        <v>3.0</v>
      </c>
      <c r="G5933" s="232"/>
    </row>
    <row r="5934">
      <c r="A5934" s="2"/>
      <c r="B5934" s="168" t="s">
        <v>811</v>
      </c>
      <c r="C5934" s="168" t="s">
        <v>6171</v>
      </c>
      <c r="D5934" s="229">
        <v>29.5</v>
      </c>
      <c r="E5934" s="229">
        <v>33.0</v>
      </c>
      <c r="F5934" s="230">
        <v>3.0</v>
      </c>
      <c r="G5934" s="232"/>
    </row>
    <row r="5935">
      <c r="A5935" s="2"/>
      <c r="B5935" s="168" t="s">
        <v>230</v>
      </c>
      <c r="C5935" s="168" t="s">
        <v>6172</v>
      </c>
      <c r="D5935" s="229">
        <v>16.5</v>
      </c>
      <c r="E5935" s="229">
        <v>20.0</v>
      </c>
      <c r="F5935" s="230">
        <v>3.0</v>
      </c>
      <c r="G5935" s="232"/>
    </row>
    <row r="5936">
      <c r="A5936" s="2"/>
      <c r="B5936" s="168" t="s">
        <v>345</v>
      </c>
      <c r="C5936" s="168" t="s">
        <v>6173</v>
      </c>
      <c r="D5936" s="229">
        <v>26.5</v>
      </c>
      <c r="E5936" s="229">
        <v>30.0</v>
      </c>
      <c r="F5936" s="230">
        <v>3.0</v>
      </c>
      <c r="G5936" s="232"/>
    </row>
    <row r="5937">
      <c r="A5937" s="2"/>
      <c r="B5937" s="168" t="s">
        <v>430</v>
      </c>
      <c r="C5937" s="168" t="s">
        <v>6174</v>
      </c>
      <c r="D5937" s="229">
        <v>34.5</v>
      </c>
      <c r="E5937" s="229">
        <v>38.0</v>
      </c>
      <c r="F5937" s="230">
        <v>3.0</v>
      </c>
      <c r="G5937" s="232"/>
    </row>
    <row r="5938">
      <c r="A5938" s="2"/>
      <c r="B5938" s="168" t="s">
        <v>260</v>
      </c>
      <c r="C5938" s="168" t="s">
        <v>6175</v>
      </c>
      <c r="D5938" s="229">
        <v>28.5</v>
      </c>
      <c r="E5938" s="229">
        <v>32.0</v>
      </c>
      <c r="F5938" s="230">
        <v>3.0</v>
      </c>
      <c r="G5938" s="232"/>
    </row>
    <row r="5939">
      <c r="A5939" s="2"/>
      <c r="B5939" s="168" t="s">
        <v>230</v>
      </c>
      <c r="C5939" s="168" t="s">
        <v>6176</v>
      </c>
      <c r="D5939" s="229">
        <v>21.5</v>
      </c>
      <c r="E5939" s="229">
        <v>25.0</v>
      </c>
      <c r="F5939" s="230">
        <v>3.0</v>
      </c>
      <c r="G5939" s="232"/>
    </row>
    <row r="5940">
      <c r="A5940" s="2"/>
      <c r="B5940" s="168" t="s">
        <v>223</v>
      </c>
      <c r="C5940" s="168" t="s">
        <v>223</v>
      </c>
      <c r="D5940" s="229">
        <v>26.5</v>
      </c>
      <c r="E5940" s="229">
        <v>30.0</v>
      </c>
      <c r="F5940" s="230">
        <v>3.0</v>
      </c>
      <c r="G5940" s="232"/>
    </row>
    <row r="5941">
      <c r="A5941" s="2"/>
      <c r="B5941" s="168" t="s">
        <v>290</v>
      </c>
      <c r="C5941" s="168" t="s">
        <v>6177</v>
      </c>
      <c r="D5941" s="229">
        <v>29.5</v>
      </c>
      <c r="E5941" s="229">
        <v>33.0</v>
      </c>
      <c r="F5941" s="230">
        <v>3.0</v>
      </c>
      <c r="G5941" s="232"/>
    </row>
    <row r="5942">
      <c r="A5942" s="2"/>
      <c r="B5942" s="168" t="s">
        <v>230</v>
      </c>
      <c r="C5942" s="168" t="s">
        <v>6178</v>
      </c>
      <c r="D5942" s="229">
        <v>21.5</v>
      </c>
      <c r="E5942" s="229">
        <v>25.0</v>
      </c>
      <c r="F5942" s="230">
        <v>3.0</v>
      </c>
      <c r="G5942" s="232"/>
    </row>
    <row r="5943">
      <c r="A5943" s="2"/>
      <c r="B5943" s="168" t="s">
        <v>290</v>
      </c>
      <c r="C5943" s="168" t="s">
        <v>6179</v>
      </c>
      <c r="D5943" s="229">
        <v>29.5</v>
      </c>
      <c r="E5943" s="229">
        <v>33.0</v>
      </c>
      <c r="F5943" s="230">
        <v>3.0</v>
      </c>
      <c r="G5943" s="232"/>
    </row>
    <row r="5944">
      <c r="A5944" s="2"/>
      <c r="B5944" s="168" t="s">
        <v>337</v>
      </c>
      <c r="C5944" s="168" t="s">
        <v>6180</v>
      </c>
      <c r="D5944" s="229">
        <v>28.5</v>
      </c>
      <c r="E5944" s="229">
        <v>32.0</v>
      </c>
      <c r="F5944" s="230">
        <v>3.0</v>
      </c>
      <c r="G5944" s="232"/>
    </row>
    <row r="5945">
      <c r="A5945" s="2"/>
      <c r="B5945" s="168" t="s">
        <v>230</v>
      </c>
      <c r="C5945" s="168" t="s">
        <v>6181</v>
      </c>
      <c r="D5945" s="229">
        <v>16.5</v>
      </c>
      <c r="E5945" s="229">
        <v>20.0</v>
      </c>
      <c r="F5945" s="230">
        <v>3.0</v>
      </c>
      <c r="G5945" s="232"/>
    </row>
    <row r="5946">
      <c r="A5946" s="2"/>
      <c r="B5946" s="168" t="s">
        <v>217</v>
      </c>
      <c r="C5946" s="168" t="s">
        <v>6182</v>
      </c>
      <c r="D5946" s="229">
        <v>27.5</v>
      </c>
      <c r="E5946" s="229">
        <v>31.0</v>
      </c>
      <c r="F5946" s="230">
        <v>3.0</v>
      </c>
      <c r="G5946" s="232"/>
    </row>
    <row r="5947">
      <c r="A5947" s="2"/>
      <c r="B5947" s="168" t="s">
        <v>273</v>
      </c>
      <c r="C5947" s="168" t="s">
        <v>6183</v>
      </c>
      <c r="D5947" s="229">
        <v>29.5</v>
      </c>
      <c r="E5947" s="229">
        <v>33.0</v>
      </c>
      <c r="F5947" s="230">
        <v>3.0</v>
      </c>
      <c r="G5947" s="232"/>
    </row>
    <row r="5948">
      <c r="A5948" s="2"/>
      <c r="B5948" s="168" t="s">
        <v>215</v>
      </c>
      <c r="C5948" s="168" t="s">
        <v>6184</v>
      </c>
      <c r="D5948" s="229">
        <v>27.5</v>
      </c>
      <c r="E5948" s="229">
        <v>31.0</v>
      </c>
      <c r="F5948" s="230">
        <v>3.0</v>
      </c>
      <c r="G5948" s="232"/>
    </row>
    <row r="5949">
      <c r="A5949" s="2"/>
      <c r="B5949" s="168" t="s">
        <v>232</v>
      </c>
      <c r="C5949" s="168" t="s">
        <v>6185</v>
      </c>
      <c r="D5949" s="229">
        <v>25.5</v>
      </c>
      <c r="E5949" s="229">
        <v>29.0</v>
      </c>
      <c r="F5949" s="230">
        <v>3.0</v>
      </c>
      <c r="G5949" s="232"/>
    </row>
    <row r="5950">
      <c r="A5950" s="2"/>
      <c r="B5950" s="168" t="s">
        <v>230</v>
      </c>
      <c r="C5950" s="168" t="s">
        <v>6186</v>
      </c>
      <c r="D5950" s="229">
        <v>21.5</v>
      </c>
      <c r="E5950" s="229">
        <v>25.0</v>
      </c>
      <c r="F5950" s="230">
        <v>3.0</v>
      </c>
      <c r="G5950" s="232"/>
    </row>
    <row r="5951">
      <c r="A5951" s="2"/>
      <c r="B5951" s="168" t="s">
        <v>221</v>
      </c>
      <c r="C5951" s="168" t="s">
        <v>6187</v>
      </c>
      <c r="D5951" s="229">
        <v>27.5</v>
      </c>
      <c r="E5951" s="229">
        <v>31.0</v>
      </c>
      <c r="F5951" s="230">
        <v>3.0</v>
      </c>
      <c r="G5951" s="232"/>
    </row>
    <row r="5952">
      <c r="A5952" s="2"/>
      <c r="B5952" s="168" t="s">
        <v>413</v>
      </c>
      <c r="C5952" s="168" t="s">
        <v>6188</v>
      </c>
      <c r="D5952" s="229">
        <v>29.5</v>
      </c>
      <c r="E5952" s="229">
        <v>33.0</v>
      </c>
      <c r="F5952" s="230">
        <v>3.0</v>
      </c>
      <c r="G5952" s="232"/>
    </row>
    <row r="5953">
      <c r="A5953" s="2"/>
      <c r="B5953" s="168" t="s">
        <v>271</v>
      </c>
      <c r="C5953" s="168" t="s">
        <v>6189</v>
      </c>
      <c r="D5953" s="229">
        <v>30.5</v>
      </c>
      <c r="E5953" s="229">
        <v>34.0</v>
      </c>
      <c r="F5953" s="230">
        <v>3.0</v>
      </c>
      <c r="G5953" s="232"/>
    </row>
    <row r="5954">
      <c r="A5954" s="2"/>
      <c r="B5954" s="168" t="s">
        <v>937</v>
      </c>
      <c r="C5954" s="168" t="s">
        <v>6190</v>
      </c>
      <c r="D5954" s="229">
        <v>21.5</v>
      </c>
      <c r="E5954" s="229">
        <v>25.0</v>
      </c>
      <c r="F5954" s="230">
        <v>3.0</v>
      </c>
      <c r="G5954" s="232"/>
    </row>
    <row r="5955">
      <c r="A5955" s="2"/>
      <c r="B5955" s="168" t="s">
        <v>217</v>
      </c>
      <c r="C5955" s="168" t="s">
        <v>6191</v>
      </c>
      <c r="D5955" s="229">
        <v>27.5</v>
      </c>
      <c r="E5955" s="229">
        <v>31.0</v>
      </c>
      <c r="F5955" s="230">
        <v>3.0</v>
      </c>
      <c r="G5955" s="232"/>
    </row>
    <row r="5956">
      <c r="A5956" s="2"/>
      <c r="B5956" s="168" t="s">
        <v>296</v>
      </c>
      <c r="C5956" s="168" t="s">
        <v>6192</v>
      </c>
      <c r="D5956" s="229">
        <v>26.5</v>
      </c>
      <c r="E5956" s="229">
        <v>30.0</v>
      </c>
      <c r="F5956" s="230">
        <v>3.0</v>
      </c>
      <c r="G5956" s="232"/>
    </row>
    <row r="5957">
      <c r="A5957" s="2"/>
      <c r="B5957" s="168" t="s">
        <v>296</v>
      </c>
      <c r="C5957" s="168" t="s">
        <v>6193</v>
      </c>
      <c r="D5957" s="229">
        <v>26.5</v>
      </c>
      <c r="E5957" s="229">
        <v>30.0</v>
      </c>
      <c r="F5957" s="230">
        <v>3.0</v>
      </c>
      <c r="G5957" s="232"/>
    </row>
    <row r="5958">
      <c r="A5958" s="2"/>
      <c r="B5958" s="168" t="s">
        <v>388</v>
      </c>
      <c r="C5958" s="168" t="s">
        <v>6194</v>
      </c>
      <c r="D5958" s="229">
        <v>17.0</v>
      </c>
      <c r="E5958" s="229">
        <v>20.5</v>
      </c>
      <c r="F5958" s="230">
        <v>3.0</v>
      </c>
      <c r="G5958" s="232"/>
    </row>
    <row r="5959">
      <c r="A5959" s="2"/>
      <c r="B5959" s="168" t="s">
        <v>241</v>
      </c>
      <c r="C5959" s="168" t="s">
        <v>6195</v>
      </c>
      <c r="D5959" s="229">
        <v>32.5</v>
      </c>
      <c r="E5959" s="229">
        <v>36.0</v>
      </c>
      <c r="F5959" s="230">
        <v>3.0</v>
      </c>
      <c r="G5959" s="232"/>
    </row>
    <row r="5960">
      <c r="A5960" s="2"/>
      <c r="B5960" s="168" t="s">
        <v>290</v>
      </c>
      <c r="C5960" s="168" t="s">
        <v>6196</v>
      </c>
      <c r="D5960" s="229">
        <v>29.5</v>
      </c>
      <c r="E5960" s="229">
        <v>33.0</v>
      </c>
      <c r="F5960" s="230">
        <v>3.0</v>
      </c>
      <c r="G5960" s="232"/>
    </row>
    <row r="5961">
      <c r="A5961" s="2"/>
      <c r="B5961" s="168" t="s">
        <v>260</v>
      </c>
      <c r="C5961" s="168" t="s">
        <v>6197</v>
      </c>
      <c r="D5961" s="229">
        <v>28.5</v>
      </c>
      <c r="E5961" s="229">
        <v>32.0</v>
      </c>
      <c r="F5961" s="230">
        <v>3.0</v>
      </c>
      <c r="G5961" s="232"/>
    </row>
    <row r="5962">
      <c r="A5962" s="2"/>
      <c r="B5962" s="168" t="s">
        <v>381</v>
      </c>
      <c r="C5962" s="168" t="s">
        <v>6198</v>
      </c>
      <c r="D5962" s="229">
        <v>28.5</v>
      </c>
      <c r="E5962" s="229">
        <v>32.0</v>
      </c>
      <c r="F5962" s="230">
        <v>3.0</v>
      </c>
      <c r="G5962" s="232"/>
    </row>
    <row r="5963">
      <c r="A5963" s="2"/>
      <c r="B5963" s="168" t="s">
        <v>230</v>
      </c>
      <c r="C5963" s="168" t="s">
        <v>6199</v>
      </c>
      <c r="D5963" s="229">
        <v>21.5</v>
      </c>
      <c r="E5963" s="229">
        <v>25.0</v>
      </c>
      <c r="F5963" s="230">
        <v>3.0</v>
      </c>
      <c r="G5963" s="232"/>
    </row>
    <row r="5964">
      <c r="A5964" s="2"/>
      <c r="B5964" s="168" t="s">
        <v>341</v>
      </c>
      <c r="C5964" s="168" t="s">
        <v>6200</v>
      </c>
      <c r="D5964" s="229">
        <v>29.5</v>
      </c>
      <c r="E5964" s="229">
        <v>29.5</v>
      </c>
      <c r="F5964" s="230">
        <v>3.0</v>
      </c>
      <c r="G5964" s="232"/>
    </row>
    <row r="5965">
      <c r="A5965" s="2"/>
      <c r="B5965" s="168" t="s">
        <v>269</v>
      </c>
      <c r="C5965" s="168" t="s">
        <v>6201</v>
      </c>
      <c r="D5965" s="229">
        <v>26.5</v>
      </c>
      <c r="E5965" s="229">
        <v>30.0</v>
      </c>
      <c r="F5965" s="230">
        <v>3.0</v>
      </c>
      <c r="G5965" s="232"/>
    </row>
    <row r="5966">
      <c r="A5966" s="2"/>
      <c r="B5966" s="168" t="s">
        <v>243</v>
      </c>
      <c r="C5966" s="168" t="s">
        <v>6202</v>
      </c>
      <c r="D5966" s="229">
        <v>29.5</v>
      </c>
      <c r="E5966" s="229">
        <v>33.0</v>
      </c>
      <c r="F5966" s="230">
        <v>3.0</v>
      </c>
      <c r="G5966" s="232"/>
    </row>
    <row r="5967">
      <c r="A5967" s="2"/>
      <c r="B5967" s="168" t="s">
        <v>388</v>
      </c>
      <c r="C5967" s="168" t="s">
        <v>6203</v>
      </c>
      <c r="D5967" s="229">
        <v>21.5</v>
      </c>
      <c r="E5967" s="229">
        <v>25.0</v>
      </c>
      <c r="F5967" s="230">
        <v>3.0</v>
      </c>
      <c r="G5967" s="232"/>
    </row>
    <row r="5968">
      <c r="A5968" s="2"/>
      <c r="B5968" s="168" t="s">
        <v>446</v>
      </c>
      <c r="C5968" s="168" t="s">
        <v>6204</v>
      </c>
      <c r="D5968" s="229">
        <v>4.5</v>
      </c>
      <c r="E5968" s="229">
        <v>4.5</v>
      </c>
      <c r="F5968" s="230">
        <v>3.0</v>
      </c>
      <c r="G5968" s="232"/>
    </row>
    <row r="5969">
      <c r="A5969" s="2"/>
      <c r="B5969" s="168" t="s">
        <v>217</v>
      </c>
      <c r="C5969" s="168" t="s">
        <v>6205</v>
      </c>
      <c r="D5969" s="229">
        <v>27.5</v>
      </c>
      <c r="E5969" s="229">
        <v>31.0</v>
      </c>
      <c r="F5969" s="230">
        <v>3.0</v>
      </c>
      <c r="G5969" s="232"/>
    </row>
    <row r="5970">
      <c r="A5970" s="2"/>
      <c r="B5970" s="168" t="s">
        <v>230</v>
      </c>
      <c r="C5970" s="168" t="s">
        <v>6206</v>
      </c>
      <c r="D5970" s="229">
        <v>16.5</v>
      </c>
      <c r="E5970" s="229">
        <v>20.0</v>
      </c>
      <c r="F5970" s="230">
        <v>3.0</v>
      </c>
      <c r="G5970" s="232"/>
    </row>
    <row r="5971">
      <c r="A5971" s="2"/>
      <c r="B5971" s="168" t="s">
        <v>269</v>
      </c>
      <c r="C5971" s="168" t="s">
        <v>6207</v>
      </c>
      <c r="D5971" s="229">
        <v>26.5</v>
      </c>
      <c r="E5971" s="229">
        <v>30.0</v>
      </c>
      <c r="F5971" s="230">
        <v>3.0</v>
      </c>
      <c r="G5971" s="232"/>
    </row>
    <row r="5972">
      <c r="A5972" s="2"/>
      <c r="B5972" s="168" t="s">
        <v>221</v>
      </c>
      <c r="C5972" s="168" t="s">
        <v>6208</v>
      </c>
      <c r="D5972" s="229">
        <v>27.5</v>
      </c>
      <c r="E5972" s="229">
        <v>31.0</v>
      </c>
      <c r="F5972" s="230">
        <v>3.0</v>
      </c>
      <c r="G5972" s="232"/>
    </row>
    <row r="5973">
      <c r="A5973" s="2"/>
      <c r="B5973" s="168" t="s">
        <v>290</v>
      </c>
      <c r="C5973" s="168" t="s">
        <v>6209</v>
      </c>
      <c r="D5973" s="229">
        <v>24.5</v>
      </c>
      <c r="E5973" s="229">
        <v>28.0</v>
      </c>
      <c r="F5973" s="230">
        <v>3.0</v>
      </c>
      <c r="G5973" s="232"/>
    </row>
    <row r="5974">
      <c r="A5974" s="2"/>
      <c r="B5974" s="168" t="s">
        <v>230</v>
      </c>
      <c r="C5974" s="168" t="s">
        <v>6210</v>
      </c>
      <c r="D5974" s="229">
        <v>21.5</v>
      </c>
      <c r="E5974" s="229">
        <v>25.0</v>
      </c>
      <c r="F5974" s="230">
        <v>3.0</v>
      </c>
      <c r="G5974" s="232"/>
    </row>
    <row r="5975">
      <c r="A5975" s="2"/>
      <c r="B5975" s="168" t="s">
        <v>269</v>
      </c>
      <c r="C5975" s="168" t="s">
        <v>6211</v>
      </c>
      <c r="D5975" s="229">
        <v>26.5</v>
      </c>
      <c r="E5975" s="229">
        <v>30.0</v>
      </c>
      <c r="F5975" s="230">
        <v>3.0</v>
      </c>
      <c r="G5975" s="232"/>
    </row>
    <row r="5976">
      <c r="A5976" s="2"/>
      <c r="B5976" s="168" t="s">
        <v>247</v>
      </c>
      <c r="C5976" s="168" t="s">
        <v>6212</v>
      </c>
      <c r="D5976" s="229">
        <v>29.5</v>
      </c>
      <c r="E5976" s="229">
        <v>33.0</v>
      </c>
      <c r="F5976" s="230">
        <v>3.0</v>
      </c>
      <c r="G5976" s="232"/>
    </row>
    <row r="5977">
      <c r="A5977" s="2"/>
      <c r="B5977" s="168" t="s">
        <v>223</v>
      </c>
      <c r="C5977" s="168" t="s">
        <v>6213</v>
      </c>
      <c r="D5977" s="229">
        <v>26.5</v>
      </c>
      <c r="E5977" s="229">
        <v>30.0</v>
      </c>
      <c r="F5977" s="230">
        <v>3.0</v>
      </c>
      <c r="G5977" s="232"/>
    </row>
    <row r="5978">
      <c r="A5978" s="2"/>
      <c r="B5978" s="168" t="s">
        <v>269</v>
      </c>
      <c r="C5978" s="168" t="s">
        <v>6214</v>
      </c>
      <c r="D5978" s="229">
        <v>26.0</v>
      </c>
      <c r="E5978" s="229">
        <v>29.5</v>
      </c>
      <c r="F5978" s="230">
        <v>3.0</v>
      </c>
      <c r="G5978" s="232"/>
    </row>
    <row r="5979">
      <c r="A5979" s="2"/>
      <c r="B5979" s="168" t="s">
        <v>290</v>
      </c>
      <c r="C5979" s="168" t="s">
        <v>6215</v>
      </c>
      <c r="D5979" s="229">
        <v>29.5</v>
      </c>
      <c r="E5979" s="229">
        <v>33.0</v>
      </c>
      <c r="F5979" s="230">
        <v>3.0</v>
      </c>
      <c r="G5979" s="232"/>
    </row>
    <row r="5980">
      <c r="A5980" s="2"/>
      <c r="B5980" s="168" t="s">
        <v>232</v>
      </c>
      <c r="C5980" s="168" t="s">
        <v>6216</v>
      </c>
      <c r="D5980" s="229">
        <v>27.5</v>
      </c>
      <c r="E5980" s="229">
        <v>31.0</v>
      </c>
      <c r="F5980" s="230">
        <v>3.0</v>
      </c>
      <c r="G5980" s="232"/>
    </row>
    <row r="5981">
      <c r="A5981" s="2"/>
      <c r="B5981" s="168" t="s">
        <v>438</v>
      </c>
      <c r="C5981" s="168" t="s">
        <v>438</v>
      </c>
      <c r="D5981" s="229">
        <v>29.5</v>
      </c>
      <c r="E5981" s="229">
        <v>33.0</v>
      </c>
      <c r="F5981" s="230">
        <v>3.0</v>
      </c>
      <c r="G5981" s="232"/>
    </row>
    <row r="5982">
      <c r="A5982" s="2"/>
      <c r="B5982" s="168" t="s">
        <v>243</v>
      </c>
      <c r="C5982" s="168" t="s">
        <v>6217</v>
      </c>
      <c r="D5982" s="229">
        <v>29.5</v>
      </c>
      <c r="E5982" s="229">
        <v>33.0</v>
      </c>
      <c r="F5982" s="230">
        <v>3.0</v>
      </c>
      <c r="G5982" s="232"/>
    </row>
    <row r="5983">
      <c r="A5983" s="2"/>
      <c r="B5983" s="168" t="s">
        <v>245</v>
      </c>
      <c r="C5983" s="168" t="s">
        <v>6218</v>
      </c>
      <c r="D5983" s="229">
        <v>27.5</v>
      </c>
      <c r="E5983" s="229">
        <v>31.0</v>
      </c>
      <c r="F5983" s="230">
        <v>3.0</v>
      </c>
      <c r="G5983" s="232"/>
    </row>
    <row r="5984">
      <c r="A5984" s="2"/>
      <c r="B5984" s="168" t="s">
        <v>1311</v>
      </c>
      <c r="C5984" s="168" t="s">
        <v>6219</v>
      </c>
      <c r="D5984" s="229">
        <v>28.5</v>
      </c>
      <c r="E5984" s="229">
        <v>32.0</v>
      </c>
      <c r="F5984" s="230">
        <v>3.0</v>
      </c>
      <c r="G5984" s="232"/>
    </row>
    <row r="5985">
      <c r="A5985" s="2"/>
      <c r="B5985" s="168" t="s">
        <v>592</v>
      </c>
      <c r="C5985" s="168" t="s">
        <v>6220</v>
      </c>
      <c r="D5985" s="229">
        <v>34.5</v>
      </c>
      <c r="E5985" s="229">
        <v>38.0</v>
      </c>
      <c r="F5985" s="230">
        <v>3.0</v>
      </c>
      <c r="G5985" s="232"/>
    </row>
    <row r="5986">
      <c r="A5986" s="2"/>
      <c r="B5986" s="168" t="s">
        <v>345</v>
      </c>
      <c r="C5986" s="168" t="s">
        <v>6221</v>
      </c>
      <c r="D5986" s="229">
        <v>26.5</v>
      </c>
      <c r="E5986" s="229">
        <v>30.0</v>
      </c>
      <c r="F5986" s="230">
        <v>3.0</v>
      </c>
      <c r="G5986" s="232"/>
    </row>
    <row r="5987">
      <c r="A5987" s="2"/>
      <c r="B5987" s="168" t="s">
        <v>260</v>
      </c>
      <c r="C5987" s="168" t="s">
        <v>6222</v>
      </c>
      <c r="D5987" s="229">
        <v>28.5</v>
      </c>
      <c r="E5987" s="229">
        <v>32.0</v>
      </c>
      <c r="F5987" s="230">
        <v>3.0</v>
      </c>
      <c r="G5987" s="232"/>
    </row>
    <row r="5988">
      <c r="A5988" s="2"/>
      <c r="B5988" s="168" t="s">
        <v>275</v>
      </c>
      <c r="C5988" s="168" t="s">
        <v>6223</v>
      </c>
      <c r="D5988" s="229">
        <v>26.5</v>
      </c>
      <c r="E5988" s="229">
        <v>30.0</v>
      </c>
      <c r="F5988" s="230">
        <v>3.0</v>
      </c>
      <c r="G5988" s="232"/>
    </row>
    <row r="5989">
      <c r="A5989" s="2"/>
      <c r="B5989" s="168" t="s">
        <v>245</v>
      </c>
      <c r="C5989" s="168" t="s">
        <v>6224</v>
      </c>
      <c r="D5989" s="229">
        <v>29.5</v>
      </c>
      <c r="E5989" s="229">
        <v>33.0</v>
      </c>
      <c r="F5989" s="230">
        <v>3.0</v>
      </c>
      <c r="G5989" s="232"/>
    </row>
    <row r="5990">
      <c r="A5990" s="2"/>
      <c r="B5990" s="168" t="s">
        <v>232</v>
      </c>
      <c r="C5990" s="168" t="s">
        <v>6225</v>
      </c>
      <c r="D5990" s="229">
        <v>31.5</v>
      </c>
      <c r="E5990" s="229">
        <v>35.0</v>
      </c>
      <c r="F5990" s="230">
        <v>3.0</v>
      </c>
      <c r="G5990" s="232"/>
    </row>
    <row r="5991">
      <c r="A5991" s="2"/>
      <c r="B5991" s="168" t="s">
        <v>296</v>
      </c>
      <c r="C5991" s="168" t="s">
        <v>6226</v>
      </c>
      <c r="D5991" s="229">
        <v>26.5</v>
      </c>
      <c r="E5991" s="229">
        <v>30.0</v>
      </c>
      <c r="F5991" s="230">
        <v>3.0</v>
      </c>
      <c r="G5991" s="232"/>
    </row>
    <row r="5992">
      <c r="A5992" s="2"/>
      <c r="B5992" s="168" t="s">
        <v>273</v>
      </c>
      <c r="C5992" s="168" t="s">
        <v>6227</v>
      </c>
      <c r="D5992" s="229">
        <v>24.5</v>
      </c>
      <c r="E5992" s="229">
        <v>28.0</v>
      </c>
      <c r="F5992" s="230">
        <v>3.0</v>
      </c>
      <c r="G5992" s="232"/>
    </row>
    <row r="5993">
      <c r="A5993" s="2"/>
      <c r="B5993" s="168" t="s">
        <v>269</v>
      </c>
      <c r="C5993" s="168" t="s">
        <v>6228</v>
      </c>
      <c r="D5993" s="229">
        <v>26.5</v>
      </c>
      <c r="E5993" s="229">
        <v>30.0</v>
      </c>
      <c r="F5993" s="230">
        <v>3.0</v>
      </c>
      <c r="G5993" s="232"/>
    </row>
    <row r="5994">
      <c r="A5994" s="2"/>
      <c r="B5994" s="168" t="s">
        <v>285</v>
      </c>
      <c r="C5994" s="168" t="s">
        <v>6229</v>
      </c>
      <c r="D5994" s="229">
        <v>24.5</v>
      </c>
      <c r="E5994" s="229">
        <v>28.0</v>
      </c>
      <c r="F5994" s="230">
        <v>3.0</v>
      </c>
      <c r="G5994" s="232"/>
    </row>
    <row r="5995">
      <c r="A5995" s="2"/>
      <c r="B5995" s="168" t="s">
        <v>260</v>
      </c>
      <c r="C5995" s="168" t="s">
        <v>6230</v>
      </c>
      <c r="D5995" s="229">
        <v>28.5</v>
      </c>
      <c r="E5995" s="229">
        <v>32.0</v>
      </c>
      <c r="F5995" s="230">
        <v>3.0</v>
      </c>
      <c r="G5995" s="232"/>
    </row>
    <row r="5996">
      <c r="A5996" s="2"/>
      <c r="B5996" s="168" t="s">
        <v>381</v>
      </c>
      <c r="C5996" s="168" t="s">
        <v>6231</v>
      </c>
      <c r="D5996" s="229">
        <v>28.5</v>
      </c>
      <c r="E5996" s="229">
        <v>32.0</v>
      </c>
      <c r="F5996" s="230">
        <v>3.0</v>
      </c>
      <c r="G5996" s="232"/>
    </row>
    <row r="5997">
      <c r="A5997" s="2"/>
      <c r="B5997" s="168" t="s">
        <v>332</v>
      </c>
      <c r="C5997" s="168" t="s">
        <v>6232</v>
      </c>
      <c r="D5997" s="229">
        <v>28.5</v>
      </c>
      <c r="E5997" s="229">
        <v>32.0</v>
      </c>
      <c r="F5997" s="230">
        <v>3.0</v>
      </c>
      <c r="G5997" s="232"/>
    </row>
    <row r="5998">
      <c r="A5998" s="2"/>
      <c r="B5998" s="168" t="s">
        <v>269</v>
      </c>
      <c r="C5998" s="168" t="s">
        <v>6233</v>
      </c>
      <c r="D5998" s="229">
        <v>21.5</v>
      </c>
      <c r="E5998" s="229">
        <v>25.0</v>
      </c>
      <c r="F5998" s="230">
        <v>3.0</v>
      </c>
      <c r="G5998" s="232"/>
    </row>
    <row r="5999">
      <c r="A5999" s="2"/>
      <c r="B5999" s="168" t="s">
        <v>576</v>
      </c>
      <c r="C5999" s="168" t="s">
        <v>6234</v>
      </c>
      <c r="D5999" s="229">
        <v>24.5</v>
      </c>
      <c r="E5999" s="229">
        <v>28.0</v>
      </c>
      <c r="F5999" s="230">
        <v>3.0</v>
      </c>
      <c r="G5999" s="232"/>
    </row>
    <row r="6000">
      <c r="A6000" s="2"/>
      <c r="B6000" s="168" t="s">
        <v>230</v>
      </c>
      <c r="C6000" s="168" t="s">
        <v>6235</v>
      </c>
      <c r="D6000" s="229">
        <v>21.5</v>
      </c>
      <c r="E6000" s="229">
        <v>25.0</v>
      </c>
      <c r="F6000" s="230">
        <v>3.0</v>
      </c>
      <c r="G6000" s="232"/>
    </row>
    <row r="6001">
      <c r="A6001" s="2"/>
      <c r="B6001" s="168" t="s">
        <v>296</v>
      </c>
      <c r="C6001" s="168" t="s">
        <v>6236</v>
      </c>
      <c r="D6001" s="229">
        <v>26.5</v>
      </c>
      <c r="E6001" s="229">
        <v>30.0</v>
      </c>
      <c r="F6001" s="230">
        <v>3.0</v>
      </c>
      <c r="G6001" s="232"/>
    </row>
    <row r="6002">
      <c r="A6002" s="2"/>
      <c r="B6002" s="168" t="s">
        <v>232</v>
      </c>
      <c r="C6002" s="168" t="s">
        <v>6237</v>
      </c>
      <c r="D6002" s="229">
        <v>32.5</v>
      </c>
      <c r="E6002" s="229">
        <v>36.0</v>
      </c>
      <c r="F6002" s="230">
        <v>3.0</v>
      </c>
      <c r="G6002" s="232"/>
    </row>
    <row r="6003">
      <c r="A6003" s="2"/>
      <c r="B6003" s="168" t="s">
        <v>269</v>
      </c>
      <c r="C6003" s="168" t="s">
        <v>6238</v>
      </c>
      <c r="D6003" s="229">
        <v>26.5</v>
      </c>
      <c r="E6003" s="229">
        <v>30.0</v>
      </c>
      <c r="F6003" s="230">
        <v>3.0</v>
      </c>
      <c r="G6003" s="232"/>
    </row>
    <row r="6004">
      <c r="A6004" s="2"/>
      <c r="B6004" s="168" t="s">
        <v>217</v>
      </c>
      <c r="C6004" s="168" t="s">
        <v>6239</v>
      </c>
      <c r="D6004" s="229">
        <v>27.5</v>
      </c>
      <c r="E6004" s="229">
        <v>31.0</v>
      </c>
      <c r="F6004" s="230">
        <v>3.0</v>
      </c>
      <c r="G6004" s="232"/>
    </row>
    <row r="6005">
      <c r="A6005" s="2"/>
      <c r="B6005" s="168" t="s">
        <v>332</v>
      </c>
      <c r="C6005" s="168" t="s">
        <v>6240</v>
      </c>
      <c r="D6005" s="229">
        <v>23.5</v>
      </c>
      <c r="E6005" s="229">
        <v>27.0</v>
      </c>
      <c r="F6005" s="230">
        <v>3.0</v>
      </c>
      <c r="G6005" s="232"/>
    </row>
    <row r="6006">
      <c r="A6006" s="2"/>
      <c r="B6006" s="168" t="s">
        <v>241</v>
      </c>
      <c r="C6006" s="168" t="s">
        <v>6241</v>
      </c>
      <c r="D6006" s="229">
        <v>31.5</v>
      </c>
      <c r="E6006" s="229">
        <v>35.0</v>
      </c>
      <c r="F6006" s="230">
        <v>3.0</v>
      </c>
      <c r="G6006" s="232"/>
    </row>
    <row r="6007">
      <c r="A6007" s="2"/>
      <c r="B6007" s="168" t="s">
        <v>288</v>
      </c>
      <c r="C6007" s="168" t="s">
        <v>6242</v>
      </c>
      <c r="D6007" s="229">
        <v>21.5</v>
      </c>
      <c r="E6007" s="229">
        <v>25.0</v>
      </c>
      <c r="F6007" s="230">
        <v>3.0</v>
      </c>
      <c r="G6007" s="232"/>
    </row>
    <row r="6008">
      <c r="A6008" s="2"/>
      <c r="B6008" s="168" t="s">
        <v>388</v>
      </c>
      <c r="C6008" s="168" t="s">
        <v>6243</v>
      </c>
      <c r="D6008" s="229">
        <v>21.5</v>
      </c>
      <c r="E6008" s="229">
        <v>25.0</v>
      </c>
      <c r="F6008" s="230">
        <v>3.0</v>
      </c>
      <c r="G6008" s="232"/>
    </row>
    <row r="6009">
      <c r="A6009" s="2"/>
      <c r="B6009" s="168" t="s">
        <v>318</v>
      </c>
      <c r="C6009" s="168" t="s">
        <v>6244</v>
      </c>
      <c r="D6009" s="229">
        <v>25.5</v>
      </c>
      <c r="E6009" s="229">
        <v>29.0</v>
      </c>
      <c r="F6009" s="230">
        <v>3.0</v>
      </c>
      <c r="G6009" s="232"/>
    </row>
    <row r="6010">
      <c r="A6010" s="2"/>
      <c r="B6010" s="168" t="s">
        <v>275</v>
      </c>
      <c r="C6010" s="168" t="s">
        <v>6245</v>
      </c>
      <c r="D6010" s="229">
        <v>26.5</v>
      </c>
      <c r="E6010" s="229">
        <v>30.0</v>
      </c>
      <c r="F6010" s="230">
        <v>3.0</v>
      </c>
      <c r="G6010" s="232"/>
    </row>
    <row r="6011">
      <c r="A6011" s="2"/>
      <c r="B6011" s="168" t="s">
        <v>288</v>
      </c>
      <c r="C6011" s="168" t="s">
        <v>6246</v>
      </c>
      <c r="D6011" s="229">
        <v>21.5</v>
      </c>
      <c r="E6011" s="229">
        <v>25.0</v>
      </c>
      <c r="F6011" s="230">
        <v>3.0</v>
      </c>
      <c r="G6011" s="232"/>
    </row>
    <row r="6012">
      <c r="A6012" s="2"/>
      <c r="B6012" s="168" t="s">
        <v>241</v>
      </c>
      <c r="C6012" s="168" t="s">
        <v>6247</v>
      </c>
      <c r="D6012" s="229">
        <v>27.5</v>
      </c>
      <c r="E6012" s="229">
        <v>31.0</v>
      </c>
      <c r="F6012" s="230">
        <v>3.0</v>
      </c>
      <c r="G6012" s="232"/>
    </row>
    <row r="6013">
      <c r="A6013" s="2"/>
      <c r="B6013" s="168" t="s">
        <v>247</v>
      </c>
      <c r="C6013" s="168" t="s">
        <v>6248</v>
      </c>
      <c r="D6013" s="229">
        <v>28.0</v>
      </c>
      <c r="E6013" s="229">
        <v>31.5</v>
      </c>
      <c r="F6013" s="230">
        <v>3.0</v>
      </c>
      <c r="G6013" s="232"/>
    </row>
    <row r="6014">
      <c r="A6014" s="2"/>
      <c r="B6014" s="168" t="s">
        <v>241</v>
      </c>
      <c r="C6014" s="168" t="s">
        <v>6249</v>
      </c>
      <c r="D6014" s="229">
        <v>31.5</v>
      </c>
      <c r="E6014" s="229">
        <v>35.0</v>
      </c>
      <c r="F6014" s="230">
        <v>3.0</v>
      </c>
      <c r="G6014" s="232"/>
    </row>
    <row r="6015">
      <c r="A6015" s="2"/>
      <c r="B6015" s="168" t="s">
        <v>328</v>
      </c>
      <c r="C6015" s="168" t="s">
        <v>6250</v>
      </c>
      <c r="D6015" s="229">
        <v>34.5</v>
      </c>
      <c r="E6015" s="229">
        <v>38.0</v>
      </c>
      <c r="F6015" s="230">
        <v>3.0</v>
      </c>
      <c r="G6015" s="232"/>
    </row>
    <row r="6016">
      <c r="A6016" s="2"/>
      <c r="B6016" s="168" t="s">
        <v>296</v>
      </c>
      <c r="C6016" s="168" t="s">
        <v>6251</v>
      </c>
      <c r="D6016" s="229">
        <v>26.5</v>
      </c>
      <c r="E6016" s="229">
        <v>30.0</v>
      </c>
      <c r="F6016" s="230">
        <v>3.0</v>
      </c>
      <c r="G6016" s="232"/>
    </row>
    <row r="6017">
      <c r="A6017" s="2"/>
      <c r="B6017" s="168" t="s">
        <v>565</v>
      </c>
      <c r="C6017" s="168" t="s">
        <v>6252</v>
      </c>
      <c r="D6017" s="229">
        <v>24.5</v>
      </c>
      <c r="E6017" s="229">
        <v>28.0</v>
      </c>
      <c r="F6017" s="230">
        <v>3.0</v>
      </c>
      <c r="G6017" s="232"/>
    </row>
    <row r="6018">
      <c r="A6018" s="2"/>
      <c r="B6018" s="168" t="s">
        <v>217</v>
      </c>
      <c r="C6018" s="168" t="s">
        <v>6253</v>
      </c>
      <c r="D6018" s="229">
        <v>27.5</v>
      </c>
      <c r="E6018" s="229">
        <v>31.0</v>
      </c>
      <c r="F6018" s="230">
        <v>3.0</v>
      </c>
      <c r="G6018" s="232"/>
    </row>
    <row r="6019">
      <c r="A6019" s="2"/>
      <c r="B6019" s="168" t="s">
        <v>257</v>
      </c>
      <c r="C6019" s="168" t="s">
        <v>6254</v>
      </c>
      <c r="D6019" s="229">
        <v>28.5</v>
      </c>
      <c r="E6019" s="229">
        <v>32.0</v>
      </c>
      <c r="F6019" s="230">
        <v>3.0</v>
      </c>
      <c r="G6019" s="232"/>
    </row>
    <row r="6020">
      <c r="A6020" s="2"/>
      <c r="B6020" s="168" t="s">
        <v>217</v>
      </c>
      <c r="C6020" s="168" t="s">
        <v>6255</v>
      </c>
      <c r="D6020" s="229">
        <v>27.5</v>
      </c>
      <c r="E6020" s="229">
        <v>31.0</v>
      </c>
      <c r="F6020" s="230">
        <v>3.0</v>
      </c>
      <c r="G6020" s="232"/>
    </row>
    <row r="6021">
      <c r="A6021" s="2"/>
      <c r="B6021" s="168" t="s">
        <v>241</v>
      </c>
      <c r="C6021" s="168" t="s">
        <v>6256</v>
      </c>
      <c r="D6021" s="229">
        <v>32.5</v>
      </c>
      <c r="E6021" s="229">
        <v>36.0</v>
      </c>
      <c r="F6021" s="230">
        <v>3.0</v>
      </c>
      <c r="G6021" s="232"/>
    </row>
    <row r="6022">
      <c r="A6022" s="2"/>
      <c r="B6022" s="168" t="s">
        <v>332</v>
      </c>
      <c r="C6022" s="168" t="s">
        <v>6257</v>
      </c>
      <c r="D6022" s="229">
        <v>3.0</v>
      </c>
      <c r="E6022" s="229">
        <v>3.0</v>
      </c>
      <c r="F6022" s="230">
        <v>3.0</v>
      </c>
      <c r="G6022" s="232"/>
    </row>
    <row r="6023">
      <c r="A6023" s="2"/>
      <c r="B6023" s="168" t="s">
        <v>269</v>
      </c>
      <c r="C6023" s="168" t="s">
        <v>6258</v>
      </c>
      <c r="D6023" s="229">
        <v>26.5</v>
      </c>
      <c r="E6023" s="229">
        <v>30.0</v>
      </c>
      <c r="F6023" s="230">
        <v>3.0</v>
      </c>
      <c r="G6023" s="232"/>
    </row>
    <row r="6024">
      <c r="A6024" s="2"/>
      <c r="B6024" s="168" t="s">
        <v>262</v>
      </c>
      <c r="C6024" s="168" t="s">
        <v>6259</v>
      </c>
      <c r="D6024" s="229">
        <v>29.5</v>
      </c>
      <c r="E6024" s="229">
        <v>33.0</v>
      </c>
      <c r="F6024" s="230">
        <v>3.0</v>
      </c>
      <c r="G6024" s="232"/>
    </row>
    <row r="6025">
      <c r="A6025" s="2"/>
      <c r="B6025" s="168" t="s">
        <v>230</v>
      </c>
      <c r="C6025" s="168" t="s">
        <v>6260</v>
      </c>
      <c r="D6025" s="229">
        <v>16.5</v>
      </c>
      <c r="E6025" s="229">
        <v>20.0</v>
      </c>
      <c r="F6025" s="230">
        <v>3.0</v>
      </c>
      <c r="G6025" s="232"/>
    </row>
    <row r="6026">
      <c r="A6026" s="2"/>
      <c r="B6026" s="168" t="s">
        <v>427</v>
      </c>
      <c r="C6026" s="168" t="s">
        <v>6261</v>
      </c>
      <c r="D6026" s="229">
        <v>26.5</v>
      </c>
      <c r="E6026" s="229">
        <v>30.0</v>
      </c>
      <c r="F6026" s="230">
        <v>3.0</v>
      </c>
      <c r="G6026" s="232"/>
    </row>
    <row r="6027">
      <c r="A6027" s="2"/>
      <c r="B6027" s="168" t="s">
        <v>285</v>
      </c>
      <c r="C6027" s="168" t="s">
        <v>6262</v>
      </c>
      <c r="D6027" s="229">
        <v>24.5</v>
      </c>
      <c r="E6027" s="229">
        <v>28.0</v>
      </c>
      <c r="F6027" s="230">
        <v>3.0</v>
      </c>
      <c r="G6027" s="232"/>
    </row>
    <row r="6028">
      <c r="A6028" s="2"/>
      <c r="B6028" s="168" t="s">
        <v>332</v>
      </c>
      <c r="C6028" s="168" t="s">
        <v>6263</v>
      </c>
      <c r="D6028" s="229">
        <v>27.5</v>
      </c>
      <c r="E6028" s="229">
        <v>31.0</v>
      </c>
      <c r="F6028" s="230">
        <v>3.0</v>
      </c>
      <c r="G6028" s="232"/>
    </row>
    <row r="6029">
      <c r="A6029" s="2"/>
      <c r="B6029" s="168" t="s">
        <v>217</v>
      </c>
      <c r="C6029" s="168" t="s">
        <v>6264</v>
      </c>
      <c r="D6029" s="229">
        <v>27.5</v>
      </c>
      <c r="E6029" s="229">
        <v>31.0</v>
      </c>
      <c r="F6029" s="230">
        <v>3.0</v>
      </c>
      <c r="G6029" s="232"/>
    </row>
    <row r="6030">
      <c r="A6030" s="2"/>
      <c r="B6030" s="168" t="s">
        <v>243</v>
      </c>
      <c r="C6030" s="168" t="s">
        <v>6265</v>
      </c>
      <c r="D6030" s="229">
        <v>29.5</v>
      </c>
      <c r="E6030" s="229">
        <v>33.0</v>
      </c>
      <c r="F6030" s="230">
        <v>3.0</v>
      </c>
      <c r="G6030" s="232"/>
    </row>
    <row r="6031">
      <c r="A6031" s="2"/>
      <c r="B6031" s="168" t="s">
        <v>217</v>
      </c>
      <c r="C6031" s="168" t="s">
        <v>6266</v>
      </c>
      <c r="D6031" s="229">
        <v>27.5</v>
      </c>
      <c r="E6031" s="229">
        <v>31.0</v>
      </c>
      <c r="F6031" s="230">
        <v>3.0</v>
      </c>
      <c r="G6031" s="232"/>
    </row>
    <row r="6032">
      <c r="A6032" s="2"/>
      <c r="B6032" s="168" t="s">
        <v>288</v>
      </c>
      <c r="C6032" s="168" t="s">
        <v>6267</v>
      </c>
      <c r="D6032" s="229">
        <v>16.5</v>
      </c>
      <c r="E6032" s="229">
        <v>20.0</v>
      </c>
      <c r="F6032" s="230">
        <v>3.0</v>
      </c>
      <c r="G6032" s="232"/>
    </row>
    <row r="6033">
      <c r="A6033" s="2"/>
      <c r="B6033" s="168" t="s">
        <v>345</v>
      </c>
      <c r="C6033" s="168" t="s">
        <v>6268</v>
      </c>
      <c r="D6033" s="229">
        <v>26.5</v>
      </c>
      <c r="E6033" s="229">
        <v>30.0</v>
      </c>
      <c r="F6033" s="230">
        <v>3.0</v>
      </c>
      <c r="G6033" s="232"/>
    </row>
    <row r="6034">
      <c r="A6034" s="2"/>
      <c r="B6034" s="168" t="s">
        <v>288</v>
      </c>
      <c r="C6034" s="168" t="s">
        <v>6269</v>
      </c>
      <c r="D6034" s="229">
        <v>21.5</v>
      </c>
      <c r="E6034" s="229">
        <v>25.0</v>
      </c>
      <c r="F6034" s="230">
        <v>3.0</v>
      </c>
      <c r="G6034" s="232"/>
    </row>
    <row r="6035">
      <c r="A6035" s="2"/>
      <c r="B6035" s="168" t="s">
        <v>341</v>
      </c>
      <c r="C6035" s="168" t="s">
        <v>6270</v>
      </c>
      <c r="D6035" s="229">
        <v>24.5</v>
      </c>
      <c r="E6035" s="229">
        <v>24.5</v>
      </c>
      <c r="F6035" s="230">
        <v>3.0</v>
      </c>
      <c r="G6035" s="232"/>
    </row>
    <row r="6036">
      <c r="A6036" s="2"/>
      <c r="B6036" s="168" t="s">
        <v>337</v>
      </c>
      <c r="C6036" s="168" t="s">
        <v>6271</v>
      </c>
      <c r="D6036" s="229">
        <v>23.5</v>
      </c>
      <c r="E6036" s="229">
        <v>27.0</v>
      </c>
      <c r="F6036" s="230">
        <v>3.0</v>
      </c>
      <c r="G6036" s="232"/>
    </row>
    <row r="6037">
      <c r="A6037" s="2"/>
      <c r="B6037" s="168" t="s">
        <v>217</v>
      </c>
      <c r="C6037" s="168" t="s">
        <v>6272</v>
      </c>
      <c r="D6037" s="229">
        <v>27.5</v>
      </c>
      <c r="E6037" s="229">
        <v>31.0</v>
      </c>
      <c r="F6037" s="230">
        <v>3.0</v>
      </c>
      <c r="G6037" s="232"/>
    </row>
    <row r="6038">
      <c r="A6038" s="2"/>
      <c r="B6038" s="168" t="s">
        <v>332</v>
      </c>
      <c r="C6038" s="168" t="s">
        <v>6273</v>
      </c>
      <c r="D6038" s="229">
        <v>23.5</v>
      </c>
      <c r="E6038" s="229">
        <v>27.0</v>
      </c>
      <c r="F6038" s="230">
        <v>3.0</v>
      </c>
      <c r="G6038" s="232"/>
    </row>
    <row r="6039">
      <c r="A6039" s="2"/>
      <c r="B6039" s="168" t="s">
        <v>290</v>
      </c>
      <c r="C6039" s="168" t="s">
        <v>6274</v>
      </c>
      <c r="D6039" s="229">
        <v>29.5</v>
      </c>
      <c r="E6039" s="229">
        <v>33.0</v>
      </c>
      <c r="F6039" s="230">
        <v>3.0</v>
      </c>
      <c r="G6039" s="232"/>
    </row>
    <row r="6040">
      <c r="A6040" s="2"/>
      <c r="B6040" s="168" t="s">
        <v>377</v>
      </c>
      <c r="C6040" s="168" t="s">
        <v>6275</v>
      </c>
      <c r="D6040" s="229">
        <v>24.5</v>
      </c>
      <c r="E6040" s="229">
        <v>28.0</v>
      </c>
      <c r="F6040" s="230">
        <v>3.0</v>
      </c>
      <c r="G6040" s="232"/>
    </row>
    <row r="6041">
      <c r="A6041" s="2"/>
      <c r="B6041" s="168" t="s">
        <v>368</v>
      </c>
      <c r="C6041" s="168" t="s">
        <v>6276</v>
      </c>
      <c r="D6041" s="229">
        <v>27.5</v>
      </c>
      <c r="E6041" s="229">
        <v>31.0</v>
      </c>
      <c r="F6041" s="230">
        <v>3.0</v>
      </c>
      <c r="G6041" s="232"/>
    </row>
    <row r="6042">
      <c r="A6042" s="2"/>
      <c r="B6042" s="168" t="s">
        <v>243</v>
      </c>
      <c r="C6042" s="168" t="s">
        <v>6277</v>
      </c>
      <c r="D6042" s="229">
        <v>29.5</v>
      </c>
      <c r="E6042" s="229">
        <v>33.0</v>
      </c>
      <c r="F6042" s="230">
        <v>3.0</v>
      </c>
      <c r="G6042" s="232"/>
    </row>
    <row r="6043">
      <c r="A6043" s="2"/>
      <c r="B6043" s="168" t="s">
        <v>269</v>
      </c>
      <c r="C6043" s="168" t="s">
        <v>6278</v>
      </c>
      <c r="D6043" s="229">
        <v>26.5</v>
      </c>
      <c r="E6043" s="229">
        <v>30.0</v>
      </c>
      <c r="F6043" s="230">
        <v>3.0</v>
      </c>
      <c r="G6043" s="232"/>
    </row>
    <row r="6044">
      <c r="A6044" s="2"/>
      <c r="B6044" s="168" t="s">
        <v>255</v>
      </c>
      <c r="C6044" s="168" t="s">
        <v>6279</v>
      </c>
      <c r="D6044" s="229">
        <v>31.5</v>
      </c>
      <c r="E6044" s="229">
        <v>35.0</v>
      </c>
      <c r="F6044" s="230">
        <v>3.0</v>
      </c>
      <c r="G6044" s="232"/>
    </row>
    <row r="6045">
      <c r="A6045" s="2"/>
      <c r="B6045" s="168" t="s">
        <v>282</v>
      </c>
      <c r="C6045" s="168" t="s">
        <v>6280</v>
      </c>
      <c r="D6045" s="229">
        <v>34.5</v>
      </c>
      <c r="E6045" s="229">
        <v>38.0</v>
      </c>
      <c r="F6045" s="230">
        <v>3.0</v>
      </c>
      <c r="G6045" s="232"/>
    </row>
    <row r="6046">
      <c r="A6046" s="2"/>
      <c r="B6046" s="168" t="s">
        <v>413</v>
      </c>
      <c r="C6046" s="168" t="s">
        <v>6281</v>
      </c>
      <c r="D6046" s="229">
        <v>29.5</v>
      </c>
      <c r="E6046" s="229">
        <v>33.0</v>
      </c>
      <c r="F6046" s="230">
        <v>3.0</v>
      </c>
      <c r="G6046" s="232"/>
    </row>
    <row r="6047">
      <c r="A6047" s="2"/>
      <c r="B6047" s="168" t="s">
        <v>345</v>
      </c>
      <c r="C6047" s="168" t="s">
        <v>6282</v>
      </c>
      <c r="D6047" s="229">
        <v>26.5</v>
      </c>
      <c r="E6047" s="229">
        <v>30.0</v>
      </c>
      <c r="F6047" s="230">
        <v>3.0</v>
      </c>
      <c r="G6047" s="232"/>
    </row>
    <row r="6048">
      <c r="A6048" s="2"/>
      <c r="B6048" s="168" t="s">
        <v>381</v>
      </c>
      <c r="C6048" s="168" t="s">
        <v>6283</v>
      </c>
      <c r="D6048" s="229">
        <v>28.5</v>
      </c>
      <c r="E6048" s="229">
        <v>32.0</v>
      </c>
      <c r="F6048" s="230">
        <v>3.0</v>
      </c>
      <c r="G6048" s="232"/>
    </row>
    <row r="6049">
      <c r="A6049" s="2"/>
      <c r="B6049" s="168" t="s">
        <v>241</v>
      </c>
      <c r="C6049" s="168" t="s">
        <v>6284</v>
      </c>
      <c r="D6049" s="229">
        <v>32.5</v>
      </c>
      <c r="E6049" s="229">
        <v>36.0</v>
      </c>
      <c r="F6049" s="230">
        <v>3.0</v>
      </c>
      <c r="G6049" s="232"/>
    </row>
    <row r="6050">
      <c r="A6050" s="2"/>
      <c r="B6050" s="168" t="s">
        <v>337</v>
      </c>
      <c r="C6050" s="168" t="s">
        <v>6285</v>
      </c>
      <c r="D6050" s="229">
        <v>29.0</v>
      </c>
      <c r="E6050" s="229">
        <v>32.5</v>
      </c>
      <c r="F6050" s="230">
        <v>3.0</v>
      </c>
      <c r="G6050" s="232"/>
    </row>
    <row r="6051">
      <c r="A6051" s="2"/>
      <c r="B6051" s="168" t="s">
        <v>290</v>
      </c>
      <c r="C6051" s="168" t="s">
        <v>6286</v>
      </c>
      <c r="D6051" s="229">
        <v>29.5</v>
      </c>
      <c r="E6051" s="229">
        <v>33.0</v>
      </c>
      <c r="F6051" s="230">
        <v>3.0</v>
      </c>
      <c r="G6051" s="232"/>
    </row>
    <row r="6052">
      <c r="A6052" s="2"/>
      <c r="B6052" s="168" t="s">
        <v>427</v>
      </c>
      <c r="C6052" s="168" t="s">
        <v>427</v>
      </c>
      <c r="D6052" s="229">
        <v>26.5</v>
      </c>
      <c r="E6052" s="229">
        <v>30.0</v>
      </c>
      <c r="F6052" s="230">
        <v>3.0</v>
      </c>
      <c r="G6052" s="232"/>
    </row>
    <row r="6053">
      <c r="A6053" s="2"/>
      <c r="B6053" s="168" t="s">
        <v>269</v>
      </c>
      <c r="C6053" s="168" t="s">
        <v>6287</v>
      </c>
      <c r="D6053" s="229">
        <v>26.5</v>
      </c>
      <c r="E6053" s="229">
        <v>30.0</v>
      </c>
      <c r="F6053" s="230">
        <v>3.0</v>
      </c>
      <c r="G6053" s="232"/>
    </row>
    <row r="6054">
      <c r="A6054" s="2"/>
      <c r="B6054" s="168" t="s">
        <v>230</v>
      </c>
      <c r="C6054" s="168" t="s">
        <v>6288</v>
      </c>
      <c r="D6054" s="229">
        <v>21.5</v>
      </c>
      <c r="E6054" s="229">
        <v>25.0</v>
      </c>
      <c r="F6054" s="230">
        <v>3.0</v>
      </c>
      <c r="G6054" s="232"/>
    </row>
    <row r="6055">
      <c r="A6055" s="2"/>
      <c r="B6055" s="168" t="s">
        <v>318</v>
      </c>
      <c r="C6055" s="168" t="s">
        <v>6289</v>
      </c>
      <c r="D6055" s="229">
        <v>25.5</v>
      </c>
      <c r="E6055" s="229">
        <v>29.0</v>
      </c>
      <c r="F6055" s="230">
        <v>3.0</v>
      </c>
      <c r="G6055" s="232"/>
    </row>
    <row r="6056">
      <c r="A6056" s="2"/>
      <c r="B6056" s="168" t="s">
        <v>296</v>
      </c>
      <c r="C6056" s="168" t="s">
        <v>6290</v>
      </c>
      <c r="D6056" s="229">
        <v>26.5</v>
      </c>
      <c r="E6056" s="229">
        <v>30.0</v>
      </c>
      <c r="F6056" s="230">
        <v>3.0</v>
      </c>
      <c r="G6056" s="232"/>
    </row>
    <row r="6057">
      <c r="A6057" s="2"/>
      <c r="B6057" s="168" t="s">
        <v>269</v>
      </c>
      <c r="C6057" s="168" t="s">
        <v>6291</v>
      </c>
      <c r="D6057" s="229">
        <v>26.5</v>
      </c>
      <c r="E6057" s="229">
        <v>30.0</v>
      </c>
      <c r="F6057" s="230">
        <v>3.0</v>
      </c>
      <c r="G6057" s="232"/>
    </row>
    <row r="6058">
      <c r="A6058" s="2"/>
      <c r="B6058" s="168" t="s">
        <v>296</v>
      </c>
      <c r="C6058" s="168" t="s">
        <v>6292</v>
      </c>
      <c r="D6058" s="229">
        <v>26.0</v>
      </c>
      <c r="E6058" s="229">
        <v>29.5</v>
      </c>
      <c r="F6058" s="230">
        <v>3.0</v>
      </c>
      <c r="G6058" s="232"/>
    </row>
    <row r="6059">
      <c r="A6059" s="2"/>
      <c r="B6059" s="168" t="s">
        <v>811</v>
      </c>
      <c r="C6059" s="168" t="s">
        <v>6293</v>
      </c>
      <c r="D6059" s="229">
        <v>21.5</v>
      </c>
      <c r="E6059" s="229">
        <v>25.0</v>
      </c>
      <c r="F6059" s="230">
        <v>3.0</v>
      </c>
      <c r="G6059" s="232"/>
    </row>
    <row r="6060">
      <c r="A6060" s="2"/>
      <c r="B6060" s="168" t="s">
        <v>328</v>
      </c>
      <c r="C6060" s="168" t="s">
        <v>6294</v>
      </c>
      <c r="D6060" s="229">
        <v>34.5</v>
      </c>
      <c r="E6060" s="229">
        <v>38.0</v>
      </c>
      <c r="F6060" s="230">
        <v>3.0</v>
      </c>
      <c r="G6060" s="232"/>
    </row>
    <row r="6061">
      <c r="A6061" s="2"/>
      <c r="B6061" s="168" t="s">
        <v>245</v>
      </c>
      <c r="C6061" s="168" t="s">
        <v>6295</v>
      </c>
      <c r="D6061" s="229">
        <v>29.5</v>
      </c>
      <c r="E6061" s="229">
        <v>33.0</v>
      </c>
      <c r="F6061" s="230">
        <v>3.0</v>
      </c>
      <c r="G6061" s="232"/>
    </row>
    <row r="6062">
      <c r="A6062" s="2"/>
      <c r="B6062" s="168" t="s">
        <v>438</v>
      </c>
      <c r="C6062" s="168" t="s">
        <v>6296</v>
      </c>
      <c r="D6062" s="229">
        <v>29.5</v>
      </c>
      <c r="E6062" s="229">
        <v>33.0</v>
      </c>
      <c r="F6062" s="230">
        <v>3.0</v>
      </c>
      <c r="G6062" s="232"/>
    </row>
    <row r="6063">
      <c r="A6063" s="2"/>
      <c r="B6063" s="168" t="s">
        <v>285</v>
      </c>
      <c r="C6063" s="168" t="s">
        <v>6297</v>
      </c>
      <c r="D6063" s="229">
        <v>24.5</v>
      </c>
      <c r="E6063" s="229">
        <v>28.0</v>
      </c>
      <c r="F6063" s="230">
        <v>3.0</v>
      </c>
      <c r="G6063" s="232"/>
    </row>
    <row r="6064">
      <c r="A6064" s="2"/>
      <c r="B6064" s="168" t="s">
        <v>215</v>
      </c>
      <c r="C6064" s="168" t="s">
        <v>6298</v>
      </c>
      <c r="D6064" s="229">
        <v>24.5</v>
      </c>
      <c r="E6064" s="229">
        <v>28.0</v>
      </c>
      <c r="F6064" s="230">
        <v>3.0</v>
      </c>
      <c r="G6064" s="232"/>
    </row>
    <row r="6065">
      <c r="A6065" s="2"/>
      <c r="B6065" s="168" t="s">
        <v>230</v>
      </c>
      <c r="C6065" s="168" t="s">
        <v>6299</v>
      </c>
      <c r="D6065" s="229">
        <v>16.5</v>
      </c>
      <c r="E6065" s="229">
        <v>20.0</v>
      </c>
      <c r="F6065" s="230">
        <v>3.0</v>
      </c>
      <c r="G6065" s="232"/>
    </row>
    <row r="6066">
      <c r="A6066" s="2"/>
      <c r="B6066" s="168" t="s">
        <v>230</v>
      </c>
      <c r="C6066" s="168" t="s">
        <v>6300</v>
      </c>
      <c r="D6066" s="229">
        <v>21.5</v>
      </c>
      <c r="E6066" s="229">
        <v>25.0</v>
      </c>
      <c r="F6066" s="230">
        <v>3.0</v>
      </c>
      <c r="G6066" s="232"/>
    </row>
    <row r="6067">
      <c r="A6067" s="2"/>
      <c r="B6067" s="168" t="s">
        <v>2259</v>
      </c>
      <c r="C6067" s="168" t="s">
        <v>6301</v>
      </c>
      <c r="D6067" s="229">
        <v>27.5</v>
      </c>
      <c r="E6067" s="229">
        <v>31.0</v>
      </c>
      <c r="F6067" s="230">
        <v>3.0</v>
      </c>
      <c r="G6067" s="232"/>
    </row>
    <row r="6068">
      <c r="A6068" s="2"/>
      <c r="B6068" s="168" t="s">
        <v>811</v>
      </c>
      <c r="C6068" s="168" t="s">
        <v>6302</v>
      </c>
      <c r="D6068" s="229">
        <v>29.5</v>
      </c>
      <c r="E6068" s="229">
        <v>33.0</v>
      </c>
      <c r="F6068" s="230">
        <v>3.0</v>
      </c>
      <c r="G6068" s="232"/>
    </row>
    <row r="6069">
      <c r="A6069" s="2"/>
      <c r="B6069" s="168" t="s">
        <v>296</v>
      </c>
      <c r="C6069" s="168" t="s">
        <v>6303</v>
      </c>
      <c r="D6069" s="229">
        <v>21.5</v>
      </c>
      <c r="E6069" s="229">
        <v>25.0</v>
      </c>
      <c r="F6069" s="230">
        <v>3.0</v>
      </c>
      <c r="G6069" s="232"/>
    </row>
    <row r="6070">
      <c r="A6070" s="2"/>
      <c r="B6070" s="168" t="s">
        <v>296</v>
      </c>
      <c r="C6070" s="168" t="s">
        <v>6304</v>
      </c>
      <c r="D6070" s="229">
        <v>26.5</v>
      </c>
      <c r="E6070" s="229">
        <v>30.0</v>
      </c>
      <c r="F6070" s="230">
        <v>3.0</v>
      </c>
      <c r="G6070" s="232"/>
    </row>
    <row r="6071">
      <c r="A6071" s="2"/>
      <c r="B6071" s="168" t="s">
        <v>241</v>
      </c>
      <c r="C6071" s="168" t="s">
        <v>6305</v>
      </c>
      <c r="D6071" s="229">
        <v>32.5</v>
      </c>
      <c r="E6071" s="229">
        <v>36.0</v>
      </c>
      <c r="F6071" s="230">
        <v>3.0</v>
      </c>
      <c r="G6071" s="232"/>
    </row>
    <row r="6072">
      <c r="A6072" s="2"/>
      <c r="B6072" s="168" t="s">
        <v>290</v>
      </c>
      <c r="C6072" s="168" t="s">
        <v>6306</v>
      </c>
      <c r="D6072" s="229">
        <v>29.5</v>
      </c>
      <c r="E6072" s="229">
        <v>33.0</v>
      </c>
      <c r="F6072" s="230">
        <v>3.0</v>
      </c>
      <c r="G6072" s="232"/>
    </row>
    <row r="6073">
      <c r="A6073" s="2"/>
      <c r="B6073" s="168" t="s">
        <v>377</v>
      </c>
      <c r="C6073" s="168" t="s">
        <v>6307</v>
      </c>
      <c r="D6073" s="229">
        <v>29.5</v>
      </c>
      <c r="E6073" s="229">
        <v>33.0</v>
      </c>
      <c r="F6073" s="230">
        <v>3.0</v>
      </c>
      <c r="G6073" s="232"/>
    </row>
    <row r="6074">
      <c r="A6074" s="2"/>
      <c r="B6074" s="168" t="s">
        <v>290</v>
      </c>
      <c r="C6074" s="168" t="s">
        <v>6308</v>
      </c>
      <c r="D6074" s="229">
        <v>29.0</v>
      </c>
      <c r="E6074" s="229">
        <v>32.5</v>
      </c>
      <c r="F6074" s="230">
        <v>3.0</v>
      </c>
      <c r="G6074" s="232"/>
    </row>
    <row r="6075">
      <c r="A6075" s="2"/>
      <c r="B6075" s="168" t="s">
        <v>368</v>
      </c>
      <c r="C6075" s="168" t="s">
        <v>6309</v>
      </c>
      <c r="D6075" s="229">
        <v>32.5</v>
      </c>
      <c r="E6075" s="229">
        <v>36.0</v>
      </c>
      <c r="F6075" s="230">
        <v>3.0</v>
      </c>
      <c r="G6075" s="232"/>
    </row>
    <row r="6076">
      <c r="A6076" s="2"/>
      <c r="B6076" s="168" t="s">
        <v>234</v>
      </c>
      <c r="C6076" s="168" t="s">
        <v>6310</v>
      </c>
      <c r="D6076" s="229">
        <v>29.5</v>
      </c>
      <c r="E6076" s="229">
        <v>33.0</v>
      </c>
      <c r="F6076" s="230">
        <v>3.0</v>
      </c>
      <c r="G6076" s="232"/>
    </row>
    <row r="6077">
      <c r="A6077" s="2"/>
      <c r="B6077" s="168" t="s">
        <v>221</v>
      </c>
      <c r="C6077" s="168" t="s">
        <v>6311</v>
      </c>
      <c r="D6077" s="229">
        <v>27.5</v>
      </c>
      <c r="E6077" s="229">
        <v>31.0</v>
      </c>
      <c r="F6077" s="230">
        <v>3.0</v>
      </c>
      <c r="G6077" s="232"/>
    </row>
    <row r="6078">
      <c r="A6078" s="2"/>
      <c r="B6078" s="168" t="s">
        <v>296</v>
      </c>
      <c r="C6078" s="168" t="s">
        <v>6312</v>
      </c>
      <c r="D6078" s="229">
        <v>26.5</v>
      </c>
      <c r="E6078" s="229">
        <v>30.0</v>
      </c>
      <c r="F6078" s="230">
        <v>3.0</v>
      </c>
      <c r="G6078" s="232"/>
    </row>
    <row r="6079">
      <c r="A6079" s="2"/>
      <c r="B6079" s="168" t="s">
        <v>269</v>
      </c>
      <c r="C6079" s="168" t="s">
        <v>6313</v>
      </c>
      <c r="D6079" s="229">
        <v>26.5</v>
      </c>
      <c r="E6079" s="229">
        <v>30.0</v>
      </c>
      <c r="F6079" s="230">
        <v>3.0</v>
      </c>
      <c r="G6079" s="232"/>
    </row>
    <row r="6080">
      <c r="A6080" s="2"/>
      <c r="B6080" s="168" t="s">
        <v>535</v>
      </c>
      <c r="C6080" s="168" t="s">
        <v>535</v>
      </c>
      <c r="D6080" s="229">
        <v>26.5</v>
      </c>
      <c r="E6080" s="229">
        <v>30.0</v>
      </c>
      <c r="F6080" s="230">
        <v>3.0</v>
      </c>
      <c r="G6080" s="232"/>
    </row>
    <row r="6081">
      <c r="A6081" s="2"/>
      <c r="B6081" s="168" t="s">
        <v>381</v>
      </c>
      <c r="C6081" s="168" t="s">
        <v>6314</v>
      </c>
      <c r="D6081" s="229">
        <v>23.5</v>
      </c>
      <c r="E6081" s="229">
        <v>27.0</v>
      </c>
      <c r="F6081" s="230">
        <v>3.0</v>
      </c>
      <c r="G6081" s="232"/>
    </row>
    <row r="6082">
      <c r="A6082" s="2"/>
      <c r="B6082" s="168" t="s">
        <v>260</v>
      </c>
      <c r="C6082" s="168" t="s">
        <v>6315</v>
      </c>
      <c r="D6082" s="229">
        <v>28.5</v>
      </c>
      <c r="E6082" s="229">
        <v>32.0</v>
      </c>
      <c r="F6082" s="230">
        <v>3.0</v>
      </c>
      <c r="G6082" s="232"/>
    </row>
    <row r="6083">
      <c r="A6083" s="2"/>
      <c r="B6083" s="168" t="s">
        <v>290</v>
      </c>
      <c r="C6083" s="168" t="s">
        <v>6316</v>
      </c>
      <c r="D6083" s="229">
        <v>29.5</v>
      </c>
      <c r="E6083" s="229">
        <v>33.0</v>
      </c>
      <c r="F6083" s="230">
        <v>3.0</v>
      </c>
      <c r="G6083" s="232"/>
    </row>
    <row r="6084">
      <c r="A6084" s="2"/>
      <c r="B6084" s="168" t="s">
        <v>221</v>
      </c>
      <c r="C6084" s="168" t="s">
        <v>6317</v>
      </c>
      <c r="D6084" s="229">
        <v>27.5</v>
      </c>
      <c r="E6084" s="229">
        <v>31.0</v>
      </c>
      <c r="F6084" s="230">
        <v>3.0</v>
      </c>
      <c r="G6084" s="232"/>
    </row>
    <row r="6085">
      <c r="A6085" s="2"/>
      <c r="B6085" s="168" t="s">
        <v>296</v>
      </c>
      <c r="C6085" s="168" t="s">
        <v>6318</v>
      </c>
      <c r="D6085" s="229">
        <v>26.5</v>
      </c>
      <c r="E6085" s="229">
        <v>30.0</v>
      </c>
      <c r="F6085" s="230">
        <v>3.0</v>
      </c>
      <c r="G6085" s="232"/>
    </row>
    <row r="6086">
      <c r="A6086" s="2"/>
      <c r="B6086" s="168" t="s">
        <v>290</v>
      </c>
      <c r="C6086" s="168" t="s">
        <v>6319</v>
      </c>
      <c r="D6086" s="229">
        <v>29.5</v>
      </c>
      <c r="E6086" s="229">
        <v>33.0</v>
      </c>
      <c r="F6086" s="230">
        <v>3.0</v>
      </c>
      <c r="G6086" s="232"/>
    </row>
    <row r="6087">
      <c r="A6087" s="2"/>
      <c r="B6087" s="168" t="s">
        <v>239</v>
      </c>
      <c r="C6087" s="168" t="s">
        <v>6320</v>
      </c>
      <c r="D6087" s="229">
        <v>29.5</v>
      </c>
      <c r="E6087" s="229">
        <v>33.0</v>
      </c>
      <c r="F6087" s="230">
        <v>3.0</v>
      </c>
      <c r="G6087" s="232"/>
    </row>
    <row r="6088">
      <c r="A6088" s="2"/>
      <c r="B6088" s="168" t="s">
        <v>368</v>
      </c>
      <c r="C6088" s="168" t="s">
        <v>6321</v>
      </c>
      <c r="D6088" s="229">
        <v>32.5</v>
      </c>
      <c r="E6088" s="229">
        <v>36.0</v>
      </c>
      <c r="F6088" s="230">
        <v>3.0</v>
      </c>
      <c r="G6088" s="232"/>
    </row>
    <row r="6089">
      <c r="A6089" s="2"/>
      <c r="B6089" s="168" t="s">
        <v>318</v>
      </c>
      <c r="C6089" s="168" t="s">
        <v>6322</v>
      </c>
      <c r="D6089" s="229">
        <v>25.5</v>
      </c>
      <c r="E6089" s="229">
        <v>29.0</v>
      </c>
      <c r="F6089" s="230">
        <v>3.0</v>
      </c>
      <c r="G6089" s="232"/>
    </row>
    <row r="6090">
      <c r="A6090" s="2"/>
      <c r="B6090" s="168" t="s">
        <v>269</v>
      </c>
      <c r="C6090" s="168" t="s">
        <v>6323</v>
      </c>
      <c r="D6090" s="229">
        <v>26.5</v>
      </c>
      <c r="E6090" s="229">
        <v>30.0</v>
      </c>
      <c r="F6090" s="230">
        <v>3.0</v>
      </c>
      <c r="G6090" s="232"/>
    </row>
    <row r="6091">
      <c r="A6091" s="2"/>
      <c r="B6091" s="168" t="s">
        <v>381</v>
      </c>
      <c r="C6091" s="168" t="s">
        <v>6324</v>
      </c>
      <c r="D6091" s="229">
        <v>28.5</v>
      </c>
      <c r="E6091" s="229">
        <v>32.0</v>
      </c>
      <c r="F6091" s="230">
        <v>3.0</v>
      </c>
      <c r="G6091" s="232"/>
    </row>
    <row r="6092">
      <c r="A6092" s="2"/>
      <c r="B6092" s="168" t="s">
        <v>335</v>
      </c>
      <c r="C6092" s="168" t="s">
        <v>335</v>
      </c>
      <c r="D6092" s="229">
        <v>34.5</v>
      </c>
      <c r="E6092" s="229">
        <v>38.0</v>
      </c>
      <c r="F6092" s="230">
        <v>3.0</v>
      </c>
      <c r="G6092" s="232"/>
    </row>
    <row r="6093">
      <c r="A6093" s="2"/>
      <c r="B6093" s="168" t="s">
        <v>427</v>
      </c>
      <c r="C6093" s="168" t="s">
        <v>6325</v>
      </c>
      <c r="D6093" s="229">
        <v>26.5</v>
      </c>
      <c r="E6093" s="229">
        <v>30.0</v>
      </c>
      <c r="F6093" s="230">
        <v>3.0</v>
      </c>
      <c r="G6093" s="232"/>
    </row>
    <row r="6094">
      <c r="A6094" s="2"/>
      <c r="B6094" s="168" t="s">
        <v>230</v>
      </c>
      <c r="C6094" s="168" t="s">
        <v>6326</v>
      </c>
      <c r="D6094" s="229">
        <v>16.5</v>
      </c>
      <c r="E6094" s="229">
        <v>20.0</v>
      </c>
      <c r="F6094" s="230">
        <v>3.0</v>
      </c>
      <c r="G6094" s="232"/>
    </row>
    <row r="6095">
      <c r="A6095" s="2"/>
      <c r="B6095" s="168" t="s">
        <v>720</v>
      </c>
      <c r="C6095" s="168" t="s">
        <v>6327</v>
      </c>
      <c r="D6095" s="229">
        <v>24.0</v>
      </c>
      <c r="E6095" s="229">
        <v>27.5</v>
      </c>
      <c r="F6095" s="230">
        <v>3.0</v>
      </c>
      <c r="G6095" s="232"/>
    </row>
    <row r="6096">
      <c r="A6096" s="2"/>
      <c r="B6096" s="168" t="s">
        <v>335</v>
      </c>
      <c r="C6096" s="168" t="s">
        <v>6328</v>
      </c>
      <c r="D6096" s="229">
        <v>34.5</v>
      </c>
      <c r="E6096" s="229">
        <v>38.0</v>
      </c>
      <c r="F6096" s="230">
        <v>3.0</v>
      </c>
      <c r="G6096" s="232"/>
    </row>
    <row r="6097">
      <c r="A6097" s="2"/>
      <c r="B6097" s="168" t="s">
        <v>245</v>
      </c>
      <c r="C6097" s="168" t="s">
        <v>6329</v>
      </c>
      <c r="D6097" s="229">
        <v>29.5</v>
      </c>
      <c r="E6097" s="229">
        <v>33.0</v>
      </c>
      <c r="F6097" s="230">
        <v>3.0</v>
      </c>
      <c r="G6097" s="232"/>
    </row>
    <row r="6098">
      <c r="A6098" s="2"/>
      <c r="B6098" s="168" t="s">
        <v>290</v>
      </c>
      <c r="C6098" s="168" t="s">
        <v>6330</v>
      </c>
      <c r="D6098" s="229">
        <v>29.5</v>
      </c>
      <c r="E6098" s="229">
        <v>33.0</v>
      </c>
      <c r="F6098" s="230">
        <v>3.0</v>
      </c>
      <c r="G6098" s="232"/>
    </row>
    <row r="6099">
      <c r="A6099" s="2"/>
      <c r="B6099" s="168" t="s">
        <v>377</v>
      </c>
      <c r="C6099" s="168" t="s">
        <v>6331</v>
      </c>
      <c r="D6099" s="229">
        <v>29.5</v>
      </c>
      <c r="E6099" s="229">
        <v>33.0</v>
      </c>
      <c r="F6099" s="230">
        <v>3.0</v>
      </c>
      <c r="G6099" s="232"/>
    </row>
    <row r="6100">
      <c r="A6100" s="2"/>
      <c r="B6100" s="168" t="s">
        <v>247</v>
      </c>
      <c r="C6100" s="168" t="s">
        <v>6332</v>
      </c>
      <c r="D6100" s="229">
        <v>29.5</v>
      </c>
      <c r="E6100" s="229">
        <v>33.0</v>
      </c>
      <c r="F6100" s="230">
        <v>3.0</v>
      </c>
      <c r="G6100" s="232"/>
    </row>
    <row r="6101">
      <c r="A6101" s="2"/>
      <c r="B6101" s="168" t="s">
        <v>302</v>
      </c>
      <c r="C6101" s="168" t="s">
        <v>302</v>
      </c>
      <c r="D6101" s="229">
        <v>34.5</v>
      </c>
      <c r="E6101" s="229">
        <v>38.0</v>
      </c>
      <c r="F6101" s="230">
        <v>3.0</v>
      </c>
      <c r="G6101" s="232"/>
    </row>
    <row r="6102">
      <c r="A6102" s="2"/>
      <c r="B6102" s="168" t="s">
        <v>335</v>
      </c>
      <c r="C6102" s="168" t="s">
        <v>6333</v>
      </c>
      <c r="D6102" s="229">
        <v>34.5</v>
      </c>
      <c r="E6102" s="229">
        <v>38.0</v>
      </c>
      <c r="F6102" s="230">
        <v>3.0</v>
      </c>
      <c r="G6102" s="232"/>
    </row>
    <row r="6103">
      <c r="A6103" s="2"/>
      <c r="B6103" s="168" t="s">
        <v>247</v>
      </c>
      <c r="C6103" s="168" t="s">
        <v>6334</v>
      </c>
      <c r="D6103" s="229">
        <v>29.5</v>
      </c>
      <c r="E6103" s="229">
        <v>33.0</v>
      </c>
      <c r="F6103" s="230">
        <v>3.0</v>
      </c>
      <c r="G6103" s="232"/>
    </row>
    <row r="6104">
      <c r="A6104" s="2"/>
      <c r="B6104" s="168" t="s">
        <v>288</v>
      </c>
      <c r="C6104" s="168" t="s">
        <v>6335</v>
      </c>
      <c r="D6104" s="229">
        <v>21.5</v>
      </c>
      <c r="E6104" s="229">
        <v>25.0</v>
      </c>
      <c r="F6104" s="230">
        <v>3.0</v>
      </c>
      <c r="G6104" s="232"/>
    </row>
    <row r="6105">
      <c r="A6105" s="2"/>
      <c r="B6105" s="168" t="s">
        <v>386</v>
      </c>
      <c r="C6105" s="168" t="s">
        <v>6336</v>
      </c>
      <c r="D6105" s="229">
        <v>34.5</v>
      </c>
      <c r="E6105" s="229">
        <v>38.0</v>
      </c>
      <c r="F6105" s="230">
        <v>3.0</v>
      </c>
      <c r="G6105" s="232"/>
    </row>
    <row r="6106">
      <c r="A6106" s="2"/>
      <c r="B6106" s="168" t="s">
        <v>241</v>
      </c>
      <c r="C6106" s="168" t="s">
        <v>6337</v>
      </c>
      <c r="D6106" s="229">
        <v>32.5</v>
      </c>
      <c r="E6106" s="229">
        <v>36.0</v>
      </c>
      <c r="F6106" s="230">
        <v>3.0</v>
      </c>
      <c r="G6106" s="232"/>
    </row>
    <row r="6107">
      <c r="A6107" s="2"/>
      <c r="B6107" s="168" t="s">
        <v>335</v>
      </c>
      <c r="C6107" s="168" t="s">
        <v>6338</v>
      </c>
      <c r="D6107" s="229">
        <v>34.5</v>
      </c>
      <c r="E6107" s="229">
        <v>38.0</v>
      </c>
      <c r="F6107" s="230">
        <v>3.0</v>
      </c>
      <c r="G6107" s="232"/>
    </row>
    <row r="6108">
      <c r="A6108" s="2"/>
      <c r="B6108" s="168" t="s">
        <v>230</v>
      </c>
      <c r="C6108" s="168" t="s">
        <v>6339</v>
      </c>
      <c r="D6108" s="229">
        <v>21.5</v>
      </c>
      <c r="E6108" s="229">
        <v>25.0</v>
      </c>
      <c r="F6108" s="230">
        <v>3.0</v>
      </c>
      <c r="G6108" s="232"/>
    </row>
    <row r="6109">
      <c r="A6109" s="2"/>
      <c r="B6109" s="168" t="s">
        <v>273</v>
      </c>
      <c r="C6109" s="168" t="s">
        <v>6340</v>
      </c>
      <c r="D6109" s="229">
        <v>24.5</v>
      </c>
      <c r="E6109" s="229">
        <v>28.0</v>
      </c>
      <c r="F6109" s="230">
        <v>3.0</v>
      </c>
      <c r="G6109" s="232"/>
    </row>
    <row r="6110">
      <c r="A6110" s="2"/>
      <c r="B6110" s="168" t="s">
        <v>243</v>
      </c>
      <c r="C6110" s="168" t="s">
        <v>6341</v>
      </c>
      <c r="D6110" s="229">
        <v>29.5</v>
      </c>
      <c r="E6110" s="229">
        <v>33.0</v>
      </c>
      <c r="F6110" s="230">
        <v>3.0</v>
      </c>
      <c r="G6110" s="232"/>
    </row>
    <row r="6111">
      <c r="A6111" s="2"/>
      <c r="B6111" s="168" t="s">
        <v>232</v>
      </c>
      <c r="C6111" s="168" t="s">
        <v>6342</v>
      </c>
      <c r="D6111" s="229">
        <v>29.5</v>
      </c>
      <c r="E6111" s="229">
        <v>33.0</v>
      </c>
      <c r="F6111" s="230">
        <v>3.0</v>
      </c>
      <c r="G6111" s="232"/>
    </row>
    <row r="6112">
      <c r="A6112" s="2"/>
      <c r="B6112" s="168" t="s">
        <v>221</v>
      </c>
      <c r="C6112" s="168" t="s">
        <v>6343</v>
      </c>
      <c r="D6112" s="229">
        <v>27.5</v>
      </c>
      <c r="E6112" s="229">
        <v>31.0</v>
      </c>
      <c r="F6112" s="230">
        <v>3.0</v>
      </c>
      <c r="G6112" s="232"/>
    </row>
    <row r="6113">
      <c r="A6113" s="2"/>
      <c r="B6113" s="168" t="s">
        <v>230</v>
      </c>
      <c r="C6113" s="168" t="s">
        <v>6344</v>
      </c>
      <c r="D6113" s="229">
        <v>21.5</v>
      </c>
      <c r="E6113" s="229">
        <v>25.0</v>
      </c>
      <c r="F6113" s="230">
        <v>3.0</v>
      </c>
      <c r="G6113" s="232"/>
    </row>
    <row r="6114">
      <c r="A6114" s="2"/>
      <c r="B6114" s="168" t="s">
        <v>217</v>
      </c>
      <c r="C6114" s="168" t="s">
        <v>6345</v>
      </c>
      <c r="D6114" s="229">
        <v>27.5</v>
      </c>
      <c r="E6114" s="229">
        <v>31.0</v>
      </c>
      <c r="F6114" s="230">
        <v>3.0</v>
      </c>
      <c r="G6114" s="232"/>
    </row>
    <row r="6115">
      <c r="A6115" s="2"/>
      <c r="B6115" s="168" t="s">
        <v>328</v>
      </c>
      <c r="C6115" s="168" t="s">
        <v>6346</v>
      </c>
      <c r="D6115" s="229">
        <v>34.5</v>
      </c>
      <c r="E6115" s="229">
        <v>38.0</v>
      </c>
      <c r="F6115" s="230">
        <v>3.0</v>
      </c>
      <c r="G6115" s="232"/>
    </row>
    <row r="6116">
      <c r="A6116" s="2"/>
      <c r="B6116" s="168" t="s">
        <v>282</v>
      </c>
      <c r="C6116" s="168" t="s">
        <v>6347</v>
      </c>
      <c r="D6116" s="229">
        <v>34.5</v>
      </c>
      <c r="E6116" s="229">
        <v>38.0</v>
      </c>
      <c r="F6116" s="230">
        <v>3.0</v>
      </c>
      <c r="G6116" s="232"/>
    </row>
    <row r="6117">
      <c r="A6117" s="2"/>
      <c r="B6117" s="168" t="s">
        <v>221</v>
      </c>
      <c r="C6117" s="168" t="s">
        <v>6348</v>
      </c>
      <c r="D6117" s="229">
        <v>27.5</v>
      </c>
      <c r="E6117" s="229">
        <v>31.0</v>
      </c>
      <c r="F6117" s="230">
        <v>3.0</v>
      </c>
      <c r="G6117" s="232"/>
    </row>
    <row r="6118">
      <c r="A6118" s="2"/>
      <c r="B6118" s="168" t="s">
        <v>221</v>
      </c>
      <c r="C6118" s="168" t="s">
        <v>6349</v>
      </c>
      <c r="D6118" s="229">
        <v>27.5</v>
      </c>
      <c r="E6118" s="229">
        <v>31.0</v>
      </c>
      <c r="F6118" s="230">
        <v>3.0</v>
      </c>
      <c r="G6118" s="232"/>
    </row>
    <row r="6119">
      <c r="A6119" s="2"/>
      <c r="B6119" s="168" t="s">
        <v>404</v>
      </c>
      <c r="C6119" s="168" t="s">
        <v>6350</v>
      </c>
      <c r="D6119" s="229">
        <v>29.5</v>
      </c>
      <c r="E6119" s="229">
        <v>33.0</v>
      </c>
      <c r="F6119" s="230">
        <v>3.0</v>
      </c>
      <c r="G6119" s="232"/>
    </row>
    <row r="6120">
      <c r="A6120" s="2"/>
      <c r="B6120" s="168" t="s">
        <v>302</v>
      </c>
      <c r="C6120" s="168" t="s">
        <v>6351</v>
      </c>
      <c r="D6120" s="229">
        <v>34.5</v>
      </c>
      <c r="E6120" s="229">
        <v>38.0</v>
      </c>
      <c r="F6120" s="230">
        <v>3.0</v>
      </c>
      <c r="G6120" s="232"/>
    </row>
    <row r="6121">
      <c r="A6121" s="2"/>
      <c r="B6121" s="168" t="s">
        <v>282</v>
      </c>
      <c r="C6121" s="168" t="s">
        <v>6352</v>
      </c>
      <c r="D6121" s="229">
        <v>34.5</v>
      </c>
      <c r="E6121" s="229">
        <v>38.0</v>
      </c>
      <c r="F6121" s="230">
        <v>3.0</v>
      </c>
      <c r="G6121" s="232"/>
    </row>
    <row r="6122">
      <c r="A6122" s="2"/>
      <c r="B6122" s="168" t="s">
        <v>257</v>
      </c>
      <c r="C6122" s="168" t="s">
        <v>6353</v>
      </c>
      <c r="D6122" s="229">
        <v>28.5</v>
      </c>
      <c r="E6122" s="229">
        <v>32.0</v>
      </c>
      <c r="F6122" s="230">
        <v>3.0</v>
      </c>
      <c r="G6122" s="232"/>
    </row>
    <row r="6123">
      <c r="A6123" s="2"/>
      <c r="B6123" s="168" t="s">
        <v>257</v>
      </c>
      <c r="C6123" s="168" t="s">
        <v>6354</v>
      </c>
      <c r="D6123" s="229">
        <v>28.5</v>
      </c>
      <c r="E6123" s="229">
        <v>32.0</v>
      </c>
      <c r="F6123" s="230">
        <v>3.0</v>
      </c>
      <c r="G6123" s="232"/>
    </row>
    <row r="6124">
      <c r="A6124" s="2"/>
      <c r="B6124" s="168" t="s">
        <v>302</v>
      </c>
      <c r="C6124" s="168" t="s">
        <v>6355</v>
      </c>
      <c r="D6124" s="229">
        <v>34.5</v>
      </c>
      <c r="E6124" s="229">
        <v>38.0</v>
      </c>
      <c r="F6124" s="230">
        <v>3.0</v>
      </c>
      <c r="G6124" s="232"/>
    </row>
    <row r="6125">
      <c r="A6125" s="2"/>
      <c r="B6125" s="168" t="s">
        <v>282</v>
      </c>
      <c r="C6125" s="168" t="s">
        <v>6356</v>
      </c>
      <c r="D6125" s="229">
        <v>34.5</v>
      </c>
      <c r="E6125" s="229">
        <v>38.0</v>
      </c>
      <c r="F6125" s="230">
        <v>3.0</v>
      </c>
      <c r="G6125" s="232"/>
    </row>
    <row r="6126">
      <c r="A6126" s="2"/>
      <c r="B6126" s="168" t="s">
        <v>328</v>
      </c>
      <c r="C6126" s="168" t="s">
        <v>6357</v>
      </c>
      <c r="D6126" s="229">
        <v>34.5</v>
      </c>
      <c r="E6126" s="229">
        <v>38.0</v>
      </c>
      <c r="F6126" s="230">
        <v>3.0</v>
      </c>
      <c r="G6126" s="232"/>
    </row>
    <row r="6127">
      <c r="A6127" s="2"/>
      <c r="B6127" s="168" t="s">
        <v>282</v>
      </c>
      <c r="C6127" s="168" t="s">
        <v>6358</v>
      </c>
      <c r="D6127" s="229">
        <v>34.5</v>
      </c>
      <c r="E6127" s="229">
        <v>38.0</v>
      </c>
      <c r="F6127" s="230">
        <v>3.0</v>
      </c>
      <c r="G6127" s="232"/>
    </row>
    <row r="6128">
      <c r="A6128" s="2"/>
      <c r="B6128" s="168" t="s">
        <v>257</v>
      </c>
      <c r="C6128" s="168" t="s">
        <v>6359</v>
      </c>
      <c r="D6128" s="229">
        <v>28.5</v>
      </c>
      <c r="E6128" s="229">
        <v>32.0</v>
      </c>
      <c r="F6128" s="230">
        <v>3.0</v>
      </c>
      <c r="G6128" s="232"/>
    </row>
    <row r="6129">
      <c r="A6129" s="2"/>
      <c r="B6129" s="168" t="s">
        <v>490</v>
      </c>
      <c r="C6129" s="168" t="s">
        <v>6360</v>
      </c>
      <c r="D6129" s="229">
        <v>34.5</v>
      </c>
      <c r="E6129" s="229">
        <v>38.0</v>
      </c>
      <c r="F6129" s="230">
        <v>3.0</v>
      </c>
      <c r="G6129" s="232"/>
    </row>
    <row r="6130">
      <c r="A6130" s="2"/>
      <c r="B6130" s="168" t="s">
        <v>335</v>
      </c>
      <c r="C6130" s="168" t="s">
        <v>6361</v>
      </c>
      <c r="D6130" s="229">
        <v>34.5</v>
      </c>
      <c r="E6130" s="229">
        <v>38.0</v>
      </c>
      <c r="F6130" s="230">
        <v>3.0</v>
      </c>
      <c r="G6130" s="232"/>
    </row>
    <row r="6131">
      <c r="A6131" s="2"/>
      <c r="B6131" s="168" t="s">
        <v>273</v>
      </c>
      <c r="C6131" s="168" t="s">
        <v>6362</v>
      </c>
      <c r="D6131" s="229">
        <v>24.5</v>
      </c>
      <c r="E6131" s="229">
        <v>28.0</v>
      </c>
      <c r="F6131" s="230">
        <v>3.0</v>
      </c>
      <c r="G6131" s="232"/>
    </row>
    <row r="6132">
      <c r="A6132" s="2"/>
      <c r="B6132" s="168" t="s">
        <v>247</v>
      </c>
      <c r="C6132" s="168" t="s">
        <v>6363</v>
      </c>
      <c r="D6132" s="229">
        <v>29.5</v>
      </c>
      <c r="E6132" s="229">
        <v>33.0</v>
      </c>
      <c r="F6132" s="230">
        <v>3.0</v>
      </c>
      <c r="G6132" s="232"/>
    </row>
    <row r="6133">
      <c r="A6133" s="2"/>
      <c r="B6133" s="168" t="s">
        <v>217</v>
      </c>
      <c r="C6133" s="168" t="s">
        <v>6364</v>
      </c>
      <c r="D6133" s="229">
        <v>27.5</v>
      </c>
      <c r="E6133" s="229">
        <v>31.0</v>
      </c>
      <c r="F6133" s="230">
        <v>3.0</v>
      </c>
      <c r="G6133" s="232"/>
    </row>
    <row r="6134">
      <c r="A6134" s="2"/>
      <c r="B6134" s="168" t="s">
        <v>257</v>
      </c>
      <c r="C6134" s="168" t="s">
        <v>6365</v>
      </c>
      <c r="D6134" s="229">
        <v>28.5</v>
      </c>
      <c r="E6134" s="229">
        <v>32.0</v>
      </c>
      <c r="F6134" s="230">
        <v>3.0</v>
      </c>
      <c r="G6134" s="232"/>
    </row>
    <row r="6135">
      <c r="A6135" s="2"/>
      <c r="B6135" s="168" t="s">
        <v>282</v>
      </c>
      <c r="C6135" s="168" t="s">
        <v>6366</v>
      </c>
      <c r="D6135" s="229">
        <v>34.5</v>
      </c>
      <c r="E6135" s="229">
        <v>38.0</v>
      </c>
      <c r="F6135" s="230">
        <v>3.0</v>
      </c>
      <c r="G6135" s="232"/>
    </row>
    <row r="6136">
      <c r="A6136" s="2"/>
      <c r="B6136" s="168" t="s">
        <v>266</v>
      </c>
      <c r="C6136" s="168" t="s">
        <v>6367</v>
      </c>
      <c r="D6136" s="229">
        <v>33.0</v>
      </c>
      <c r="E6136" s="229">
        <v>33.0</v>
      </c>
      <c r="F6136" s="230">
        <v>3.0</v>
      </c>
      <c r="G6136" s="232"/>
    </row>
    <row r="6137">
      <c r="A6137" s="2"/>
      <c r="B6137" s="168" t="s">
        <v>720</v>
      </c>
      <c r="C6137" s="168" t="s">
        <v>6368</v>
      </c>
      <c r="D6137" s="229">
        <v>30.5</v>
      </c>
      <c r="E6137" s="229">
        <v>34.0</v>
      </c>
      <c r="F6137" s="230">
        <v>3.0</v>
      </c>
      <c r="G6137" s="232"/>
    </row>
    <row r="6138">
      <c r="A6138" s="2"/>
      <c r="B6138" s="168" t="s">
        <v>335</v>
      </c>
      <c r="C6138" s="168" t="s">
        <v>6369</v>
      </c>
      <c r="D6138" s="229">
        <v>34.5</v>
      </c>
      <c r="E6138" s="229">
        <v>38.0</v>
      </c>
      <c r="F6138" s="230">
        <v>3.0</v>
      </c>
      <c r="G6138" s="232"/>
    </row>
    <row r="6139">
      <c r="A6139" s="2"/>
      <c r="B6139" s="168" t="s">
        <v>830</v>
      </c>
      <c r="C6139" s="168" t="s">
        <v>6370</v>
      </c>
      <c r="D6139" s="229">
        <v>24.5</v>
      </c>
      <c r="E6139" s="229">
        <v>28.0</v>
      </c>
      <c r="F6139" s="230">
        <v>3.0</v>
      </c>
      <c r="G6139" s="232"/>
    </row>
    <row r="6140">
      <c r="A6140" s="2"/>
      <c r="B6140" s="168" t="s">
        <v>684</v>
      </c>
      <c r="C6140" s="168" t="s">
        <v>6371</v>
      </c>
      <c r="D6140" s="229">
        <v>25.5</v>
      </c>
      <c r="E6140" s="229">
        <v>29.0</v>
      </c>
      <c r="F6140" s="230">
        <v>3.0</v>
      </c>
      <c r="G6140" s="232"/>
    </row>
    <row r="6141">
      <c r="A6141" s="2"/>
      <c r="B6141" s="168" t="s">
        <v>255</v>
      </c>
      <c r="C6141" s="168" t="s">
        <v>6372</v>
      </c>
      <c r="D6141" s="229">
        <v>31.5</v>
      </c>
      <c r="E6141" s="229">
        <v>35.0</v>
      </c>
      <c r="F6141" s="230">
        <v>3.0</v>
      </c>
      <c r="G6141" s="232"/>
    </row>
    <row r="6142">
      <c r="A6142" s="2"/>
      <c r="B6142" s="168" t="s">
        <v>296</v>
      </c>
      <c r="C6142" s="168" t="s">
        <v>296</v>
      </c>
      <c r="D6142" s="229">
        <v>26.5</v>
      </c>
      <c r="E6142" s="229">
        <v>30.0</v>
      </c>
      <c r="F6142" s="230">
        <v>3.0</v>
      </c>
      <c r="G6142" s="232"/>
    </row>
    <row r="6143">
      <c r="A6143" s="2"/>
      <c r="B6143" s="168" t="s">
        <v>257</v>
      </c>
      <c r="C6143" s="168" t="s">
        <v>6373</v>
      </c>
      <c r="D6143" s="229">
        <v>28.5</v>
      </c>
      <c r="E6143" s="229">
        <v>32.0</v>
      </c>
      <c r="F6143" s="230">
        <v>3.0</v>
      </c>
      <c r="G6143" s="232"/>
    </row>
    <row r="6144">
      <c r="A6144" s="2"/>
      <c r="B6144" s="168" t="s">
        <v>223</v>
      </c>
      <c r="C6144" s="168" t="s">
        <v>6374</v>
      </c>
      <c r="D6144" s="229">
        <v>21.5</v>
      </c>
      <c r="E6144" s="229">
        <v>25.0</v>
      </c>
      <c r="F6144" s="230">
        <v>3.0</v>
      </c>
      <c r="G6144" s="232"/>
    </row>
    <row r="6145">
      <c r="A6145" s="2"/>
      <c r="B6145" s="168" t="s">
        <v>310</v>
      </c>
      <c r="C6145" s="168" t="s">
        <v>6375</v>
      </c>
      <c r="D6145" s="229">
        <v>34.5</v>
      </c>
      <c r="E6145" s="229">
        <v>38.0</v>
      </c>
      <c r="F6145" s="230">
        <v>3.0</v>
      </c>
      <c r="G6145" s="232"/>
    </row>
    <row r="6146">
      <c r="A6146" s="2"/>
      <c r="B6146" s="168" t="s">
        <v>335</v>
      </c>
      <c r="C6146" s="168" t="s">
        <v>6376</v>
      </c>
      <c r="D6146" s="229">
        <v>34.5</v>
      </c>
      <c r="E6146" s="229">
        <v>38.0</v>
      </c>
      <c r="F6146" s="230">
        <v>3.0</v>
      </c>
      <c r="G6146" s="232"/>
    </row>
    <row r="6147">
      <c r="A6147" s="2"/>
      <c r="B6147" s="168" t="s">
        <v>335</v>
      </c>
      <c r="C6147" s="168" t="s">
        <v>6377</v>
      </c>
      <c r="D6147" s="229">
        <v>34.5</v>
      </c>
      <c r="E6147" s="229">
        <v>38.0</v>
      </c>
      <c r="F6147" s="230">
        <v>3.0</v>
      </c>
      <c r="G6147" s="232"/>
    </row>
    <row r="6148">
      <c r="A6148" s="2"/>
      <c r="B6148" s="168" t="s">
        <v>219</v>
      </c>
      <c r="C6148" s="168" t="s">
        <v>6378</v>
      </c>
      <c r="D6148" s="229">
        <v>19.5</v>
      </c>
      <c r="E6148" s="229">
        <v>23.0</v>
      </c>
      <c r="F6148" s="230">
        <v>3.0</v>
      </c>
      <c r="G6148" s="232"/>
    </row>
    <row r="6149">
      <c r="A6149" s="2"/>
      <c r="B6149" s="168" t="s">
        <v>375</v>
      </c>
      <c r="C6149" s="168" t="s">
        <v>375</v>
      </c>
      <c r="D6149" s="229">
        <v>26.5</v>
      </c>
      <c r="E6149" s="229">
        <v>30.0</v>
      </c>
      <c r="F6149" s="230">
        <v>3.0</v>
      </c>
      <c r="G6149" s="232"/>
    </row>
    <row r="6150">
      <c r="A6150" s="2"/>
      <c r="B6150" s="168" t="s">
        <v>1311</v>
      </c>
      <c r="C6150" s="168" t="s">
        <v>6379</v>
      </c>
      <c r="D6150" s="229">
        <v>28.5</v>
      </c>
      <c r="E6150" s="229">
        <v>32.0</v>
      </c>
      <c r="F6150" s="230">
        <v>3.0</v>
      </c>
      <c r="G6150" s="232"/>
    </row>
    <row r="6151">
      <c r="A6151" s="2"/>
      <c r="B6151" s="168" t="s">
        <v>290</v>
      </c>
      <c r="C6151" s="168" t="s">
        <v>6380</v>
      </c>
      <c r="D6151" s="229">
        <v>29.5</v>
      </c>
      <c r="E6151" s="229">
        <v>33.0</v>
      </c>
      <c r="F6151" s="230">
        <v>3.0</v>
      </c>
      <c r="G6151" s="232"/>
    </row>
    <row r="6152">
      <c r="A6152" s="2"/>
      <c r="B6152" s="168" t="s">
        <v>217</v>
      </c>
      <c r="C6152" s="168" t="s">
        <v>6381</v>
      </c>
      <c r="D6152" s="229">
        <v>27.5</v>
      </c>
      <c r="E6152" s="229">
        <v>31.0</v>
      </c>
      <c r="F6152" s="230">
        <v>3.0</v>
      </c>
      <c r="G6152" s="232"/>
    </row>
    <row r="6153">
      <c r="A6153" s="2"/>
      <c r="B6153" s="168" t="s">
        <v>337</v>
      </c>
      <c r="C6153" s="168" t="s">
        <v>6382</v>
      </c>
      <c r="D6153" s="229">
        <v>28.5</v>
      </c>
      <c r="E6153" s="229">
        <v>32.0</v>
      </c>
      <c r="F6153" s="230">
        <v>3.0</v>
      </c>
      <c r="G6153" s="232"/>
    </row>
    <row r="6154">
      <c r="A6154" s="2"/>
      <c r="B6154" s="168" t="s">
        <v>285</v>
      </c>
      <c r="C6154" s="168" t="s">
        <v>6383</v>
      </c>
      <c r="D6154" s="229">
        <v>24.5</v>
      </c>
      <c r="E6154" s="229">
        <v>28.0</v>
      </c>
      <c r="F6154" s="230">
        <v>3.0</v>
      </c>
      <c r="G6154" s="232"/>
    </row>
    <row r="6155">
      <c r="A6155" s="2"/>
      <c r="B6155" s="168" t="s">
        <v>230</v>
      </c>
      <c r="C6155" s="168" t="s">
        <v>6384</v>
      </c>
      <c r="D6155" s="229">
        <v>16.5</v>
      </c>
      <c r="E6155" s="229">
        <v>20.0</v>
      </c>
      <c r="F6155" s="230">
        <v>3.0</v>
      </c>
      <c r="G6155" s="232"/>
    </row>
    <row r="6156">
      <c r="A6156" s="2"/>
      <c r="B6156" s="168" t="s">
        <v>215</v>
      </c>
      <c r="C6156" s="168" t="s">
        <v>6385</v>
      </c>
      <c r="D6156" s="229">
        <v>25.5</v>
      </c>
      <c r="E6156" s="229">
        <v>29.0</v>
      </c>
      <c r="F6156" s="230">
        <v>3.0</v>
      </c>
      <c r="G6156" s="232"/>
    </row>
    <row r="6157">
      <c r="A6157" s="2"/>
      <c r="B6157" s="168" t="s">
        <v>335</v>
      </c>
      <c r="C6157" s="168" t="s">
        <v>6386</v>
      </c>
      <c r="D6157" s="229">
        <v>34.5</v>
      </c>
      <c r="E6157" s="229">
        <v>38.0</v>
      </c>
      <c r="F6157" s="230">
        <v>3.0</v>
      </c>
      <c r="G6157" s="232"/>
    </row>
    <row r="6158">
      <c r="A6158" s="2"/>
      <c r="B6158" s="168" t="s">
        <v>273</v>
      </c>
      <c r="C6158" s="168" t="s">
        <v>6387</v>
      </c>
      <c r="D6158" s="229">
        <v>29.5</v>
      </c>
      <c r="E6158" s="229">
        <v>33.0</v>
      </c>
      <c r="F6158" s="230">
        <v>3.0</v>
      </c>
      <c r="G6158" s="232"/>
    </row>
    <row r="6159">
      <c r="A6159" s="2"/>
      <c r="B6159" s="168" t="s">
        <v>217</v>
      </c>
      <c r="C6159" s="168" t="s">
        <v>6388</v>
      </c>
      <c r="D6159" s="229">
        <v>27.5</v>
      </c>
      <c r="E6159" s="229">
        <v>31.0</v>
      </c>
      <c r="F6159" s="230">
        <v>3.0</v>
      </c>
      <c r="G6159" s="232"/>
    </row>
    <row r="6160">
      <c r="A6160" s="2"/>
      <c r="B6160" s="168" t="s">
        <v>341</v>
      </c>
      <c r="C6160" s="168" t="s">
        <v>6389</v>
      </c>
      <c r="D6160" s="229">
        <v>24.5</v>
      </c>
      <c r="E6160" s="229">
        <v>24.5</v>
      </c>
      <c r="F6160" s="230">
        <v>3.0</v>
      </c>
      <c r="G6160" s="232"/>
    </row>
    <row r="6161">
      <c r="A6161" s="2"/>
      <c r="B6161" s="168" t="s">
        <v>243</v>
      </c>
      <c r="C6161" s="168" t="s">
        <v>6390</v>
      </c>
      <c r="D6161" s="229">
        <v>29.5</v>
      </c>
      <c r="E6161" s="229">
        <v>33.0</v>
      </c>
      <c r="F6161" s="230">
        <v>3.0</v>
      </c>
      <c r="G6161" s="232"/>
    </row>
    <row r="6162">
      <c r="A6162" s="2"/>
      <c r="B6162" s="168" t="s">
        <v>285</v>
      </c>
      <c r="C6162" s="168" t="s">
        <v>6391</v>
      </c>
      <c r="D6162" s="229">
        <v>24.5</v>
      </c>
      <c r="E6162" s="229">
        <v>28.0</v>
      </c>
      <c r="F6162" s="230">
        <v>3.0</v>
      </c>
      <c r="G6162" s="232"/>
    </row>
    <row r="6163">
      <c r="A6163" s="2"/>
      <c r="B6163" s="168" t="s">
        <v>223</v>
      </c>
      <c r="C6163" s="168" t="s">
        <v>6392</v>
      </c>
      <c r="D6163" s="229">
        <v>26.5</v>
      </c>
      <c r="E6163" s="229">
        <v>30.0</v>
      </c>
      <c r="F6163" s="230">
        <v>3.0</v>
      </c>
      <c r="G6163" s="232"/>
    </row>
    <row r="6164">
      <c r="A6164" s="2"/>
      <c r="B6164" s="168" t="s">
        <v>230</v>
      </c>
      <c r="C6164" s="168" t="s">
        <v>6393</v>
      </c>
      <c r="D6164" s="229">
        <v>21.5</v>
      </c>
      <c r="E6164" s="229">
        <v>25.0</v>
      </c>
      <c r="F6164" s="230">
        <v>3.0</v>
      </c>
      <c r="G6164" s="232"/>
    </row>
    <row r="6165">
      <c r="A6165" s="2"/>
      <c r="B6165" s="168" t="s">
        <v>217</v>
      </c>
      <c r="C6165" s="168" t="s">
        <v>6394</v>
      </c>
      <c r="D6165" s="229">
        <v>27.5</v>
      </c>
      <c r="E6165" s="229">
        <v>31.0</v>
      </c>
      <c r="F6165" s="230">
        <v>3.0</v>
      </c>
      <c r="G6165" s="232"/>
    </row>
    <row r="6166">
      <c r="A6166" s="2"/>
      <c r="B6166" s="168" t="s">
        <v>318</v>
      </c>
      <c r="C6166" s="168" t="s">
        <v>6395</v>
      </c>
      <c r="D6166" s="229">
        <v>25.5</v>
      </c>
      <c r="E6166" s="229">
        <v>29.0</v>
      </c>
      <c r="F6166" s="230">
        <v>3.0</v>
      </c>
      <c r="G6166" s="232"/>
    </row>
    <row r="6167">
      <c r="A6167" s="2"/>
      <c r="B6167" s="168" t="s">
        <v>290</v>
      </c>
      <c r="C6167" s="168" t="s">
        <v>6396</v>
      </c>
      <c r="D6167" s="229">
        <v>29.5</v>
      </c>
      <c r="E6167" s="229">
        <v>33.0</v>
      </c>
      <c r="F6167" s="230">
        <v>3.0</v>
      </c>
      <c r="G6167" s="232"/>
    </row>
    <row r="6168">
      <c r="A6168" s="2"/>
      <c r="B6168" s="168" t="s">
        <v>245</v>
      </c>
      <c r="C6168" s="168" t="s">
        <v>6397</v>
      </c>
      <c r="D6168" s="229">
        <v>29.5</v>
      </c>
      <c r="E6168" s="229">
        <v>33.0</v>
      </c>
      <c r="F6168" s="230">
        <v>3.0</v>
      </c>
      <c r="G6168" s="232"/>
    </row>
    <row r="6169">
      <c r="A6169" s="2"/>
      <c r="B6169" s="168" t="s">
        <v>230</v>
      </c>
      <c r="C6169" s="168" t="s">
        <v>6398</v>
      </c>
      <c r="D6169" s="229">
        <v>16.5</v>
      </c>
      <c r="E6169" s="229">
        <v>20.0</v>
      </c>
      <c r="F6169" s="230">
        <v>3.0</v>
      </c>
      <c r="G6169" s="232"/>
    </row>
    <row r="6170">
      <c r="A6170" s="2"/>
      <c r="B6170" s="168" t="s">
        <v>341</v>
      </c>
      <c r="C6170" s="168" t="s">
        <v>6399</v>
      </c>
      <c r="D6170" s="229">
        <v>29.5</v>
      </c>
      <c r="E6170" s="229">
        <v>29.5</v>
      </c>
      <c r="F6170" s="230">
        <v>3.0</v>
      </c>
      <c r="G6170" s="232"/>
    </row>
    <row r="6171">
      <c r="A6171" s="2"/>
      <c r="B6171" s="168" t="s">
        <v>328</v>
      </c>
      <c r="C6171" s="168" t="s">
        <v>6400</v>
      </c>
      <c r="D6171" s="229">
        <v>34.5</v>
      </c>
      <c r="E6171" s="229">
        <v>38.0</v>
      </c>
      <c r="F6171" s="230">
        <v>3.0</v>
      </c>
      <c r="G6171" s="232"/>
    </row>
    <row r="6172">
      <c r="A6172" s="2"/>
      <c r="B6172" s="168" t="s">
        <v>230</v>
      </c>
      <c r="C6172" s="168" t="s">
        <v>6401</v>
      </c>
      <c r="D6172" s="229">
        <v>16.5</v>
      </c>
      <c r="E6172" s="229">
        <v>20.0</v>
      </c>
      <c r="F6172" s="230">
        <v>3.0</v>
      </c>
      <c r="G6172" s="232"/>
    </row>
    <row r="6173">
      <c r="A6173" s="2"/>
      <c r="B6173" s="168" t="s">
        <v>217</v>
      </c>
      <c r="C6173" s="168" t="s">
        <v>6402</v>
      </c>
      <c r="D6173" s="229">
        <v>27.5</v>
      </c>
      <c r="E6173" s="229">
        <v>31.0</v>
      </c>
      <c r="F6173" s="230">
        <v>3.0</v>
      </c>
      <c r="G6173" s="232"/>
    </row>
    <row r="6174">
      <c r="A6174" s="2"/>
      <c r="B6174" s="168" t="s">
        <v>388</v>
      </c>
      <c r="C6174" s="168" t="s">
        <v>6403</v>
      </c>
      <c r="D6174" s="229">
        <v>16.5</v>
      </c>
      <c r="E6174" s="229">
        <v>20.0</v>
      </c>
      <c r="F6174" s="230">
        <v>3.0</v>
      </c>
      <c r="G6174" s="232"/>
    </row>
    <row r="6175">
      <c r="A6175" s="2"/>
      <c r="B6175" s="168" t="s">
        <v>255</v>
      </c>
      <c r="C6175" s="168" t="s">
        <v>6404</v>
      </c>
      <c r="D6175" s="229">
        <v>31.5</v>
      </c>
      <c r="E6175" s="229">
        <v>35.0</v>
      </c>
      <c r="F6175" s="230">
        <v>3.0</v>
      </c>
      <c r="G6175" s="232"/>
    </row>
    <row r="6176">
      <c r="A6176" s="2"/>
      <c r="B6176" s="168" t="s">
        <v>1432</v>
      </c>
      <c r="C6176" s="168" t="s">
        <v>1432</v>
      </c>
      <c r="D6176" s="229">
        <v>26.5</v>
      </c>
      <c r="E6176" s="229">
        <v>30.0</v>
      </c>
      <c r="F6176" s="230">
        <v>3.0</v>
      </c>
      <c r="G6176" s="232"/>
    </row>
    <row r="6177">
      <c r="A6177" s="2"/>
      <c r="B6177" s="168" t="s">
        <v>271</v>
      </c>
      <c r="C6177" s="168" t="s">
        <v>6405</v>
      </c>
      <c r="D6177" s="229">
        <v>31.5</v>
      </c>
      <c r="E6177" s="229">
        <v>35.0</v>
      </c>
      <c r="F6177" s="230">
        <v>3.0</v>
      </c>
      <c r="G6177" s="232"/>
    </row>
    <row r="6178">
      <c r="A6178" s="2"/>
      <c r="B6178" s="168" t="s">
        <v>257</v>
      </c>
      <c r="C6178" s="168" t="s">
        <v>6406</v>
      </c>
      <c r="D6178" s="229">
        <v>28.5</v>
      </c>
      <c r="E6178" s="229">
        <v>32.0</v>
      </c>
      <c r="F6178" s="230">
        <v>3.0</v>
      </c>
      <c r="G6178" s="232"/>
    </row>
    <row r="6179">
      <c r="A6179" s="2"/>
      <c r="B6179" s="168" t="s">
        <v>337</v>
      </c>
      <c r="C6179" s="168" t="s">
        <v>6407</v>
      </c>
      <c r="D6179" s="229">
        <v>28.5</v>
      </c>
      <c r="E6179" s="229">
        <v>32.0</v>
      </c>
      <c r="F6179" s="230">
        <v>3.0</v>
      </c>
      <c r="G6179" s="232"/>
    </row>
    <row r="6180">
      <c r="A6180" s="2"/>
      <c r="B6180" s="168" t="s">
        <v>337</v>
      </c>
      <c r="C6180" s="168" t="s">
        <v>6408</v>
      </c>
      <c r="D6180" s="229">
        <v>23.5</v>
      </c>
      <c r="E6180" s="229">
        <v>27.0</v>
      </c>
      <c r="F6180" s="230">
        <v>3.0</v>
      </c>
      <c r="G6180" s="232"/>
    </row>
    <row r="6181">
      <c r="A6181" s="2"/>
      <c r="B6181" s="168" t="s">
        <v>217</v>
      </c>
      <c r="C6181" s="168" t="s">
        <v>6409</v>
      </c>
      <c r="D6181" s="229">
        <v>22.5</v>
      </c>
      <c r="E6181" s="229">
        <v>26.0</v>
      </c>
      <c r="F6181" s="230">
        <v>3.0</v>
      </c>
      <c r="G6181" s="232"/>
    </row>
    <row r="6182">
      <c r="A6182" s="2"/>
      <c r="B6182" s="168" t="s">
        <v>290</v>
      </c>
      <c r="C6182" s="168" t="s">
        <v>6410</v>
      </c>
      <c r="D6182" s="229">
        <v>29.5</v>
      </c>
      <c r="E6182" s="229">
        <v>33.0</v>
      </c>
      <c r="F6182" s="230">
        <v>3.0</v>
      </c>
      <c r="G6182" s="232"/>
    </row>
    <row r="6183">
      <c r="A6183" s="2"/>
      <c r="B6183" s="168" t="s">
        <v>255</v>
      </c>
      <c r="C6183" s="168" t="s">
        <v>6411</v>
      </c>
      <c r="D6183" s="229">
        <v>26.5</v>
      </c>
      <c r="E6183" s="229">
        <v>30.0</v>
      </c>
      <c r="F6183" s="230">
        <v>3.0</v>
      </c>
      <c r="G6183" s="232"/>
    </row>
    <row r="6184">
      <c r="A6184" s="2"/>
      <c r="B6184" s="168" t="s">
        <v>592</v>
      </c>
      <c r="C6184" s="168" t="s">
        <v>6412</v>
      </c>
      <c r="D6184" s="229">
        <v>34.5</v>
      </c>
      <c r="E6184" s="229">
        <v>38.0</v>
      </c>
      <c r="F6184" s="230">
        <v>3.0</v>
      </c>
      <c r="G6184" s="232"/>
    </row>
    <row r="6185">
      <c r="A6185" s="2"/>
      <c r="B6185" s="168" t="s">
        <v>232</v>
      </c>
      <c r="C6185" s="168" t="s">
        <v>6413</v>
      </c>
      <c r="D6185" s="229">
        <v>25.0</v>
      </c>
      <c r="E6185" s="229">
        <v>28.5</v>
      </c>
      <c r="F6185" s="230">
        <v>3.0</v>
      </c>
      <c r="G6185" s="232"/>
    </row>
    <row r="6186">
      <c r="A6186" s="2"/>
      <c r="B6186" s="168" t="s">
        <v>217</v>
      </c>
      <c r="C6186" s="168" t="s">
        <v>6414</v>
      </c>
      <c r="D6186" s="229">
        <v>27.5</v>
      </c>
      <c r="E6186" s="229">
        <v>31.0</v>
      </c>
      <c r="F6186" s="230">
        <v>3.0</v>
      </c>
      <c r="G6186" s="232"/>
    </row>
    <row r="6187">
      <c r="A6187" s="2"/>
      <c r="B6187" s="168" t="s">
        <v>348</v>
      </c>
      <c r="C6187" s="168" t="s">
        <v>6415</v>
      </c>
      <c r="D6187" s="229">
        <v>19.5</v>
      </c>
      <c r="E6187" s="229">
        <v>23.0</v>
      </c>
      <c r="F6187" s="230">
        <v>3.0</v>
      </c>
      <c r="G6187" s="232"/>
    </row>
    <row r="6188">
      <c r="A6188" s="2"/>
      <c r="B6188" s="168" t="s">
        <v>230</v>
      </c>
      <c r="C6188" s="168" t="s">
        <v>6416</v>
      </c>
      <c r="D6188" s="229">
        <v>16.5</v>
      </c>
      <c r="E6188" s="229">
        <v>20.0</v>
      </c>
      <c r="F6188" s="230">
        <v>3.0</v>
      </c>
      <c r="G6188" s="232"/>
    </row>
    <row r="6189">
      <c r="A6189" s="2"/>
      <c r="B6189" s="168" t="s">
        <v>328</v>
      </c>
      <c r="C6189" s="168" t="s">
        <v>6417</v>
      </c>
      <c r="D6189" s="229">
        <v>34.5</v>
      </c>
      <c r="E6189" s="229">
        <v>38.0</v>
      </c>
      <c r="F6189" s="230">
        <v>3.0</v>
      </c>
      <c r="G6189" s="232"/>
    </row>
    <row r="6190">
      <c r="A6190" s="2"/>
      <c r="B6190" s="168" t="s">
        <v>269</v>
      </c>
      <c r="C6190" s="168" t="s">
        <v>6418</v>
      </c>
      <c r="D6190" s="229">
        <v>26.5</v>
      </c>
      <c r="E6190" s="229">
        <v>30.0</v>
      </c>
      <c r="F6190" s="230">
        <v>3.0</v>
      </c>
      <c r="G6190" s="232"/>
    </row>
    <row r="6191">
      <c r="A6191" s="2"/>
      <c r="B6191" s="168" t="s">
        <v>296</v>
      </c>
      <c r="C6191" s="168" t="s">
        <v>6419</v>
      </c>
      <c r="D6191" s="229">
        <v>26.5</v>
      </c>
      <c r="E6191" s="229">
        <v>30.0</v>
      </c>
      <c r="F6191" s="230">
        <v>3.0</v>
      </c>
      <c r="G6191" s="232"/>
    </row>
    <row r="6192">
      <c r="A6192" s="2"/>
      <c r="B6192" s="168" t="s">
        <v>381</v>
      </c>
      <c r="C6192" s="168" t="s">
        <v>6420</v>
      </c>
      <c r="D6192" s="229">
        <v>28.5</v>
      </c>
      <c r="E6192" s="229">
        <v>32.0</v>
      </c>
      <c r="F6192" s="230">
        <v>3.0</v>
      </c>
      <c r="G6192" s="232"/>
    </row>
    <row r="6193">
      <c r="A6193" s="2"/>
      <c r="B6193" s="168" t="s">
        <v>245</v>
      </c>
      <c r="C6193" s="168" t="s">
        <v>6421</v>
      </c>
      <c r="D6193" s="229">
        <v>29.5</v>
      </c>
      <c r="E6193" s="229">
        <v>33.0</v>
      </c>
      <c r="F6193" s="230">
        <v>3.0</v>
      </c>
      <c r="G6193" s="232"/>
    </row>
    <row r="6194">
      <c r="A6194" s="2"/>
      <c r="B6194" s="168" t="s">
        <v>335</v>
      </c>
      <c r="C6194" s="168" t="s">
        <v>6422</v>
      </c>
      <c r="D6194" s="229">
        <v>34.5</v>
      </c>
      <c r="E6194" s="229">
        <v>38.0</v>
      </c>
      <c r="F6194" s="230">
        <v>3.0</v>
      </c>
      <c r="G6194" s="232"/>
    </row>
    <row r="6195">
      <c r="A6195" s="2"/>
      <c r="B6195" s="168" t="s">
        <v>230</v>
      </c>
      <c r="C6195" s="168" t="s">
        <v>6423</v>
      </c>
      <c r="D6195" s="229">
        <v>16.5</v>
      </c>
      <c r="E6195" s="229">
        <v>20.0</v>
      </c>
      <c r="F6195" s="230">
        <v>3.0</v>
      </c>
      <c r="G6195" s="232"/>
    </row>
    <row r="6196">
      <c r="A6196" s="2"/>
      <c r="B6196" s="168" t="s">
        <v>217</v>
      </c>
      <c r="C6196" s="168" t="s">
        <v>6424</v>
      </c>
      <c r="D6196" s="229">
        <v>27.5</v>
      </c>
      <c r="E6196" s="229">
        <v>31.0</v>
      </c>
      <c r="F6196" s="230">
        <v>3.0</v>
      </c>
      <c r="G6196" s="232"/>
    </row>
    <row r="6197">
      <c r="A6197" s="2"/>
      <c r="B6197" s="168" t="s">
        <v>255</v>
      </c>
      <c r="C6197" s="168" t="s">
        <v>6425</v>
      </c>
      <c r="D6197" s="229">
        <v>26.5</v>
      </c>
      <c r="E6197" s="229">
        <v>30.0</v>
      </c>
      <c r="F6197" s="230">
        <v>3.0</v>
      </c>
      <c r="G6197" s="232"/>
    </row>
    <row r="6198">
      <c r="A6198" s="2"/>
      <c r="B6198" s="168" t="s">
        <v>335</v>
      </c>
      <c r="C6198" s="168" t="s">
        <v>6426</v>
      </c>
      <c r="D6198" s="229">
        <v>34.5</v>
      </c>
      <c r="E6198" s="229">
        <v>38.0</v>
      </c>
      <c r="F6198" s="230">
        <v>3.0</v>
      </c>
      <c r="G6198" s="232"/>
    </row>
    <row r="6199">
      <c r="A6199" s="2"/>
      <c r="B6199" s="168" t="s">
        <v>335</v>
      </c>
      <c r="C6199" s="168" t="s">
        <v>191</v>
      </c>
      <c r="D6199" s="229">
        <v>34.5</v>
      </c>
      <c r="E6199" s="229">
        <v>38.0</v>
      </c>
      <c r="F6199" s="230">
        <v>3.0</v>
      </c>
      <c r="G6199" s="232"/>
    </row>
    <row r="6200">
      <c r="A6200" s="2"/>
      <c r="B6200" s="168" t="s">
        <v>251</v>
      </c>
      <c r="C6200" s="168" t="s">
        <v>6427</v>
      </c>
      <c r="D6200" s="229">
        <v>34.5</v>
      </c>
      <c r="E6200" s="229">
        <v>38.0</v>
      </c>
      <c r="F6200" s="230">
        <v>3.0</v>
      </c>
      <c r="G6200" s="232"/>
    </row>
    <row r="6201">
      <c r="A6201" s="2"/>
      <c r="B6201" s="168" t="s">
        <v>335</v>
      </c>
      <c r="C6201" s="168" t="s">
        <v>6428</v>
      </c>
      <c r="D6201" s="229">
        <v>34.5</v>
      </c>
      <c r="E6201" s="229">
        <v>38.0</v>
      </c>
      <c r="F6201" s="230">
        <v>3.0</v>
      </c>
      <c r="G6201" s="232"/>
    </row>
    <row r="6202">
      <c r="A6202" s="2"/>
      <c r="B6202" s="168" t="s">
        <v>234</v>
      </c>
      <c r="C6202" s="168" t="s">
        <v>6429</v>
      </c>
      <c r="D6202" s="229">
        <v>29.5</v>
      </c>
      <c r="E6202" s="229">
        <v>33.0</v>
      </c>
      <c r="F6202" s="230">
        <v>3.0</v>
      </c>
      <c r="G6202" s="232"/>
    </row>
    <row r="6203">
      <c r="A6203" s="2"/>
      <c r="B6203" s="168" t="s">
        <v>230</v>
      </c>
      <c r="C6203" s="168" t="s">
        <v>6430</v>
      </c>
      <c r="D6203" s="229">
        <v>16.5</v>
      </c>
      <c r="E6203" s="229">
        <v>20.0</v>
      </c>
      <c r="F6203" s="230">
        <v>3.0</v>
      </c>
      <c r="G6203" s="232"/>
    </row>
    <row r="6204">
      <c r="A6204" s="2"/>
      <c r="B6204" s="168" t="s">
        <v>245</v>
      </c>
      <c r="C6204" s="168" t="s">
        <v>6431</v>
      </c>
      <c r="D6204" s="229">
        <v>29.5</v>
      </c>
      <c r="E6204" s="229">
        <v>33.0</v>
      </c>
      <c r="F6204" s="230">
        <v>3.0</v>
      </c>
      <c r="G6204" s="232"/>
    </row>
    <row r="6205">
      <c r="A6205" s="2"/>
      <c r="B6205" s="168" t="s">
        <v>271</v>
      </c>
      <c r="C6205" s="168" t="s">
        <v>6432</v>
      </c>
      <c r="D6205" s="229">
        <v>31.5</v>
      </c>
      <c r="E6205" s="229">
        <v>35.0</v>
      </c>
      <c r="F6205" s="230">
        <v>3.0</v>
      </c>
      <c r="G6205" s="232"/>
    </row>
    <row r="6206">
      <c r="A6206" s="2"/>
      <c r="B6206" s="168" t="s">
        <v>255</v>
      </c>
      <c r="C6206" s="168" t="s">
        <v>6433</v>
      </c>
      <c r="D6206" s="229">
        <v>31.5</v>
      </c>
      <c r="E6206" s="229">
        <v>35.0</v>
      </c>
      <c r="F6206" s="230">
        <v>3.0</v>
      </c>
      <c r="G6206" s="232"/>
    </row>
    <row r="6207">
      <c r="A6207" s="2"/>
      <c r="B6207" s="168" t="s">
        <v>232</v>
      </c>
      <c r="C6207" s="168" t="s">
        <v>6434</v>
      </c>
      <c r="D6207" s="229">
        <v>25.5</v>
      </c>
      <c r="E6207" s="229">
        <v>29.0</v>
      </c>
      <c r="F6207" s="230">
        <v>3.0</v>
      </c>
      <c r="G6207" s="232"/>
    </row>
    <row r="6208">
      <c r="A6208" s="2"/>
      <c r="B6208" s="168" t="s">
        <v>302</v>
      </c>
      <c r="C6208" s="168" t="s">
        <v>6435</v>
      </c>
      <c r="D6208" s="229">
        <v>34.5</v>
      </c>
      <c r="E6208" s="229">
        <v>38.0</v>
      </c>
      <c r="F6208" s="230">
        <v>3.0</v>
      </c>
      <c r="G6208" s="232"/>
    </row>
    <row r="6209">
      <c r="A6209" s="2"/>
      <c r="B6209" s="168" t="s">
        <v>217</v>
      </c>
      <c r="C6209" s="168" t="s">
        <v>6436</v>
      </c>
      <c r="D6209" s="229">
        <v>27.5</v>
      </c>
      <c r="E6209" s="229">
        <v>31.0</v>
      </c>
      <c r="F6209" s="230">
        <v>3.0</v>
      </c>
      <c r="G6209" s="232"/>
    </row>
    <row r="6210">
      <c r="A6210" s="2"/>
      <c r="B6210" s="168" t="s">
        <v>335</v>
      </c>
      <c r="C6210" s="168" t="s">
        <v>6437</v>
      </c>
      <c r="D6210" s="229">
        <v>34.5</v>
      </c>
      <c r="E6210" s="229">
        <v>38.0</v>
      </c>
      <c r="F6210" s="230">
        <v>3.0</v>
      </c>
      <c r="G6210" s="232"/>
    </row>
    <row r="6211">
      <c r="A6211" s="2"/>
      <c r="B6211" s="168" t="s">
        <v>245</v>
      </c>
      <c r="C6211" s="168" t="s">
        <v>6438</v>
      </c>
      <c r="D6211" s="229">
        <v>29.5</v>
      </c>
      <c r="E6211" s="229">
        <v>33.0</v>
      </c>
      <c r="F6211" s="230">
        <v>3.0</v>
      </c>
      <c r="G6211" s="232"/>
    </row>
    <row r="6212">
      <c r="A6212" s="2"/>
      <c r="B6212" s="168" t="s">
        <v>247</v>
      </c>
      <c r="C6212" s="168" t="s">
        <v>6439</v>
      </c>
      <c r="D6212" s="229">
        <v>29.5</v>
      </c>
      <c r="E6212" s="229">
        <v>33.0</v>
      </c>
      <c r="F6212" s="230">
        <v>3.0</v>
      </c>
      <c r="G6212" s="232"/>
    </row>
    <row r="6213">
      <c r="A6213" s="2"/>
      <c r="B6213" s="168" t="s">
        <v>592</v>
      </c>
      <c r="C6213" s="168" t="s">
        <v>6440</v>
      </c>
      <c r="D6213" s="229">
        <v>34.5</v>
      </c>
      <c r="E6213" s="229">
        <v>38.0</v>
      </c>
      <c r="F6213" s="230">
        <v>3.0</v>
      </c>
      <c r="G6213" s="232"/>
    </row>
    <row r="6214">
      <c r="A6214" s="2"/>
      <c r="B6214" s="168" t="s">
        <v>241</v>
      </c>
      <c r="C6214" s="168" t="s">
        <v>6441</v>
      </c>
      <c r="D6214" s="229">
        <v>31.5</v>
      </c>
      <c r="E6214" s="229">
        <v>35.0</v>
      </c>
      <c r="F6214" s="230">
        <v>3.0</v>
      </c>
      <c r="G6214" s="232"/>
    </row>
    <row r="6215">
      <c r="A6215" s="2"/>
      <c r="B6215" s="168" t="s">
        <v>257</v>
      </c>
      <c r="C6215" s="168" t="s">
        <v>6442</v>
      </c>
      <c r="D6215" s="229">
        <v>28.5</v>
      </c>
      <c r="E6215" s="229">
        <v>32.0</v>
      </c>
      <c r="F6215" s="230">
        <v>3.0</v>
      </c>
      <c r="G6215" s="232"/>
    </row>
    <row r="6216">
      <c r="A6216" s="2"/>
      <c r="B6216" s="168" t="s">
        <v>257</v>
      </c>
      <c r="C6216" s="168" t="s">
        <v>6443</v>
      </c>
      <c r="D6216" s="229">
        <v>28.5</v>
      </c>
      <c r="E6216" s="229">
        <v>32.0</v>
      </c>
      <c r="F6216" s="230">
        <v>3.0</v>
      </c>
      <c r="G6216" s="232"/>
    </row>
    <row r="6217">
      <c r="A6217" s="2"/>
      <c r="B6217" s="168" t="s">
        <v>217</v>
      </c>
      <c r="C6217" s="168" t="s">
        <v>6444</v>
      </c>
      <c r="D6217" s="229">
        <v>27.5</v>
      </c>
      <c r="E6217" s="229">
        <v>31.0</v>
      </c>
      <c r="F6217" s="230">
        <v>3.0</v>
      </c>
      <c r="G6217" s="232"/>
    </row>
    <row r="6218">
      <c r="A6218" s="2"/>
      <c r="B6218" s="168" t="s">
        <v>232</v>
      </c>
      <c r="C6218" s="168" t="s">
        <v>6445</v>
      </c>
      <c r="D6218" s="229">
        <v>32.5</v>
      </c>
      <c r="E6218" s="229">
        <v>36.0</v>
      </c>
      <c r="F6218" s="230">
        <v>3.0</v>
      </c>
      <c r="G6218" s="232"/>
    </row>
    <row r="6219">
      <c r="A6219" s="2"/>
      <c r="B6219" s="168" t="s">
        <v>247</v>
      </c>
      <c r="C6219" s="168" t="s">
        <v>6446</v>
      </c>
      <c r="D6219" s="229">
        <v>24.5</v>
      </c>
      <c r="E6219" s="229">
        <v>28.0</v>
      </c>
      <c r="F6219" s="230">
        <v>3.0</v>
      </c>
      <c r="G6219" s="232"/>
    </row>
    <row r="6220">
      <c r="A6220" s="2"/>
      <c r="B6220" s="168" t="s">
        <v>260</v>
      </c>
      <c r="C6220" s="168" t="s">
        <v>6447</v>
      </c>
      <c r="D6220" s="229">
        <v>28.5</v>
      </c>
      <c r="E6220" s="229">
        <v>32.0</v>
      </c>
      <c r="F6220" s="230">
        <v>3.0</v>
      </c>
      <c r="G6220" s="232"/>
    </row>
    <row r="6221">
      <c r="A6221" s="2"/>
      <c r="B6221" s="168" t="s">
        <v>464</v>
      </c>
      <c r="C6221" s="168" t="s">
        <v>6448</v>
      </c>
      <c r="D6221" s="229">
        <v>0.5</v>
      </c>
      <c r="E6221" s="229">
        <v>0.5</v>
      </c>
      <c r="F6221" s="230">
        <v>0.5</v>
      </c>
      <c r="G6221" s="232"/>
    </row>
    <row r="6222">
      <c r="A6222" s="2"/>
      <c r="B6222" s="168" t="s">
        <v>345</v>
      </c>
      <c r="C6222" s="168" t="s">
        <v>6449</v>
      </c>
      <c r="D6222" s="229">
        <v>26.5</v>
      </c>
      <c r="E6222" s="229">
        <v>30.0</v>
      </c>
      <c r="F6222" s="230">
        <v>3.0</v>
      </c>
      <c r="G6222" s="232"/>
    </row>
    <row r="6223">
      <c r="A6223" s="2"/>
      <c r="B6223" s="168" t="s">
        <v>288</v>
      </c>
      <c r="C6223" s="168" t="s">
        <v>6450</v>
      </c>
      <c r="D6223" s="229">
        <v>16.5</v>
      </c>
      <c r="E6223" s="229">
        <v>20.0</v>
      </c>
      <c r="F6223" s="230">
        <v>3.0</v>
      </c>
      <c r="G6223" s="232"/>
    </row>
    <row r="6224">
      <c r="A6224" s="2"/>
      <c r="B6224" s="168" t="s">
        <v>285</v>
      </c>
      <c r="C6224" s="168" t="s">
        <v>6451</v>
      </c>
      <c r="D6224" s="229">
        <v>24.5</v>
      </c>
      <c r="E6224" s="229">
        <v>28.0</v>
      </c>
      <c r="F6224" s="230">
        <v>3.0</v>
      </c>
      <c r="G6224" s="232"/>
    </row>
    <row r="6225">
      <c r="A6225" s="2"/>
      <c r="B6225" s="168" t="s">
        <v>456</v>
      </c>
      <c r="C6225" s="168" t="s">
        <v>6452</v>
      </c>
      <c r="D6225" s="229">
        <v>19.5</v>
      </c>
      <c r="E6225" s="229">
        <v>23.0</v>
      </c>
      <c r="F6225" s="230">
        <v>3.0</v>
      </c>
      <c r="G6225" s="232"/>
    </row>
    <row r="6226">
      <c r="A6226" s="2"/>
      <c r="B6226" s="168" t="s">
        <v>341</v>
      </c>
      <c r="C6226" s="168" t="s">
        <v>6453</v>
      </c>
      <c r="D6226" s="229">
        <v>29.5</v>
      </c>
      <c r="E6226" s="229">
        <v>29.5</v>
      </c>
      <c r="F6226" s="230">
        <v>3.0</v>
      </c>
      <c r="G6226" s="232"/>
    </row>
    <row r="6227">
      <c r="A6227" s="2"/>
      <c r="B6227" s="168" t="s">
        <v>294</v>
      </c>
      <c r="C6227" s="168" t="s">
        <v>6454</v>
      </c>
      <c r="D6227" s="229">
        <v>19.5</v>
      </c>
      <c r="E6227" s="229">
        <v>19.5</v>
      </c>
      <c r="F6227" s="230">
        <v>3.0</v>
      </c>
      <c r="G6227" s="232"/>
    </row>
    <row r="6228">
      <c r="A6228" s="2"/>
      <c r="B6228" s="168" t="s">
        <v>490</v>
      </c>
      <c r="C6228" s="168" t="s">
        <v>6455</v>
      </c>
      <c r="D6228" s="229">
        <v>34.5</v>
      </c>
      <c r="E6228" s="229">
        <v>38.0</v>
      </c>
      <c r="F6228" s="230">
        <v>3.0</v>
      </c>
      <c r="G6228" s="232"/>
    </row>
    <row r="6229">
      <c r="A6229" s="2"/>
      <c r="B6229" s="168" t="s">
        <v>335</v>
      </c>
      <c r="C6229" s="168" t="s">
        <v>6456</v>
      </c>
      <c r="D6229" s="229">
        <v>34.5</v>
      </c>
      <c r="E6229" s="229">
        <v>38.0</v>
      </c>
      <c r="F6229" s="230">
        <v>3.0</v>
      </c>
      <c r="G6229" s="232"/>
    </row>
    <row r="6230">
      <c r="A6230" s="2"/>
      <c r="B6230" s="168" t="s">
        <v>241</v>
      </c>
      <c r="C6230" s="168" t="s">
        <v>6457</v>
      </c>
      <c r="D6230" s="229">
        <v>32.5</v>
      </c>
      <c r="E6230" s="229">
        <v>36.0</v>
      </c>
      <c r="F6230" s="230">
        <v>3.0</v>
      </c>
      <c r="G6230" s="232"/>
    </row>
    <row r="6231">
      <c r="A6231" s="2"/>
      <c r="B6231" s="168" t="s">
        <v>449</v>
      </c>
      <c r="C6231" s="168" t="s">
        <v>6458</v>
      </c>
      <c r="D6231" s="229">
        <v>28.5</v>
      </c>
      <c r="E6231" s="229">
        <v>32.0</v>
      </c>
      <c r="F6231" s="230">
        <v>3.0</v>
      </c>
      <c r="G6231" s="232"/>
    </row>
    <row r="6232">
      <c r="A6232" s="2"/>
      <c r="B6232" s="168" t="s">
        <v>280</v>
      </c>
      <c r="C6232" s="168" t="s">
        <v>6459</v>
      </c>
      <c r="D6232" s="229">
        <v>32.5</v>
      </c>
      <c r="E6232" s="229">
        <v>36.0</v>
      </c>
      <c r="F6232" s="230">
        <v>3.0</v>
      </c>
      <c r="G6232" s="232"/>
    </row>
    <row r="6233">
      <c r="A6233" s="2"/>
      <c r="B6233" s="168" t="s">
        <v>232</v>
      </c>
      <c r="C6233" s="168" t="s">
        <v>6460</v>
      </c>
      <c r="D6233" s="229">
        <v>27.5</v>
      </c>
      <c r="E6233" s="229">
        <v>31.0</v>
      </c>
      <c r="F6233" s="230">
        <v>3.0</v>
      </c>
      <c r="G6233" s="232"/>
    </row>
    <row r="6234">
      <c r="A6234" s="2"/>
      <c r="B6234" s="168" t="s">
        <v>296</v>
      </c>
      <c r="C6234" s="168" t="s">
        <v>6461</v>
      </c>
      <c r="D6234" s="229">
        <v>26.0</v>
      </c>
      <c r="E6234" s="229">
        <v>29.5</v>
      </c>
      <c r="F6234" s="230">
        <v>3.0</v>
      </c>
      <c r="G6234" s="232"/>
    </row>
    <row r="6235">
      <c r="A6235" s="2"/>
      <c r="B6235" s="168" t="s">
        <v>592</v>
      </c>
      <c r="C6235" s="168" t="s">
        <v>6462</v>
      </c>
      <c r="D6235" s="229">
        <v>34.5</v>
      </c>
      <c r="E6235" s="229">
        <v>38.0</v>
      </c>
      <c r="F6235" s="230">
        <v>3.0</v>
      </c>
      <c r="G6235" s="232"/>
    </row>
    <row r="6236">
      <c r="A6236" s="2"/>
      <c r="B6236" s="168" t="s">
        <v>215</v>
      </c>
      <c r="C6236" s="168" t="s">
        <v>6463</v>
      </c>
      <c r="D6236" s="229">
        <v>29.5</v>
      </c>
      <c r="E6236" s="229">
        <v>33.0</v>
      </c>
      <c r="F6236" s="230">
        <v>3.0</v>
      </c>
      <c r="G6236" s="232"/>
    </row>
    <row r="6237">
      <c r="A6237" s="2"/>
      <c r="B6237" s="168" t="s">
        <v>217</v>
      </c>
      <c r="C6237" s="168" t="s">
        <v>6464</v>
      </c>
      <c r="D6237" s="229">
        <v>27.5</v>
      </c>
      <c r="E6237" s="229">
        <v>31.0</v>
      </c>
      <c r="F6237" s="230">
        <v>3.0</v>
      </c>
      <c r="G6237" s="232"/>
    </row>
    <row r="6238">
      <c r="A6238" s="2"/>
      <c r="B6238" s="168" t="s">
        <v>290</v>
      </c>
      <c r="C6238" s="168" t="s">
        <v>6465</v>
      </c>
      <c r="D6238" s="229">
        <v>29.5</v>
      </c>
      <c r="E6238" s="229">
        <v>33.0</v>
      </c>
      <c r="F6238" s="230">
        <v>3.0</v>
      </c>
      <c r="G6238" s="232"/>
    </row>
    <row r="6239">
      <c r="A6239" s="2"/>
      <c r="B6239" s="168" t="s">
        <v>290</v>
      </c>
      <c r="C6239" s="168" t="s">
        <v>6466</v>
      </c>
      <c r="D6239" s="229">
        <v>29.5</v>
      </c>
      <c r="E6239" s="229">
        <v>33.0</v>
      </c>
      <c r="F6239" s="230">
        <v>3.0</v>
      </c>
      <c r="G6239" s="232"/>
    </row>
    <row r="6240">
      <c r="A6240" s="2"/>
      <c r="B6240" s="168" t="s">
        <v>684</v>
      </c>
      <c r="C6240" s="168" t="s">
        <v>6467</v>
      </c>
      <c r="D6240" s="229">
        <v>25.5</v>
      </c>
      <c r="E6240" s="229">
        <v>29.0</v>
      </c>
      <c r="F6240" s="230">
        <v>3.0</v>
      </c>
      <c r="G6240" s="232"/>
    </row>
    <row r="6241">
      <c r="A6241" s="2"/>
      <c r="B6241" s="168" t="s">
        <v>348</v>
      </c>
      <c r="C6241" s="168" t="s">
        <v>6468</v>
      </c>
      <c r="D6241" s="229">
        <v>21.5</v>
      </c>
      <c r="E6241" s="229">
        <v>25.0</v>
      </c>
      <c r="F6241" s="230">
        <v>3.0</v>
      </c>
      <c r="G6241" s="232"/>
    </row>
    <row r="6242">
      <c r="A6242" s="2"/>
      <c r="B6242" s="168" t="s">
        <v>381</v>
      </c>
      <c r="C6242" s="168" t="s">
        <v>6469</v>
      </c>
      <c r="D6242" s="229">
        <v>23.5</v>
      </c>
      <c r="E6242" s="229">
        <v>27.0</v>
      </c>
      <c r="F6242" s="230">
        <v>3.0</v>
      </c>
      <c r="G6242" s="232"/>
    </row>
    <row r="6243">
      <c r="A6243" s="2"/>
      <c r="B6243" s="168" t="s">
        <v>223</v>
      </c>
      <c r="C6243" s="168" t="s">
        <v>6470</v>
      </c>
      <c r="D6243" s="229">
        <v>26.5</v>
      </c>
      <c r="E6243" s="229">
        <v>30.0</v>
      </c>
      <c r="F6243" s="230">
        <v>3.0</v>
      </c>
      <c r="G6243" s="232"/>
    </row>
    <row r="6244">
      <c r="A6244" s="2"/>
      <c r="B6244" s="168" t="s">
        <v>290</v>
      </c>
      <c r="C6244" s="168" t="s">
        <v>6471</v>
      </c>
      <c r="D6244" s="229">
        <v>29.5</v>
      </c>
      <c r="E6244" s="229">
        <v>33.0</v>
      </c>
      <c r="F6244" s="230">
        <v>3.0</v>
      </c>
      <c r="G6244" s="232"/>
    </row>
    <row r="6245">
      <c r="A6245" s="2"/>
      <c r="B6245" s="168" t="s">
        <v>328</v>
      </c>
      <c r="C6245" s="168" t="s">
        <v>6472</v>
      </c>
      <c r="D6245" s="229">
        <v>34.5</v>
      </c>
      <c r="E6245" s="229">
        <v>38.0</v>
      </c>
      <c r="F6245" s="230">
        <v>3.0</v>
      </c>
      <c r="G6245" s="232"/>
    </row>
    <row r="6246">
      <c r="A6246" s="2"/>
      <c r="B6246" s="168" t="s">
        <v>386</v>
      </c>
      <c r="C6246" s="168" t="s">
        <v>6473</v>
      </c>
      <c r="D6246" s="229">
        <v>34.5</v>
      </c>
      <c r="E6246" s="229">
        <v>38.0</v>
      </c>
      <c r="F6246" s="230">
        <v>3.0</v>
      </c>
      <c r="G6246" s="232"/>
    </row>
    <row r="6247">
      <c r="A6247" s="2"/>
      <c r="B6247" s="168" t="s">
        <v>406</v>
      </c>
      <c r="C6247" s="168" t="s">
        <v>6474</v>
      </c>
      <c r="D6247" s="229">
        <v>24.5</v>
      </c>
      <c r="E6247" s="229">
        <v>28.0</v>
      </c>
      <c r="F6247" s="230">
        <v>3.0</v>
      </c>
      <c r="G6247" s="232"/>
    </row>
    <row r="6248">
      <c r="A6248" s="2"/>
      <c r="B6248" s="168" t="s">
        <v>241</v>
      </c>
      <c r="C6248" s="168" t="s">
        <v>6475</v>
      </c>
      <c r="D6248" s="229">
        <v>32.5</v>
      </c>
      <c r="E6248" s="229">
        <v>36.0</v>
      </c>
      <c r="F6248" s="230">
        <v>3.0</v>
      </c>
      <c r="G6248" s="232"/>
    </row>
    <row r="6249">
      <c r="A6249" s="2"/>
      <c r="B6249" s="168" t="s">
        <v>288</v>
      </c>
      <c r="C6249" s="168" t="s">
        <v>6476</v>
      </c>
      <c r="D6249" s="229">
        <v>21.5</v>
      </c>
      <c r="E6249" s="229">
        <v>25.0</v>
      </c>
      <c r="F6249" s="230">
        <v>3.0</v>
      </c>
      <c r="G6249" s="232"/>
    </row>
    <row r="6250">
      <c r="A6250" s="2"/>
      <c r="B6250" s="168" t="s">
        <v>446</v>
      </c>
      <c r="C6250" s="168" t="s">
        <v>6477</v>
      </c>
      <c r="D6250" s="229">
        <v>9.5</v>
      </c>
      <c r="E6250" s="229">
        <v>9.5</v>
      </c>
      <c r="F6250" s="230">
        <v>3.0</v>
      </c>
      <c r="G6250" s="232"/>
    </row>
    <row r="6251">
      <c r="A6251" s="2"/>
      <c r="B6251" s="168" t="s">
        <v>296</v>
      </c>
      <c r="C6251" s="168" t="s">
        <v>6478</v>
      </c>
      <c r="D6251" s="229">
        <v>26.5</v>
      </c>
      <c r="E6251" s="229">
        <v>30.0</v>
      </c>
      <c r="F6251" s="230">
        <v>3.0</v>
      </c>
      <c r="G6251" s="232"/>
    </row>
    <row r="6252">
      <c r="A6252" s="2"/>
      <c r="B6252" s="168" t="s">
        <v>232</v>
      </c>
      <c r="C6252" s="168" t="s">
        <v>6479</v>
      </c>
      <c r="D6252" s="229">
        <v>27.5</v>
      </c>
      <c r="E6252" s="229">
        <v>31.0</v>
      </c>
      <c r="F6252" s="230">
        <v>3.0</v>
      </c>
      <c r="G6252" s="232"/>
    </row>
    <row r="6253">
      <c r="A6253" s="2"/>
      <c r="B6253" s="168" t="s">
        <v>328</v>
      </c>
      <c r="C6253" s="168" t="s">
        <v>6480</v>
      </c>
      <c r="D6253" s="229">
        <v>29.5</v>
      </c>
      <c r="E6253" s="229">
        <v>33.0</v>
      </c>
      <c r="F6253" s="230">
        <v>3.0</v>
      </c>
      <c r="G6253" s="232"/>
    </row>
    <row r="6254">
      <c r="A6254" s="2"/>
      <c r="B6254" s="168" t="s">
        <v>4488</v>
      </c>
      <c r="C6254" s="168" t="s">
        <v>4488</v>
      </c>
      <c r="D6254" s="229">
        <v>29.5</v>
      </c>
      <c r="E6254" s="229">
        <v>29.5</v>
      </c>
      <c r="F6254" s="230">
        <v>5.0</v>
      </c>
      <c r="G6254" s="232"/>
    </row>
    <row r="6255">
      <c r="A6255" s="2"/>
      <c r="B6255" s="168" t="s">
        <v>217</v>
      </c>
      <c r="C6255" s="168" t="s">
        <v>6481</v>
      </c>
      <c r="D6255" s="229">
        <v>27.5</v>
      </c>
      <c r="E6255" s="229">
        <v>31.0</v>
      </c>
      <c r="F6255" s="230">
        <v>3.0</v>
      </c>
      <c r="G6255" s="232"/>
    </row>
    <row r="6256">
      <c r="A6256" s="2"/>
      <c r="B6256" s="168" t="s">
        <v>236</v>
      </c>
      <c r="C6256" s="168" t="s">
        <v>6482</v>
      </c>
      <c r="D6256" s="229">
        <v>34.5</v>
      </c>
      <c r="E6256" s="229">
        <v>38.0</v>
      </c>
      <c r="F6256" s="230">
        <v>3.0</v>
      </c>
      <c r="G6256" s="232"/>
    </row>
    <row r="6257">
      <c r="A6257" s="2"/>
      <c r="B6257" s="168" t="s">
        <v>337</v>
      </c>
      <c r="C6257" s="168" t="s">
        <v>6483</v>
      </c>
      <c r="D6257" s="229">
        <v>28.5</v>
      </c>
      <c r="E6257" s="229">
        <v>32.0</v>
      </c>
      <c r="F6257" s="230">
        <v>3.0</v>
      </c>
      <c r="G6257" s="232"/>
    </row>
    <row r="6258">
      <c r="A6258" s="2"/>
      <c r="B6258" s="168" t="s">
        <v>241</v>
      </c>
      <c r="C6258" s="168" t="s">
        <v>6484</v>
      </c>
      <c r="D6258" s="229">
        <v>27.5</v>
      </c>
      <c r="E6258" s="229">
        <v>31.0</v>
      </c>
      <c r="F6258" s="230">
        <v>3.0</v>
      </c>
      <c r="G6258" s="232"/>
    </row>
    <row r="6259">
      <c r="A6259" s="2"/>
      <c r="B6259" s="168" t="s">
        <v>275</v>
      </c>
      <c r="C6259" s="168" t="s">
        <v>6485</v>
      </c>
      <c r="D6259" s="229">
        <v>25.5</v>
      </c>
      <c r="E6259" s="229">
        <v>29.0</v>
      </c>
      <c r="F6259" s="230">
        <v>3.0</v>
      </c>
      <c r="G6259" s="232"/>
    </row>
    <row r="6260">
      <c r="A6260" s="2"/>
      <c r="B6260" s="168" t="s">
        <v>337</v>
      </c>
      <c r="C6260" s="168" t="s">
        <v>6486</v>
      </c>
      <c r="D6260" s="229">
        <v>28.5</v>
      </c>
      <c r="E6260" s="229">
        <v>32.0</v>
      </c>
      <c r="F6260" s="230">
        <v>3.0</v>
      </c>
      <c r="G6260" s="232"/>
    </row>
    <row r="6261">
      <c r="A6261" s="2"/>
      <c r="B6261" s="168" t="s">
        <v>247</v>
      </c>
      <c r="C6261" s="168" t="s">
        <v>6487</v>
      </c>
      <c r="D6261" s="229">
        <v>29.5</v>
      </c>
      <c r="E6261" s="229">
        <v>33.0</v>
      </c>
      <c r="F6261" s="230">
        <v>3.0</v>
      </c>
      <c r="G6261" s="232"/>
    </row>
    <row r="6262">
      <c r="A6262" s="2"/>
      <c r="B6262" s="168" t="s">
        <v>257</v>
      </c>
      <c r="C6262" s="168" t="s">
        <v>6488</v>
      </c>
      <c r="D6262" s="229">
        <v>28.5</v>
      </c>
      <c r="E6262" s="229">
        <v>32.0</v>
      </c>
      <c r="F6262" s="230">
        <v>3.0</v>
      </c>
      <c r="G6262" s="232"/>
    </row>
    <row r="6263">
      <c r="A6263" s="2"/>
      <c r="B6263" s="168" t="s">
        <v>239</v>
      </c>
      <c r="C6263" s="168" t="s">
        <v>6489</v>
      </c>
      <c r="D6263" s="229">
        <v>29.5</v>
      </c>
      <c r="E6263" s="229">
        <v>33.0</v>
      </c>
      <c r="F6263" s="230">
        <v>3.0</v>
      </c>
      <c r="G6263" s="232"/>
    </row>
    <row r="6264">
      <c r="A6264" s="2"/>
      <c r="B6264" s="168" t="s">
        <v>234</v>
      </c>
      <c r="C6264" s="168" t="s">
        <v>6490</v>
      </c>
      <c r="D6264" s="229">
        <v>29.5</v>
      </c>
      <c r="E6264" s="229">
        <v>33.0</v>
      </c>
      <c r="F6264" s="230">
        <v>3.0</v>
      </c>
      <c r="G6264" s="232"/>
    </row>
    <row r="6265">
      <c r="A6265" s="2"/>
      <c r="B6265" s="168" t="s">
        <v>269</v>
      </c>
      <c r="C6265" s="168" t="s">
        <v>6491</v>
      </c>
      <c r="D6265" s="229">
        <v>26.5</v>
      </c>
      <c r="E6265" s="229">
        <v>30.0</v>
      </c>
      <c r="F6265" s="230">
        <v>3.0</v>
      </c>
      <c r="G6265" s="232"/>
    </row>
    <row r="6266">
      <c r="A6266" s="2"/>
      <c r="B6266" s="168" t="s">
        <v>232</v>
      </c>
      <c r="C6266" s="168" t="s">
        <v>6492</v>
      </c>
      <c r="D6266" s="229">
        <v>27.5</v>
      </c>
      <c r="E6266" s="229">
        <v>31.0</v>
      </c>
      <c r="F6266" s="230">
        <v>3.0</v>
      </c>
      <c r="G6266" s="232"/>
    </row>
    <row r="6267">
      <c r="A6267" s="2"/>
      <c r="B6267" s="168" t="s">
        <v>241</v>
      </c>
      <c r="C6267" s="168" t="s">
        <v>6493</v>
      </c>
      <c r="D6267" s="229">
        <v>32.0</v>
      </c>
      <c r="E6267" s="229">
        <v>35.5</v>
      </c>
      <c r="F6267" s="230">
        <v>3.0</v>
      </c>
      <c r="G6267" s="232"/>
    </row>
    <row r="6268">
      <c r="A6268" s="2"/>
      <c r="B6268" s="168" t="s">
        <v>230</v>
      </c>
      <c r="C6268" s="168" t="s">
        <v>6494</v>
      </c>
      <c r="D6268" s="229">
        <v>16.5</v>
      </c>
      <c r="E6268" s="229">
        <v>20.0</v>
      </c>
      <c r="F6268" s="230">
        <v>3.0</v>
      </c>
      <c r="G6268" s="232"/>
    </row>
    <row r="6269">
      <c r="A6269" s="2"/>
      <c r="B6269" s="168" t="s">
        <v>217</v>
      </c>
      <c r="C6269" s="168" t="s">
        <v>6495</v>
      </c>
      <c r="D6269" s="229">
        <v>27.5</v>
      </c>
      <c r="E6269" s="229">
        <v>31.0</v>
      </c>
      <c r="F6269" s="230">
        <v>3.0</v>
      </c>
      <c r="G6269" s="232"/>
    </row>
    <row r="6270">
      <c r="A6270" s="2"/>
      <c r="B6270" s="168" t="s">
        <v>230</v>
      </c>
      <c r="C6270" s="168" t="s">
        <v>6496</v>
      </c>
      <c r="D6270" s="229">
        <v>16.5</v>
      </c>
      <c r="E6270" s="229">
        <v>20.0</v>
      </c>
      <c r="F6270" s="230">
        <v>3.0</v>
      </c>
      <c r="G6270" s="232"/>
    </row>
    <row r="6271">
      <c r="A6271" s="2"/>
      <c r="B6271" s="168" t="s">
        <v>241</v>
      </c>
      <c r="C6271" s="168" t="s">
        <v>6497</v>
      </c>
      <c r="D6271" s="229">
        <v>32.5</v>
      </c>
      <c r="E6271" s="229">
        <v>36.0</v>
      </c>
      <c r="F6271" s="230">
        <v>3.0</v>
      </c>
      <c r="G6271" s="232"/>
    </row>
    <row r="6272">
      <c r="A6272" s="2"/>
      <c r="B6272" s="168" t="s">
        <v>288</v>
      </c>
      <c r="C6272" s="168" t="s">
        <v>6498</v>
      </c>
      <c r="D6272" s="229">
        <v>21.5</v>
      </c>
      <c r="E6272" s="229">
        <v>25.0</v>
      </c>
      <c r="F6272" s="230">
        <v>3.0</v>
      </c>
      <c r="G6272" s="232"/>
    </row>
    <row r="6273">
      <c r="A6273" s="2"/>
      <c r="B6273" s="168" t="s">
        <v>328</v>
      </c>
      <c r="C6273" s="168" t="s">
        <v>6499</v>
      </c>
      <c r="D6273" s="229">
        <v>34.5</v>
      </c>
      <c r="E6273" s="229">
        <v>38.0</v>
      </c>
      <c r="F6273" s="230">
        <v>3.0</v>
      </c>
      <c r="G6273" s="232"/>
    </row>
    <row r="6274">
      <c r="A6274" s="2"/>
      <c r="B6274" s="168" t="s">
        <v>430</v>
      </c>
      <c r="C6274" s="168" t="s">
        <v>6500</v>
      </c>
      <c r="D6274" s="229">
        <v>34.5</v>
      </c>
      <c r="E6274" s="229">
        <v>38.0</v>
      </c>
      <c r="F6274" s="230">
        <v>3.0</v>
      </c>
      <c r="G6274" s="232"/>
    </row>
    <row r="6275">
      <c r="A6275" s="2"/>
      <c r="B6275" s="168" t="s">
        <v>217</v>
      </c>
      <c r="C6275" s="168" t="s">
        <v>6501</v>
      </c>
      <c r="D6275" s="229">
        <v>27.5</v>
      </c>
      <c r="E6275" s="229">
        <v>31.0</v>
      </c>
      <c r="F6275" s="230">
        <v>3.0</v>
      </c>
      <c r="G6275" s="232"/>
    </row>
    <row r="6276">
      <c r="A6276" s="2"/>
      <c r="B6276" s="168" t="s">
        <v>273</v>
      </c>
      <c r="C6276" s="168" t="s">
        <v>6502</v>
      </c>
      <c r="D6276" s="229">
        <v>24.5</v>
      </c>
      <c r="E6276" s="229">
        <v>28.0</v>
      </c>
      <c r="F6276" s="230">
        <v>3.0</v>
      </c>
      <c r="G6276" s="232"/>
    </row>
    <row r="6277">
      <c r="A6277" s="2"/>
      <c r="B6277" s="168" t="s">
        <v>337</v>
      </c>
      <c r="C6277" s="168" t="s">
        <v>6503</v>
      </c>
      <c r="D6277" s="229">
        <v>28.5</v>
      </c>
      <c r="E6277" s="229">
        <v>32.0</v>
      </c>
      <c r="F6277" s="230">
        <v>3.0</v>
      </c>
      <c r="G6277" s="232"/>
    </row>
    <row r="6278">
      <c r="A6278" s="2"/>
      <c r="B6278" s="168" t="s">
        <v>368</v>
      </c>
      <c r="C6278" s="168" t="s">
        <v>6504</v>
      </c>
      <c r="D6278" s="229">
        <v>32.5</v>
      </c>
      <c r="E6278" s="229">
        <v>36.0</v>
      </c>
      <c r="F6278" s="230">
        <v>3.0</v>
      </c>
      <c r="G6278" s="232"/>
    </row>
    <row r="6279">
      <c r="A6279" s="2"/>
      <c r="B6279" s="168" t="s">
        <v>223</v>
      </c>
      <c r="C6279" s="168" t="s">
        <v>6505</v>
      </c>
      <c r="D6279" s="229">
        <v>26.5</v>
      </c>
      <c r="E6279" s="229">
        <v>30.0</v>
      </c>
      <c r="F6279" s="230">
        <v>3.0</v>
      </c>
      <c r="G6279" s="232"/>
    </row>
    <row r="6280">
      <c r="A6280" s="2"/>
      <c r="B6280" s="168" t="s">
        <v>221</v>
      </c>
      <c r="C6280" s="168" t="s">
        <v>6506</v>
      </c>
      <c r="D6280" s="229">
        <v>27.5</v>
      </c>
      <c r="E6280" s="229">
        <v>31.0</v>
      </c>
      <c r="F6280" s="230">
        <v>3.0</v>
      </c>
      <c r="G6280" s="232"/>
    </row>
    <row r="6281">
      <c r="A6281" s="2"/>
      <c r="B6281" s="168" t="s">
        <v>232</v>
      </c>
      <c r="C6281" s="168" t="s">
        <v>6507</v>
      </c>
      <c r="D6281" s="229">
        <v>27.5</v>
      </c>
      <c r="E6281" s="229">
        <v>31.0</v>
      </c>
      <c r="F6281" s="230">
        <v>3.0</v>
      </c>
      <c r="G6281" s="232"/>
    </row>
    <row r="6282">
      <c r="A6282" s="2"/>
      <c r="B6282" s="168" t="s">
        <v>273</v>
      </c>
      <c r="C6282" s="168" t="s">
        <v>6508</v>
      </c>
      <c r="D6282" s="229">
        <v>29.5</v>
      </c>
      <c r="E6282" s="229">
        <v>33.0</v>
      </c>
      <c r="F6282" s="230">
        <v>3.0</v>
      </c>
      <c r="G6282" s="232"/>
    </row>
    <row r="6283">
      <c r="A6283" s="2"/>
      <c r="B6283" s="168" t="s">
        <v>337</v>
      </c>
      <c r="C6283" s="168" t="s">
        <v>6509</v>
      </c>
      <c r="D6283" s="229">
        <v>28.5</v>
      </c>
      <c r="E6283" s="229">
        <v>32.0</v>
      </c>
      <c r="F6283" s="230">
        <v>3.0</v>
      </c>
      <c r="G6283" s="232"/>
    </row>
    <row r="6284">
      <c r="A6284" s="2"/>
      <c r="B6284" s="168" t="s">
        <v>255</v>
      </c>
      <c r="C6284" s="168" t="s">
        <v>6510</v>
      </c>
      <c r="D6284" s="229">
        <v>30.5</v>
      </c>
      <c r="E6284" s="229">
        <v>34.0</v>
      </c>
      <c r="F6284" s="230">
        <v>3.0</v>
      </c>
      <c r="G6284" s="232"/>
    </row>
    <row r="6285">
      <c r="A6285" s="2"/>
      <c r="B6285" s="168" t="s">
        <v>269</v>
      </c>
      <c r="C6285" s="168" t="s">
        <v>6511</v>
      </c>
      <c r="D6285" s="229">
        <v>26.5</v>
      </c>
      <c r="E6285" s="229">
        <v>30.0</v>
      </c>
      <c r="F6285" s="230">
        <v>3.0</v>
      </c>
      <c r="G6285" s="232"/>
    </row>
    <row r="6286">
      <c r="A6286" s="2"/>
      <c r="B6286" s="168" t="s">
        <v>565</v>
      </c>
      <c r="C6286" s="168" t="s">
        <v>6512</v>
      </c>
      <c r="D6286" s="229">
        <v>24.5</v>
      </c>
      <c r="E6286" s="229">
        <v>28.0</v>
      </c>
      <c r="F6286" s="230">
        <v>3.0</v>
      </c>
      <c r="G6286" s="232"/>
    </row>
    <row r="6287">
      <c r="A6287" s="2"/>
      <c r="B6287" s="168" t="s">
        <v>288</v>
      </c>
      <c r="C6287" s="168" t="s">
        <v>6513</v>
      </c>
      <c r="D6287" s="229">
        <v>21.5</v>
      </c>
      <c r="E6287" s="229">
        <v>25.0</v>
      </c>
      <c r="F6287" s="230">
        <v>3.0</v>
      </c>
      <c r="G6287" s="232"/>
    </row>
    <row r="6288">
      <c r="A6288" s="2"/>
      <c r="B6288" s="168" t="s">
        <v>241</v>
      </c>
      <c r="C6288" s="168" t="s">
        <v>6514</v>
      </c>
      <c r="D6288" s="229">
        <v>32.5</v>
      </c>
      <c r="E6288" s="229">
        <v>36.0</v>
      </c>
      <c r="F6288" s="230">
        <v>3.0</v>
      </c>
      <c r="G6288" s="232"/>
    </row>
    <row r="6289">
      <c r="A6289" s="2"/>
      <c r="B6289" s="168" t="s">
        <v>377</v>
      </c>
      <c r="C6289" s="168" t="s">
        <v>6515</v>
      </c>
      <c r="D6289" s="229">
        <v>24.5</v>
      </c>
      <c r="E6289" s="229">
        <v>28.0</v>
      </c>
      <c r="F6289" s="230">
        <v>3.0</v>
      </c>
      <c r="G6289" s="232"/>
    </row>
    <row r="6290">
      <c r="A6290" s="2"/>
      <c r="B6290" s="168" t="s">
        <v>435</v>
      </c>
      <c r="C6290" s="168" t="s">
        <v>6516</v>
      </c>
      <c r="D6290" s="229">
        <v>10.0</v>
      </c>
      <c r="E6290" s="229">
        <v>10.0</v>
      </c>
      <c r="F6290" s="230">
        <v>3.0</v>
      </c>
      <c r="G6290" s="232"/>
    </row>
    <row r="6291">
      <c r="A6291" s="2"/>
      <c r="B6291" s="168" t="s">
        <v>239</v>
      </c>
      <c r="C6291" s="168" t="s">
        <v>6517</v>
      </c>
      <c r="D6291" s="229">
        <v>29.5</v>
      </c>
      <c r="E6291" s="229">
        <v>33.0</v>
      </c>
      <c r="F6291" s="230">
        <v>3.0</v>
      </c>
      <c r="G6291" s="232"/>
    </row>
    <row r="6292">
      <c r="A6292" s="2"/>
      <c r="B6292" s="168" t="s">
        <v>300</v>
      </c>
      <c r="C6292" s="168" t="s">
        <v>6518</v>
      </c>
      <c r="D6292" s="229">
        <v>24.5</v>
      </c>
      <c r="E6292" s="229">
        <v>28.0</v>
      </c>
      <c r="F6292" s="230">
        <v>3.0</v>
      </c>
      <c r="G6292" s="232"/>
    </row>
    <row r="6293">
      <c r="A6293" s="2"/>
      <c r="B6293" s="168" t="s">
        <v>368</v>
      </c>
      <c r="C6293" s="168" t="s">
        <v>6519</v>
      </c>
      <c r="D6293" s="229">
        <v>27.5</v>
      </c>
      <c r="E6293" s="229">
        <v>31.0</v>
      </c>
      <c r="F6293" s="230">
        <v>3.0</v>
      </c>
      <c r="G6293" s="232"/>
    </row>
    <row r="6294">
      <c r="A6294" s="2"/>
      <c r="B6294" s="168" t="s">
        <v>257</v>
      </c>
      <c r="C6294" s="168" t="s">
        <v>6520</v>
      </c>
      <c r="D6294" s="229">
        <v>28.5</v>
      </c>
      <c r="E6294" s="229">
        <v>32.0</v>
      </c>
      <c r="F6294" s="230">
        <v>3.0</v>
      </c>
      <c r="G6294" s="232"/>
    </row>
    <row r="6295">
      <c r="A6295" s="2"/>
      <c r="B6295" s="168" t="s">
        <v>215</v>
      </c>
      <c r="C6295" s="168" t="s">
        <v>6521</v>
      </c>
      <c r="D6295" s="229">
        <v>27.5</v>
      </c>
      <c r="E6295" s="229">
        <v>31.0</v>
      </c>
      <c r="F6295" s="230">
        <v>3.0</v>
      </c>
      <c r="G6295" s="232"/>
    </row>
    <row r="6296">
      <c r="A6296" s="2"/>
      <c r="B6296" s="168" t="s">
        <v>232</v>
      </c>
      <c r="C6296" s="168" t="s">
        <v>6522</v>
      </c>
      <c r="D6296" s="229">
        <v>30.5</v>
      </c>
      <c r="E6296" s="229">
        <v>34.0</v>
      </c>
      <c r="F6296" s="230">
        <v>3.0</v>
      </c>
      <c r="G6296" s="232"/>
    </row>
    <row r="6297">
      <c r="A6297" s="2"/>
      <c r="B6297" s="168" t="s">
        <v>368</v>
      </c>
      <c r="C6297" s="168" t="s">
        <v>6523</v>
      </c>
      <c r="D6297" s="229">
        <v>32.5</v>
      </c>
      <c r="E6297" s="229">
        <v>36.0</v>
      </c>
      <c r="F6297" s="230">
        <v>3.0</v>
      </c>
      <c r="G6297" s="232"/>
    </row>
    <row r="6298">
      <c r="A6298" s="2"/>
      <c r="B6298" s="168" t="s">
        <v>239</v>
      </c>
      <c r="C6298" s="168" t="s">
        <v>6524</v>
      </c>
      <c r="D6298" s="229">
        <v>29.5</v>
      </c>
      <c r="E6298" s="229">
        <v>33.0</v>
      </c>
      <c r="F6298" s="230">
        <v>3.0</v>
      </c>
      <c r="G6298" s="232"/>
    </row>
    <row r="6299">
      <c r="A6299" s="2"/>
      <c r="B6299" s="168" t="s">
        <v>236</v>
      </c>
      <c r="C6299" s="168" t="s">
        <v>6525</v>
      </c>
      <c r="D6299" s="229">
        <v>34.5</v>
      </c>
      <c r="E6299" s="229">
        <v>38.0</v>
      </c>
      <c r="F6299" s="230">
        <v>3.0</v>
      </c>
      <c r="G6299" s="232"/>
    </row>
    <row r="6300">
      <c r="A6300" s="2"/>
      <c r="B6300" s="168" t="s">
        <v>296</v>
      </c>
      <c r="C6300" s="168" t="s">
        <v>6526</v>
      </c>
      <c r="D6300" s="229">
        <v>26.5</v>
      </c>
      <c r="E6300" s="229">
        <v>30.0</v>
      </c>
      <c r="F6300" s="230">
        <v>3.0</v>
      </c>
      <c r="G6300" s="232"/>
    </row>
    <row r="6301">
      <c r="A6301" s="2"/>
      <c r="B6301" s="168" t="s">
        <v>300</v>
      </c>
      <c r="C6301" s="168" t="s">
        <v>6527</v>
      </c>
      <c r="D6301" s="229">
        <v>21.5</v>
      </c>
      <c r="E6301" s="229">
        <v>25.0</v>
      </c>
      <c r="F6301" s="230">
        <v>3.0</v>
      </c>
      <c r="G6301" s="232"/>
    </row>
    <row r="6302">
      <c r="A6302" s="2"/>
      <c r="B6302" s="168" t="s">
        <v>1311</v>
      </c>
      <c r="C6302" s="168" t="s">
        <v>6528</v>
      </c>
      <c r="D6302" s="229">
        <v>28.5</v>
      </c>
      <c r="E6302" s="229">
        <v>32.0</v>
      </c>
      <c r="F6302" s="230">
        <v>3.0</v>
      </c>
      <c r="G6302" s="232"/>
    </row>
    <row r="6303">
      <c r="A6303" s="2"/>
      <c r="B6303" s="168" t="s">
        <v>217</v>
      </c>
      <c r="C6303" s="168" t="s">
        <v>6529</v>
      </c>
      <c r="D6303" s="229">
        <v>27.5</v>
      </c>
      <c r="E6303" s="229">
        <v>31.0</v>
      </c>
      <c r="F6303" s="230">
        <v>3.0</v>
      </c>
      <c r="G6303" s="232"/>
    </row>
    <row r="6304">
      <c r="A6304" s="2"/>
      <c r="B6304" s="168" t="s">
        <v>337</v>
      </c>
      <c r="C6304" s="168" t="s">
        <v>6530</v>
      </c>
      <c r="D6304" s="229">
        <v>28.5</v>
      </c>
      <c r="E6304" s="229">
        <v>32.0</v>
      </c>
      <c r="F6304" s="230">
        <v>3.0</v>
      </c>
      <c r="G6304" s="232"/>
    </row>
    <row r="6305">
      <c r="A6305" s="2"/>
      <c r="B6305" s="168" t="s">
        <v>1311</v>
      </c>
      <c r="C6305" s="168" t="s">
        <v>6531</v>
      </c>
      <c r="D6305" s="229">
        <v>28.5</v>
      </c>
      <c r="E6305" s="229">
        <v>32.0</v>
      </c>
      <c r="F6305" s="230">
        <v>3.0</v>
      </c>
      <c r="G6305" s="232"/>
    </row>
    <row r="6306">
      <c r="A6306" s="2"/>
      <c r="B6306" s="168" t="s">
        <v>245</v>
      </c>
      <c r="C6306" s="168" t="s">
        <v>6532</v>
      </c>
      <c r="D6306" s="229">
        <v>29.5</v>
      </c>
      <c r="E6306" s="229">
        <v>33.0</v>
      </c>
      <c r="F6306" s="230">
        <v>3.0</v>
      </c>
      <c r="G6306" s="232"/>
    </row>
    <row r="6307">
      <c r="A6307" s="2"/>
      <c r="B6307" s="168" t="s">
        <v>296</v>
      </c>
      <c r="C6307" s="168" t="s">
        <v>6533</v>
      </c>
      <c r="D6307" s="229">
        <v>26.5</v>
      </c>
      <c r="E6307" s="229">
        <v>30.0</v>
      </c>
      <c r="F6307" s="230">
        <v>3.0</v>
      </c>
      <c r="G6307" s="232"/>
    </row>
    <row r="6308">
      <c r="A6308" s="2"/>
      <c r="B6308" s="168" t="s">
        <v>328</v>
      </c>
      <c r="C6308" s="168" t="s">
        <v>6534</v>
      </c>
      <c r="D6308" s="229">
        <v>34.5</v>
      </c>
      <c r="E6308" s="229">
        <v>38.0</v>
      </c>
      <c r="F6308" s="230">
        <v>3.0</v>
      </c>
      <c r="G6308" s="232"/>
    </row>
    <row r="6309">
      <c r="A6309" s="2"/>
      <c r="B6309" s="168" t="s">
        <v>245</v>
      </c>
      <c r="C6309" s="168" t="s">
        <v>6535</v>
      </c>
      <c r="D6309" s="229">
        <v>29.5</v>
      </c>
      <c r="E6309" s="229">
        <v>33.0</v>
      </c>
      <c r="F6309" s="230">
        <v>3.0</v>
      </c>
      <c r="G6309" s="232"/>
    </row>
    <row r="6310">
      <c r="A6310" s="2"/>
      <c r="B6310" s="168" t="s">
        <v>217</v>
      </c>
      <c r="C6310" s="168" t="s">
        <v>6536</v>
      </c>
      <c r="D6310" s="229">
        <v>27.5</v>
      </c>
      <c r="E6310" s="229">
        <v>31.0</v>
      </c>
      <c r="F6310" s="230">
        <v>3.0</v>
      </c>
      <c r="G6310" s="232"/>
    </row>
    <row r="6311">
      <c r="A6311" s="2"/>
      <c r="B6311" s="168" t="s">
        <v>296</v>
      </c>
      <c r="C6311" s="168" t="s">
        <v>6537</v>
      </c>
      <c r="D6311" s="229">
        <v>26.5</v>
      </c>
      <c r="E6311" s="229">
        <v>30.0</v>
      </c>
      <c r="F6311" s="230">
        <v>3.0</v>
      </c>
      <c r="G6311" s="232"/>
    </row>
    <row r="6312">
      <c r="A6312" s="2"/>
      <c r="B6312" s="168" t="s">
        <v>285</v>
      </c>
      <c r="C6312" s="168" t="s">
        <v>6538</v>
      </c>
      <c r="D6312" s="229">
        <v>24.5</v>
      </c>
      <c r="E6312" s="229">
        <v>28.0</v>
      </c>
      <c r="F6312" s="230">
        <v>3.0</v>
      </c>
      <c r="G6312" s="232"/>
    </row>
    <row r="6313">
      <c r="A6313" s="2"/>
      <c r="B6313" s="168" t="s">
        <v>217</v>
      </c>
      <c r="C6313" s="168" t="s">
        <v>6539</v>
      </c>
      <c r="D6313" s="229">
        <v>26.0</v>
      </c>
      <c r="E6313" s="229">
        <v>29.5</v>
      </c>
      <c r="F6313" s="230">
        <v>3.0</v>
      </c>
      <c r="G6313" s="232"/>
    </row>
    <row r="6314">
      <c r="A6314" s="2"/>
      <c r="B6314" s="168" t="s">
        <v>615</v>
      </c>
      <c r="C6314" s="168" t="s">
        <v>6540</v>
      </c>
      <c r="D6314" s="229">
        <v>24.5</v>
      </c>
      <c r="E6314" s="229">
        <v>28.0</v>
      </c>
      <c r="F6314" s="230">
        <v>3.0</v>
      </c>
      <c r="G6314" s="232"/>
    </row>
    <row r="6315">
      <c r="A6315" s="2"/>
      <c r="B6315" s="168" t="s">
        <v>318</v>
      </c>
      <c r="C6315" s="168" t="s">
        <v>6541</v>
      </c>
      <c r="D6315" s="229">
        <v>25.5</v>
      </c>
      <c r="E6315" s="229">
        <v>29.0</v>
      </c>
      <c r="F6315" s="230">
        <v>3.0</v>
      </c>
      <c r="G6315" s="232"/>
    </row>
    <row r="6316">
      <c r="A6316" s="2"/>
      <c r="B6316" s="168" t="s">
        <v>236</v>
      </c>
      <c r="C6316" s="168" t="s">
        <v>6542</v>
      </c>
      <c r="D6316" s="229">
        <v>34.5</v>
      </c>
      <c r="E6316" s="229">
        <v>38.0</v>
      </c>
      <c r="F6316" s="230">
        <v>3.0</v>
      </c>
      <c r="G6316" s="232"/>
    </row>
    <row r="6317">
      <c r="A6317" s="2"/>
      <c r="B6317" s="168" t="s">
        <v>285</v>
      </c>
      <c r="C6317" s="168" t="s">
        <v>6543</v>
      </c>
      <c r="D6317" s="229">
        <v>24.5</v>
      </c>
      <c r="E6317" s="229">
        <v>28.0</v>
      </c>
      <c r="F6317" s="230">
        <v>3.0</v>
      </c>
      <c r="G6317" s="232"/>
    </row>
    <row r="6318">
      <c r="A6318" s="2"/>
      <c r="B6318" s="168" t="s">
        <v>236</v>
      </c>
      <c r="C6318" s="168" t="s">
        <v>6544</v>
      </c>
      <c r="D6318" s="229">
        <v>34.5</v>
      </c>
      <c r="E6318" s="229">
        <v>38.0</v>
      </c>
      <c r="F6318" s="230">
        <v>3.0</v>
      </c>
      <c r="G6318" s="232"/>
    </row>
    <row r="6319">
      <c r="A6319" s="2"/>
      <c r="B6319" s="168" t="s">
        <v>332</v>
      </c>
      <c r="C6319" s="168" t="s">
        <v>6545</v>
      </c>
      <c r="D6319" s="229">
        <v>28.5</v>
      </c>
      <c r="E6319" s="229">
        <v>32.0</v>
      </c>
      <c r="F6319" s="230">
        <v>3.0</v>
      </c>
      <c r="G6319" s="232"/>
    </row>
    <row r="6320">
      <c r="A6320" s="2"/>
      <c r="B6320" s="168" t="s">
        <v>243</v>
      </c>
      <c r="C6320" s="168" t="s">
        <v>6546</v>
      </c>
      <c r="D6320" s="229">
        <v>29.5</v>
      </c>
      <c r="E6320" s="229">
        <v>33.0</v>
      </c>
      <c r="F6320" s="230">
        <v>3.0</v>
      </c>
      <c r="G6320" s="232"/>
    </row>
    <row r="6321">
      <c r="A6321" s="2"/>
      <c r="B6321" s="168" t="s">
        <v>236</v>
      </c>
      <c r="C6321" s="168" t="s">
        <v>6547</v>
      </c>
      <c r="D6321" s="229">
        <v>34.5</v>
      </c>
      <c r="E6321" s="229">
        <v>38.0</v>
      </c>
      <c r="F6321" s="230">
        <v>3.0</v>
      </c>
      <c r="G6321" s="232"/>
    </row>
    <row r="6322">
      <c r="A6322" s="2"/>
      <c r="B6322" s="168" t="s">
        <v>241</v>
      </c>
      <c r="C6322" s="168" t="s">
        <v>6548</v>
      </c>
      <c r="D6322" s="229">
        <v>27.5</v>
      </c>
      <c r="E6322" s="229">
        <v>31.0</v>
      </c>
      <c r="F6322" s="230">
        <v>3.0</v>
      </c>
      <c r="G6322" s="232"/>
    </row>
    <row r="6323">
      <c r="A6323" s="2"/>
      <c r="B6323" s="168" t="s">
        <v>232</v>
      </c>
      <c r="C6323" s="168" t="s">
        <v>6549</v>
      </c>
      <c r="D6323" s="229">
        <v>25.5</v>
      </c>
      <c r="E6323" s="229">
        <v>29.0</v>
      </c>
      <c r="F6323" s="230">
        <v>3.0</v>
      </c>
      <c r="G6323" s="232"/>
    </row>
    <row r="6324">
      <c r="A6324" s="2"/>
      <c r="B6324" s="168" t="s">
        <v>288</v>
      </c>
      <c r="C6324" s="168" t="s">
        <v>6550</v>
      </c>
      <c r="D6324" s="229">
        <v>16.5</v>
      </c>
      <c r="E6324" s="229">
        <v>20.0</v>
      </c>
      <c r="F6324" s="230">
        <v>3.0</v>
      </c>
      <c r="G6324" s="232"/>
    </row>
    <row r="6325">
      <c r="A6325" s="2"/>
      <c r="B6325" s="168" t="s">
        <v>230</v>
      </c>
      <c r="C6325" s="168" t="s">
        <v>6551</v>
      </c>
      <c r="D6325" s="229">
        <v>21.5</v>
      </c>
      <c r="E6325" s="229">
        <v>25.0</v>
      </c>
      <c r="F6325" s="230">
        <v>3.0</v>
      </c>
      <c r="G6325" s="232"/>
    </row>
    <row r="6326">
      <c r="A6326" s="2"/>
      <c r="B6326" s="168" t="s">
        <v>230</v>
      </c>
      <c r="C6326" s="168" t="s">
        <v>6552</v>
      </c>
      <c r="D6326" s="229">
        <v>16.5</v>
      </c>
      <c r="E6326" s="229">
        <v>20.0</v>
      </c>
      <c r="F6326" s="230">
        <v>3.0</v>
      </c>
      <c r="G6326" s="232"/>
    </row>
    <row r="6327">
      <c r="A6327" s="2"/>
      <c r="B6327" s="168" t="s">
        <v>592</v>
      </c>
      <c r="C6327" s="168" t="s">
        <v>6553</v>
      </c>
      <c r="D6327" s="229">
        <v>34.5</v>
      </c>
      <c r="E6327" s="229">
        <v>38.0</v>
      </c>
      <c r="F6327" s="230">
        <v>3.0</v>
      </c>
      <c r="G6327" s="232"/>
    </row>
    <row r="6328">
      <c r="A6328" s="2"/>
      <c r="B6328" s="168" t="s">
        <v>223</v>
      </c>
      <c r="C6328" s="168" t="s">
        <v>6554</v>
      </c>
      <c r="D6328" s="229">
        <v>26.5</v>
      </c>
      <c r="E6328" s="229">
        <v>30.0</v>
      </c>
      <c r="F6328" s="230">
        <v>3.0</v>
      </c>
      <c r="G6328" s="232"/>
    </row>
    <row r="6329">
      <c r="A6329" s="2"/>
      <c r="B6329" s="168" t="s">
        <v>368</v>
      </c>
      <c r="C6329" s="168" t="s">
        <v>6555</v>
      </c>
      <c r="D6329" s="229">
        <v>32.5</v>
      </c>
      <c r="E6329" s="229">
        <v>36.0</v>
      </c>
      <c r="F6329" s="230">
        <v>3.0</v>
      </c>
      <c r="G6329" s="232"/>
    </row>
    <row r="6330">
      <c r="A6330" s="2"/>
      <c r="B6330" s="168" t="s">
        <v>230</v>
      </c>
      <c r="C6330" s="168" t="s">
        <v>6556</v>
      </c>
      <c r="D6330" s="229">
        <v>21.5</v>
      </c>
      <c r="E6330" s="229">
        <v>25.0</v>
      </c>
      <c r="F6330" s="230">
        <v>3.0</v>
      </c>
      <c r="G6330" s="232"/>
    </row>
    <row r="6331">
      <c r="A6331" s="2"/>
      <c r="B6331" s="168" t="s">
        <v>811</v>
      </c>
      <c r="C6331" s="168" t="s">
        <v>6557</v>
      </c>
      <c r="D6331" s="229">
        <v>29.5</v>
      </c>
      <c r="E6331" s="229">
        <v>33.0</v>
      </c>
      <c r="F6331" s="230">
        <v>3.0</v>
      </c>
      <c r="G6331" s="232"/>
    </row>
    <row r="6332">
      <c r="A6332" s="2"/>
      <c r="B6332" s="168" t="s">
        <v>296</v>
      </c>
      <c r="C6332" s="168" t="s">
        <v>6558</v>
      </c>
      <c r="D6332" s="229">
        <v>26.5</v>
      </c>
      <c r="E6332" s="229">
        <v>30.0</v>
      </c>
      <c r="F6332" s="230">
        <v>3.0</v>
      </c>
      <c r="G6332" s="232"/>
    </row>
    <row r="6333">
      <c r="A6333" s="2"/>
      <c r="B6333" s="168" t="s">
        <v>341</v>
      </c>
      <c r="C6333" s="168" t="s">
        <v>6559</v>
      </c>
      <c r="D6333" s="229">
        <v>29.5</v>
      </c>
      <c r="E6333" s="229">
        <v>29.5</v>
      </c>
      <c r="F6333" s="230">
        <v>3.0</v>
      </c>
      <c r="G6333" s="232"/>
    </row>
    <row r="6334">
      <c r="A6334" s="2"/>
      <c r="B6334" s="168" t="s">
        <v>230</v>
      </c>
      <c r="C6334" s="168" t="s">
        <v>6560</v>
      </c>
      <c r="D6334" s="229">
        <v>16.5</v>
      </c>
      <c r="E6334" s="229">
        <v>20.0</v>
      </c>
      <c r="F6334" s="230">
        <v>3.0</v>
      </c>
      <c r="G6334" s="232"/>
    </row>
    <row r="6335">
      <c r="A6335" s="2"/>
      <c r="B6335" s="168" t="s">
        <v>290</v>
      </c>
      <c r="C6335" s="168" t="s">
        <v>6561</v>
      </c>
      <c r="D6335" s="229">
        <v>29.5</v>
      </c>
      <c r="E6335" s="229">
        <v>33.0</v>
      </c>
      <c r="F6335" s="230">
        <v>3.0</v>
      </c>
      <c r="G6335" s="232"/>
    </row>
    <row r="6336">
      <c r="A6336" s="2"/>
      <c r="B6336" s="168" t="s">
        <v>257</v>
      </c>
      <c r="C6336" s="168" t="s">
        <v>6562</v>
      </c>
      <c r="D6336" s="229">
        <v>28.5</v>
      </c>
      <c r="E6336" s="229">
        <v>32.0</v>
      </c>
      <c r="F6336" s="230">
        <v>3.0</v>
      </c>
      <c r="G6336" s="232"/>
    </row>
    <row r="6337">
      <c r="A6337" s="2"/>
      <c r="B6337" s="168" t="s">
        <v>269</v>
      </c>
      <c r="C6337" s="168" t="s">
        <v>6563</v>
      </c>
      <c r="D6337" s="229">
        <v>26.5</v>
      </c>
      <c r="E6337" s="229">
        <v>30.0</v>
      </c>
      <c r="F6337" s="230">
        <v>3.0</v>
      </c>
      <c r="G6337" s="232"/>
    </row>
    <row r="6338">
      <c r="A6338" s="2"/>
      <c r="B6338" s="168" t="s">
        <v>273</v>
      </c>
      <c r="C6338" s="168" t="s">
        <v>6564</v>
      </c>
      <c r="D6338" s="229">
        <v>27.5</v>
      </c>
      <c r="E6338" s="229">
        <v>31.0</v>
      </c>
      <c r="F6338" s="230">
        <v>3.0</v>
      </c>
      <c r="G6338" s="232"/>
    </row>
    <row r="6339">
      <c r="A6339" s="2"/>
      <c r="B6339" s="168" t="s">
        <v>230</v>
      </c>
      <c r="C6339" s="168" t="s">
        <v>6565</v>
      </c>
      <c r="D6339" s="229">
        <v>21.5</v>
      </c>
      <c r="E6339" s="229">
        <v>25.0</v>
      </c>
      <c r="F6339" s="230">
        <v>3.0</v>
      </c>
      <c r="G6339" s="232"/>
    </row>
    <row r="6340">
      <c r="A6340" s="2"/>
      <c r="B6340" s="168" t="s">
        <v>328</v>
      </c>
      <c r="C6340" s="168" t="s">
        <v>6566</v>
      </c>
      <c r="D6340" s="229">
        <v>34.5</v>
      </c>
      <c r="E6340" s="229">
        <v>38.0</v>
      </c>
      <c r="F6340" s="230">
        <v>3.0</v>
      </c>
      <c r="G6340" s="232"/>
    </row>
    <row r="6341">
      <c r="A6341" s="2"/>
      <c r="B6341" s="168" t="s">
        <v>217</v>
      </c>
      <c r="C6341" s="168" t="s">
        <v>6567</v>
      </c>
      <c r="D6341" s="229">
        <v>27.5</v>
      </c>
      <c r="E6341" s="229">
        <v>31.0</v>
      </c>
      <c r="F6341" s="230">
        <v>3.0</v>
      </c>
      <c r="G6341" s="232"/>
    </row>
    <row r="6342">
      <c r="A6342" s="2"/>
      <c r="B6342" s="168" t="s">
        <v>273</v>
      </c>
      <c r="C6342" s="168" t="s">
        <v>6568</v>
      </c>
      <c r="D6342" s="229">
        <v>24.5</v>
      </c>
      <c r="E6342" s="229">
        <v>28.0</v>
      </c>
      <c r="F6342" s="230">
        <v>3.0</v>
      </c>
      <c r="G6342" s="232"/>
    </row>
    <row r="6343">
      <c r="A6343" s="2"/>
      <c r="B6343" s="168" t="s">
        <v>337</v>
      </c>
      <c r="C6343" s="168" t="s">
        <v>6569</v>
      </c>
      <c r="D6343" s="229">
        <v>28.5</v>
      </c>
      <c r="E6343" s="229">
        <v>32.0</v>
      </c>
      <c r="F6343" s="230">
        <v>3.0</v>
      </c>
      <c r="G6343" s="232"/>
    </row>
    <row r="6344">
      <c r="A6344" s="2"/>
      <c r="B6344" s="168" t="s">
        <v>215</v>
      </c>
      <c r="C6344" s="168" t="s">
        <v>6570</v>
      </c>
      <c r="D6344" s="229">
        <v>28.5</v>
      </c>
      <c r="E6344" s="229">
        <v>32.0</v>
      </c>
      <c r="F6344" s="230">
        <v>3.0</v>
      </c>
      <c r="G6344" s="232"/>
    </row>
    <row r="6345">
      <c r="A6345" s="2"/>
      <c r="B6345" s="168" t="s">
        <v>257</v>
      </c>
      <c r="C6345" s="168" t="s">
        <v>6571</v>
      </c>
      <c r="D6345" s="229">
        <v>28.5</v>
      </c>
      <c r="E6345" s="229">
        <v>32.0</v>
      </c>
      <c r="F6345" s="230">
        <v>3.0</v>
      </c>
      <c r="G6345" s="232"/>
    </row>
    <row r="6346">
      <c r="A6346" s="2"/>
      <c r="B6346" s="168" t="s">
        <v>285</v>
      </c>
      <c r="C6346" s="168" t="s">
        <v>6572</v>
      </c>
      <c r="D6346" s="229">
        <v>24.5</v>
      </c>
      <c r="E6346" s="229">
        <v>28.0</v>
      </c>
      <c r="F6346" s="230">
        <v>3.0</v>
      </c>
      <c r="G6346" s="232"/>
    </row>
    <row r="6347">
      <c r="A6347" s="2"/>
      <c r="B6347" s="168" t="s">
        <v>345</v>
      </c>
      <c r="C6347" s="168" t="s">
        <v>6573</v>
      </c>
      <c r="D6347" s="229">
        <v>26.5</v>
      </c>
      <c r="E6347" s="229">
        <v>30.0</v>
      </c>
      <c r="F6347" s="230">
        <v>3.0</v>
      </c>
      <c r="G6347" s="232"/>
    </row>
    <row r="6348">
      <c r="A6348" s="2"/>
      <c r="B6348" s="168" t="s">
        <v>296</v>
      </c>
      <c r="C6348" s="168" t="s">
        <v>6574</v>
      </c>
      <c r="D6348" s="229">
        <v>26.5</v>
      </c>
      <c r="E6348" s="229">
        <v>30.0</v>
      </c>
      <c r="F6348" s="230">
        <v>3.0</v>
      </c>
      <c r="G6348" s="232"/>
    </row>
    <row r="6349">
      <c r="A6349" s="2"/>
      <c r="B6349" s="168" t="s">
        <v>438</v>
      </c>
      <c r="C6349" s="168" t="s">
        <v>6575</v>
      </c>
      <c r="D6349" s="229">
        <v>29.5</v>
      </c>
      <c r="E6349" s="229">
        <v>33.0</v>
      </c>
      <c r="F6349" s="230">
        <v>3.0</v>
      </c>
      <c r="G6349" s="232"/>
    </row>
    <row r="6350">
      <c r="A6350" s="2"/>
      <c r="B6350" s="168" t="s">
        <v>257</v>
      </c>
      <c r="C6350" s="168" t="s">
        <v>6576</v>
      </c>
      <c r="D6350" s="229">
        <v>23.5</v>
      </c>
      <c r="E6350" s="229">
        <v>27.0</v>
      </c>
      <c r="F6350" s="230">
        <v>3.0</v>
      </c>
      <c r="G6350" s="232"/>
    </row>
    <row r="6351">
      <c r="A6351" s="2"/>
      <c r="B6351" s="168" t="s">
        <v>294</v>
      </c>
      <c r="C6351" s="168" t="s">
        <v>294</v>
      </c>
      <c r="D6351" s="229">
        <v>19.5</v>
      </c>
      <c r="E6351" s="229">
        <v>19.5</v>
      </c>
      <c r="F6351" s="230">
        <v>3.0</v>
      </c>
      <c r="G6351" s="232"/>
    </row>
    <row r="6352">
      <c r="A6352" s="2"/>
      <c r="B6352" s="168" t="s">
        <v>271</v>
      </c>
      <c r="C6352" s="168" t="s">
        <v>6577</v>
      </c>
      <c r="D6352" s="229">
        <v>30.5</v>
      </c>
      <c r="E6352" s="229">
        <v>34.0</v>
      </c>
      <c r="F6352" s="230">
        <v>3.0</v>
      </c>
      <c r="G6352" s="232"/>
    </row>
    <row r="6353">
      <c r="A6353" s="2"/>
      <c r="B6353" s="168" t="s">
        <v>241</v>
      </c>
      <c r="C6353" s="168" t="s">
        <v>6578</v>
      </c>
      <c r="D6353" s="229">
        <v>32.5</v>
      </c>
      <c r="E6353" s="229">
        <v>36.0</v>
      </c>
      <c r="F6353" s="230">
        <v>3.0</v>
      </c>
      <c r="G6353" s="232"/>
    </row>
    <row r="6354">
      <c r="A6354" s="2"/>
      <c r="B6354" s="168" t="s">
        <v>684</v>
      </c>
      <c r="C6354" s="168" t="s">
        <v>6579</v>
      </c>
      <c r="D6354" s="229">
        <v>25.5</v>
      </c>
      <c r="E6354" s="229">
        <v>29.0</v>
      </c>
      <c r="F6354" s="230">
        <v>3.0</v>
      </c>
      <c r="G6354" s="232"/>
    </row>
    <row r="6355">
      <c r="A6355" s="2"/>
      <c r="B6355" s="168" t="s">
        <v>241</v>
      </c>
      <c r="C6355" s="168" t="s">
        <v>6580</v>
      </c>
      <c r="D6355" s="229">
        <v>32.5</v>
      </c>
      <c r="E6355" s="229">
        <v>36.0</v>
      </c>
      <c r="F6355" s="230">
        <v>3.0</v>
      </c>
      <c r="G6355" s="232"/>
    </row>
    <row r="6356">
      <c r="A6356" s="2"/>
      <c r="B6356" s="168" t="s">
        <v>273</v>
      </c>
      <c r="C6356" s="168" t="s">
        <v>6581</v>
      </c>
      <c r="D6356" s="229">
        <v>29.5</v>
      </c>
      <c r="E6356" s="229">
        <v>33.0</v>
      </c>
      <c r="F6356" s="230">
        <v>3.0</v>
      </c>
      <c r="G6356" s="232"/>
    </row>
    <row r="6357">
      <c r="A6357" s="2"/>
      <c r="B6357" s="168" t="s">
        <v>236</v>
      </c>
      <c r="C6357" s="168" t="s">
        <v>6582</v>
      </c>
      <c r="D6357" s="229">
        <v>34.5</v>
      </c>
      <c r="E6357" s="229">
        <v>38.0</v>
      </c>
      <c r="F6357" s="230">
        <v>3.0</v>
      </c>
      <c r="G6357" s="232"/>
    </row>
    <row r="6358">
      <c r="A6358" s="2"/>
      <c r="B6358" s="168" t="s">
        <v>255</v>
      </c>
      <c r="C6358" s="168" t="s">
        <v>6583</v>
      </c>
      <c r="D6358" s="229">
        <v>31.5</v>
      </c>
      <c r="E6358" s="229">
        <v>35.0</v>
      </c>
      <c r="F6358" s="230">
        <v>3.0</v>
      </c>
      <c r="G6358" s="232"/>
    </row>
    <row r="6359">
      <c r="A6359" s="2"/>
      <c r="B6359" s="168" t="s">
        <v>241</v>
      </c>
      <c r="C6359" s="168" t="s">
        <v>6584</v>
      </c>
      <c r="D6359" s="229">
        <v>32.5</v>
      </c>
      <c r="E6359" s="229">
        <v>36.0</v>
      </c>
      <c r="F6359" s="230">
        <v>3.0</v>
      </c>
      <c r="G6359" s="232"/>
    </row>
    <row r="6360">
      <c r="A6360" s="2"/>
      <c r="B6360" s="168" t="s">
        <v>230</v>
      </c>
      <c r="C6360" s="168" t="s">
        <v>6585</v>
      </c>
      <c r="D6360" s="229">
        <v>21.5</v>
      </c>
      <c r="E6360" s="229">
        <v>25.0</v>
      </c>
      <c r="F6360" s="230">
        <v>3.0</v>
      </c>
      <c r="G6360" s="232"/>
    </row>
    <row r="6361">
      <c r="A6361" s="2"/>
      <c r="B6361" s="168" t="s">
        <v>230</v>
      </c>
      <c r="C6361" s="168" t="s">
        <v>6586</v>
      </c>
      <c r="D6361" s="229">
        <v>21.5</v>
      </c>
      <c r="E6361" s="229">
        <v>25.0</v>
      </c>
      <c r="F6361" s="230">
        <v>3.0</v>
      </c>
      <c r="G6361" s="232"/>
    </row>
    <row r="6362">
      <c r="A6362" s="2"/>
      <c r="B6362" s="168" t="s">
        <v>296</v>
      </c>
      <c r="C6362" s="168" t="s">
        <v>6587</v>
      </c>
      <c r="D6362" s="229">
        <v>26.0</v>
      </c>
      <c r="E6362" s="229">
        <v>29.5</v>
      </c>
      <c r="F6362" s="230">
        <v>3.0</v>
      </c>
      <c r="G6362" s="232"/>
    </row>
    <row r="6363">
      <c r="A6363" s="2"/>
      <c r="B6363" s="168" t="s">
        <v>337</v>
      </c>
      <c r="C6363" s="168" t="s">
        <v>6588</v>
      </c>
      <c r="D6363" s="229">
        <v>28.5</v>
      </c>
      <c r="E6363" s="229">
        <v>32.0</v>
      </c>
      <c r="F6363" s="230">
        <v>3.0</v>
      </c>
      <c r="G6363" s="232"/>
    </row>
    <row r="6364">
      <c r="A6364" s="2"/>
      <c r="B6364" s="168" t="s">
        <v>217</v>
      </c>
      <c r="C6364" s="168" t="s">
        <v>6589</v>
      </c>
      <c r="D6364" s="229">
        <v>27.0</v>
      </c>
      <c r="E6364" s="229">
        <v>30.5</v>
      </c>
      <c r="F6364" s="230">
        <v>3.0</v>
      </c>
      <c r="G6364" s="232"/>
    </row>
    <row r="6365">
      <c r="A6365" s="2"/>
      <c r="B6365" s="168" t="s">
        <v>230</v>
      </c>
      <c r="C6365" s="168" t="s">
        <v>6590</v>
      </c>
      <c r="D6365" s="229">
        <v>16.5</v>
      </c>
      <c r="E6365" s="229">
        <v>20.0</v>
      </c>
      <c r="F6365" s="230">
        <v>3.0</v>
      </c>
      <c r="G6365" s="232"/>
    </row>
    <row r="6366">
      <c r="A6366" s="2"/>
      <c r="B6366" s="168" t="s">
        <v>232</v>
      </c>
      <c r="C6366" s="168" t="s">
        <v>6591</v>
      </c>
      <c r="D6366" s="229">
        <v>25.5</v>
      </c>
      <c r="E6366" s="229">
        <v>29.0</v>
      </c>
      <c r="F6366" s="230">
        <v>3.0</v>
      </c>
      <c r="G6366" s="232"/>
    </row>
    <row r="6367">
      <c r="A6367" s="2"/>
      <c r="B6367" s="168" t="s">
        <v>1329</v>
      </c>
      <c r="C6367" s="168" t="s">
        <v>6592</v>
      </c>
      <c r="D6367" s="229">
        <v>26.5</v>
      </c>
      <c r="E6367" s="229">
        <v>30.0</v>
      </c>
      <c r="F6367" s="230">
        <v>3.0</v>
      </c>
      <c r="G6367" s="232"/>
    </row>
    <row r="6368">
      <c r="A6368" s="2"/>
      <c r="B6368" s="168" t="s">
        <v>430</v>
      </c>
      <c r="C6368" s="168" t="s">
        <v>6593</v>
      </c>
      <c r="D6368" s="229">
        <v>29.5</v>
      </c>
      <c r="E6368" s="229">
        <v>33.0</v>
      </c>
      <c r="F6368" s="230">
        <v>3.0</v>
      </c>
      <c r="G6368" s="232"/>
    </row>
    <row r="6369">
      <c r="A6369" s="2"/>
      <c r="B6369" s="168" t="s">
        <v>271</v>
      </c>
      <c r="C6369" s="168" t="s">
        <v>6594</v>
      </c>
      <c r="D6369" s="229">
        <v>31.0</v>
      </c>
      <c r="E6369" s="229">
        <v>34.5</v>
      </c>
      <c r="F6369" s="230">
        <v>3.0</v>
      </c>
      <c r="G6369" s="232"/>
    </row>
    <row r="6370">
      <c r="A6370" s="2"/>
      <c r="B6370" s="168" t="s">
        <v>230</v>
      </c>
      <c r="C6370" s="168" t="s">
        <v>6595</v>
      </c>
      <c r="D6370" s="229">
        <v>16.5</v>
      </c>
      <c r="E6370" s="229">
        <v>20.0</v>
      </c>
      <c r="F6370" s="230">
        <v>3.0</v>
      </c>
      <c r="G6370" s="232"/>
    </row>
    <row r="6371">
      <c r="A6371" s="2"/>
      <c r="B6371" s="168" t="s">
        <v>251</v>
      </c>
      <c r="C6371" s="168" t="s">
        <v>6596</v>
      </c>
      <c r="D6371" s="229">
        <v>34.5</v>
      </c>
      <c r="E6371" s="229">
        <v>38.0</v>
      </c>
      <c r="F6371" s="230">
        <v>3.0</v>
      </c>
      <c r="G6371" s="232"/>
    </row>
    <row r="6372">
      <c r="A6372" s="2"/>
      <c r="B6372" s="168" t="s">
        <v>438</v>
      </c>
      <c r="C6372" s="168" t="s">
        <v>6597</v>
      </c>
      <c r="D6372" s="229">
        <v>29.5</v>
      </c>
      <c r="E6372" s="229">
        <v>33.0</v>
      </c>
      <c r="F6372" s="230">
        <v>3.0</v>
      </c>
      <c r="G6372" s="232"/>
    </row>
    <row r="6373">
      <c r="A6373" s="2"/>
      <c r="B6373" s="168" t="s">
        <v>221</v>
      </c>
      <c r="C6373" s="168" t="s">
        <v>6598</v>
      </c>
      <c r="D6373" s="229">
        <v>27.5</v>
      </c>
      <c r="E6373" s="229">
        <v>31.0</v>
      </c>
      <c r="F6373" s="230">
        <v>3.0</v>
      </c>
      <c r="G6373" s="232"/>
    </row>
    <row r="6374">
      <c r="A6374" s="2"/>
      <c r="B6374" s="168" t="s">
        <v>239</v>
      </c>
      <c r="C6374" s="168" t="s">
        <v>6599</v>
      </c>
      <c r="D6374" s="229">
        <v>29.5</v>
      </c>
      <c r="E6374" s="229">
        <v>33.0</v>
      </c>
      <c r="F6374" s="230">
        <v>3.0</v>
      </c>
      <c r="G6374" s="232"/>
    </row>
    <row r="6375">
      <c r="A6375" s="2"/>
      <c r="B6375" s="168" t="s">
        <v>337</v>
      </c>
      <c r="C6375" s="168" t="s">
        <v>6600</v>
      </c>
      <c r="D6375" s="229">
        <v>28.5</v>
      </c>
      <c r="E6375" s="229">
        <v>32.0</v>
      </c>
      <c r="F6375" s="230">
        <v>3.0</v>
      </c>
      <c r="G6375" s="232"/>
    </row>
    <row r="6376">
      <c r="A6376" s="2"/>
      <c r="B6376" s="168" t="s">
        <v>241</v>
      </c>
      <c r="C6376" s="168" t="s">
        <v>6601</v>
      </c>
      <c r="D6376" s="229">
        <v>32.5</v>
      </c>
      <c r="E6376" s="229">
        <v>36.0</v>
      </c>
      <c r="F6376" s="230">
        <v>3.0</v>
      </c>
      <c r="G6376" s="232"/>
    </row>
    <row r="6377">
      <c r="A6377" s="2"/>
      <c r="B6377" s="168" t="s">
        <v>273</v>
      </c>
      <c r="C6377" s="168" t="s">
        <v>6602</v>
      </c>
      <c r="D6377" s="229">
        <v>29.5</v>
      </c>
      <c r="E6377" s="229">
        <v>33.0</v>
      </c>
      <c r="F6377" s="230">
        <v>3.0</v>
      </c>
      <c r="G6377" s="232"/>
    </row>
    <row r="6378">
      <c r="A6378" s="2"/>
      <c r="B6378" s="168" t="s">
        <v>430</v>
      </c>
      <c r="C6378" s="168" t="s">
        <v>6603</v>
      </c>
      <c r="D6378" s="229">
        <v>34.5</v>
      </c>
      <c r="E6378" s="229">
        <v>38.0</v>
      </c>
      <c r="F6378" s="230">
        <v>3.0</v>
      </c>
      <c r="G6378" s="232"/>
    </row>
    <row r="6379">
      <c r="A6379" s="2"/>
      <c r="B6379" s="168" t="s">
        <v>245</v>
      </c>
      <c r="C6379" s="168" t="s">
        <v>6604</v>
      </c>
      <c r="D6379" s="229">
        <v>29.5</v>
      </c>
      <c r="E6379" s="229">
        <v>33.0</v>
      </c>
      <c r="F6379" s="230">
        <v>3.0</v>
      </c>
      <c r="G6379" s="232"/>
    </row>
    <row r="6380">
      <c r="A6380" s="2"/>
      <c r="B6380" s="168" t="s">
        <v>223</v>
      </c>
      <c r="C6380" s="168" t="s">
        <v>6605</v>
      </c>
      <c r="D6380" s="229">
        <v>26.5</v>
      </c>
      <c r="E6380" s="229">
        <v>30.0</v>
      </c>
      <c r="F6380" s="230">
        <v>3.0</v>
      </c>
      <c r="G6380" s="232"/>
    </row>
    <row r="6381">
      <c r="A6381" s="2"/>
      <c r="B6381" s="168" t="s">
        <v>368</v>
      </c>
      <c r="C6381" s="168" t="s">
        <v>6606</v>
      </c>
      <c r="D6381" s="229">
        <v>32.5</v>
      </c>
      <c r="E6381" s="229">
        <v>36.0</v>
      </c>
      <c r="F6381" s="230">
        <v>3.0</v>
      </c>
      <c r="G6381" s="232"/>
    </row>
    <row r="6382">
      <c r="A6382" s="2"/>
      <c r="B6382" s="168" t="s">
        <v>337</v>
      </c>
      <c r="C6382" s="168" t="s">
        <v>6607</v>
      </c>
      <c r="D6382" s="229">
        <v>28.5</v>
      </c>
      <c r="E6382" s="229">
        <v>32.0</v>
      </c>
      <c r="F6382" s="230">
        <v>3.0</v>
      </c>
      <c r="G6382" s="232"/>
    </row>
    <row r="6383">
      <c r="A6383" s="2"/>
      <c r="B6383" s="168" t="s">
        <v>438</v>
      </c>
      <c r="C6383" s="168" t="s">
        <v>6608</v>
      </c>
      <c r="D6383" s="229">
        <v>29.5</v>
      </c>
      <c r="E6383" s="229">
        <v>33.0</v>
      </c>
      <c r="F6383" s="230">
        <v>3.0</v>
      </c>
      <c r="G6383" s="232"/>
    </row>
    <row r="6384">
      <c r="A6384" s="2"/>
      <c r="B6384" s="168" t="s">
        <v>230</v>
      </c>
      <c r="C6384" s="168" t="s">
        <v>6609</v>
      </c>
      <c r="D6384" s="229">
        <v>16.5</v>
      </c>
      <c r="E6384" s="229">
        <v>20.0</v>
      </c>
      <c r="F6384" s="230">
        <v>3.0</v>
      </c>
      <c r="G6384" s="232"/>
    </row>
    <row r="6385">
      <c r="A6385" s="2"/>
      <c r="B6385" s="168" t="s">
        <v>328</v>
      </c>
      <c r="C6385" s="168" t="s">
        <v>6610</v>
      </c>
      <c r="D6385" s="229">
        <v>34.5</v>
      </c>
      <c r="E6385" s="229">
        <v>38.0</v>
      </c>
      <c r="F6385" s="230">
        <v>3.0</v>
      </c>
      <c r="G6385" s="232"/>
    </row>
    <row r="6386">
      <c r="A6386" s="2"/>
      <c r="B6386" s="168" t="s">
        <v>430</v>
      </c>
      <c r="C6386" s="168" t="s">
        <v>6611</v>
      </c>
      <c r="D6386" s="229">
        <v>34.5</v>
      </c>
      <c r="E6386" s="229">
        <v>38.0</v>
      </c>
      <c r="F6386" s="230">
        <v>3.0</v>
      </c>
      <c r="G6386" s="232"/>
    </row>
    <row r="6387">
      <c r="A6387" s="2"/>
      <c r="B6387" s="168" t="s">
        <v>348</v>
      </c>
      <c r="C6387" s="168" t="s">
        <v>6612</v>
      </c>
      <c r="D6387" s="229">
        <v>24.5</v>
      </c>
      <c r="E6387" s="229">
        <v>28.0</v>
      </c>
      <c r="F6387" s="230">
        <v>3.0</v>
      </c>
      <c r="G6387" s="232"/>
    </row>
    <row r="6388">
      <c r="A6388" s="2"/>
      <c r="B6388" s="168" t="s">
        <v>328</v>
      </c>
      <c r="C6388" s="168" t="s">
        <v>6613</v>
      </c>
      <c r="D6388" s="229">
        <v>34.5</v>
      </c>
      <c r="E6388" s="229">
        <v>38.0</v>
      </c>
      <c r="F6388" s="230">
        <v>3.0</v>
      </c>
      <c r="G6388" s="232"/>
    </row>
    <row r="6389">
      <c r="A6389" s="2"/>
      <c r="B6389" s="168" t="s">
        <v>296</v>
      </c>
      <c r="C6389" s="168" t="s">
        <v>6614</v>
      </c>
      <c r="D6389" s="229">
        <v>26.5</v>
      </c>
      <c r="E6389" s="229">
        <v>30.0</v>
      </c>
      <c r="F6389" s="230">
        <v>3.0</v>
      </c>
      <c r="G6389" s="232"/>
    </row>
    <row r="6390">
      <c r="A6390" s="2"/>
      <c r="B6390" s="168" t="s">
        <v>230</v>
      </c>
      <c r="C6390" s="168" t="s">
        <v>6615</v>
      </c>
      <c r="D6390" s="229">
        <v>16.5</v>
      </c>
      <c r="E6390" s="229">
        <v>20.0</v>
      </c>
      <c r="F6390" s="230">
        <v>3.0</v>
      </c>
      <c r="G6390" s="232"/>
    </row>
    <row r="6391">
      <c r="A6391" s="2"/>
      <c r="B6391" s="168" t="s">
        <v>337</v>
      </c>
      <c r="C6391" s="168" t="s">
        <v>6616</v>
      </c>
      <c r="D6391" s="229">
        <v>28.5</v>
      </c>
      <c r="E6391" s="229">
        <v>32.0</v>
      </c>
      <c r="F6391" s="230">
        <v>3.0</v>
      </c>
      <c r="G6391" s="232"/>
    </row>
    <row r="6392">
      <c r="A6392" s="2"/>
      <c r="B6392" s="168" t="s">
        <v>217</v>
      </c>
      <c r="C6392" s="168" t="s">
        <v>6617</v>
      </c>
      <c r="D6392" s="229">
        <v>27.5</v>
      </c>
      <c r="E6392" s="229">
        <v>31.0</v>
      </c>
      <c r="F6392" s="230">
        <v>3.0</v>
      </c>
      <c r="G6392" s="232"/>
    </row>
    <row r="6393">
      <c r="A6393" s="2"/>
      <c r="B6393" s="168" t="s">
        <v>288</v>
      </c>
      <c r="C6393" s="168" t="s">
        <v>6618</v>
      </c>
      <c r="D6393" s="229">
        <v>16.5</v>
      </c>
      <c r="E6393" s="229">
        <v>20.0</v>
      </c>
      <c r="F6393" s="230">
        <v>3.0</v>
      </c>
      <c r="G6393" s="232"/>
    </row>
    <row r="6394">
      <c r="A6394" s="2"/>
      <c r="B6394" s="168" t="s">
        <v>381</v>
      </c>
      <c r="C6394" s="168" t="s">
        <v>6619</v>
      </c>
      <c r="D6394" s="229">
        <v>28.5</v>
      </c>
      <c r="E6394" s="229">
        <v>32.0</v>
      </c>
      <c r="F6394" s="230">
        <v>3.0</v>
      </c>
      <c r="G6394" s="232"/>
    </row>
    <row r="6395">
      <c r="A6395" s="2"/>
      <c r="B6395" s="168" t="s">
        <v>255</v>
      </c>
      <c r="C6395" s="168" t="s">
        <v>6620</v>
      </c>
      <c r="D6395" s="229">
        <v>31.5</v>
      </c>
      <c r="E6395" s="229">
        <v>35.0</v>
      </c>
      <c r="F6395" s="230">
        <v>3.0</v>
      </c>
      <c r="G6395" s="232"/>
    </row>
    <row r="6396">
      <c r="A6396" s="2"/>
      <c r="B6396" s="168" t="s">
        <v>221</v>
      </c>
      <c r="C6396" s="168" t="s">
        <v>6621</v>
      </c>
      <c r="D6396" s="229">
        <v>27.5</v>
      </c>
      <c r="E6396" s="229">
        <v>31.0</v>
      </c>
      <c r="F6396" s="230">
        <v>3.0</v>
      </c>
      <c r="G6396" s="232"/>
    </row>
    <row r="6397">
      <c r="A6397" s="2"/>
      <c r="B6397" s="168" t="s">
        <v>430</v>
      </c>
      <c r="C6397" s="168" t="s">
        <v>6622</v>
      </c>
      <c r="D6397" s="229">
        <v>34.5</v>
      </c>
      <c r="E6397" s="229">
        <v>38.0</v>
      </c>
      <c r="F6397" s="230">
        <v>3.0</v>
      </c>
      <c r="G6397" s="232"/>
    </row>
    <row r="6398">
      <c r="A6398" s="2"/>
      <c r="B6398" s="168" t="s">
        <v>230</v>
      </c>
      <c r="C6398" s="168" t="s">
        <v>6623</v>
      </c>
      <c r="D6398" s="229">
        <v>16.5</v>
      </c>
      <c r="E6398" s="229">
        <v>20.0</v>
      </c>
      <c r="F6398" s="230">
        <v>3.0</v>
      </c>
      <c r="G6398" s="232"/>
    </row>
    <row r="6399">
      <c r="A6399" s="2"/>
      <c r="B6399" s="168" t="s">
        <v>230</v>
      </c>
      <c r="C6399" s="168" t="s">
        <v>6624</v>
      </c>
      <c r="D6399" s="229">
        <v>16.5</v>
      </c>
      <c r="E6399" s="229">
        <v>20.0</v>
      </c>
      <c r="F6399" s="230">
        <v>3.0</v>
      </c>
      <c r="G6399" s="232"/>
    </row>
    <row r="6400">
      <c r="A6400" s="2"/>
      <c r="B6400" s="168" t="s">
        <v>230</v>
      </c>
      <c r="C6400" s="168" t="s">
        <v>6625</v>
      </c>
      <c r="D6400" s="229">
        <v>16.5</v>
      </c>
      <c r="E6400" s="229">
        <v>20.0</v>
      </c>
      <c r="F6400" s="230">
        <v>3.0</v>
      </c>
      <c r="G6400" s="232"/>
    </row>
    <row r="6401">
      <c r="A6401" s="2"/>
      <c r="B6401" s="168" t="s">
        <v>217</v>
      </c>
      <c r="C6401" s="168" t="s">
        <v>6626</v>
      </c>
      <c r="D6401" s="229">
        <v>22.5</v>
      </c>
      <c r="E6401" s="229">
        <v>26.0</v>
      </c>
      <c r="F6401" s="230">
        <v>3.0</v>
      </c>
      <c r="G6401" s="232"/>
    </row>
    <row r="6402">
      <c r="A6402" s="2"/>
      <c r="B6402" s="168" t="s">
        <v>430</v>
      </c>
      <c r="C6402" s="168" t="s">
        <v>6627</v>
      </c>
      <c r="D6402" s="229">
        <v>34.5</v>
      </c>
      <c r="E6402" s="229">
        <v>38.0</v>
      </c>
      <c r="F6402" s="230">
        <v>3.0</v>
      </c>
      <c r="G6402" s="232"/>
    </row>
    <row r="6403">
      <c r="A6403" s="2"/>
      <c r="B6403" s="168" t="s">
        <v>430</v>
      </c>
      <c r="C6403" s="168" t="s">
        <v>6628</v>
      </c>
      <c r="D6403" s="229">
        <v>34.5</v>
      </c>
      <c r="E6403" s="229">
        <v>38.0</v>
      </c>
      <c r="F6403" s="230">
        <v>3.0</v>
      </c>
      <c r="G6403" s="232"/>
    </row>
    <row r="6404">
      <c r="A6404" s="2"/>
      <c r="B6404" s="168" t="s">
        <v>381</v>
      </c>
      <c r="C6404" s="168" t="s">
        <v>6629</v>
      </c>
      <c r="D6404" s="229">
        <v>28.5</v>
      </c>
      <c r="E6404" s="229">
        <v>32.0</v>
      </c>
      <c r="F6404" s="230">
        <v>3.0</v>
      </c>
      <c r="G6404" s="232"/>
    </row>
    <row r="6405">
      <c r="A6405" s="2"/>
      <c r="B6405" s="168" t="s">
        <v>232</v>
      </c>
      <c r="C6405" s="168" t="s">
        <v>6630</v>
      </c>
      <c r="D6405" s="229">
        <v>25.5</v>
      </c>
      <c r="E6405" s="229">
        <v>29.0</v>
      </c>
      <c r="F6405" s="230">
        <v>3.0</v>
      </c>
      <c r="G6405" s="232"/>
    </row>
    <row r="6406">
      <c r="A6406" s="2"/>
      <c r="B6406" s="168" t="s">
        <v>337</v>
      </c>
      <c r="C6406" s="168" t="s">
        <v>6631</v>
      </c>
      <c r="D6406" s="229">
        <v>28.5</v>
      </c>
      <c r="E6406" s="229">
        <v>32.0</v>
      </c>
      <c r="F6406" s="230">
        <v>3.0</v>
      </c>
      <c r="G6406" s="232"/>
    </row>
    <row r="6407">
      <c r="A6407" s="2"/>
      <c r="B6407" s="168" t="s">
        <v>296</v>
      </c>
      <c r="C6407" s="168" t="s">
        <v>6632</v>
      </c>
      <c r="D6407" s="229">
        <v>26.0</v>
      </c>
      <c r="E6407" s="229">
        <v>29.5</v>
      </c>
      <c r="F6407" s="230">
        <v>3.0</v>
      </c>
      <c r="G6407" s="232"/>
    </row>
    <row r="6408">
      <c r="A6408" s="2"/>
      <c r="B6408" s="168" t="s">
        <v>381</v>
      </c>
      <c r="C6408" s="168" t="s">
        <v>6633</v>
      </c>
      <c r="D6408" s="229">
        <v>28.5</v>
      </c>
      <c r="E6408" s="229">
        <v>32.0</v>
      </c>
      <c r="F6408" s="230">
        <v>3.0</v>
      </c>
      <c r="G6408" s="232"/>
    </row>
    <row r="6409">
      <c r="A6409" s="2"/>
      <c r="B6409" s="168" t="s">
        <v>217</v>
      </c>
      <c r="C6409" s="168" t="s">
        <v>6634</v>
      </c>
      <c r="D6409" s="229">
        <v>27.5</v>
      </c>
      <c r="E6409" s="229">
        <v>31.0</v>
      </c>
      <c r="F6409" s="230">
        <v>3.0</v>
      </c>
      <c r="G6409" s="232"/>
    </row>
    <row r="6410">
      <c r="A6410" s="2"/>
      <c r="B6410" s="168" t="s">
        <v>337</v>
      </c>
      <c r="C6410" s="168" t="s">
        <v>6635</v>
      </c>
      <c r="D6410" s="229">
        <v>23.5</v>
      </c>
      <c r="E6410" s="229">
        <v>27.0</v>
      </c>
      <c r="F6410" s="230">
        <v>3.0</v>
      </c>
      <c r="G6410" s="232"/>
    </row>
    <row r="6411">
      <c r="A6411" s="2"/>
      <c r="B6411" s="168" t="s">
        <v>230</v>
      </c>
      <c r="C6411" s="168" t="s">
        <v>6636</v>
      </c>
      <c r="D6411" s="229">
        <v>16.5</v>
      </c>
      <c r="E6411" s="229">
        <v>20.0</v>
      </c>
      <c r="F6411" s="230">
        <v>3.0</v>
      </c>
      <c r="G6411" s="232"/>
    </row>
    <row r="6412">
      <c r="A6412" s="2"/>
      <c r="B6412" s="168" t="s">
        <v>230</v>
      </c>
      <c r="C6412" s="168" t="s">
        <v>6637</v>
      </c>
      <c r="D6412" s="229">
        <v>16.5</v>
      </c>
      <c r="E6412" s="229">
        <v>20.0</v>
      </c>
      <c r="F6412" s="230">
        <v>3.0</v>
      </c>
      <c r="G6412" s="232"/>
    </row>
    <row r="6413">
      <c r="A6413" s="2"/>
      <c r="B6413" s="168" t="s">
        <v>230</v>
      </c>
      <c r="C6413" s="168" t="s">
        <v>6638</v>
      </c>
      <c r="D6413" s="229">
        <v>16.5</v>
      </c>
      <c r="E6413" s="229">
        <v>20.0</v>
      </c>
      <c r="F6413" s="230">
        <v>3.0</v>
      </c>
      <c r="G6413" s="232"/>
    </row>
    <row r="6414">
      <c r="A6414" s="2"/>
      <c r="B6414" s="168" t="s">
        <v>381</v>
      </c>
      <c r="C6414" s="168" t="s">
        <v>6639</v>
      </c>
      <c r="D6414" s="229">
        <v>20.5</v>
      </c>
      <c r="E6414" s="229">
        <v>24.0</v>
      </c>
      <c r="F6414" s="230">
        <v>3.0</v>
      </c>
      <c r="G6414" s="232"/>
    </row>
    <row r="6415">
      <c r="A6415" s="2"/>
      <c r="B6415" s="168" t="s">
        <v>288</v>
      </c>
      <c r="C6415" s="168" t="s">
        <v>6640</v>
      </c>
      <c r="D6415" s="229">
        <v>21.5</v>
      </c>
      <c r="E6415" s="229">
        <v>25.0</v>
      </c>
      <c r="F6415" s="230">
        <v>3.0</v>
      </c>
      <c r="G6415" s="232"/>
    </row>
    <row r="6416">
      <c r="A6416" s="2"/>
      <c r="B6416" s="168" t="s">
        <v>221</v>
      </c>
      <c r="C6416" s="168" t="s">
        <v>6641</v>
      </c>
      <c r="D6416" s="229">
        <v>27.5</v>
      </c>
      <c r="E6416" s="229">
        <v>31.0</v>
      </c>
      <c r="F6416" s="230">
        <v>3.0</v>
      </c>
      <c r="G6416" s="232"/>
    </row>
    <row r="6417">
      <c r="A6417" s="2"/>
      <c r="B6417" s="168" t="s">
        <v>221</v>
      </c>
      <c r="C6417" s="168" t="s">
        <v>6642</v>
      </c>
      <c r="D6417" s="229">
        <v>27.5</v>
      </c>
      <c r="E6417" s="229">
        <v>31.0</v>
      </c>
      <c r="F6417" s="230">
        <v>3.0</v>
      </c>
      <c r="G6417" s="232"/>
    </row>
    <row r="6418">
      <c r="A6418" s="2"/>
      <c r="B6418" s="168" t="s">
        <v>337</v>
      </c>
      <c r="C6418" s="168" t="s">
        <v>6643</v>
      </c>
      <c r="D6418" s="229">
        <v>28.5</v>
      </c>
      <c r="E6418" s="229">
        <v>32.0</v>
      </c>
      <c r="F6418" s="230">
        <v>3.0</v>
      </c>
      <c r="G6418" s="232"/>
    </row>
    <row r="6419">
      <c r="A6419" s="2"/>
      <c r="B6419" s="168" t="s">
        <v>217</v>
      </c>
      <c r="C6419" s="168" t="s">
        <v>6644</v>
      </c>
      <c r="D6419" s="229">
        <v>27.5</v>
      </c>
      <c r="E6419" s="229">
        <v>31.0</v>
      </c>
      <c r="F6419" s="230">
        <v>3.0</v>
      </c>
      <c r="G6419" s="232"/>
    </row>
    <row r="6420">
      <c r="A6420" s="2"/>
      <c r="B6420" s="168" t="s">
        <v>217</v>
      </c>
      <c r="C6420" s="168" t="s">
        <v>6645</v>
      </c>
      <c r="D6420" s="229">
        <v>27.5</v>
      </c>
      <c r="E6420" s="229">
        <v>31.0</v>
      </c>
      <c r="F6420" s="230">
        <v>3.0</v>
      </c>
      <c r="G6420" s="232"/>
    </row>
    <row r="6421">
      <c r="A6421" s="2"/>
      <c r="B6421" s="168" t="s">
        <v>490</v>
      </c>
      <c r="C6421" s="168" t="s">
        <v>6646</v>
      </c>
      <c r="D6421" s="229">
        <v>34.5</v>
      </c>
      <c r="E6421" s="229">
        <v>38.0</v>
      </c>
      <c r="F6421" s="230">
        <v>3.0</v>
      </c>
      <c r="G6421" s="232"/>
    </row>
    <row r="6422">
      <c r="A6422" s="2"/>
      <c r="B6422" s="168" t="s">
        <v>251</v>
      </c>
      <c r="C6422" s="168" t="s">
        <v>6647</v>
      </c>
      <c r="D6422" s="229">
        <v>34.5</v>
      </c>
      <c r="E6422" s="229">
        <v>38.0</v>
      </c>
      <c r="F6422" s="230">
        <v>3.0</v>
      </c>
      <c r="G6422" s="232"/>
    </row>
    <row r="6423">
      <c r="A6423" s="2"/>
      <c r="B6423" s="168" t="s">
        <v>275</v>
      </c>
      <c r="C6423" s="168" t="s">
        <v>6648</v>
      </c>
      <c r="D6423" s="229">
        <v>21.5</v>
      </c>
      <c r="E6423" s="229">
        <v>25.0</v>
      </c>
      <c r="F6423" s="230">
        <v>3.0</v>
      </c>
      <c r="G6423" s="232"/>
    </row>
    <row r="6424">
      <c r="A6424" s="2"/>
      <c r="B6424" s="168" t="s">
        <v>328</v>
      </c>
      <c r="C6424" s="168" t="s">
        <v>6649</v>
      </c>
      <c r="D6424" s="229">
        <v>34.5</v>
      </c>
      <c r="E6424" s="229">
        <v>38.0</v>
      </c>
      <c r="F6424" s="230">
        <v>3.0</v>
      </c>
      <c r="G6424" s="232"/>
    </row>
    <row r="6425">
      <c r="A6425" s="2"/>
      <c r="B6425" s="168" t="s">
        <v>275</v>
      </c>
      <c r="C6425" s="168" t="s">
        <v>6650</v>
      </c>
      <c r="D6425" s="229">
        <v>21.5</v>
      </c>
      <c r="E6425" s="229">
        <v>25.0</v>
      </c>
      <c r="F6425" s="230">
        <v>3.0</v>
      </c>
      <c r="G6425" s="232"/>
    </row>
    <row r="6426">
      <c r="A6426" s="2"/>
      <c r="B6426" s="168" t="s">
        <v>345</v>
      </c>
      <c r="C6426" s="168" t="s">
        <v>6651</v>
      </c>
      <c r="D6426" s="229">
        <v>26.5</v>
      </c>
      <c r="E6426" s="229">
        <v>30.0</v>
      </c>
      <c r="F6426" s="230">
        <v>3.0</v>
      </c>
      <c r="G6426" s="232"/>
    </row>
    <row r="6427">
      <c r="A6427" s="2"/>
      <c r="B6427" s="168" t="s">
        <v>239</v>
      </c>
      <c r="C6427" s="168" t="s">
        <v>6652</v>
      </c>
      <c r="D6427" s="229">
        <v>24.5</v>
      </c>
      <c r="E6427" s="229">
        <v>28.0</v>
      </c>
      <c r="F6427" s="230">
        <v>3.0</v>
      </c>
      <c r="G6427" s="232"/>
    </row>
    <row r="6428">
      <c r="A6428" s="2"/>
      <c r="B6428" s="168" t="s">
        <v>255</v>
      </c>
      <c r="C6428" s="168" t="s">
        <v>6653</v>
      </c>
      <c r="D6428" s="229">
        <v>31.5</v>
      </c>
      <c r="E6428" s="229">
        <v>35.0</v>
      </c>
      <c r="F6428" s="230">
        <v>3.0</v>
      </c>
      <c r="G6428" s="232"/>
    </row>
    <row r="6429">
      <c r="A6429" s="2"/>
      <c r="B6429" s="168" t="s">
        <v>288</v>
      </c>
      <c r="C6429" s="168" t="s">
        <v>6654</v>
      </c>
      <c r="D6429" s="229">
        <v>21.5</v>
      </c>
      <c r="E6429" s="229">
        <v>25.0</v>
      </c>
      <c r="F6429" s="230">
        <v>3.0</v>
      </c>
      <c r="G6429" s="232"/>
    </row>
    <row r="6430">
      <c r="A6430" s="2"/>
      <c r="B6430" s="168" t="s">
        <v>300</v>
      </c>
      <c r="C6430" s="168" t="s">
        <v>6655</v>
      </c>
      <c r="D6430" s="229">
        <v>28.5</v>
      </c>
      <c r="E6430" s="229">
        <v>32.0</v>
      </c>
      <c r="F6430" s="230">
        <v>3.0</v>
      </c>
      <c r="G6430" s="232"/>
    </row>
    <row r="6431">
      <c r="A6431" s="2"/>
      <c r="B6431" s="168" t="s">
        <v>232</v>
      </c>
      <c r="C6431" s="168" t="s">
        <v>6656</v>
      </c>
      <c r="D6431" s="229">
        <v>25.5</v>
      </c>
      <c r="E6431" s="229">
        <v>29.0</v>
      </c>
      <c r="F6431" s="230">
        <v>3.0</v>
      </c>
      <c r="G6431" s="232"/>
    </row>
    <row r="6432">
      <c r="A6432" s="2"/>
      <c r="B6432" s="168" t="s">
        <v>275</v>
      </c>
      <c r="C6432" s="168" t="s">
        <v>6657</v>
      </c>
      <c r="D6432" s="229">
        <v>26.5</v>
      </c>
      <c r="E6432" s="229">
        <v>30.0</v>
      </c>
      <c r="F6432" s="230">
        <v>3.0</v>
      </c>
      <c r="G6432" s="232"/>
    </row>
    <row r="6433">
      <c r="A6433" s="2"/>
      <c r="B6433" s="168" t="s">
        <v>296</v>
      </c>
      <c r="C6433" s="168" t="s">
        <v>6658</v>
      </c>
      <c r="D6433" s="229">
        <v>26.5</v>
      </c>
      <c r="E6433" s="229">
        <v>30.0</v>
      </c>
      <c r="F6433" s="230">
        <v>3.0</v>
      </c>
      <c r="G6433" s="232"/>
    </row>
    <row r="6434">
      <c r="A6434" s="2"/>
      <c r="B6434" s="168" t="s">
        <v>830</v>
      </c>
      <c r="C6434" s="168" t="s">
        <v>6659</v>
      </c>
      <c r="D6434" s="229">
        <v>24.5</v>
      </c>
      <c r="E6434" s="229">
        <v>28.0</v>
      </c>
      <c r="F6434" s="230">
        <v>3.0</v>
      </c>
      <c r="G6434" s="232"/>
    </row>
    <row r="6435">
      <c r="A6435" s="2"/>
      <c r="B6435" s="168" t="s">
        <v>241</v>
      </c>
      <c r="C6435" s="168" t="s">
        <v>6660</v>
      </c>
      <c r="D6435" s="229">
        <v>32.5</v>
      </c>
      <c r="E6435" s="229">
        <v>36.0</v>
      </c>
      <c r="F6435" s="230">
        <v>3.0</v>
      </c>
      <c r="G6435" s="232"/>
    </row>
    <row r="6436">
      <c r="A6436" s="2"/>
      <c r="B6436" s="168" t="s">
        <v>615</v>
      </c>
      <c r="C6436" s="168" t="s">
        <v>6661</v>
      </c>
      <c r="D6436" s="229">
        <v>24.5</v>
      </c>
      <c r="E6436" s="229">
        <v>28.0</v>
      </c>
      <c r="F6436" s="230">
        <v>3.0</v>
      </c>
      <c r="G6436" s="232"/>
    </row>
    <row r="6437">
      <c r="A6437" s="2"/>
      <c r="B6437" s="168" t="s">
        <v>288</v>
      </c>
      <c r="C6437" s="168" t="s">
        <v>6662</v>
      </c>
      <c r="D6437" s="229">
        <v>21.5</v>
      </c>
      <c r="E6437" s="229">
        <v>25.0</v>
      </c>
      <c r="F6437" s="230">
        <v>3.0</v>
      </c>
      <c r="G6437" s="232"/>
    </row>
    <row r="6438">
      <c r="A6438" s="2"/>
      <c r="B6438" s="168" t="s">
        <v>288</v>
      </c>
      <c r="C6438" s="168" t="s">
        <v>6663</v>
      </c>
      <c r="D6438" s="229">
        <v>16.5</v>
      </c>
      <c r="E6438" s="229">
        <v>20.0</v>
      </c>
      <c r="F6438" s="230">
        <v>3.0</v>
      </c>
      <c r="G6438" s="232"/>
    </row>
    <row r="6439">
      <c r="A6439" s="2"/>
      <c r="B6439" s="168" t="s">
        <v>217</v>
      </c>
      <c r="C6439" s="168" t="s">
        <v>6664</v>
      </c>
      <c r="D6439" s="229">
        <v>27.5</v>
      </c>
      <c r="E6439" s="229">
        <v>31.0</v>
      </c>
      <c r="F6439" s="230">
        <v>3.0</v>
      </c>
      <c r="G6439" s="232"/>
    </row>
    <row r="6440">
      <c r="A6440" s="2"/>
      <c r="B6440" s="168" t="s">
        <v>217</v>
      </c>
      <c r="C6440" s="168" t="s">
        <v>6665</v>
      </c>
      <c r="D6440" s="229">
        <v>27.5</v>
      </c>
      <c r="E6440" s="229">
        <v>31.0</v>
      </c>
      <c r="F6440" s="230">
        <v>3.0</v>
      </c>
      <c r="G6440" s="232"/>
    </row>
    <row r="6441">
      <c r="A6441" s="2"/>
      <c r="B6441" s="168" t="s">
        <v>328</v>
      </c>
      <c r="C6441" s="168" t="s">
        <v>6666</v>
      </c>
      <c r="D6441" s="229">
        <v>34.5</v>
      </c>
      <c r="E6441" s="229">
        <v>38.0</v>
      </c>
      <c r="F6441" s="230">
        <v>3.0</v>
      </c>
      <c r="G6441" s="232"/>
    </row>
    <row r="6442">
      <c r="A6442" s="2"/>
      <c r="B6442" s="168" t="s">
        <v>243</v>
      </c>
      <c r="C6442" s="168" t="s">
        <v>6667</v>
      </c>
      <c r="D6442" s="229">
        <v>29.5</v>
      </c>
      <c r="E6442" s="229">
        <v>33.0</v>
      </c>
      <c r="F6442" s="230">
        <v>3.0</v>
      </c>
      <c r="G6442" s="232"/>
    </row>
    <row r="6443">
      <c r="A6443" s="2"/>
      <c r="B6443" s="168" t="s">
        <v>269</v>
      </c>
      <c r="C6443" s="168" t="s">
        <v>6668</v>
      </c>
      <c r="D6443" s="229">
        <v>26.5</v>
      </c>
      <c r="E6443" s="229">
        <v>30.0</v>
      </c>
      <c r="F6443" s="230">
        <v>3.0</v>
      </c>
      <c r="G6443" s="232"/>
    </row>
    <row r="6444">
      <c r="A6444" s="2"/>
      <c r="B6444" s="168" t="s">
        <v>296</v>
      </c>
      <c r="C6444" s="168" t="s">
        <v>6669</v>
      </c>
      <c r="D6444" s="229">
        <v>26.5</v>
      </c>
      <c r="E6444" s="229">
        <v>30.0</v>
      </c>
      <c r="F6444" s="230">
        <v>3.0</v>
      </c>
      <c r="G6444" s="232"/>
    </row>
    <row r="6445">
      <c r="A6445" s="2"/>
      <c r="B6445" s="168" t="s">
        <v>337</v>
      </c>
      <c r="C6445" s="168" t="s">
        <v>6670</v>
      </c>
      <c r="D6445" s="229">
        <v>32.5</v>
      </c>
      <c r="E6445" s="229">
        <v>36.0</v>
      </c>
      <c r="F6445" s="230">
        <v>3.0</v>
      </c>
      <c r="G6445" s="232"/>
    </row>
    <row r="6446">
      <c r="A6446" s="2"/>
      <c r="B6446" s="168" t="s">
        <v>232</v>
      </c>
      <c r="C6446" s="168" t="s">
        <v>6671</v>
      </c>
      <c r="D6446" s="229">
        <v>29.5</v>
      </c>
      <c r="E6446" s="229">
        <v>33.0</v>
      </c>
      <c r="F6446" s="230">
        <v>3.0</v>
      </c>
      <c r="G6446" s="232"/>
    </row>
    <row r="6447">
      <c r="A6447" s="2"/>
      <c r="B6447" s="168" t="s">
        <v>230</v>
      </c>
      <c r="C6447" s="168" t="s">
        <v>6672</v>
      </c>
      <c r="D6447" s="229">
        <v>21.5</v>
      </c>
      <c r="E6447" s="229">
        <v>25.0</v>
      </c>
      <c r="F6447" s="230">
        <v>3.0</v>
      </c>
      <c r="G6447" s="232"/>
    </row>
    <row r="6448">
      <c r="A6448" s="2"/>
      <c r="B6448" s="168" t="s">
        <v>215</v>
      </c>
      <c r="C6448" s="168" t="s">
        <v>6673</v>
      </c>
      <c r="D6448" s="229">
        <v>27.5</v>
      </c>
      <c r="E6448" s="229">
        <v>31.0</v>
      </c>
      <c r="F6448" s="230">
        <v>3.0</v>
      </c>
      <c r="G6448" s="232"/>
    </row>
    <row r="6449">
      <c r="A6449" s="2"/>
      <c r="B6449" s="168" t="s">
        <v>255</v>
      </c>
      <c r="C6449" s="168" t="s">
        <v>6674</v>
      </c>
      <c r="D6449" s="229">
        <v>31.5</v>
      </c>
      <c r="E6449" s="229">
        <v>35.0</v>
      </c>
      <c r="F6449" s="230">
        <v>3.0</v>
      </c>
      <c r="G6449" s="232"/>
    </row>
    <row r="6450">
      <c r="A6450" s="2"/>
      <c r="B6450" s="168" t="s">
        <v>245</v>
      </c>
      <c r="C6450" s="168" t="s">
        <v>6675</v>
      </c>
      <c r="D6450" s="229">
        <v>29.5</v>
      </c>
      <c r="E6450" s="229">
        <v>33.0</v>
      </c>
      <c r="F6450" s="230">
        <v>3.0</v>
      </c>
      <c r="G6450" s="232"/>
    </row>
    <row r="6451">
      <c r="A6451" s="2"/>
      <c r="B6451" s="168" t="s">
        <v>217</v>
      </c>
      <c r="C6451" s="168" t="s">
        <v>6676</v>
      </c>
      <c r="D6451" s="229">
        <v>27.5</v>
      </c>
      <c r="E6451" s="229">
        <v>31.0</v>
      </c>
      <c r="F6451" s="230">
        <v>3.0</v>
      </c>
      <c r="G6451" s="232"/>
    </row>
    <row r="6452">
      <c r="A6452" s="2"/>
      <c r="B6452" s="168" t="s">
        <v>282</v>
      </c>
      <c r="C6452" s="168" t="s">
        <v>6677</v>
      </c>
      <c r="D6452" s="229">
        <v>34.5</v>
      </c>
      <c r="E6452" s="229">
        <v>38.0</v>
      </c>
      <c r="F6452" s="230">
        <v>3.0</v>
      </c>
      <c r="G6452" s="232"/>
    </row>
    <row r="6453">
      <c r="A6453" s="2"/>
      <c r="B6453" s="168" t="s">
        <v>282</v>
      </c>
      <c r="C6453" s="168" t="s">
        <v>6678</v>
      </c>
      <c r="D6453" s="229">
        <v>34.5</v>
      </c>
      <c r="E6453" s="229">
        <v>38.0</v>
      </c>
      <c r="F6453" s="230">
        <v>3.0</v>
      </c>
      <c r="G6453" s="232"/>
    </row>
    <row r="6454">
      <c r="A6454" s="2"/>
      <c r="B6454" s="168" t="s">
        <v>257</v>
      </c>
      <c r="C6454" s="168" t="s">
        <v>6679</v>
      </c>
      <c r="D6454" s="229">
        <v>28.5</v>
      </c>
      <c r="E6454" s="229">
        <v>32.0</v>
      </c>
      <c r="F6454" s="230">
        <v>3.0</v>
      </c>
      <c r="G6454" s="232"/>
    </row>
    <row r="6455">
      <c r="A6455" s="2"/>
      <c r="B6455" s="168" t="s">
        <v>215</v>
      </c>
      <c r="C6455" s="168" t="s">
        <v>6680</v>
      </c>
      <c r="D6455" s="229">
        <v>29.5</v>
      </c>
      <c r="E6455" s="229">
        <v>33.0</v>
      </c>
      <c r="F6455" s="230">
        <v>3.0</v>
      </c>
      <c r="G6455" s="232"/>
    </row>
    <row r="6456">
      <c r="A6456" s="2"/>
      <c r="B6456" s="168" t="s">
        <v>234</v>
      </c>
      <c r="C6456" s="168" t="s">
        <v>6681</v>
      </c>
      <c r="D6456" s="229">
        <v>24.5</v>
      </c>
      <c r="E6456" s="229">
        <v>28.0</v>
      </c>
      <c r="F6456" s="230">
        <v>3.0</v>
      </c>
      <c r="G6456" s="232"/>
    </row>
    <row r="6457">
      <c r="A6457" s="2"/>
      <c r="B6457" s="168" t="s">
        <v>230</v>
      </c>
      <c r="C6457" s="168" t="s">
        <v>6682</v>
      </c>
      <c r="D6457" s="229">
        <v>16.5</v>
      </c>
      <c r="E6457" s="229">
        <v>20.0</v>
      </c>
      <c r="F6457" s="230">
        <v>3.0</v>
      </c>
      <c r="G6457" s="232"/>
    </row>
    <row r="6458">
      <c r="A6458" s="2"/>
      <c r="B6458" s="168" t="s">
        <v>273</v>
      </c>
      <c r="C6458" s="168" t="s">
        <v>6683</v>
      </c>
      <c r="D6458" s="229">
        <v>29.5</v>
      </c>
      <c r="E6458" s="229">
        <v>33.0</v>
      </c>
      <c r="F6458" s="230">
        <v>3.0</v>
      </c>
      <c r="G6458" s="232"/>
    </row>
    <row r="6459">
      <c r="A6459" s="2"/>
      <c r="B6459" s="168" t="s">
        <v>255</v>
      </c>
      <c r="C6459" s="168" t="s">
        <v>6684</v>
      </c>
      <c r="D6459" s="229">
        <v>31.0</v>
      </c>
      <c r="E6459" s="229">
        <v>34.5</v>
      </c>
      <c r="F6459" s="230">
        <v>3.0</v>
      </c>
      <c r="G6459" s="232"/>
    </row>
    <row r="6460">
      <c r="A6460" s="2"/>
      <c r="B6460" s="168" t="s">
        <v>345</v>
      </c>
      <c r="C6460" s="168" t="s">
        <v>6685</v>
      </c>
      <c r="D6460" s="229">
        <v>26.5</v>
      </c>
      <c r="E6460" s="229">
        <v>30.0</v>
      </c>
      <c r="F6460" s="230">
        <v>3.0</v>
      </c>
      <c r="G6460" s="232"/>
    </row>
    <row r="6461">
      <c r="A6461" s="2"/>
      <c r="B6461" s="168" t="s">
        <v>288</v>
      </c>
      <c r="C6461" s="168" t="s">
        <v>6686</v>
      </c>
      <c r="D6461" s="229">
        <v>21.5</v>
      </c>
      <c r="E6461" s="229">
        <v>25.0</v>
      </c>
      <c r="F6461" s="230">
        <v>3.0</v>
      </c>
      <c r="G6461" s="232"/>
    </row>
    <row r="6462">
      <c r="A6462" s="2"/>
      <c r="B6462" s="168" t="s">
        <v>269</v>
      </c>
      <c r="C6462" s="168" t="s">
        <v>6687</v>
      </c>
      <c r="D6462" s="229">
        <v>26.5</v>
      </c>
      <c r="E6462" s="229">
        <v>30.0</v>
      </c>
      <c r="F6462" s="230">
        <v>3.0</v>
      </c>
      <c r="G6462" s="232"/>
    </row>
    <row r="6463">
      <c r="A6463" s="2"/>
      <c r="B6463" s="168" t="s">
        <v>328</v>
      </c>
      <c r="C6463" s="168" t="s">
        <v>6688</v>
      </c>
      <c r="D6463" s="229">
        <v>34.5</v>
      </c>
      <c r="E6463" s="229">
        <v>38.0</v>
      </c>
      <c r="F6463" s="230">
        <v>3.0</v>
      </c>
      <c r="G6463" s="232"/>
    </row>
    <row r="6464">
      <c r="A6464" s="2"/>
      <c r="B6464" s="168" t="s">
        <v>290</v>
      </c>
      <c r="C6464" s="168" t="s">
        <v>6689</v>
      </c>
      <c r="D6464" s="229">
        <v>29.5</v>
      </c>
      <c r="E6464" s="229">
        <v>33.0</v>
      </c>
      <c r="F6464" s="230">
        <v>3.0</v>
      </c>
      <c r="G6464" s="232"/>
    </row>
    <row r="6465">
      <c r="A6465" s="2"/>
      <c r="B6465" s="168" t="s">
        <v>215</v>
      </c>
      <c r="C6465" s="168" t="s">
        <v>6690</v>
      </c>
      <c r="D6465" s="229">
        <v>27.5</v>
      </c>
      <c r="E6465" s="229">
        <v>31.0</v>
      </c>
      <c r="F6465" s="230">
        <v>3.0</v>
      </c>
      <c r="G6465" s="232"/>
    </row>
    <row r="6466">
      <c r="A6466" s="2"/>
      <c r="B6466" s="168" t="s">
        <v>255</v>
      </c>
      <c r="C6466" s="168" t="s">
        <v>6691</v>
      </c>
      <c r="D6466" s="229">
        <v>31.5</v>
      </c>
      <c r="E6466" s="229">
        <v>35.0</v>
      </c>
      <c r="F6466" s="230">
        <v>3.0</v>
      </c>
      <c r="G6466" s="232"/>
    </row>
    <row r="6467">
      <c r="A6467" s="2"/>
      <c r="B6467" s="168" t="s">
        <v>266</v>
      </c>
      <c r="C6467" s="168" t="s">
        <v>6692</v>
      </c>
      <c r="D6467" s="229">
        <v>33.0</v>
      </c>
      <c r="E6467" s="229">
        <v>33.0</v>
      </c>
      <c r="F6467" s="230">
        <v>3.0</v>
      </c>
      <c r="G6467" s="232"/>
    </row>
    <row r="6468">
      <c r="A6468" s="2"/>
      <c r="B6468" s="168" t="s">
        <v>241</v>
      </c>
      <c r="C6468" s="168" t="s">
        <v>6693</v>
      </c>
      <c r="D6468" s="229">
        <v>32.5</v>
      </c>
      <c r="E6468" s="229">
        <v>36.0</v>
      </c>
      <c r="F6468" s="230">
        <v>3.0</v>
      </c>
      <c r="G6468" s="232"/>
    </row>
    <row r="6469">
      <c r="A6469" s="2"/>
      <c r="B6469" s="168" t="s">
        <v>337</v>
      </c>
      <c r="C6469" s="168" t="s">
        <v>6694</v>
      </c>
      <c r="D6469" s="229">
        <v>26.5</v>
      </c>
      <c r="E6469" s="229">
        <v>30.0</v>
      </c>
      <c r="F6469" s="230">
        <v>3.0</v>
      </c>
      <c r="G6469" s="232"/>
    </row>
    <row r="6470">
      <c r="A6470" s="2"/>
      <c r="B6470" s="168" t="s">
        <v>273</v>
      </c>
      <c r="C6470" s="168" t="s">
        <v>6695</v>
      </c>
      <c r="D6470" s="229">
        <v>24.5</v>
      </c>
      <c r="E6470" s="229">
        <v>28.0</v>
      </c>
      <c r="F6470" s="230">
        <v>3.0</v>
      </c>
      <c r="G6470" s="232"/>
    </row>
    <row r="6471">
      <c r="A6471" s="2"/>
      <c r="B6471" s="168" t="s">
        <v>273</v>
      </c>
      <c r="C6471" s="168" t="s">
        <v>6696</v>
      </c>
      <c r="D6471" s="229">
        <v>24.5</v>
      </c>
      <c r="E6471" s="229">
        <v>28.0</v>
      </c>
      <c r="F6471" s="230">
        <v>3.0</v>
      </c>
      <c r="G6471" s="232"/>
    </row>
    <row r="6472">
      <c r="A6472" s="2"/>
      <c r="B6472" s="168" t="s">
        <v>296</v>
      </c>
      <c r="C6472" s="168" t="s">
        <v>6697</v>
      </c>
      <c r="D6472" s="229">
        <v>26.5</v>
      </c>
      <c r="E6472" s="229">
        <v>30.0</v>
      </c>
      <c r="F6472" s="230">
        <v>3.0</v>
      </c>
      <c r="G6472" s="232"/>
    </row>
    <row r="6473">
      <c r="A6473" s="2"/>
      <c r="B6473" s="168" t="s">
        <v>217</v>
      </c>
      <c r="C6473" s="168" t="s">
        <v>6698</v>
      </c>
      <c r="D6473" s="229">
        <v>27.5</v>
      </c>
      <c r="E6473" s="229">
        <v>31.0</v>
      </c>
      <c r="F6473" s="230">
        <v>3.0</v>
      </c>
      <c r="G6473" s="232"/>
    </row>
    <row r="6474">
      <c r="A6474" s="2"/>
      <c r="B6474" s="168" t="s">
        <v>381</v>
      </c>
      <c r="C6474" s="168" t="s">
        <v>6699</v>
      </c>
      <c r="D6474" s="229">
        <v>28.5</v>
      </c>
      <c r="E6474" s="229">
        <v>32.0</v>
      </c>
      <c r="F6474" s="230">
        <v>3.0</v>
      </c>
      <c r="G6474" s="232"/>
    </row>
    <row r="6475">
      <c r="A6475" s="2"/>
      <c r="B6475" s="168" t="s">
        <v>449</v>
      </c>
      <c r="C6475" s="168" t="s">
        <v>6700</v>
      </c>
      <c r="D6475" s="229">
        <v>28.5</v>
      </c>
      <c r="E6475" s="229">
        <v>32.0</v>
      </c>
      <c r="F6475" s="230">
        <v>3.0</v>
      </c>
      <c r="G6475" s="232"/>
    </row>
    <row r="6476">
      <c r="A6476" s="2"/>
      <c r="B6476" s="168" t="s">
        <v>296</v>
      </c>
      <c r="C6476" s="168" t="s">
        <v>6701</v>
      </c>
      <c r="D6476" s="229">
        <v>26.5</v>
      </c>
      <c r="E6476" s="229">
        <v>30.0</v>
      </c>
      <c r="F6476" s="230">
        <v>3.0</v>
      </c>
      <c r="G6476" s="232"/>
    </row>
    <row r="6477">
      <c r="A6477" s="2"/>
      <c r="B6477" s="168" t="s">
        <v>255</v>
      </c>
      <c r="C6477" s="168" t="s">
        <v>6702</v>
      </c>
      <c r="D6477" s="229">
        <v>31.5</v>
      </c>
      <c r="E6477" s="229">
        <v>35.0</v>
      </c>
      <c r="F6477" s="230">
        <v>3.0</v>
      </c>
      <c r="G6477" s="232"/>
    </row>
    <row r="6478">
      <c r="A6478" s="2"/>
      <c r="B6478" s="168" t="s">
        <v>219</v>
      </c>
      <c r="C6478" s="168" t="s">
        <v>6703</v>
      </c>
      <c r="D6478" s="229">
        <v>28.5</v>
      </c>
      <c r="E6478" s="229">
        <v>32.0</v>
      </c>
      <c r="F6478" s="230">
        <v>3.0</v>
      </c>
      <c r="G6478" s="232"/>
    </row>
    <row r="6479">
      <c r="A6479" s="2"/>
      <c r="B6479" s="168" t="s">
        <v>255</v>
      </c>
      <c r="C6479" s="168" t="s">
        <v>6704</v>
      </c>
      <c r="D6479" s="229">
        <v>31.5</v>
      </c>
      <c r="E6479" s="229">
        <v>35.0</v>
      </c>
      <c r="F6479" s="230">
        <v>3.0</v>
      </c>
      <c r="G6479" s="232"/>
    </row>
    <row r="6480">
      <c r="A6480" s="2"/>
      <c r="B6480" s="168" t="s">
        <v>318</v>
      </c>
      <c r="C6480" s="168" t="s">
        <v>6705</v>
      </c>
      <c r="D6480" s="229">
        <v>25.5</v>
      </c>
      <c r="E6480" s="229">
        <v>29.0</v>
      </c>
      <c r="F6480" s="230">
        <v>3.0</v>
      </c>
      <c r="G6480" s="232"/>
    </row>
    <row r="6481">
      <c r="A6481" s="2"/>
      <c r="B6481" s="168" t="s">
        <v>269</v>
      </c>
      <c r="C6481" s="168" t="s">
        <v>6706</v>
      </c>
      <c r="D6481" s="229">
        <v>26.5</v>
      </c>
      <c r="E6481" s="229">
        <v>30.0</v>
      </c>
      <c r="F6481" s="230">
        <v>3.0</v>
      </c>
      <c r="G6481" s="232"/>
    </row>
    <row r="6482">
      <c r="A6482" s="2"/>
      <c r="B6482" s="168" t="s">
        <v>282</v>
      </c>
      <c r="C6482" s="168" t="s">
        <v>282</v>
      </c>
      <c r="D6482" s="229">
        <v>34.5</v>
      </c>
      <c r="E6482" s="229">
        <v>38.0</v>
      </c>
      <c r="F6482" s="230">
        <v>3.0</v>
      </c>
      <c r="G6482" s="232"/>
    </row>
    <row r="6483">
      <c r="A6483" s="2"/>
      <c r="B6483" s="168" t="s">
        <v>310</v>
      </c>
      <c r="C6483" s="168" t="s">
        <v>310</v>
      </c>
      <c r="D6483" s="229">
        <v>34.5</v>
      </c>
      <c r="E6483" s="229">
        <v>38.0</v>
      </c>
      <c r="F6483" s="230">
        <v>3.0</v>
      </c>
      <c r="G6483" s="232"/>
    </row>
    <row r="6484">
      <c r="A6484" s="2"/>
      <c r="B6484" s="168" t="s">
        <v>318</v>
      </c>
      <c r="C6484" s="168" t="s">
        <v>6707</v>
      </c>
      <c r="D6484" s="229">
        <v>25.5</v>
      </c>
      <c r="E6484" s="229">
        <v>29.0</v>
      </c>
      <c r="F6484" s="230">
        <v>3.0</v>
      </c>
      <c r="G6484" s="232"/>
    </row>
    <row r="6485">
      <c r="A6485" s="2"/>
      <c r="B6485" s="168" t="s">
        <v>328</v>
      </c>
      <c r="C6485" s="168" t="s">
        <v>6708</v>
      </c>
      <c r="D6485" s="229">
        <v>34.5</v>
      </c>
      <c r="E6485" s="229">
        <v>38.0</v>
      </c>
      <c r="F6485" s="230">
        <v>3.0</v>
      </c>
      <c r="G6485" s="232"/>
    </row>
    <row r="6486">
      <c r="A6486" s="2"/>
      <c r="B6486" s="168" t="s">
        <v>255</v>
      </c>
      <c r="C6486" s="168" t="s">
        <v>6709</v>
      </c>
      <c r="D6486" s="229">
        <v>31.5</v>
      </c>
      <c r="E6486" s="229">
        <v>35.0</v>
      </c>
      <c r="F6486" s="230">
        <v>3.0</v>
      </c>
      <c r="G6486" s="232"/>
    </row>
    <row r="6487">
      <c r="A6487" s="2"/>
      <c r="B6487" s="168" t="s">
        <v>328</v>
      </c>
      <c r="C6487" s="168" t="s">
        <v>6710</v>
      </c>
      <c r="D6487" s="229">
        <v>34.5</v>
      </c>
      <c r="E6487" s="229">
        <v>38.0</v>
      </c>
      <c r="F6487" s="230">
        <v>3.0</v>
      </c>
      <c r="G6487" s="232"/>
    </row>
    <row r="6488">
      <c r="A6488" s="2"/>
      <c r="B6488" s="168" t="s">
        <v>341</v>
      </c>
      <c r="C6488" s="168" t="s">
        <v>6711</v>
      </c>
      <c r="D6488" s="229">
        <v>29.5</v>
      </c>
      <c r="E6488" s="229">
        <v>29.5</v>
      </c>
      <c r="F6488" s="230">
        <v>3.0</v>
      </c>
      <c r="G6488" s="232"/>
    </row>
    <row r="6489">
      <c r="A6489" s="2"/>
      <c r="B6489" s="168" t="s">
        <v>430</v>
      </c>
      <c r="C6489" s="168" t="s">
        <v>6712</v>
      </c>
      <c r="D6489" s="229">
        <v>34.5</v>
      </c>
      <c r="E6489" s="229">
        <v>38.0</v>
      </c>
      <c r="F6489" s="230">
        <v>3.0</v>
      </c>
      <c r="G6489" s="232"/>
    </row>
    <row r="6490">
      <c r="A6490" s="2"/>
      <c r="B6490" s="168" t="s">
        <v>230</v>
      </c>
      <c r="C6490" s="168" t="s">
        <v>6713</v>
      </c>
      <c r="D6490" s="229">
        <v>21.5</v>
      </c>
      <c r="E6490" s="229">
        <v>25.0</v>
      </c>
      <c r="F6490" s="230">
        <v>3.0</v>
      </c>
      <c r="G6490" s="232"/>
    </row>
    <row r="6491">
      <c r="A6491" s="2"/>
      <c r="B6491" s="168" t="s">
        <v>217</v>
      </c>
      <c r="C6491" s="168" t="s">
        <v>6714</v>
      </c>
      <c r="D6491" s="229">
        <v>27.5</v>
      </c>
      <c r="E6491" s="229">
        <v>31.0</v>
      </c>
      <c r="F6491" s="230">
        <v>3.0</v>
      </c>
      <c r="G6491" s="232"/>
    </row>
    <row r="6492">
      <c r="A6492" s="2"/>
      <c r="B6492" s="168" t="s">
        <v>438</v>
      </c>
      <c r="C6492" s="168" t="s">
        <v>6715</v>
      </c>
      <c r="D6492" s="229">
        <v>29.5</v>
      </c>
      <c r="E6492" s="229">
        <v>33.0</v>
      </c>
      <c r="F6492" s="230">
        <v>3.0</v>
      </c>
      <c r="G6492" s="232"/>
    </row>
    <row r="6493">
      <c r="A6493" s="2"/>
      <c r="B6493" s="168" t="s">
        <v>345</v>
      </c>
      <c r="C6493" s="168" t="s">
        <v>6716</v>
      </c>
      <c r="D6493" s="229">
        <v>26.5</v>
      </c>
      <c r="E6493" s="229">
        <v>30.0</v>
      </c>
      <c r="F6493" s="230">
        <v>3.0</v>
      </c>
      <c r="G6493" s="232"/>
    </row>
    <row r="6494">
      <c r="A6494" s="2"/>
      <c r="B6494" s="168" t="s">
        <v>215</v>
      </c>
      <c r="C6494" s="168" t="s">
        <v>6717</v>
      </c>
      <c r="D6494" s="229">
        <v>25.5</v>
      </c>
      <c r="E6494" s="229">
        <v>29.0</v>
      </c>
      <c r="F6494" s="230">
        <v>3.0</v>
      </c>
      <c r="G6494" s="232"/>
    </row>
    <row r="6495">
      <c r="A6495" s="2"/>
      <c r="B6495" s="168" t="s">
        <v>280</v>
      </c>
      <c r="C6495" s="168" t="s">
        <v>6718</v>
      </c>
      <c r="D6495" s="229">
        <v>28.5</v>
      </c>
      <c r="E6495" s="229">
        <v>32.0</v>
      </c>
      <c r="F6495" s="230">
        <v>3.0</v>
      </c>
      <c r="G6495" s="232"/>
    </row>
    <row r="6496">
      <c r="A6496" s="2"/>
      <c r="B6496" s="168" t="s">
        <v>285</v>
      </c>
      <c r="C6496" s="168" t="s">
        <v>6719</v>
      </c>
      <c r="D6496" s="229">
        <v>24.5</v>
      </c>
      <c r="E6496" s="229">
        <v>28.0</v>
      </c>
      <c r="F6496" s="230">
        <v>3.0</v>
      </c>
      <c r="G6496" s="232"/>
    </row>
    <row r="6497">
      <c r="A6497" s="2"/>
      <c r="B6497" s="168" t="s">
        <v>328</v>
      </c>
      <c r="C6497" s="168" t="s">
        <v>6720</v>
      </c>
      <c r="D6497" s="229">
        <v>34.5</v>
      </c>
      <c r="E6497" s="229">
        <v>38.0</v>
      </c>
      <c r="F6497" s="230">
        <v>3.0</v>
      </c>
      <c r="G6497" s="232"/>
    </row>
    <row r="6498">
      <c r="A6498" s="2"/>
      <c r="B6498" s="168" t="s">
        <v>285</v>
      </c>
      <c r="C6498" s="168" t="s">
        <v>6721</v>
      </c>
      <c r="D6498" s="229">
        <v>24.5</v>
      </c>
      <c r="E6498" s="229">
        <v>28.0</v>
      </c>
      <c r="F6498" s="230">
        <v>3.0</v>
      </c>
      <c r="G6498" s="232"/>
    </row>
    <row r="6499">
      <c r="A6499" s="2"/>
      <c r="B6499" s="168" t="s">
        <v>271</v>
      </c>
      <c r="C6499" s="168" t="s">
        <v>6722</v>
      </c>
      <c r="D6499" s="229">
        <v>28.5</v>
      </c>
      <c r="E6499" s="229">
        <v>32.0</v>
      </c>
      <c r="F6499" s="230">
        <v>3.0</v>
      </c>
      <c r="G6499" s="232"/>
    </row>
    <row r="6500">
      <c r="A6500" s="2"/>
      <c r="B6500" s="168" t="s">
        <v>245</v>
      </c>
      <c r="C6500" s="168" t="s">
        <v>6723</v>
      </c>
      <c r="D6500" s="229">
        <v>24.5</v>
      </c>
      <c r="E6500" s="229">
        <v>28.0</v>
      </c>
      <c r="F6500" s="230">
        <v>3.0</v>
      </c>
      <c r="G6500" s="232"/>
    </row>
    <row r="6501">
      <c r="A6501" s="2"/>
      <c r="B6501" s="168" t="s">
        <v>288</v>
      </c>
      <c r="C6501" s="168" t="s">
        <v>6724</v>
      </c>
      <c r="D6501" s="229">
        <v>21.5</v>
      </c>
      <c r="E6501" s="229">
        <v>25.0</v>
      </c>
      <c r="F6501" s="230">
        <v>3.0</v>
      </c>
      <c r="G6501" s="232"/>
    </row>
    <row r="6502">
      <c r="A6502" s="2"/>
      <c r="B6502" s="168" t="s">
        <v>255</v>
      </c>
      <c r="C6502" s="168" t="s">
        <v>6725</v>
      </c>
      <c r="D6502" s="229">
        <v>26.5</v>
      </c>
      <c r="E6502" s="229">
        <v>30.0</v>
      </c>
      <c r="F6502" s="230">
        <v>3.0</v>
      </c>
      <c r="G6502" s="232"/>
    </row>
    <row r="6503">
      <c r="A6503" s="2"/>
      <c r="B6503" s="168" t="s">
        <v>255</v>
      </c>
      <c r="C6503" s="168" t="s">
        <v>6726</v>
      </c>
      <c r="D6503" s="229">
        <v>26.5</v>
      </c>
      <c r="E6503" s="229">
        <v>30.0</v>
      </c>
      <c r="F6503" s="230">
        <v>3.0</v>
      </c>
      <c r="G6503" s="232"/>
    </row>
    <row r="6504">
      <c r="A6504" s="2"/>
      <c r="B6504" s="168" t="s">
        <v>368</v>
      </c>
      <c r="C6504" s="168" t="s">
        <v>6727</v>
      </c>
      <c r="D6504" s="229">
        <v>32.5</v>
      </c>
      <c r="E6504" s="229">
        <v>36.0</v>
      </c>
      <c r="F6504" s="230">
        <v>3.0</v>
      </c>
      <c r="G6504" s="232"/>
    </row>
    <row r="6505">
      <c r="A6505" s="2"/>
      <c r="B6505" s="168" t="s">
        <v>232</v>
      </c>
      <c r="C6505" s="168" t="s">
        <v>6728</v>
      </c>
      <c r="D6505" s="229">
        <v>25.5</v>
      </c>
      <c r="E6505" s="229">
        <v>29.0</v>
      </c>
      <c r="F6505" s="230">
        <v>3.0</v>
      </c>
      <c r="G6505" s="232"/>
    </row>
    <row r="6506">
      <c r="A6506" s="2"/>
      <c r="B6506" s="168" t="s">
        <v>280</v>
      </c>
      <c r="C6506" s="168" t="s">
        <v>6729</v>
      </c>
      <c r="D6506" s="229">
        <v>34.5</v>
      </c>
      <c r="E6506" s="229">
        <v>38.0</v>
      </c>
      <c r="F6506" s="230">
        <v>3.0</v>
      </c>
      <c r="G6506" s="232"/>
    </row>
    <row r="6507">
      <c r="A6507" s="2"/>
      <c r="B6507" s="168" t="s">
        <v>290</v>
      </c>
      <c r="C6507" s="168" t="s">
        <v>6730</v>
      </c>
      <c r="D6507" s="229">
        <v>29.5</v>
      </c>
      <c r="E6507" s="229">
        <v>33.0</v>
      </c>
      <c r="F6507" s="230">
        <v>3.0</v>
      </c>
      <c r="G6507" s="232"/>
    </row>
    <row r="6508">
      <c r="A6508" s="2"/>
      <c r="B6508" s="168" t="s">
        <v>221</v>
      </c>
      <c r="C6508" s="168" t="s">
        <v>6731</v>
      </c>
      <c r="D6508" s="229">
        <v>27.5</v>
      </c>
      <c r="E6508" s="229">
        <v>31.0</v>
      </c>
      <c r="F6508" s="230">
        <v>3.0</v>
      </c>
      <c r="G6508" s="232"/>
    </row>
    <row r="6509">
      <c r="A6509" s="2"/>
      <c r="B6509" s="168" t="s">
        <v>255</v>
      </c>
      <c r="C6509" s="168" t="s">
        <v>6732</v>
      </c>
      <c r="D6509" s="229">
        <v>31.5</v>
      </c>
      <c r="E6509" s="229">
        <v>35.0</v>
      </c>
      <c r="F6509" s="230">
        <v>3.0</v>
      </c>
      <c r="G6509" s="232"/>
    </row>
    <row r="6510">
      <c r="A6510" s="2"/>
      <c r="B6510" s="168" t="s">
        <v>257</v>
      </c>
      <c r="C6510" s="168" t="s">
        <v>6733</v>
      </c>
      <c r="D6510" s="229">
        <v>28.5</v>
      </c>
      <c r="E6510" s="229">
        <v>32.0</v>
      </c>
      <c r="F6510" s="230">
        <v>3.0</v>
      </c>
      <c r="G6510" s="232"/>
    </row>
    <row r="6511">
      <c r="A6511" s="2"/>
      <c r="B6511" s="168" t="s">
        <v>223</v>
      </c>
      <c r="C6511" s="168" t="s">
        <v>6734</v>
      </c>
      <c r="D6511" s="229">
        <v>26.5</v>
      </c>
      <c r="E6511" s="229">
        <v>30.0</v>
      </c>
      <c r="F6511" s="230">
        <v>3.0</v>
      </c>
      <c r="G6511" s="232"/>
    </row>
    <row r="6512">
      <c r="A6512" s="2"/>
      <c r="B6512" s="168" t="s">
        <v>273</v>
      </c>
      <c r="C6512" s="168" t="s">
        <v>6735</v>
      </c>
      <c r="D6512" s="229">
        <v>29.5</v>
      </c>
      <c r="E6512" s="229">
        <v>33.0</v>
      </c>
      <c r="F6512" s="230">
        <v>3.0</v>
      </c>
      <c r="G6512" s="232"/>
    </row>
    <row r="6513">
      <c r="A6513" s="2"/>
      <c r="B6513" s="168" t="s">
        <v>273</v>
      </c>
      <c r="C6513" s="168" t="s">
        <v>6736</v>
      </c>
      <c r="D6513" s="229">
        <v>29.5</v>
      </c>
      <c r="E6513" s="229">
        <v>33.0</v>
      </c>
      <c r="F6513" s="230">
        <v>3.0</v>
      </c>
      <c r="G6513" s="232"/>
    </row>
    <row r="6514">
      <c r="A6514" s="2"/>
      <c r="B6514" s="168" t="s">
        <v>377</v>
      </c>
      <c r="C6514" s="168" t="s">
        <v>6737</v>
      </c>
      <c r="D6514" s="229">
        <v>29.5</v>
      </c>
      <c r="E6514" s="229">
        <v>33.0</v>
      </c>
      <c r="F6514" s="230">
        <v>3.0</v>
      </c>
      <c r="G6514" s="232"/>
    </row>
    <row r="6515">
      <c r="A6515" s="2"/>
      <c r="B6515" s="168" t="s">
        <v>234</v>
      </c>
      <c r="C6515" s="168" t="s">
        <v>6738</v>
      </c>
      <c r="D6515" s="229">
        <v>29.5</v>
      </c>
      <c r="E6515" s="229">
        <v>33.0</v>
      </c>
      <c r="F6515" s="230">
        <v>3.0</v>
      </c>
      <c r="G6515" s="232"/>
    </row>
    <row r="6516">
      <c r="A6516" s="2"/>
      <c r="B6516" s="168" t="s">
        <v>234</v>
      </c>
      <c r="C6516" s="168" t="s">
        <v>6739</v>
      </c>
      <c r="D6516" s="229">
        <v>29.5</v>
      </c>
      <c r="E6516" s="229">
        <v>33.0</v>
      </c>
      <c r="F6516" s="230">
        <v>3.0</v>
      </c>
      <c r="G6516" s="232"/>
    </row>
    <row r="6517">
      <c r="A6517" s="2"/>
      <c r="B6517" s="168" t="s">
        <v>318</v>
      </c>
      <c r="C6517" s="168" t="s">
        <v>6740</v>
      </c>
      <c r="D6517" s="229">
        <v>25.0</v>
      </c>
      <c r="E6517" s="229">
        <v>28.5</v>
      </c>
      <c r="F6517" s="230">
        <v>3.0</v>
      </c>
      <c r="G6517" s="232"/>
    </row>
    <row r="6518">
      <c r="A6518" s="2"/>
      <c r="B6518" s="168" t="s">
        <v>337</v>
      </c>
      <c r="C6518" s="168" t="s">
        <v>6741</v>
      </c>
      <c r="D6518" s="229">
        <v>23.5</v>
      </c>
      <c r="E6518" s="229">
        <v>27.0</v>
      </c>
      <c r="F6518" s="230">
        <v>3.0</v>
      </c>
      <c r="G6518" s="232"/>
    </row>
    <row r="6519">
      <c r="A6519" s="2"/>
      <c r="B6519" s="168" t="s">
        <v>335</v>
      </c>
      <c r="C6519" s="168" t="s">
        <v>6742</v>
      </c>
      <c r="D6519" s="229">
        <v>34.5</v>
      </c>
      <c r="E6519" s="229">
        <v>38.0</v>
      </c>
      <c r="F6519" s="230">
        <v>3.0</v>
      </c>
      <c r="G6519" s="232"/>
    </row>
    <row r="6520">
      <c r="A6520" s="2"/>
      <c r="B6520" s="168" t="s">
        <v>232</v>
      </c>
      <c r="C6520" s="168" t="s">
        <v>6743</v>
      </c>
      <c r="D6520" s="229">
        <v>31.5</v>
      </c>
      <c r="E6520" s="229">
        <v>35.0</v>
      </c>
      <c r="F6520" s="230">
        <v>3.0</v>
      </c>
      <c r="G6520" s="232"/>
    </row>
    <row r="6521">
      <c r="A6521" s="2"/>
      <c r="B6521" s="168" t="s">
        <v>255</v>
      </c>
      <c r="C6521" s="168" t="s">
        <v>6744</v>
      </c>
      <c r="D6521" s="229">
        <v>31.5</v>
      </c>
      <c r="E6521" s="229">
        <v>35.0</v>
      </c>
      <c r="F6521" s="230">
        <v>3.0</v>
      </c>
      <c r="G6521" s="232"/>
    </row>
    <row r="6522">
      <c r="A6522" s="2"/>
      <c r="B6522" s="168" t="s">
        <v>232</v>
      </c>
      <c r="C6522" s="168" t="s">
        <v>6745</v>
      </c>
      <c r="D6522" s="229">
        <v>27.5</v>
      </c>
      <c r="E6522" s="229">
        <v>31.0</v>
      </c>
      <c r="F6522" s="230">
        <v>3.0</v>
      </c>
      <c r="G6522" s="232"/>
    </row>
    <row r="6523">
      <c r="A6523" s="2"/>
      <c r="B6523" s="168" t="s">
        <v>260</v>
      </c>
      <c r="C6523" s="168" t="s">
        <v>6746</v>
      </c>
      <c r="D6523" s="229">
        <v>23.5</v>
      </c>
      <c r="E6523" s="229">
        <v>27.0</v>
      </c>
      <c r="F6523" s="230">
        <v>3.0</v>
      </c>
      <c r="G6523" s="232"/>
    </row>
    <row r="6524">
      <c r="A6524" s="2"/>
      <c r="B6524" s="168" t="s">
        <v>269</v>
      </c>
      <c r="C6524" s="168" t="s">
        <v>6747</v>
      </c>
      <c r="D6524" s="229">
        <v>26.5</v>
      </c>
      <c r="E6524" s="229">
        <v>30.0</v>
      </c>
      <c r="F6524" s="230">
        <v>3.0</v>
      </c>
      <c r="G6524" s="232"/>
    </row>
    <row r="6525">
      <c r="A6525" s="2"/>
      <c r="B6525" s="168" t="s">
        <v>260</v>
      </c>
      <c r="C6525" s="168" t="s">
        <v>6748</v>
      </c>
      <c r="D6525" s="229">
        <v>28.5</v>
      </c>
      <c r="E6525" s="229">
        <v>32.0</v>
      </c>
      <c r="F6525" s="230">
        <v>3.0</v>
      </c>
      <c r="G6525" s="232"/>
    </row>
    <row r="6526">
      <c r="A6526" s="2"/>
      <c r="B6526" s="168" t="s">
        <v>239</v>
      </c>
      <c r="C6526" s="168" t="s">
        <v>6749</v>
      </c>
      <c r="D6526" s="229">
        <v>29.5</v>
      </c>
      <c r="E6526" s="229">
        <v>33.0</v>
      </c>
      <c r="F6526" s="230">
        <v>3.0</v>
      </c>
      <c r="G6526" s="232"/>
    </row>
    <row r="6527">
      <c r="A6527" s="2"/>
      <c r="B6527" s="168" t="s">
        <v>341</v>
      </c>
      <c r="C6527" s="168" t="s">
        <v>6750</v>
      </c>
      <c r="D6527" s="229">
        <v>29.5</v>
      </c>
      <c r="E6527" s="229">
        <v>29.5</v>
      </c>
      <c r="F6527" s="230">
        <v>3.0</v>
      </c>
      <c r="G6527" s="232"/>
    </row>
    <row r="6528">
      <c r="A6528" s="2"/>
      <c r="B6528" s="168" t="s">
        <v>230</v>
      </c>
      <c r="C6528" s="168" t="s">
        <v>6751</v>
      </c>
      <c r="D6528" s="229">
        <v>21.5</v>
      </c>
      <c r="E6528" s="229">
        <v>25.0</v>
      </c>
      <c r="F6528" s="230">
        <v>3.0</v>
      </c>
      <c r="G6528" s="232"/>
    </row>
    <row r="6529">
      <c r="A6529" s="2"/>
      <c r="B6529" s="168" t="s">
        <v>260</v>
      </c>
      <c r="C6529" s="168" t="s">
        <v>6752</v>
      </c>
      <c r="D6529" s="229">
        <v>28.5</v>
      </c>
      <c r="E6529" s="229">
        <v>32.0</v>
      </c>
      <c r="F6529" s="230">
        <v>3.0</v>
      </c>
      <c r="G6529" s="232"/>
    </row>
    <row r="6530">
      <c r="A6530" s="2"/>
      <c r="B6530" s="168" t="s">
        <v>337</v>
      </c>
      <c r="C6530" s="168" t="s">
        <v>6753</v>
      </c>
      <c r="D6530" s="229">
        <v>32.0</v>
      </c>
      <c r="E6530" s="229">
        <v>35.5</v>
      </c>
      <c r="F6530" s="230">
        <v>3.0</v>
      </c>
      <c r="G6530" s="232"/>
    </row>
    <row r="6531">
      <c r="A6531" s="2"/>
      <c r="B6531" s="168" t="s">
        <v>239</v>
      </c>
      <c r="C6531" s="168" t="s">
        <v>6754</v>
      </c>
      <c r="D6531" s="229">
        <v>29.5</v>
      </c>
      <c r="E6531" s="229">
        <v>33.0</v>
      </c>
      <c r="F6531" s="230">
        <v>3.0</v>
      </c>
      <c r="G6531" s="232"/>
    </row>
    <row r="6532">
      <c r="A6532" s="2"/>
      <c r="B6532" s="168" t="s">
        <v>255</v>
      </c>
      <c r="C6532" s="168" t="s">
        <v>6755</v>
      </c>
      <c r="D6532" s="229">
        <v>31.5</v>
      </c>
      <c r="E6532" s="229">
        <v>35.0</v>
      </c>
      <c r="F6532" s="230">
        <v>3.0</v>
      </c>
      <c r="G6532" s="232"/>
    </row>
    <row r="6533">
      <c r="A6533" s="2"/>
      <c r="B6533" s="168" t="s">
        <v>328</v>
      </c>
      <c r="C6533" s="168" t="s">
        <v>6756</v>
      </c>
      <c r="D6533" s="229">
        <v>34.5</v>
      </c>
      <c r="E6533" s="229">
        <v>38.0</v>
      </c>
      <c r="F6533" s="230">
        <v>3.0</v>
      </c>
      <c r="G6533" s="232"/>
    </row>
    <row r="6534">
      <c r="A6534" s="2"/>
      <c r="B6534" s="168" t="s">
        <v>255</v>
      </c>
      <c r="C6534" s="168" t="s">
        <v>6757</v>
      </c>
      <c r="D6534" s="229">
        <v>31.5</v>
      </c>
      <c r="E6534" s="229">
        <v>35.0</v>
      </c>
      <c r="F6534" s="230">
        <v>3.0</v>
      </c>
      <c r="G6534" s="232"/>
    </row>
    <row r="6535">
      <c r="A6535" s="2"/>
      <c r="B6535" s="168" t="s">
        <v>221</v>
      </c>
      <c r="C6535" s="168" t="s">
        <v>6758</v>
      </c>
      <c r="D6535" s="229">
        <v>27.5</v>
      </c>
      <c r="E6535" s="229">
        <v>31.0</v>
      </c>
      <c r="F6535" s="230">
        <v>3.0</v>
      </c>
      <c r="G6535" s="232"/>
    </row>
    <row r="6536">
      <c r="A6536" s="2"/>
      <c r="B6536" s="168" t="s">
        <v>241</v>
      </c>
      <c r="C6536" s="168" t="s">
        <v>6759</v>
      </c>
      <c r="D6536" s="229">
        <v>32.5</v>
      </c>
      <c r="E6536" s="229">
        <v>36.0</v>
      </c>
      <c r="F6536" s="230">
        <v>3.0</v>
      </c>
      <c r="G6536" s="232"/>
    </row>
    <row r="6537">
      <c r="A6537" s="2"/>
      <c r="B6537" s="168" t="s">
        <v>232</v>
      </c>
      <c r="C6537" s="168" t="s">
        <v>6760</v>
      </c>
      <c r="D6537" s="229">
        <v>31.5</v>
      </c>
      <c r="E6537" s="229">
        <v>35.0</v>
      </c>
      <c r="F6537" s="230">
        <v>3.0</v>
      </c>
      <c r="G6537" s="232"/>
    </row>
    <row r="6538">
      <c r="A6538" s="2"/>
      <c r="B6538" s="168" t="s">
        <v>285</v>
      </c>
      <c r="C6538" s="168" t="s">
        <v>6761</v>
      </c>
      <c r="D6538" s="229">
        <v>24.5</v>
      </c>
      <c r="E6538" s="229">
        <v>28.0</v>
      </c>
      <c r="F6538" s="230">
        <v>3.0</v>
      </c>
      <c r="G6538" s="232"/>
    </row>
    <row r="6539">
      <c r="A6539" s="2"/>
      <c r="B6539" s="168" t="s">
        <v>830</v>
      </c>
      <c r="C6539" s="168" t="s">
        <v>6762</v>
      </c>
      <c r="D6539" s="229">
        <v>24.5</v>
      </c>
      <c r="E6539" s="229">
        <v>28.0</v>
      </c>
      <c r="F6539" s="230">
        <v>3.0</v>
      </c>
      <c r="G6539" s="232"/>
    </row>
    <row r="6540">
      <c r="A6540" s="2"/>
      <c r="B6540" s="168" t="s">
        <v>217</v>
      </c>
      <c r="C6540" s="168" t="s">
        <v>6763</v>
      </c>
      <c r="D6540" s="229">
        <v>27.5</v>
      </c>
      <c r="E6540" s="229">
        <v>31.0</v>
      </c>
      <c r="F6540" s="230">
        <v>3.0</v>
      </c>
      <c r="G6540" s="232"/>
    </row>
    <row r="6541">
      <c r="A6541" s="2"/>
      <c r="B6541" s="168" t="s">
        <v>381</v>
      </c>
      <c r="C6541" s="168" t="s">
        <v>6764</v>
      </c>
      <c r="D6541" s="229">
        <v>28.5</v>
      </c>
      <c r="E6541" s="229">
        <v>32.0</v>
      </c>
      <c r="F6541" s="230">
        <v>3.0</v>
      </c>
      <c r="G6541" s="232"/>
    </row>
    <row r="6542">
      <c r="A6542" s="2"/>
      <c r="B6542" s="168" t="s">
        <v>449</v>
      </c>
      <c r="C6542" s="168" t="s">
        <v>6765</v>
      </c>
      <c r="D6542" s="229">
        <v>28.5</v>
      </c>
      <c r="E6542" s="229">
        <v>32.0</v>
      </c>
      <c r="F6542" s="230">
        <v>3.0</v>
      </c>
      <c r="G6542" s="232"/>
    </row>
    <row r="6543">
      <c r="A6543" s="2"/>
      <c r="B6543" s="168" t="s">
        <v>438</v>
      </c>
      <c r="C6543" s="168" t="s">
        <v>6766</v>
      </c>
      <c r="D6543" s="229">
        <v>29.5</v>
      </c>
      <c r="E6543" s="229">
        <v>33.0</v>
      </c>
      <c r="F6543" s="230">
        <v>3.0</v>
      </c>
      <c r="G6543" s="232"/>
    </row>
    <row r="6544">
      <c r="A6544" s="2"/>
      <c r="B6544" s="168" t="s">
        <v>257</v>
      </c>
      <c r="C6544" s="168" t="s">
        <v>6767</v>
      </c>
      <c r="D6544" s="229">
        <v>28.5</v>
      </c>
      <c r="E6544" s="229">
        <v>32.0</v>
      </c>
      <c r="F6544" s="230">
        <v>3.0</v>
      </c>
      <c r="G6544" s="232"/>
    </row>
    <row r="6545">
      <c r="A6545" s="2"/>
      <c r="B6545" s="168" t="s">
        <v>217</v>
      </c>
      <c r="C6545" s="168" t="s">
        <v>6768</v>
      </c>
      <c r="D6545" s="229">
        <v>22.5</v>
      </c>
      <c r="E6545" s="229">
        <v>26.0</v>
      </c>
      <c r="F6545" s="230">
        <v>3.0</v>
      </c>
      <c r="G6545" s="232"/>
    </row>
    <row r="6546">
      <c r="A6546" s="2"/>
      <c r="B6546" s="168" t="s">
        <v>288</v>
      </c>
      <c r="C6546" s="168" t="s">
        <v>6769</v>
      </c>
      <c r="D6546" s="229">
        <v>21.5</v>
      </c>
      <c r="E6546" s="229">
        <v>25.0</v>
      </c>
      <c r="F6546" s="230">
        <v>3.0</v>
      </c>
      <c r="G6546" s="232"/>
    </row>
    <row r="6547">
      <c r="A6547" s="2"/>
      <c r="B6547" s="168" t="s">
        <v>241</v>
      </c>
      <c r="C6547" s="168" t="s">
        <v>6770</v>
      </c>
      <c r="D6547" s="229">
        <v>31.5</v>
      </c>
      <c r="E6547" s="229">
        <v>35.0</v>
      </c>
      <c r="F6547" s="230">
        <v>3.0</v>
      </c>
      <c r="G6547" s="232"/>
    </row>
    <row r="6548">
      <c r="A6548" s="2"/>
      <c r="B6548" s="168" t="s">
        <v>335</v>
      </c>
      <c r="C6548" s="168" t="s">
        <v>6771</v>
      </c>
      <c r="D6548" s="229">
        <v>34.5</v>
      </c>
      <c r="E6548" s="229">
        <v>38.0</v>
      </c>
      <c r="F6548" s="230">
        <v>3.0</v>
      </c>
      <c r="G6548" s="232"/>
    </row>
    <row r="6549">
      <c r="A6549" s="2"/>
      <c r="B6549" s="168" t="s">
        <v>257</v>
      </c>
      <c r="C6549" s="168" t="s">
        <v>6772</v>
      </c>
      <c r="D6549" s="229">
        <v>28.5</v>
      </c>
      <c r="E6549" s="229">
        <v>32.0</v>
      </c>
      <c r="F6549" s="230">
        <v>3.0</v>
      </c>
      <c r="G6549" s="232"/>
    </row>
    <row r="6550">
      <c r="A6550" s="2"/>
      <c r="B6550" s="168" t="s">
        <v>290</v>
      </c>
      <c r="C6550" s="168" t="s">
        <v>6773</v>
      </c>
      <c r="D6550" s="229">
        <v>29.5</v>
      </c>
      <c r="E6550" s="229">
        <v>33.0</v>
      </c>
      <c r="F6550" s="230">
        <v>3.0</v>
      </c>
      <c r="G6550" s="232"/>
    </row>
    <row r="6551">
      <c r="A6551" s="2"/>
      <c r="B6551" s="168" t="s">
        <v>223</v>
      </c>
      <c r="C6551" s="168" t="s">
        <v>6774</v>
      </c>
      <c r="D6551" s="229">
        <v>26.5</v>
      </c>
      <c r="E6551" s="229">
        <v>30.0</v>
      </c>
      <c r="F6551" s="230">
        <v>3.0</v>
      </c>
      <c r="G6551" s="232"/>
    </row>
    <row r="6552">
      <c r="A6552" s="2"/>
      <c r="B6552" s="168" t="s">
        <v>219</v>
      </c>
      <c r="C6552" s="168" t="s">
        <v>6775</v>
      </c>
      <c r="D6552" s="229">
        <v>28.5</v>
      </c>
      <c r="E6552" s="229">
        <v>32.0</v>
      </c>
      <c r="F6552" s="230">
        <v>3.0</v>
      </c>
      <c r="G6552" s="232"/>
    </row>
    <row r="6553">
      <c r="A6553" s="2"/>
      <c r="B6553" s="168" t="s">
        <v>310</v>
      </c>
      <c r="C6553" s="168" t="s">
        <v>6776</v>
      </c>
      <c r="D6553" s="229">
        <v>34.5</v>
      </c>
      <c r="E6553" s="229">
        <v>38.0</v>
      </c>
      <c r="F6553" s="230">
        <v>3.0</v>
      </c>
      <c r="G6553" s="232"/>
    </row>
    <row r="6554">
      <c r="A6554" s="2"/>
      <c r="B6554" s="168" t="s">
        <v>219</v>
      </c>
      <c r="C6554" s="168" t="s">
        <v>6777</v>
      </c>
      <c r="D6554" s="229">
        <v>28.5</v>
      </c>
      <c r="E6554" s="229">
        <v>32.0</v>
      </c>
      <c r="F6554" s="230">
        <v>3.0</v>
      </c>
      <c r="G6554" s="232"/>
    </row>
    <row r="6555">
      <c r="A6555" s="2"/>
      <c r="B6555" s="168" t="s">
        <v>318</v>
      </c>
      <c r="C6555" s="168" t="s">
        <v>6778</v>
      </c>
      <c r="D6555" s="229">
        <v>25.5</v>
      </c>
      <c r="E6555" s="229">
        <v>29.0</v>
      </c>
      <c r="F6555" s="230">
        <v>3.0</v>
      </c>
      <c r="G6555" s="232"/>
    </row>
    <row r="6556">
      <c r="A6556" s="2"/>
      <c r="B6556" s="168" t="s">
        <v>219</v>
      </c>
      <c r="C6556" s="168" t="s">
        <v>6779</v>
      </c>
      <c r="D6556" s="229">
        <v>28.5</v>
      </c>
      <c r="E6556" s="229">
        <v>32.0</v>
      </c>
      <c r="F6556" s="230">
        <v>3.0</v>
      </c>
      <c r="G6556" s="232"/>
    </row>
    <row r="6557">
      <c r="A6557" s="2"/>
      <c r="B6557" s="168" t="s">
        <v>592</v>
      </c>
      <c r="C6557" s="168" t="s">
        <v>6780</v>
      </c>
      <c r="D6557" s="229">
        <v>34.5</v>
      </c>
      <c r="E6557" s="229">
        <v>38.0</v>
      </c>
      <c r="F6557" s="230">
        <v>3.0</v>
      </c>
      <c r="G6557" s="232"/>
    </row>
    <row r="6558">
      <c r="A6558" s="2"/>
      <c r="B6558" s="168" t="s">
        <v>341</v>
      </c>
      <c r="C6558" s="168" t="s">
        <v>341</v>
      </c>
      <c r="D6558" s="229">
        <v>29.5</v>
      </c>
      <c r="E6558" s="229">
        <v>29.5</v>
      </c>
      <c r="F6558" s="230">
        <v>3.0</v>
      </c>
      <c r="G6558" s="232"/>
    </row>
    <row r="6559">
      <c r="A6559" s="2"/>
      <c r="B6559" s="168" t="s">
        <v>288</v>
      </c>
      <c r="C6559" s="168" t="s">
        <v>6781</v>
      </c>
      <c r="D6559" s="229">
        <v>21.5</v>
      </c>
      <c r="E6559" s="229">
        <v>25.0</v>
      </c>
      <c r="F6559" s="230">
        <v>3.0</v>
      </c>
      <c r="G6559" s="232"/>
    </row>
    <row r="6560">
      <c r="A6560" s="2"/>
      <c r="B6560" s="168" t="s">
        <v>381</v>
      </c>
      <c r="C6560" s="168" t="s">
        <v>6782</v>
      </c>
      <c r="D6560" s="229">
        <v>28.5</v>
      </c>
      <c r="E6560" s="229">
        <v>32.0</v>
      </c>
      <c r="F6560" s="230">
        <v>3.0</v>
      </c>
      <c r="G6560" s="232"/>
    </row>
    <row r="6561">
      <c r="A6561" s="2"/>
      <c r="B6561" s="168" t="s">
        <v>290</v>
      </c>
      <c r="C6561" s="168" t="s">
        <v>6783</v>
      </c>
      <c r="D6561" s="229">
        <v>29.5</v>
      </c>
      <c r="E6561" s="229">
        <v>33.0</v>
      </c>
      <c r="F6561" s="230">
        <v>3.0</v>
      </c>
      <c r="G6561" s="232"/>
    </row>
    <row r="6562">
      <c r="A6562" s="2"/>
      <c r="B6562" s="168" t="s">
        <v>217</v>
      </c>
      <c r="C6562" s="168" t="s">
        <v>6784</v>
      </c>
      <c r="D6562" s="229">
        <v>27.5</v>
      </c>
      <c r="E6562" s="229">
        <v>31.0</v>
      </c>
      <c r="F6562" s="230">
        <v>3.0</v>
      </c>
      <c r="G6562" s="232"/>
    </row>
    <row r="6563">
      <c r="A6563" s="2"/>
      <c r="B6563" s="168" t="s">
        <v>275</v>
      </c>
      <c r="C6563" s="168" t="s">
        <v>6785</v>
      </c>
      <c r="D6563" s="229">
        <v>26.5</v>
      </c>
      <c r="E6563" s="229">
        <v>30.0</v>
      </c>
      <c r="F6563" s="230">
        <v>3.0</v>
      </c>
      <c r="G6563" s="232"/>
    </row>
    <row r="6564">
      <c r="A6564" s="2"/>
      <c r="B6564" s="168" t="s">
        <v>285</v>
      </c>
      <c r="C6564" s="168" t="s">
        <v>6786</v>
      </c>
      <c r="D6564" s="229">
        <v>19.5</v>
      </c>
      <c r="E6564" s="229">
        <v>23.0</v>
      </c>
      <c r="F6564" s="230">
        <v>3.0</v>
      </c>
      <c r="G6564" s="232"/>
    </row>
    <row r="6565">
      <c r="A6565" s="2"/>
      <c r="B6565" s="168" t="s">
        <v>328</v>
      </c>
      <c r="C6565" s="168" t="s">
        <v>6787</v>
      </c>
      <c r="D6565" s="229">
        <v>34.5</v>
      </c>
      <c r="E6565" s="229">
        <v>38.0</v>
      </c>
      <c r="F6565" s="230">
        <v>3.0</v>
      </c>
      <c r="G6565" s="232"/>
    </row>
    <row r="6566">
      <c r="A6566" s="2"/>
      <c r="B6566" s="168" t="s">
        <v>290</v>
      </c>
      <c r="C6566" s="168" t="s">
        <v>6788</v>
      </c>
      <c r="D6566" s="229">
        <v>29.5</v>
      </c>
      <c r="E6566" s="229">
        <v>33.0</v>
      </c>
      <c r="F6566" s="230">
        <v>3.0</v>
      </c>
      <c r="G6566" s="232"/>
    </row>
    <row r="6567">
      <c r="A6567" s="2"/>
      <c r="B6567" s="168" t="s">
        <v>219</v>
      </c>
      <c r="C6567" s="168" t="s">
        <v>6789</v>
      </c>
      <c r="D6567" s="229">
        <v>28.0</v>
      </c>
      <c r="E6567" s="229">
        <v>31.5</v>
      </c>
      <c r="F6567" s="230">
        <v>3.0</v>
      </c>
      <c r="G6567" s="232"/>
    </row>
    <row r="6568">
      <c r="A6568" s="2"/>
      <c r="B6568" s="168" t="s">
        <v>341</v>
      </c>
      <c r="C6568" s="168" t="s">
        <v>6790</v>
      </c>
      <c r="D6568" s="229">
        <v>24.5</v>
      </c>
      <c r="E6568" s="229">
        <v>24.5</v>
      </c>
      <c r="F6568" s="230">
        <v>3.0</v>
      </c>
      <c r="G6568" s="232"/>
    </row>
    <row r="6569">
      <c r="A6569" s="2"/>
      <c r="B6569" s="168" t="s">
        <v>219</v>
      </c>
      <c r="C6569" s="168" t="s">
        <v>6791</v>
      </c>
      <c r="D6569" s="229">
        <v>28.0</v>
      </c>
      <c r="E6569" s="229">
        <v>31.5</v>
      </c>
      <c r="F6569" s="230">
        <v>3.0</v>
      </c>
      <c r="G6569" s="232"/>
    </row>
    <row r="6570">
      <c r="A6570" s="2"/>
      <c r="B6570" s="168" t="s">
        <v>280</v>
      </c>
      <c r="C6570" s="168" t="s">
        <v>6792</v>
      </c>
      <c r="D6570" s="229">
        <v>28.5</v>
      </c>
      <c r="E6570" s="229">
        <v>32.0</v>
      </c>
      <c r="F6570" s="230">
        <v>3.0</v>
      </c>
      <c r="G6570" s="232"/>
    </row>
    <row r="6571">
      <c r="A6571" s="2"/>
      <c r="B6571" s="168" t="s">
        <v>341</v>
      </c>
      <c r="C6571" s="168" t="s">
        <v>6793</v>
      </c>
      <c r="D6571" s="229">
        <v>24.5</v>
      </c>
      <c r="E6571" s="229">
        <v>24.5</v>
      </c>
      <c r="F6571" s="230">
        <v>3.0</v>
      </c>
      <c r="G6571" s="232"/>
    </row>
    <row r="6572">
      <c r="A6572" s="2"/>
      <c r="B6572" s="168" t="s">
        <v>234</v>
      </c>
      <c r="C6572" s="168" t="s">
        <v>6794</v>
      </c>
      <c r="D6572" s="229">
        <v>29.5</v>
      </c>
      <c r="E6572" s="229">
        <v>33.0</v>
      </c>
      <c r="F6572" s="230">
        <v>3.0</v>
      </c>
      <c r="G6572" s="232"/>
    </row>
    <row r="6573">
      <c r="A6573" s="2"/>
      <c r="B6573" s="168" t="s">
        <v>290</v>
      </c>
      <c r="C6573" s="168" t="s">
        <v>6795</v>
      </c>
      <c r="D6573" s="229">
        <v>24.5</v>
      </c>
      <c r="E6573" s="229">
        <v>28.0</v>
      </c>
      <c r="F6573" s="230">
        <v>3.0</v>
      </c>
      <c r="G6573" s="232"/>
    </row>
    <row r="6574">
      <c r="A6574" s="2"/>
      <c r="B6574" s="168" t="s">
        <v>937</v>
      </c>
      <c r="C6574" s="168" t="s">
        <v>6796</v>
      </c>
      <c r="D6574" s="229">
        <v>21.5</v>
      </c>
      <c r="E6574" s="229">
        <v>25.0</v>
      </c>
      <c r="F6574" s="230">
        <v>3.0</v>
      </c>
      <c r="G6574" s="232"/>
    </row>
    <row r="6575">
      <c r="A6575" s="2"/>
      <c r="B6575" s="168" t="s">
        <v>377</v>
      </c>
      <c r="C6575" s="168" t="s">
        <v>6797</v>
      </c>
      <c r="D6575" s="229">
        <v>24.5</v>
      </c>
      <c r="E6575" s="229">
        <v>28.0</v>
      </c>
      <c r="F6575" s="230">
        <v>3.0</v>
      </c>
      <c r="G6575" s="232"/>
    </row>
    <row r="6576">
      <c r="A6576" s="2"/>
      <c r="B6576" s="168" t="s">
        <v>368</v>
      </c>
      <c r="C6576" s="168" t="s">
        <v>6798</v>
      </c>
      <c r="D6576" s="229">
        <v>32.5</v>
      </c>
      <c r="E6576" s="229">
        <v>36.0</v>
      </c>
      <c r="F6576" s="230">
        <v>3.0</v>
      </c>
      <c r="G6576" s="232"/>
    </row>
    <row r="6577">
      <c r="A6577" s="2"/>
      <c r="B6577" s="168" t="s">
        <v>219</v>
      </c>
      <c r="C6577" s="168" t="s">
        <v>6799</v>
      </c>
      <c r="D6577" s="229">
        <v>28.5</v>
      </c>
      <c r="E6577" s="229">
        <v>32.0</v>
      </c>
      <c r="F6577" s="230">
        <v>3.0</v>
      </c>
      <c r="G6577" s="232"/>
    </row>
    <row r="6578">
      <c r="A6578" s="2"/>
      <c r="B6578" s="168" t="s">
        <v>215</v>
      </c>
      <c r="C6578" s="168" t="s">
        <v>6800</v>
      </c>
      <c r="D6578" s="229">
        <v>27.5</v>
      </c>
      <c r="E6578" s="229">
        <v>31.0</v>
      </c>
      <c r="F6578" s="230">
        <v>3.0</v>
      </c>
      <c r="G6578" s="232"/>
    </row>
    <row r="6579">
      <c r="A6579" s="2"/>
      <c r="B6579" s="168" t="s">
        <v>215</v>
      </c>
      <c r="C6579" s="168" t="s">
        <v>6801</v>
      </c>
      <c r="D6579" s="229">
        <v>27.5</v>
      </c>
      <c r="E6579" s="229">
        <v>31.0</v>
      </c>
      <c r="F6579" s="230">
        <v>3.0</v>
      </c>
      <c r="G6579" s="232"/>
    </row>
    <row r="6580">
      <c r="A6580" s="2"/>
      <c r="B6580" s="168" t="s">
        <v>381</v>
      </c>
      <c r="C6580" s="168" t="s">
        <v>6802</v>
      </c>
      <c r="D6580" s="229">
        <v>28.5</v>
      </c>
      <c r="E6580" s="229">
        <v>32.0</v>
      </c>
      <c r="F6580" s="230">
        <v>3.0</v>
      </c>
      <c r="G6580" s="232"/>
    </row>
    <row r="6581">
      <c r="A6581" s="2"/>
      <c r="B6581" s="168" t="s">
        <v>302</v>
      </c>
      <c r="C6581" s="168" t="s">
        <v>6803</v>
      </c>
      <c r="D6581" s="229">
        <v>34.5</v>
      </c>
      <c r="E6581" s="229">
        <v>38.0</v>
      </c>
      <c r="F6581" s="230">
        <v>3.0</v>
      </c>
      <c r="G6581" s="232"/>
    </row>
    <row r="6582">
      <c r="A6582" s="2"/>
      <c r="B6582" s="168" t="s">
        <v>282</v>
      </c>
      <c r="C6582" s="168" t="s">
        <v>6804</v>
      </c>
      <c r="D6582" s="229">
        <v>34.5</v>
      </c>
      <c r="E6582" s="229">
        <v>38.0</v>
      </c>
      <c r="F6582" s="230">
        <v>3.0</v>
      </c>
      <c r="G6582" s="232"/>
    </row>
    <row r="6583">
      <c r="A6583" s="2"/>
      <c r="B6583" s="168" t="s">
        <v>368</v>
      </c>
      <c r="C6583" s="168" t="s">
        <v>368</v>
      </c>
      <c r="D6583" s="229">
        <v>32.5</v>
      </c>
      <c r="E6583" s="229">
        <v>36.0</v>
      </c>
      <c r="F6583" s="230">
        <v>3.0</v>
      </c>
      <c r="G6583" s="232"/>
    </row>
    <row r="6584">
      <c r="A6584" s="2"/>
      <c r="B6584" s="168" t="s">
        <v>255</v>
      </c>
      <c r="C6584" s="168" t="s">
        <v>6805</v>
      </c>
      <c r="D6584" s="229">
        <v>31.5</v>
      </c>
      <c r="E6584" s="229">
        <v>35.0</v>
      </c>
      <c r="F6584" s="230">
        <v>3.0</v>
      </c>
      <c r="G6584" s="232"/>
    </row>
    <row r="6585">
      <c r="A6585" s="2"/>
      <c r="B6585" s="168" t="s">
        <v>535</v>
      </c>
      <c r="C6585" s="168" t="s">
        <v>6806</v>
      </c>
      <c r="D6585" s="229">
        <v>26.5</v>
      </c>
      <c r="E6585" s="229">
        <v>30.0</v>
      </c>
      <c r="F6585" s="230">
        <v>3.0</v>
      </c>
      <c r="G6585" s="232"/>
    </row>
    <row r="6586">
      <c r="A6586" s="2"/>
      <c r="B6586" s="168" t="s">
        <v>332</v>
      </c>
      <c r="C6586" s="168" t="s">
        <v>6807</v>
      </c>
      <c r="D6586" s="229">
        <v>28.5</v>
      </c>
      <c r="E6586" s="229">
        <v>32.0</v>
      </c>
      <c r="F6586" s="230">
        <v>3.0</v>
      </c>
      <c r="G6586" s="232"/>
    </row>
    <row r="6587">
      <c r="A6587" s="2"/>
      <c r="B6587" s="168" t="s">
        <v>269</v>
      </c>
      <c r="C6587" s="168" t="s">
        <v>6808</v>
      </c>
      <c r="D6587" s="229">
        <v>26.5</v>
      </c>
      <c r="E6587" s="229">
        <v>30.0</v>
      </c>
      <c r="F6587" s="230">
        <v>3.0</v>
      </c>
      <c r="G6587" s="232"/>
    </row>
    <row r="6588">
      <c r="A6588" s="2"/>
      <c r="B6588" s="168" t="s">
        <v>381</v>
      </c>
      <c r="C6588" s="168" t="s">
        <v>6809</v>
      </c>
      <c r="D6588" s="229">
        <v>28.5</v>
      </c>
      <c r="E6588" s="229">
        <v>32.0</v>
      </c>
      <c r="F6588" s="230">
        <v>3.0</v>
      </c>
      <c r="G6588" s="232"/>
    </row>
    <row r="6589">
      <c r="A6589" s="2"/>
      <c r="B6589" s="168" t="s">
        <v>217</v>
      </c>
      <c r="C6589" s="168" t="s">
        <v>6810</v>
      </c>
      <c r="D6589" s="229">
        <v>27.0</v>
      </c>
      <c r="E6589" s="229">
        <v>30.5</v>
      </c>
      <c r="F6589" s="230">
        <v>3.0</v>
      </c>
      <c r="G6589" s="232"/>
    </row>
    <row r="6590">
      <c r="A6590" s="2"/>
      <c r="B6590" s="168" t="s">
        <v>234</v>
      </c>
      <c r="C6590" s="168" t="s">
        <v>6811</v>
      </c>
      <c r="D6590" s="229">
        <v>29.5</v>
      </c>
      <c r="E6590" s="229">
        <v>33.0</v>
      </c>
      <c r="F6590" s="230">
        <v>3.0</v>
      </c>
      <c r="G6590" s="232"/>
    </row>
    <row r="6591">
      <c r="A6591" s="2"/>
      <c r="B6591" s="168" t="s">
        <v>328</v>
      </c>
      <c r="C6591" s="168" t="s">
        <v>6812</v>
      </c>
      <c r="D6591" s="229">
        <v>34.5</v>
      </c>
      <c r="E6591" s="229">
        <v>38.0</v>
      </c>
      <c r="F6591" s="230">
        <v>3.0</v>
      </c>
      <c r="G6591" s="232"/>
    </row>
    <row r="6592">
      <c r="A6592" s="2"/>
      <c r="B6592" s="168" t="s">
        <v>318</v>
      </c>
      <c r="C6592" s="168" t="s">
        <v>6813</v>
      </c>
      <c r="D6592" s="229">
        <v>25.5</v>
      </c>
      <c r="E6592" s="229">
        <v>29.0</v>
      </c>
      <c r="F6592" s="230">
        <v>3.0</v>
      </c>
      <c r="G6592" s="232"/>
    </row>
    <row r="6593">
      <c r="A6593" s="2"/>
      <c r="B6593" s="168" t="s">
        <v>565</v>
      </c>
      <c r="C6593" s="168" t="s">
        <v>6814</v>
      </c>
      <c r="D6593" s="229">
        <v>24.5</v>
      </c>
      <c r="E6593" s="229">
        <v>28.0</v>
      </c>
      <c r="F6593" s="230">
        <v>3.0</v>
      </c>
      <c r="G6593" s="232"/>
    </row>
    <row r="6594">
      <c r="A6594" s="2"/>
      <c r="B6594" s="168" t="s">
        <v>241</v>
      </c>
      <c r="C6594" s="168" t="s">
        <v>6815</v>
      </c>
      <c r="D6594" s="229">
        <v>32.5</v>
      </c>
      <c r="E6594" s="229">
        <v>36.0</v>
      </c>
      <c r="F6594" s="230">
        <v>3.0</v>
      </c>
      <c r="G6594" s="232"/>
    </row>
    <row r="6595">
      <c r="A6595" s="2"/>
      <c r="B6595" s="168" t="s">
        <v>269</v>
      </c>
      <c r="C6595" s="168" t="s">
        <v>6816</v>
      </c>
      <c r="D6595" s="229">
        <v>26.5</v>
      </c>
      <c r="E6595" s="229">
        <v>30.0</v>
      </c>
      <c r="F6595" s="230">
        <v>3.0</v>
      </c>
      <c r="G6595" s="232"/>
    </row>
    <row r="6596">
      <c r="A6596" s="2"/>
      <c r="B6596" s="168" t="s">
        <v>243</v>
      </c>
      <c r="C6596" s="168" t="s">
        <v>6817</v>
      </c>
      <c r="D6596" s="229">
        <v>29.5</v>
      </c>
      <c r="E6596" s="229">
        <v>33.0</v>
      </c>
      <c r="F6596" s="230">
        <v>3.0</v>
      </c>
      <c r="G6596" s="232"/>
    </row>
    <row r="6597">
      <c r="A6597" s="2"/>
      <c r="B6597" s="168" t="s">
        <v>217</v>
      </c>
      <c r="C6597" s="168" t="s">
        <v>6818</v>
      </c>
      <c r="D6597" s="229">
        <v>27.5</v>
      </c>
      <c r="E6597" s="229">
        <v>31.0</v>
      </c>
      <c r="F6597" s="230">
        <v>3.0</v>
      </c>
      <c r="G6597" s="232"/>
    </row>
    <row r="6598">
      <c r="A6598" s="2"/>
      <c r="B6598" s="168" t="s">
        <v>269</v>
      </c>
      <c r="C6598" s="168" t="s">
        <v>6819</v>
      </c>
      <c r="D6598" s="229">
        <v>26.5</v>
      </c>
      <c r="E6598" s="229">
        <v>30.0</v>
      </c>
      <c r="F6598" s="230">
        <v>3.0</v>
      </c>
      <c r="G6598" s="232"/>
    </row>
    <row r="6599">
      <c r="A6599" s="2"/>
      <c r="B6599" s="168" t="s">
        <v>288</v>
      </c>
      <c r="C6599" s="168" t="s">
        <v>6820</v>
      </c>
      <c r="D6599" s="229">
        <v>21.5</v>
      </c>
      <c r="E6599" s="229">
        <v>25.0</v>
      </c>
      <c r="F6599" s="230">
        <v>3.0</v>
      </c>
      <c r="G6599" s="232"/>
    </row>
    <row r="6600">
      <c r="A6600" s="2"/>
      <c r="B6600" s="168" t="s">
        <v>243</v>
      </c>
      <c r="C6600" s="168" t="s">
        <v>6821</v>
      </c>
      <c r="D6600" s="229">
        <v>29.5</v>
      </c>
      <c r="E6600" s="229">
        <v>33.0</v>
      </c>
      <c r="F6600" s="230">
        <v>3.0</v>
      </c>
      <c r="G6600" s="232"/>
    </row>
    <row r="6601">
      <c r="A6601" s="2"/>
      <c r="B6601" s="168" t="s">
        <v>288</v>
      </c>
      <c r="C6601" s="168" t="s">
        <v>6822</v>
      </c>
      <c r="D6601" s="229">
        <v>21.5</v>
      </c>
      <c r="E6601" s="229">
        <v>25.0</v>
      </c>
      <c r="F6601" s="230">
        <v>3.0</v>
      </c>
      <c r="G6601" s="232"/>
    </row>
    <row r="6602">
      <c r="A6602" s="2"/>
      <c r="B6602" s="168" t="s">
        <v>449</v>
      </c>
      <c r="C6602" s="168" t="s">
        <v>6823</v>
      </c>
      <c r="D6602" s="229">
        <v>28.5</v>
      </c>
      <c r="E6602" s="229">
        <v>32.0</v>
      </c>
      <c r="F6602" s="230">
        <v>3.0</v>
      </c>
      <c r="G6602" s="232"/>
    </row>
    <row r="6603">
      <c r="A6603" s="2"/>
      <c r="B6603" s="168" t="s">
        <v>296</v>
      </c>
      <c r="C6603" s="168" t="s">
        <v>6824</v>
      </c>
      <c r="D6603" s="229">
        <v>26.5</v>
      </c>
      <c r="E6603" s="229">
        <v>30.0</v>
      </c>
      <c r="F6603" s="230">
        <v>3.0</v>
      </c>
      <c r="G6603" s="232"/>
    </row>
    <row r="6604">
      <c r="A6604" s="2"/>
      <c r="B6604" s="168" t="s">
        <v>232</v>
      </c>
      <c r="C6604" s="168" t="s">
        <v>6825</v>
      </c>
      <c r="D6604" s="229">
        <v>25.5</v>
      </c>
      <c r="E6604" s="229">
        <v>29.0</v>
      </c>
      <c r="F6604" s="230">
        <v>3.0</v>
      </c>
      <c r="G6604" s="232"/>
    </row>
    <row r="6605">
      <c r="A6605" s="2"/>
      <c r="B6605" s="168" t="s">
        <v>381</v>
      </c>
      <c r="C6605" s="168" t="s">
        <v>6826</v>
      </c>
      <c r="D6605" s="229">
        <v>28.5</v>
      </c>
      <c r="E6605" s="229">
        <v>32.0</v>
      </c>
      <c r="F6605" s="230">
        <v>3.0</v>
      </c>
      <c r="G6605" s="232"/>
    </row>
    <row r="6606">
      <c r="A6606" s="2"/>
      <c r="B6606" s="168" t="s">
        <v>290</v>
      </c>
      <c r="C6606" s="168" t="s">
        <v>6827</v>
      </c>
      <c r="D6606" s="229">
        <v>29.5</v>
      </c>
      <c r="E6606" s="229">
        <v>33.0</v>
      </c>
      <c r="F6606" s="230">
        <v>3.0</v>
      </c>
      <c r="G6606" s="232"/>
    </row>
    <row r="6607">
      <c r="A6607" s="2"/>
      <c r="B6607" s="168" t="s">
        <v>255</v>
      </c>
      <c r="C6607" s="168" t="s">
        <v>6828</v>
      </c>
      <c r="D6607" s="229">
        <v>26.5</v>
      </c>
      <c r="E6607" s="229">
        <v>30.0</v>
      </c>
      <c r="F6607" s="230">
        <v>3.0</v>
      </c>
      <c r="G6607" s="232"/>
    </row>
    <row r="6608">
      <c r="A6608" s="2"/>
      <c r="B6608" s="168" t="s">
        <v>269</v>
      </c>
      <c r="C6608" s="168" t="s">
        <v>6829</v>
      </c>
      <c r="D6608" s="229">
        <v>26.5</v>
      </c>
      <c r="E6608" s="229">
        <v>30.0</v>
      </c>
      <c r="F6608" s="230">
        <v>3.0</v>
      </c>
      <c r="G6608" s="232"/>
    </row>
    <row r="6609">
      <c r="A6609" s="2"/>
      <c r="B6609" s="168" t="s">
        <v>269</v>
      </c>
      <c r="C6609" s="168" t="s">
        <v>6830</v>
      </c>
      <c r="D6609" s="229">
        <v>26.5</v>
      </c>
      <c r="E6609" s="229">
        <v>30.0</v>
      </c>
      <c r="F6609" s="230">
        <v>3.0</v>
      </c>
      <c r="G6609" s="232"/>
    </row>
    <row r="6610">
      <c r="A6610" s="2"/>
      <c r="B6610" s="168" t="s">
        <v>294</v>
      </c>
      <c r="C6610" s="168" t="s">
        <v>6831</v>
      </c>
      <c r="D6610" s="229">
        <v>19.5</v>
      </c>
      <c r="E6610" s="229">
        <v>19.5</v>
      </c>
      <c r="F6610" s="230">
        <v>3.0</v>
      </c>
      <c r="G6610" s="232"/>
    </row>
    <row r="6611">
      <c r="A6611" s="2"/>
      <c r="B6611" s="168" t="s">
        <v>241</v>
      </c>
      <c r="C6611" s="168" t="s">
        <v>6832</v>
      </c>
      <c r="D6611" s="229">
        <v>32.5</v>
      </c>
      <c r="E6611" s="229">
        <v>36.0</v>
      </c>
      <c r="F6611" s="230">
        <v>3.0</v>
      </c>
      <c r="G6611" s="232"/>
    </row>
    <row r="6612">
      <c r="A6612" s="2"/>
      <c r="B6612" s="168" t="s">
        <v>273</v>
      </c>
      <c r="C6612" s="168" t="s">
        <v>6833</v>
      </c>
      <c r="D6612" s="229">
        <v>24.5</v>
      </c>
      <c r="E6612" s="229">
        <v>28.0</v>
      </c>
      <c r="F6612" s="230">
        <v>3.0</v>
      </c>
      <c r="G6612" s="232"/>
    </row>
    <row r="6613">
      <c r="A6613" s="2"/>
      <c r="B6613" s="168" t="s">
        <v>337</v>
      </c>
      <c r="C6613" s="168" t="s">
        <v>6834</v>
      </c>
      <c r="D6613" s="229">
        <v>23.5</v>
      </c>
      <c r="E6613" s="229">
        <v>27.0</v>
      </c>
      <c r="F6613" s="230">
        <v>3.0</v>
      </c>
      <c r="G6613" s="232"/>
    </row>
    <row r="6614">
      <c r="A6614" s="2"/>
      <c r="B6614" s="168" t="s">
        <v>217</v>
      </c>
      <c r="C6614" s="168" t="s">
        <v>6835</v>
      </c>
      <c r="D6614" s="229">
        <v>27.5</v>
      </c>
      <c r="E6614" s="229">
        <v>31.0</v>
      </c>
      <c r="F6614" s="230">
        <v>3.0</v>
      </c>
      <c r="G6614" s="232"/>
    </row>
    <row r="6615">
      <c r="A6615" s="2"/>
      <c r="B6615" s="168" t="s">
        <v>219</v>
      </c>
      <c r="C6615" s="168" t="s">
        <v>6836</v>
      </c>
      <c r="D6615" s="229">
        <v>19.5</v>
      </c>
      <c r="E6615" s="229">
        <v>23.0</v>
      </c>
      <c r="F6615" s="230">
        <v>3.0</v>
      </c>
      <c r="G6615" s="232"/>
    </row>
    <row r="6616">
      <c r="A6616" s="2"/>
      <c r="B6616" s="168" t="s">
        <v>215</v>
      </c>
      <c r="C6616" s="168" t="s">
        <v>6837</v>
      </c>
      <c r="D6616" s="229">
        <v>25.5</v>
      </c>
      <c r="E6616" s="229">
        <v>29.0</v>
      </c>
      <c r="F6616" s="230">
        <v>3.0</v>
      </c>
      <c r="G6616" s="232"/>
    </row>
    <row r="6617">
      <c r="A6617" s="2"/>
      <c r="B6617" s="168" t="s">
        <v>221</v>
      </c>
      <c r="C6617" s="168" t="s">
        <v>6838</v>
      </c>
      <c r="D6617" s="229">
        <v>27.5</v>
      </c>
      <c r="E6617" s="229">
        <v>31.0</v>
      </c>
      <c r="F6617" s="230">
        <v>3.0</v>
      </c>
      <c r="G6617" s="232"/>
    </row>
    <row r="6618">
      <c r="A6618" s="2"/>
      <c r="B6618" s="168" t="s">
        <v>241</v>
      </c>
      <c r="C6618" s="168" t="s">
        <v>6839</v>
      </c>
      <c r="D6618" s="229">
        <v>32.5</v>
      </c>
      <c r="E6618" s="229">
        <v>36.0</v>
      </c>
      <c r="F6618" s="230">
        <v>3.0</v>
      </c>
      <c r="G6618" s="232"/>
    </row>
    <row r="6619">
      <c r="A6619" s="2"/>
      <c r="B6619" s="168" t="s">
        <v>592</v>
      </c>
      <c r="C6619" s="168" t="s">
        <v>6840</v>
      </c>
      <c r="D6619" s="229">
        <v>34.5</v>
      </c>
      <c r="E6619" s="229">
        <v>38.0</v>
      </c>
      <c r="F6619" s="230">
        <v>3.0</v>
      </c>
      <c r="G6619" s="232"/>
    </row>
    <row r="6620">
      <c r="A6620" s="2"/>
      <c r="B6620" s="168" t="s">
        <v>247</v>
      </c>
      <c r="C6620" s="168" t="s">
        <v>6841</v>
      </c>
      <c r="D6620" s="229">
        <v>29.5</v>
      </c>
      <c r="E6620" s="229">
        <v>33.0</v>
      </c>
      <c r="F6620" s="230">
        <v>3.0</v>
      </c>
      <c r="G6620" s="232"/>
    </row>
    <row r="6621">
      <c r="A6621" s="2"/>
      <c r="B6621" s="168" t="s">
        <v>247</v>
      </c>
      <c r="C6621" s="168" t="s">
        <v>6842</v>
      </c>
      <c r="D6621" s="229">
        <v>29.5</v>
      </c>
      <c r="E6621" s="229">
        <v>33.0</v>
      </c>
      <c r="F6621" s="230">
        <v>3.0</v>
      </c>
      <c r="G6621" s="232"/>
    </row>
    <row r="6622">
      <c r="A6622" s="2"/>
      <c r="B6622" s="168" t="s">
        <v>310</v>
      </c>
      <c r="C6622" s="168" t="s">
        <v>6843</v>
      </c>
      <c r="D6622" s="229">
        <v>34.5</v>
      </c>
      <c r="E6622" s="229">
        <v>38.0</v>
      </c>
      <c r="F6622" s="230">
        <v>3.0</v>
      </c>
      <c r="G6622" s="232"/>
    </row>
    <row r="6623">
      <c r="A6623" s="2"/>
      <c r="B6623" s="168" t="s">
        <v>234</v>
      </c>
      <c r="C6623" s="168" t="s">
        <v>6844</v>
      </c>
      <c r="D6623" s="229">
        <v>24.5</v>
      </c>
      <c r="E6623" s="229">
        <v>28.0</v>
      </c>
      <c r="F6623" s="230">
        <v>3.0</v>
      </c>
      <c r="G6623" s="232"/>
    </row>
    <row r="6624">
      <c r="A6624" s="2"/>
      <c r="B6624" s="168" t="s">
        <v>288</v>
      </c>
      <c r="C6624" s="168" t="s">
        <v>6845</v>
      </c>
      <c r="D6624" s="229">
        <v>21.5</v>
      </c>
      <c r="E6624" s="229">
        <v>25.0</v>
      </c>
      <c r="F6624" s="230">
        <v>3.0</v>
      </c>
      <c r="G6624" s="232"/>
    </row>
    <row r="6625">
      <c r="A6625" s="2"/>
      <c r="B6625" s="168" t="s">
        <v>234</v>
      </c>
      <c r="C6625" s="168" t="s">
        <v>6846</v>
      </c>
      <c r="D6625" s="229">
        <v>29.5</v>
      </c>
      <c r="E6625" s="229">
        <v>33.0</v>
      </c>
      <c r="F6625" s="230">
        <v>3.0</v>
      </c>
      <c r="G6625" s="232"/>
    </row>
    <row r="6626">
      <c r="A6626" s="2"/>
      <c r="B6626" s="168" t="s">
        <v>230</v>
      </c>
      <c r="C6626" s="168" t="s">
        <v>6847</v>
      </c>
      <c r="D6626" s="229">
        <v>16.5</v>
      </c>
      <c r="E6626" s="229">
        <v>20.0</v>
      </c>
      <c r="F6626" s="230">
        <v>3.0</v>
      </c>
      <c r="G6626" s="232"/>
    </row>
    <row r="6627">
      <c r="A6627" s="2"/>
      <c r="B6627" s="168" t="s">
        <v>255</v>
      </c>
      <c r="C6627" s="168" t="s">
        <v>6848</v>
      </c>
      <c r="D6627" s="229">
        <v>31.5</v>
      </c>
      <c r="E6627" s="229">
        <v>35.0</v>
      </c>
      <c r="F6627" s="230">
        <v>3.0</v>
      </c>
      <c r="G6627" s="232"/>
    </row>
    <row r="6628">
      <c r="A6628" s="2"/>
      <c r="B6628" s="168" t="s">
        <v>341</v>
      </c>
      <c r="C6628" s="168" t="s">
        <v>6849</v>
      </c>
      <c r="D6628" s="229">
        <v>29.5</v>
      </c>
      <c r="E6628" s="229">
        <v>29.5</v>
      </c>
      <c r="F6628" s="230">
        <v>3.0</v>
      </c>
      <c r="G6628" s="232"/>
    </row>
    <row r="6629">
      <c r="A6629" s="2"/>
      <c r="B6629" s="168" t="s">
        <v>290</v>
      </c>
      <c r="C6629" s="168" t="s">
        <v>6850</v>
      </c>
      <c r="D6629" s="229">
        <v>29.5</v>
      </c>
      <c r="E6629" s="229">
        <v>33.0</v>
      </c>
      <c r="F6629" s="230">
        <v>3.0</v>
      </c>
      <c r="G6629" s="232"/>
    </row>
    <row r="6630">
      <c r="A6630" s="2"/>
      <c r="B6630" s="168" t="s">
        <v>341</v>
      </c>
      <c r="C6630" s="168" t="s">
        <v>6851</v>
      </c>
      <c r="D6630" s="229">
        <v>29.5</v>
      </c>
      <c r="E6630" s="229">
        <v>29.5</v>
      </c>
      <c r="F6630" s="230">
        <v>3.0</v>
      </c>
      <c r="G6630" s="232"/>
    </row>
    <row r="6631">
      <c r="A6631" s="2"/>
      <c r="B6631" s="168" t="s">
        <v>341</v>
      </c>
      <c r="C6631" s="168" t="s">
        <v>6852</v>
      </c>
      <c r="D6631" s="229">
        <v>29.5</v>
      </c>
      <c r="E6631" s="229">
        <v>29.5</v>
      </c>
      <c r="F6631" s="230">
        <v>3.0</v>
      </c>
      <c r="G6631" s="232"/>
    </row>
    <row r="6632">
      <c r="A6632" s="2"/>
      <c r="B6632" s="168" t="s">
        <v>234</v>
      </c>
      <c r="C6632" s="168" t="s">
        <v>6853</v>
      </c>
      <c r="D6632" s="229">
        <v>29.5</v>
      </c>
      <c r="E6632" s="229">
        <v>33.0</v>
      </c>
      <c r="F6632" s="230">
        <v>3.0</v>
      </c>
      <c r="G6632" s="232"/>
    </row>
    <row r="6633">
      <c r="A6633" s="2"/>
      <c r="B6633" s="168" t="s">
        <v>254</v>
      </c>
      <c r="C6633" s="168" t="s">
        <v>6854</v>
      </c>
      <c r="D6633" s="229">
        <v>26.5</v>
      </c>
      <c r="E6633" s="229">
        <v>30.0</v>
      </c>
      <c r="F6633" s="230">
        <v>3.0</v>
      </c>
      <c r="G6633" s="232"/>
    </row>
    <row r="6634">
      <c r="A6634" s="2"/>
      <c r="B6634" s="168" t="s">
        <v>375</v>
      </c>
      <c r="C6634" s="168" t="s">
        <v>6855</v>
      </c>
      <c r="D6634" s="229">
        <v>26.5</v>
      </c>
      <c r="E6634" s="229">
        <v>30.0</v>
      </c>
      <c r="F6634" s="230">
        <v>3.0</v>
      </c>
      <c r="G6634" s="232"/>
    </row>
    <row r="6635">
      <c r="A6635" s="2"/>
      <c r="B6635" s="168" t="s">
        <v>341</v>
      </c>
      <c r="C6635" s="168" t="s">
        <v>6856</v>
      </c>
      <c r="D6635" s="229">
        <v>29.5</v>
      </c>
      <c r="E6635" s="229">
        <v>29.5</v>
      </c>
      <c r="F6635" s="230">
        <v>3.0</v>
      </c>
      <c r="G6635" s="232"/>
    </row>
    <row r="6636">
      <c r="A6636" s="2"/>
      <c r="B6636" s="168" t="s">
        <v>290</v>
      </c>
      <c r="C6636" s="168" t="s">
        <v>6857</v>
      </c>
      <c r="D6636" s="229">
        <v>24.5</v>
      </c>
      <c r="E6636" s="229">
        <v>28.0</v>
      </c>
      <c r="F6636" s="230">
        <v>3.0</v>
      </c>
      <c r="G6636" s="232"/>
    </row>
    <row r="6637">
      <c r="A6637" s="2"/>
      <c r="B6637" s="168" t="s">
        <v>332</v>
      </c>
      <c r="C6637" s="168" t="s">
        <v>6858</v>
      </c>
      <c r="D6637" s="229">
        <v>28.5</v>
      </c>
      <c r="E6637" s="229">
        <v>32.0</v>
      </c>
      <c r="F6637" s="230">
        <v>3.0</v>
      </c>
      <c r="G6637" s="232"/>
    </row>
    <row r="6638">
      <c r="A6638" s="2"/>
      <c r="B6638" s="168" t="s">
        <v>234</v>
      </c>
      <c r="C6638" s="168" t="s">
        <v>6859</v>
      </c>
      <c r="D6638" s="229">
        <v>29.5</v>
      </c>
      <c r="E6638" s="229">
        <v>33.0</v>
      </c>
      <c r="F6638" s="230">
        <v>3.0</v>
      </c>
      <c r="G6638" s="232"/>
    </row>
    <row r="6639">
      <c r="A6639" s="2"/>
      <c r="B6639" s="168" t="s">
        <v>230</v>
      </c>
      <c r="C6639" s="168" t="s">
        <v>6860</v>
      </c>
      <c r="D6639" s="229">
        <v>16.5</v>
      </c>
      <c r="E6639" s="229">
        <v>20.0</v>
      </c>
      <c r="F6639" s="230">
        <v>3.0</v>
      </c>
      <c r="G6639" s="232"/>
    </row>
    <row r="6640">
      <c r="A6640" s="2"/>
      <c r="B6640" s="168" t="s">
        <v>341</v>
      </c>
      <c r="C6640" s="168" t="s">
        <v>6861</v>
      </c>
      <c r="D6640" s="229">
        <v>29.5</v>
      </c>
      <c r="E6640" s="229">
        <v>29.5</v>
      </c>
      <c r="F6640" s="230">
        <v>3.0</v>
      </c>
      <c r="G6640" s="232"/>
    </row>
    <row r="6641">
      <c r="A6641" s="2"/>
      <c r="B6641" s="168" t="s">
        <v>282</v>
      </c>
      <c r="C6641" s="168" t="s">
        <v>6862</v>
      </c>
      <c r="D6641" s="229">
        <v>34.5</v>
      </c>
      <c r="E6641" s="229">
        <v>38.0</v>
      </c>
      <c r="F6641" s="230">
        <v>3.0</v>
      </c>
      <c r="G6641" s="232"/>
    </row>
    <row r="6642">
      <c r="A6642" s="2"/>
      <c r="B6642" s="168" t="s">
        <v>215</v>
      </c>
      <c r="C6642" s="168" t="s">
        <v>6863</v>
      </c>
      <c r="D6642" s="229">
        <v>29.5</v>
      </c>
      <c r="E6642" s="229">
        <v>33.0</v>
      </c>
      <c r="F6642" s="230">
        <v>3.0</v>
      </c>
      <c r="G6642" s="232"/>
    </row>
    <row r="6643">
      <c r="A6643" s="2"/>
      <c r="B6643" s="168" t="s">
        <v>217</v>
      </c>
      <c r="C6643" s="168" t="s">
        <v>6864</v>
      </c>
      <c r="D6643" s="229">
        <v>27.5</v>
      </c>
      <c r="E6643" s="229">
        <v>31.0</v>
      </c>
      <c r="F6643" s="230">
        <v>3.0</v>
      </c>
      <c r="G6643" s="232"/>
    </row>
    <row r="6644">
      <c r="A6644" s="2"/>
      <c r="B6644" s="168" t="s">
        <v>239</v>
      </c>
      <c r="C6644" s="168" t="s">
        <v>6865</v>
      </c>
      <c r="D6644" s="229">
        <v>29.5</v>
      </c>
      <c r="E6644" s="229">
        <v>33.0</v>
      </c>
      <c r="F6644" s="230">
        <v>3.0</v>
      </c>
      <c r="G6644" s="232"/>
    </row>
    <row r="6645">
      <c r="A6645" s="2"/>
      <c r="B6645" s="168" t="s">
        <v>221</v>
      </c>
      <c r="C6645" s="168" t="s">
        <v>6866</v>
      </c>
      <c r="D6645" s="229">
        <v>27.5</v>
      </c>
      <c r="E6645" s="229">
        <v>31.0</v>
      </c>
      <c r="F6645" s="230">
        <v>3.0</v>
      </c>
      <c r="G6645" s="232"/>
    </row>
    <row r="6646">
      <c r="A6646" s="2"/>
      <c r="B6646" s="168" t="s">
        <v>223</v>
      </c>
      <c r="C6646" s="168" t="s">
        <v>6867</v>
      </c>
      <c r="D6646" s="229">
        <v>26.5</v>
      </c>
      <c r="E6646" s="229">
        <v>30.0</v>
      </c>
      <c r="F6646" s="230">
        <v>3.0</v>
      </c>
      <c r="G6646" s="232"/>
    </row>
    <row r="6647">
      <c r="A6647" s="2"/>
      <c r="B6647" s="168" t="s">
        <v>288</v>
      </c>
      <c r="C6647" s="168" t="s">
        <v>6868</v>
      </c>
      <c r="D6647" s="229">
        <v>21.5</v>
      </c>
      <c r="E6647" s="229">
        <v>25.0</v>
      </c>
      <c r="F6647" s="230">
        <v>3.0</v>
      </c>
      <c r="G6647" s="232"/>
    </row>
    <row r="6648">
      <c r="A6648" s="2"/>
      <c r="B6648" s="168" t="s">
        <v>241</v>
      </c>
      <c r="C6648" s="168" t="s">
        <v>6869</v>
      </c>
      <c r="D6648" s="229">
        <v>32.5</v>
      </c>
      <c r="E6648" s="229">
        <v>36.0</v>
      </c>
      <c r="F6648" s="230">
        <v>3.0</v>
      </c>
      <c r="G6648" s="232"/>
    </row>
    <row r="6649">
      <c r="A6649" s="2"/>
      <c r="B6649" s="168" t="s">
        <v>381</v>
      </c>
      <c r="C6649" s="168" t="s">
        <v>6870</v>
      </c>
      <c r="D6649" s="229">
        <v>28.5</v>
      </c>
      <c r="E6649" s="229">
        <v>32.0</v>
      </c>
      <c r="F6649" s="230">
        <v>3.0</v>
      </c>
      <c r="G6649" s="232"/>
    </row>
    <row r="6650">
      <c r="A6650" s="2"/>
      <c r="B6650" s="168" t="s">
        <v>337</v>
      </c>
      <c r="C6650" s="168" t="s">
        <v>6871</v>
      </c>
      <c r="D6650" s="229">
        <v>20.5</v>
      </c>
      <c r="E6650" s="229">
        <v>24.0</v>
      </c>
      <c r="F6650" s="230">
        <v>3.0</v>
      </c>
      <c r="G6650" s="232"/>
    </row>
    <row r="6651">
      <c r="A6651" s="2"/>
      <c r="B6651" s="168" t="s">
        <v>247</v>
      </c>
      <c r="C6651" s="168" t="s">
        <v>6872</v>
      </c>
      <c r="D6651" s="229">
        <v>29.5</v>
      </c>
      <c r="E6651" s="229">
        <v>33.0</v>
      </c>
      <c r="F6651" s="230">
        <v>3.0</v>
      </c>
      <c r="G6651" s="232"/>
    </row>
    <row r="6652">
      <c r="A6652" s="2"/>
      <c r="B6652" s="168" t="s">
        <v>232</v>
      </c>
      <c r="C6652" s="168" t="s">
        <v>6873</v>
      </c>
      <c r="D6652" s="229">
        <v>25.5</v>
      </c>
      <c r="E6652" s="229">
        <v>29.0</v>
      </c>
      <c r="F6652" s="230">
        <v>3.0</v>
      </c>
      <c r="G6652" s="232"/>
    </row>
    <row r="6653">
      <c r="A6653" s="2"/>
      <c r="B6653" s="168" t="s">
        <v>427</v>
      </c>
      <c r="C6653" s="168" t="s">
        <v>6874</v>
      </c>
      <c r="D6653" s="229">
        <v>26.5</v>
      </c>
      <c r="E6653" s="229">
        <v>30.0</v>
      </c>
      <c r="F6653" s="230">
        <v>3.0</v>
      </c>
      <c r="G6653" s="232"/>
    </row>
    <row r="6654">
      <c r="A6654" s="2"/>
      <c r="B6654" s="168" t="s">
        <v>318</v>
      </c>
      <c r="C6654" s="168" t="s">
        <v>6875</v>
      </c>
      <c r="D6654" s="229">
        <v>25.5</v>
      </c>
      <c r="E6654" s="229">
        <v>29.0</v>
      </c>
      <c r="F6654" s="230">
        <v>3.0</v>
      </c>
      <c r="G6654" s="232"/>
    </row>
    <row r="6655">
      <c r="A6655" s="2"/>
      <c r="B6655" s="168" t="s">
        <v>234</v>
      </c>
      <c r="C6655" s="168" t="s">
        <v>6876</v>
      </c>
      <c r="D6655" s="229">
        <v>29.5</v>
      </c>
      <c r="E6655" s="229">
        <v>33.0</v>
      </c>
      <c r="F6655" s="230">
        <v>3.0</v>
      </c>
      <c r="G6655" s="232"/>
    </row>
    <row r="6656">
      <c r="A6656" s="2"/>
      <c r="B6656" s="168" t="s">
        <v>318</v>
      </c>
      <c r="C6656" s="168" t="s">
        <v>6877</v>
      </c>
      <c r="D6656" s="229">
        <v>25.5</v>
      </c>
      <c r="E6656" s="229">
        <v>29.0</v>
      </c>
      <c r="F6656" s="230">
        <v>3.0</v>
      </c>
      <c r="G6656" s="232"/>
    </row>
    <row r="6657">
      <c r="A6657" s="2"/>
      <c r="B6657" s="168" t="s">
        <v>217</v>
      </c>
      <c r="C6657" s="168" t="s">
        <v>6878</v>
      </c>
      <c r="D6657" s="229">
        <v>27.5</v>
      </c>
      <c r="E6657" s="229">
        <v>31.0</v>
      </c>
      <c r="F6657" s="230">
        <v>3.0</v>
      </c>
      <c r="G6657" s="232"/>
    </row>
    <row r="6658">
      <c r="A6658" s="2"/>
      <c r="B6658" s="168" t="s">
        <v>290</v>
      </c>
      <c r="C6658" s="168" t="s">
        <v>6879</v>
      </c>
      <c r="D6658" s="229">
        <v>29.5</v>
      </c>
      <c r="E6658" s="229">
        <v>33.0</v>
      </c>
      <c r="F6658" s="230">
        <v>3.0</v>
      </c>
      <c r="G6658" s="232"/>
    </row>
    <row r="6659">
      <c r="A6659" s="2"/>
      <c r="B6659" s="168" t="s">
        <v>232</v>
      </c>
      <c r="C6659" s="168" t="s">
        <v>6880</v>
      </c>
      <c r="D6659" s="229">
        <v>31.5</v>
      </c>
      <c r="E6659" s="229">
        <v>35.0</v>
      </c>
      <c r="F6659" s="230">
        <v>3.0</v>
      </c>
      <c r="G6659" s="232"/>
    </row>
    <row r="6660">
      <c r="A6660" s="2"/>
      <c r="B6660" s="168" t="s">
        <v>381</v>
      </c>
      <c r="C6660" s="168" t="s">
        <v>6881</v>
      </c>
      <c r="D6660" s="229">
        <v>28.5</v>
      </c>
      <c r="E6660" s="229">
        <v>32.0</v>
      </c>
      <c r="F6660" s="230">
        <v>3.0</v>
      </c>
      <c r="G6660" s="232"/>
    </row>
    <row r="6661">
      <c r="A6661" s="2"/>
      <c r="B6661" s="168" t="s">
        <v>245</v>
      </c>
      <c r="C6661" s="168" t="s">
        <v>6882</v>
      </c>
      <c r="D6661" s="229">
        <v>29.5</v>
      </c>
      <c r="E6661" s="229">
        <v>33.0</v>
      </c>
      <c r="F6661" s="230">
        <v>3.0</v>
      </c>
      <c r="G6661" s="232"/>
    </row>
    <row r="6662">
      <c r="A6662" s="2"/>
      <c r="B6662" s="168" t="s">
        <v>217</v>
      </c>
      <c r="C6662" s="168" t="s">
        <v>6883</v>
      </c>
      <c r="D6662" s="229">
        <v>22.5</v>
      </c>
      <c r="E6662" s="229">
        <v>26.0</v>
      </c>
      <c r="F6662" s="230">
        <v>3.0</v>
      </c>
      <c r="G6662" s="232"/>
    </row>
    <row r="6663">
      <c r="A6663" s="2"/>
      <c r="B6663" s="168" t="s">
        <v>830</v>
      </c>
      <c r="C6663" s="168" t="s">
        <v>6884</v>
      </c>
      <c r="D6663" s="229">
        <v>24.5</v>
      </c>
      <c r="E6663" s="229">
        <v>28.0</v>
      </c>
      <c r="F6663" s="230">
        <v>3.0</v>
      </c>
      <c r="G6663" s="232"/>
    </row>
    <row r="6664">
      <c r="A6664" s="2"/>
      <c r="B6664" s="168" t="s">
        <v>302</v>
      </c>
      <c r="C6664" s="168" t="s">
        <v>6885</v>
      </c>
      <c r="D6664" s="229">
        <v>34.5</v>
      </c>
      <c r="E6664" s="229">
        <v>38.0</v>
      </c>
      <c r="F6664" s="230">
        <v>3.0</v>
      </c>
      <c r="G6664" s="232"/>
    </row>
    <row r="6665">
      <c r="A6665" s="2"/>
      <c r="B6665" s="168" t="s">
        <v>234</v>
      </c>
      <c r="C6665" s="168" t="s">
        <v>6886</v>
      </c>
      <c r="D6665" s="229">
        <v>29.5</v>
      </c>
      <c r="E6665" s="229">
        <v>33.0</v>
      </c>
      <c r="F6665" s="230">
        <v>3.0</v>
      </c>
      <c r="G6665" s="232"/>
    </row>
    <row r="6666">
      <c r="A6666" s="2"/>
      <c r="B6666" s="168" t="s">
        <v>234</v>
      </c>
      <c r="C6666" s="168" t="s">
        <v>6887</v>
      </c>
      <c r="D6666" s="229">
        <v>24.5</v>
      </c>
      <c r="E6666" s="229">
        <v>28.0</v>
      </c>
      <c r="F6666" s="230">
        <v>3.0</v>
      </c>
      <c r="G6666" s="232"/>
    </row>
    <row r="6667">
      <c r="A6667" s="2"/>
      <c r="B6667" s="168" t="s">
        <v>290</v>
      </c>
      <c r="C6667" s="168" t="s">
        <v>6888</v>
      </c>
      <c r="D6667" s="229">
        <v>29.5</v>
      </c>
      <c r="E6667" s="229">
        <v>33.0</v>
      </c>
      <c r="F6667" s="230">
        <v>3.0</v>
      </c>
      <c r="G6667" s="232"/>
    </row>
    <row r="6668">
      <c r="A6668" s="2"/>
      <c r="B6668" s="168" t="s">
        <v>273</v>
      </c>
      <c r="C6668" s="168" t="s">
        <v>6889</v>
      </c>
      <c r="D6668" s="229">
        <v>24.5</v>
      </c>
      <c r="E6668" s="229">
        <v>28.0</v>
      </c>
      <c r="F6668" s="230">
        <v>3.0</v>
      </c>
      <c r="G6668" s="232"/>
    </row>
    <row r="6669">
      <c r="A6669" s="2"/>
      <c r="B6669" s="168" t="s">
        <v>288</v>
      </c>
      <c r="C6669" s="168" t="s">
        <v>6890</v>
      </c>
      <c r="D6669" s="229">
        <v>21.5</v>
      </c>
      <c r="E6669" s="229">
        <v>25.0</v>
      </c>
      <c r="F6669" s="230">
        <v>3.0</v>
      </c>
      <c r="G6669" s="232"/>
    </row>
    <row r="6670">
      <c r="A6670" s="2"/>
      <c r="B6670" s="168" t="s">
        <v>375</v>
      </c>
      <c r="C6670" s="168" t="s">
        <v>6891</v>
      </c>
      <c r="D6670" s="229">
        <v>26.5</v>
      </c>
      <c r="E6670" s="229">
        <v>30.0</v>
      </c>
      <c r="F6670" s="230">
        <v>3.0</v>
      </c>
      <c r="G6670" s="232"/>
    </row>
    <row r="6671">
      <c r="A6671" s="2"/>
      <c r="B6671" s="168" t="s">
        <v>290</v>
      </c>
      <c r="C6671" s="168" t="s">
        <v>6892</v>
      </c>
      <c r="D6671" s="229">
        <v>29.5</v>
      </c>
      <c r="E6671" s="229">
        <v>33.0</v>
      </c>
      <c r="F6671" s="230">
        <v>3.0</v>
      </c>
      <c r="G6671" s="232"/>
    </row>
    <row r="6672">
      <c r="A6672" s="2"/>
      <c r="B6672" s="168" t="s">
        <v>257</v>
      </c>
      <c r="C6672" s="168" t="s">
        <v>6893</v>
      </c>
      <c r="D6672" s="229">
        <v>28.5</v>
      </c>
      <c r="E6672" s="229">
        <v>32.0</v>
      </c>
      <c r="F6672" s="230">
        <v>3.0</v>
      </c>
      <c r="G6672" s="232"/>
    </row>
    <row r="6673">
      <c r="A6673" s="2"/>
      <c r="B6673" s="168" t="s">
        <v>318</v>
      </c>
      <c r="C6673" s="168" t="s">
        <v>6894</v>
      </c>
      <c r="D6673" s="229">
        <v>20.5</v>
      </c>
      <c r="E6673" s="229">
        <v>24.0</v>
      </c>
      <c r="F6673" s="230">
        <v>3.0</v>
      </c>
      <c r="G6673" s="232"/>
    </row>
    <row r="6674">
      <c r="A6674" s="2"/>
      <c r="B6674" s="168" t="s">
        <v>300</v>
      </c>
      <c r="C6674" s="168" t="s">
        <v>6895</v>
      </c>
      <c r="D6674" s="229">
        <v>28.5</v>
      </c>
      <c r="E6674" s="229">
        <v>32.0</v>
      </c>
      <c r="F6674" s="230">
        <v>3.0</v>
      </c>
      <c r="G6674" s="232"/>
    </row>
    <row r="6675">
      <c r="A6675" s="2"/>
      <c r="B6675" s="168" t="s">
        <v>337</v>
      </c>
      <c r="C6675" s="168" t="s">
        <v>6896</v>
      </c>
      <c r="D6675" s="229">
        <v>28.5</v>
      </c>
      <c r="E6675" s="229">
        <v>32.0</v>
      </c>
      <c r="F6675" s="230">
        <v>3.0</v>
      </c>
      <c r="G6675" s="232"/>
    </row>
    <row r="6676">
      <c r="A6676" s="2"/>
      <c r="B6676" s="168" t="s">
        <v>234</v>
      </c>
      <c r="C6676" s="168" t="s">
        <v>6897</v>
      </c>
      <c r="D6676" s="229">
        <v>29.5</v>
      </c>
      <c r="E6676" s="229">
        <v>33.0</v>
      </c>
      <c r="F6676" s="230">
        <v>3.0</v>
      </c>
      <c r="G6676" s="232"/>
    </row>
    <row r="6677">
      <c r="A6677" s="2"/>
      <c r="B6677" s="168" t="s">
        <v>381</v>
      </c>
      <c r="C6677" s="168" t="s">
        <v>6898</v>
      </c>
      <c r="D6677" s="229">
        <v>28.5</v>
      </c>
      <c r="E6677" s="229">
        <v>32.0</v>
      </c>
      <c r="F6677" s="230">
        <v>3.0</v>
      </c>
      <c r="G6677" s="232"/>
    </row>
    <row r="6678">
      <c r="A6678" s="2"/>
      <c r="B6678" s="168" t="s">
        <v>230</v>
      </c>
      <c r="C6678" s="168" t="s">
        <v>6899</v>
      </c>
      <c r="D6678" s="229">
        <v>21.5</v>
      </c>
      <c r="E6678" s="229">
        <v>25.0</v>
      </c>
      <c r="F6678" s="230">
        <v>3.0</v>
      </c>
      <c r="G6678" s="232"/>
    </row>
    <row r="6679">
      <c r="A6679" s="2"/>
      <c r="B6679" s="168" t="s">
        <v>381</v>
      </c>
      <c r="C6679" s="168" t="s">
        <v>6900</v>
      </c>
      <c r="D6679" s="229">
        <v>28.5</v>
      </c>
      <c r="E6679" s="229">
        <v>32.0</v>
      </c>
      <c r="F6679" s="230">
        <v>3.0</v>
      </c>
      <c r="G6679" s="232"/>
    </row>
    <row r="6680">
      <c r="A6680" s="2"/>
      <c r="B6680" s="168" t="s">
        <v>318</v>
      </c>
      <c r="C6680" s="168" t="s">
        <v>6901</v>
      </c>
      <c r="D6680" s="229">
        <v>25.5</v>
      </c>
      <c r="E6680" s="229">
        <v>29.0</v>
      </c>
      <c r="F6680" s="230">
        <v>3.0</v>
      </c>
      <c r="G6680" s="232"/>
    </row>
    <row r="6681">
      <c r="A6681" s="2"/>
      <c r="B6681" s="168" t="s">
        <v>217</v>
      </c>
      <c r="C6681" s="168" t="s">
        <v>6902</v>
      </c>
      <c r="D6681" s="229">
        <v>27.5</v>
      </c>
      <c r="E6681" s="229">
        <v>31.0</v>
      </c>
      <c r="F6681" s="230">
        <v>3.0</v>
      </c>
      <c r="G6681" s="232"/>
    </row>
    <row r="6682">
      <c r="A6682" s="2"/>
      <c r="B6682" s="168" t="s">
        <v>273</v>
      </c>
      <c r="C6682" s="168" t="s">
        <v>6903</v>
      </c>
      <c r="D6682" s="229">
        <v>29.5</v>
      </c>
      <c r="E6682" s="229">
        <v>33.0</v>
      </c>
      <c r="F6682" s="230">
        <v>3.0</v>
      </c>
      <c r="G6682" s="232"/>
    </row>
    <row r="6683">
      <c r="A6683" s="2"/>
      <c r="B6683" s="168" t="s">
        <v>251</v>
      </c>
      <c r="C6683" s="168" t="s">
        <v>6904</v>
      </c>
      <c r="D6683" s="229">
        <v>34.5</v>
      </c>
      <c r="E6683" s="229">
        <v>38.0</v>
      </c>
      <c r="F6683" s="230">
        <v>3.0</v>
      </c>
      <c r="G6683" s="232"/>
    </row>
    <row r="6684">
      <c r="A6684" s="2"/>
      <c r="B6684" s="168" t="s">
        <v>255</v>
      </c>
      <c r="C6684" s="168" t="s">
        <v>6905</v>
      </c>
      <c r="D6684" s="229">
        <v>31.5</v>
      </c>
      <c r="E6684" s="229">
        <v>35.0</v>
      </c>
      <c r="F6684" s="230">
        <v>3.0</v>
      </c>
      <c r="G6684" s="232"/>
    </row>
    <row r="6685">
      <c r="A6685" s="2"/>
      <c r="B6685" s="168" t="s">
        <v>269</v>
      </c>
      <c r="C6685" s="168" t="s">
        <v>6906</v>
      </c>
      <c r="D6685" s="229">
        <v>26.5</v>
      </c>
      <c r="E6685" s="229">
        <v>30.0</v>
      </c>
      <c r="F6685" s="230">
        <v>3.0</v>
      </c>
      <c r="G6685" s="232"/>
    </row>
    <row r="6686">
      <c r="A6686" s="2"/>
      <c r="B6686" s="168" t="s">
        <v>251</v>
      </c>
      <c r="C6686" s="168" t="s">
        <v>6907</v>
      </c>
      <c r="D6686" s="229">
        <v>34.5</v>
      </c>
      <c r="E6686" s="229">
        <v>38.0</v>
      </c>
      <c r="F6686" s="230">
        <v>3.0</v>
      </c>
      <c r="G6686" s="232"/>
    </row>
    <row r="6687">
      <c r="A6687" s="2"/>
      <c r="B6687" s="168" t="s">
        <v>217</v>
      </c>
      <c r="C6687" s="168" t="s">
        <v>6908</v>
      </c>
      <c r="D6687" s="229">
        <v>27.5</v>
      </c>
      <c r="E6687" s="229">
        <v>31.0</v>
      </c>
      <c r="F6687" s="230">
        <v>3.0</v>
      </c>
      <c r="G6687" s="232"/>
    </row>
    <row r="6688">
      <c r="A6688" s="2"/>
      <c r="B6688" s="168" t="s">
        <v>230</v>
      </c>
      <c r="C6688" s="168" t="s">
        <v>6909</v>
      </c>
      <c r="D6688" s="229">
        <v>21.5</v>
      </c>
      <c r="E6688" s="229">
        <v>25.0</v>
      </c>
      <c r="F6688" s="230">
        <v>3.0</v>
      </c>
      <c r="G6688" s="232"/>
    </row>
    <row r="6689">
      <c r="A6689" s="2"/>
      <c r="B6689" s="168" t="s">
        <v>345</v>
      </c>
      <c r="C6689" s="168" t="s">
        <v>345</v>
      </c>
      <c r="D6689" s="229">
        <v>26.5</v>
      </c>
      <c r="E6689" s="229">
        <v>30.0</v>
      </c>
      <c r="F6689" s="230">
        <v>3.0</v>
      </c>
      <c r="G6689" s="232"/>
    </row>
    <row r="6690">
      <c r="A6690" s="2"/>
      <c r="B6690" s="168" t="s">
        <v>368</v>
      </c>
      <c r="C6690" s="168" t="s">
        <v>6910</v>
      </c>
      <c r="D6690" s="229">
        <v>32.5</v>
      </c>
      <c r="E6690" s="229">
        <v>36.0</v>
      </c>
      <c r="F6690" s="230">
        <v>3.0</v>
      </c>
      <c r="G6690" s="232"/>
    </row>
    <row r="6691">
      <c r="A6691" s="2"/>
      <c r="B6691" s="168" t="s">
        <v>255</v>
      </c>
      <c r="C6691" s="168" t="s">
        <v>6911</v>
      </c>
      <c r="D6691" s="229">
        <v>23.5</v>
      </c>
      <c r="E6691" s="229">
        <v>27.0</v>
      </c>
      <c r="F6691" s="230">
        <v>3.0</v>
      </c>
      <c r="G6691" s="232"/>
    </row>
    <row r="6692">
      <c r="A6692" s="2"/>
      <c r="B6692" s="168" t="s">
        <v>230</v>
      </c>
      <c r="C6692" s="168" t="s">
        <v>6912</v>
      </c>
      <c r="D6692" s="229">
        <v>16.5</v>
      </c>
      <c r="E6692" s="229">
        <v>20.0</v>
      </c>
      <c r="F6692" s="230">
        <v>3.0</v>
      </c>
      <c r="G6692" s="232"/>
    </row>
    <row r="6693">
      <c r="A6693" s="2"/>
      <c r="B6693" s="168" t="s">
        <v>230</v>
      </c>
      <c r="C6693" s="168" t="s">
        <v>6913</v>
      </c>
      <c r="D6693" s="229">
        <v>16.5</v>
      </c>
      <c r="E6693" s="229">
        <v>20.0</v>
      </c>
      <c r="F6693" s="230">
        <v>3.0</v>
      </c>
      <c r="G6693" s="232"/>
    </row>
    <row r="6694">
      <c r="A6694" s="2"/>
      <c r="B6694" s="168" t="s">
        <v>215</v>
      </c>
      <c r="C6694" s="168" t="s">
        <v>6914</v>
      </c>
      <c r="D6694" s="229">
        <v>29.5</v>
      </c>
      <c r="E6694" s="229">
        <v>33.0</v>
      </c>
      <c r="F6694" s="230">
        <v>3.0</v>
      </c>
      <c r="G6694" s="232"/>
    </row>
    <row r="6695">
      <c r="A6695" s="2"/>
      <c r="B6695" s="168" t="s">
        <v>337</v>
      </c>
      <c r="C6695" s="168" t="s">
        <v>6915</v>
      </c>
      <c r="D6695" s="229">
        <v>28.5</v>
      </c>
      <c r="E6695" s="229">
        <v>32.0</v>
      </c>
      <c r="F6695" s="230">
        <v>3.0</v>
      </c>
      <c r="G6695" s="232"/>
    </row>
    <row r="6696">
      <c r="A6696" s="2"/>
      <c r="B6696" s="168" t="s">
        <v>232</v>
      </c>
      <c r="C6696" s="168" t="s">
        <v>6916</v>
      </c>
      <c r="D6696" s="229">
        <v>27.5</v>
      </c>
      <c r="E6696" s="229">
        <v>31.0</v>
      </c>
      <c r="F6696" s="230">
        <v>3.0</v>
      </c>
      <c r="G6696" s="232"/>
    </row>
    <row r="6697">
      <c r="A6697" s="2"/>
      <c r="B6697" s="168" t="s">
        <v>241</v>
      </c>
      <c r="C6697" s="168" t="s">
        <v>6917</v>
      </c>
      <c r="D6697" s="229">
        <v>32.5</v>
      </c>
      <c r="E6697" s="229">
        <v>36.0</v>
      </c>
      <c r="F6697" s="230">
        <v>3.0</v>
      </c>
      <c r="G6697" s="232"/>
    </row>
    <row r="6698">
      <c r="A6698" s="2"/>
      <c r="B6698" s="168" t="s">
        <v>269</v>
      </c>
      <c r="C6698" s="168" t="s">
        <v>6918</v>
      </c>
      <c r="D6698" s="229">
        <v>26.5</v>
      </c>
      <c r="E6698" s="229">
        <v>30.0</v>
      </c>
      <c r="F6698" s="230">
        <v>3.0</v>
      </c>
      <c r="G6698" s="232"/>
    </row>
    <row r="6699">
      <c r="A6699" s="2"/>
      <c r="B6699" s="168" t="s">
        <v>937</v>
      </c>
      <c r="C6699" s="168" t="s">
        <v>6919</v>
      </c>
      <c r="D6699" s="229">
        <v>21.5</v>
      </c>
      <c r="E6699" s="229">
        <v>25.0</v>
      </c>
      <c r="F6699" s="230">
        <v>3.0</v>
      </c>
      <c r="G6699" s="232"/>
    </row>
    <row r="6700">
      <c r="A6700" s="2"/>
      <c r="B6700" s="168" t="s">
        <v>615</v>
      </c>
      <c r="C6700" s="168" t="s">
        <v>6920</v>
      </c>
      <c r="D6700" s="229">
        <v>24.5</v>
      </c>
      <c r="E6700" s="229">
        <v>28.0</v>
      </c>
      <c r="F6700" s="230">
        <v>3.0</v>
      </c>
      <c r="G6700" s="232"/>
    </row>
    <row r="6701">
      <c r="A6701" s="2"/>
      <c r="B6701" s="168" t="s">
        <v>565</v>
      </c>
      <c r="C6701" s="168" t="s">
        <v>6921</v>
      </c>
      <c r="D6701" s="229">
        <v>24.5</v>
      </c>
      <c r="E6701" s="229">
        <v>28.0</v>
      </c>
      <c r="F6701" s="230">
        <v>3.0</v>
      </c>
      <c r="G6701" s="232"/>
    </row>
    <row r="6702">
      <c r="A6702" s="2"/>
      <c r="B6702" s="168" t="s">
        <v>215</v>
      </c>
      <c r="C6702" s="168" t="s">
        <v>6922</v>
      </c>
      <c r="D6702" s="229">
        <v>29.5</v>
      </c>
      <c r="E6702" s="229">
        <v>33.0</v>
      </c>
      <c r="F6702" s="230">
        <v>3.0</v>
      </c>
      <c r="G6702" s="232"/>
    </row>
    <row r="6703">
      <c r="A6703" s="2"/>
      <c r="B6703" s="168" t="s">
        <v>232</v>
      </c>
      <c r="C6703" s="168" t="s">
        <v>6923</v>
      </c>
      <c r="D6703" s="229">
        <v>27.0</v>
      </c>
      <c r="E6703" s="229">
        <v>30.5</v>
      </c>
      <c r="F6703" s="230">
        <v>3.0</v>
      </c>
      <c r="G6703" s="232"/>
    </row>
    <row r="6704">
      <c r="A6704" s="2"/>
      <c r="B6704" s="168" t="s">
        <v>217</v>
      </c>
      <c r="C6704" s="168" t="s">
        <v>6924</v>
      </c>
      <c r="D6704" s="229">
        <v>27.5</v>
      </c>
      <c r="E6704" s="229">
        <v>31.0</v>
      </c>
      <c r="F6704" s="230">
        <v>3.0</v>
      </c>
      <c r="G6704" s="232"/>
    </row>
    <row r="6705">
      <c r="A6705" s="2"/>
      <c r="B6705" s="168" t="s">
        <v>330</v>
      </c>
      <c r="C6705" s="168" t="s">
        <v>6925</v>
      </c>
      <c r="D6705" s="229">
        <v>24.5</v>
      </c>
      <c r="E6705" s="229">
        <v>28.0</v>
      </c>
      <c r="F6705" s="230">
        <v>3.0</v>
      </c>
      <c r="G6705" s="232"/>
    </row>
    <row r="6706">
      <c r="A6706" s="2"/>
      <c r="B6706" s="168" t="s">
        <v>217</v>
      </c>
      <c r="C6706" s="168" t="s">
        <v>6926</v>
      </c>
      <c r="D6706" s="229">
        <v>27.0</v>
      </c>
      <c r="E6706" s="229">
        <v>30.5</v>
      </c>
      <c r="F6706" s="230">
        <v>3.0</v>
      </c>
      <c r="G6706" s="232"/>
    </row>
    <row r="6707">
      <c r="A6707" s="2"/>
      <c r="B6707" s="168" t="s">
        <v>234</v>
      </c>
      <c r="C6707" s="168" t="s">
        <v>6927</v>
      </c>
      <c r="D6707" s="229">
        <v>29.5</v>
      </c>
      <c r="E6707" s="229">
        <v>33.0</v>
      </c>
      <c r="F6707" s="230">
        <v>3.0</v>
      </c>
      <c r="G6707" s="232"/>
    </row>
    <row r="6708">
      <c r="A6708" s="2"/>
      <c r="B6708" s="168" t="s">
        <v>230</v>
      </c>
      <c r="C6708" s="168" t="s">
        <v>6928</v>
      </c>
      <c r="D6708" s="229">
        <v>21.5</v>
      </c>
      <c r="E6708" s="229">
        <v>25.0</v>
      </c>
      <c r="F6708" s="230">
        <v>3.0</v>
      </c>
      <c r="G6708" s="232"/>
    </row>
    <row r="6709">
      <c r="A6709" s="2"/>
      <c r="B6709" s="168" t="s">
        <v>217</v>
      </c>
      <c r="C6709" s="168" t="s">
        <v>6929</v>
      </c>
      <c r="D6709" s="229">
        <v>27.5</v>
      </c>
      <c r="E6709" s="229">
        <v>31.0</v>
      </c>
      <c r="F6709" s="230">
        <v>3.0</v>
      </c>
      <c r="G6709" s="232"/>
    </row>
    <row r="6710">
      <c r="A6710" s="2"/>
      <c r="B6710" s="168" t="s">
        <v>217</v>
      </c>
      <c r="C6710" s="168" t="s">
        <v>6930</v>
      </c>
      <c r="D6710" s="229">
        <v>27.5</v>
      </c>
      <c r="E6710" s="229">
        <v>31.0</v>
      </c>
      <c r="F6710" s="230">
        <v>3.0</v>
      </c>
      <c r="G6710" s="232"/>
    </row>
    <row r="6711">
      <c r="A6711" s="2"/>
      <c r="B6711" s="168" t="s">
        <v>239</v>
      </c>
      <c r="C6711" s="168" t="s">
        <v>6931</v>
      </c>
      <c r="D6711" s="229">
        <v>29.5</v>
      </c>
      <c r="E6711" s="229">
        <v>33.0</v>
      </c>
      <c r="F6711" s="230">
        <v>3.0</v>
      </c>
      <c r="G6711" s="232"/>
    </row>
    <row r="6712">
      <c r="A6712" s="2"/>
      <c r="B6712" s="168" t="s">
        <v>217</v>
      </c>
      <c r="C6712" s="168" t="s">
        <v>6932</v>
      </c>
      <c r="D6712" s="229">
        <v>27.5</v>
      </c>
      <c r="E6712" s="229">
        <v>31.0</v>
      </c>
      <c r="F6712" s="230">
        <v>3.0</v>
      </c>
      <c r="G6712" s="232"/>
    </row>
    <row r="6713">
      <c r="A6713" s="2"/>
      <c r="B6713" s="168" t="s">
        <v>282</v>
      </c>
      <c r="C6713" s="168" t="s">
        <v>6933</v>
      </c>
      <c r="D6713" s="229">
        <v>34.5</v>
      </c>
      <c r="E6713" s="229">
        <v>38.0</v>
      </c>
      <c r="F6713" s="230">
        <v>3.0</v>
      </c>
      <c r="G6713" s="232"/>
    </row>
    <row r="6714">
      <c r="A6714" s="2"/>
      <c r="B6714" s="168" t="s">
        <v>290</v>
      </c>
      <c r="C6714" s="168" t="s">
        <v>6934</v>
      </c>
      <c r="D6714" s="229">
        <v>29.5</v>
      </c>
      <c r="E6714" s="229">
        <v>33.0</v>
      </c>
      <c r="F6714" s="230">
        <v>3.0</v>
      </c>
      <c r="G6714" s="232"/>
    </row>
    <row r="6715">
      <c r="A6715" s="2"/>
      <c r="B6715" s="168" t="s">
        <v>269</v>
      </c>
      <c r="C6715" s="168" t="s">
        <v>6935</v>
      </c>
      <c r="D6715" s="229">
        <v>26.5</v>
      </c>
      <c r="E6715" s="229">
        <v>30.0</v>
      </c>
      <c r="F6715" s="230">
        <v>3.0</v>
      </c>
      <c r="G6715" s="232"/>
    </row>
    <row r="6716">
      <c r="A6716" s="2"/>
      <c r="B6716" s="168" t="s">
        <v>269</v>
      </c>
      <c r="C6716" s="168" t="s">
        <v>6936</v>
      </c>
      <c r="D6716" s="229">
        <v>26.5</v>
      </c>
      <c r="E6716" s="229">
        <v>30.0</v>
      </c>
      <c r="F6716" s="230">
        <v>3.0</v>
      </c>
      <c r="G6716" s="232"/>
    </row>
    <row r="6717">
      <c r="A6717" s="2"/>
      <c r="B6717" s="168" t="s">
        <v>215</v>
      </c>
      <c r="C6717" s="168" t="s">
        <v>6937</v>
      </c>
      <c r="D6717" s="229">
        <v>29.5</v>
      </c>
      <c r="E6717" s="229">
        <v>33.0</v>
      </c>
      <c r="F6717" s="230">
        <v>3.0</v>
      </c>
      <c r="G6717" s="232"/>
    </row>
    <row r="6718">
      <c r="A6718" s="2"/>
      <c r="B6718" s="168" t="s">
        <v>285</v>
      </c>
      <c r="C6718" s="168" t="s">
        <v>6938</v>
      </c>
      <c r="D6718" s="229">
        <v>24.5</v>
      </c>
      <c r="E6718" s="229">
        <v>28.0</v>
      </c>
      <c r="F6718" s="230">
        <v>3.0</v>
      </c>
      <c r="G6718" s="232"/>
    </row>
    <row r="6719">
      <c r="A6719" s="2"/>
      <c r="B6719" s="168" t="s">
        <v>232</v>
      </c>
      <c r="C6719" s="168" t="s">
        <v>6939</v>
      </c>
      <c r="D6719" s="229">
        <v>25.0</v>
      </c>
      <c r="E6719" s="229">
        <v>28.5</v>
      </c>
      <c r="F6719" s="230">
        <v>3.0</v>
      </c>
      <c r="G6719" s="232"/>
    </row>
    <row r="6720">
      <c r="A6720" s="2"/>
      <c r="B6720" s="168" t="s">
        <v>215</v>
      </c>
      <c r="C6720" s="168" t="s">
        <v>6940</v>
      </c>
      <c r="D6720" s="229">
        <v>27.5</v>
      </c>
      <c r="E6720" s="229">
        <v>31.0</v>
      </c>
      <c r="F6720" s="230">
        <v>3.0</v>
      </c>
      <c r="G6720" s="232"/>
    </row>
    <row r="6721">
      <c r="A6721" s="2"/>
      <c r="B6721" s="168" t="s">
        <v>296</v>
      </c>
      <c r="C6721" s="168" t="s">
        <v>6941</v>
      </c>
      <c r="D6721" s="229">
        <v>26.5</v>
      </c>
      <c r="E6721" s="229">
        <v>30.0</v>
      </c>
      <c r="F6721" s="230">
        <v>3.0</v>
      </c>
      <c r="G6721" s="232"/>
    </row>
    <row r="6722">
      <c r="A6722" s="2"/>
      <c r="B6722" s="168" t="s">
        <v>234</v>
      </c>
      <c r="C6722" s="168" t="s">
        <v>6942</v>
      </c>
      <c r="D6722" s="229">
        <v>29.5</v>
      </c>
      <c r="E6722" s="229">
        <v>33.0</v>
      </c>
      <c r="F6722" s="230">
        <v>3.0</v>
      </c>
      <c r="G6722" s="232"/>
    </row>
    <row r="6723">
      <c r="A6723" s="2"/>
      <c r="B6723" s="168" t="s">
        <v>273</v>
      </c>
      <c r="C6723" s="168" t="s">
        <v>6943</v>
      </c>
      <c r="D6723" s="229">
        <v>29.5</v>
      </c>
      <c r="E6723" s="229">
        <v>33.0</v>
      </c>
      <c r="F6723" s="230">
        <v>3.0</v>
      </c>
      <c r="G6723" s="232"/>
    </row>
    <row r="6724">
      <c r="A6724" s="2"/>
      <c r="B6724" s="168" t="s">
        <v>269</v>
      </c>
      <c r="C6724" s="168" t="s">
        <v>6944</v>
      </c>
      <c r="D6724" s="229">
        <v>26.5</v>
      </c>
      <c r="E6724" s="229">
        <v>30.0</v>
      </c>
      <c r="F6724" s="230">
        <v>3.0</v>
      </c>
      <c r="G6724" s="232"/>
    </row>
    <row r="6725">
      <c r="A6725" s="2"/>
      <c r="B6725" s="168" t="s">
        <v>232</v>
      </c>
      <c r="C6725" s="168" t="s">
        <v>6945</v>
      </c>
      <c r="D6725" s="229">
        <v>25.5</v>
      </c>
      <c r="E6725" s="229">
        <v>29.0</v>
      </c>
      <c r="F6725" s="230">
        <v>3.0</v>
      </c>
      <c r="G6725" s="232"/>
    </row>
    <row r="6726">
      <c r="A6726" s="2"/>
      <c r="B6726" s="168" t="s">
        <v>592</v>
      </c>
      <c r="C6726" s="168" t="s">
        <v>6946</v>
      </c>
      <c r="D6726" s="229">
        <v>34.5</v>
      </c>
      <c r="E6726" s="229">
        <v>38.0</v>
      </c>
      <c r="F6726" s="230">
        <v>3.0</v>
      </c>
      <c r="G6726" s="232"/>
    </row>
    <row r="6727">
      <c r="A6727" s="2"/>
      <c r="B6727" s="168" t="s">
        <v>592</v>
      </c>
      <c r="C6727" s="168" t="s">
        <v>6947</v>
      </c>
      <c r="D6727" s="229">
        <v>34.5</v>
      </c>
      <c r="E6727" s="229">
        <v>38.0</v>
      </c>
      <c r="F6727" s="230">
        <v>3.0</v>
      </c>
      <c r="G6727" s="232"/>
    </row>
    <row r="6728">
      <c r="A6728" s="2"/>
      <c r="B6728" s="168" t="s">
        <v>217</v>
      </c>
      <c r="C6728" s="168" t="s">
        <v>6948</v>
      </c>
      <c r="D6728" s="229">
        <v>27.5</v>
      </c>
      <c r="E6728" s="229">
        <v>31.0</v>
      </c>
      <c r="F6728" s="230">
        <v>3.0</v>
      </c>
      <c r="G6728" s="232"/>
    </row>
    <row r="6729">
      <c r="A6729" s="2"/>
      <c r="B6729" s="168" t="s">
        <v>217</v>
      </c>
      <c r="C6729" s="168" t="s">
        <v>6949</v>
      </c>
      <c r="D6729" s="229">
        <v>27.5</v>
      </c>
      <c r="E6729" s="229">
        <v>31.0</v>
      </c>
      <c r="F6729" s="230">
        <v>3.0</v>
      </c>
      <c r="G6729" s="232"/>
    </row>
    <row r="6730">
      <c r="A6730" s="2"/>
      <c r="B6730" s="168" t="s">
        <v>217</v>
      </c>
      <c r="C6730" s="168" t="s">
        <v>6950</v>
      </c>
      <c r="D6730" s="229">
        <v>27.5</v>
      </c>
      <c r="E6730" s="229">
        <v>31.0</v>
      </c>
      <c r="F6730" s="230">
        <v>3.0</v>
      </c>
      <c r="G6730" s="232"/>
    </row>
    <row r="6731">
      <c r="A6731" s="2"/>
      <c r="B6731" s="168" t="s">
        <v>1311</v>
      </c>
      <c r="C6731" s="168" t="s">
        <v>6951</v>
      </c>
      <c r="D6731" s="229">
        <v>28.5</v>
      </c>
      <c r="E6731" s="229">
        <v>32.0</v>
      </c>
      <c r="F6731" s="230">
        <v>3.0</v>
      </c>
      <c r="G6731" s="232"/>
    </row>
    <row r="6732">
      <c r="A6732" s="2"/>
      <c r="B6732" s="168" t="s">
        <v>300</v>
      </c>
      <c r="C6732" s="168" t="s">
        <v>6952</v>
      </c>
      <c r="D6732" s="229">
        <v>23.5</v>
      </c>
      <c r="E6732" s="229">
        <v>27.0</v>
      </c>
      <c r="F6732" s="230">
        <v>3.0</v>
      </c>
      <c r="G6732" s="232"/>
    </row>
    <row r="6733">
      <c r="A6733" s="2"/>
      <c r="B6733" s="168" t="s">
        <v>328</v>
      </c>
      <c r="C6733" s="168" t="s">
        <v>6953</v>
      </c>
      <c r="D6733" s="229">
        <v>34.5</v>
      </c>
      <c r="E6733" s="229">
        <v>38.0</v>
      </c>
      <c r="F6733" s="230">
        <v>3.0</v>
      </c>
      <c r="G6733" s="232"/>
    </row>
    <row r="6734">
      <c r="A6734" s="2"/>
      <c r="B6734" s="168" t="s">
        <v>217</v>
      </c>
      <c r="C6734" s="168" t="s">
        <v>6954</v>
      </c>
      <c r="D6734" s="229">
        <v>27.5</v>
      </c>
      <c r="E6734" s="229">
        <v>31.0</v>
      </c>
      <c r="F6734" s="230">
        <v>3.0</v>
      </c>
      <c r="G6734" s="232"/>
    </row>
    <row r="6735">
      <c r="A6735" s="2"/>
      <c r="B6735" s="168" t="s">
        <v>217</v>
      </c>
      <c r="C6735" s="168" t="s">
        <v>6955</v>
      </c>
      <c r="D6735" s="229">
        <v>22.5</v>
      </c>
      <c r="E6735" s="229">
        <v>26.0</v>
      </c>
      <c r="F6735" s="230">
        <v>3.0</v>
      </c>
      <c r="G6735" s="232"/>
    </row>
    <row r="6736">
      <c r="A6736" s="2"/>
      <c r="B6736" s="168" t="s">
        <v>223</v>
      </c>
      <c r="C6736" s="168" t="s">
        <v>6956</v>
      </c>
      <c r="D6736" s="229">
        <v>26.5</v>
      </c>
      <c r="E6736" s="229">
        <v>30.0</v>
      </c>
      <c r="F6736" s="230">
        <v>3.0</v>
      </c>
      <c r="G6736" s="232"/>
    </row>
    <row r="6737">
      <c r="A6737" s="2"/>
      <c r="B6737" s="168" t="s">
        <v>241</v>
      </c>
      <c r="C6737" s="168" t="s">
        <v>6957</v>
      </c>
      <c r="D6737" s="229">
        <v>32.5</v>
      </c>
      <c r="E6737" s="229">
        <v>36.0</v>
      </c>
      <c r="F6737" s="230">
        <v>3.0</v>
      </c>
      <c r="G6737" s="232"/>
    </row>
    <row r="6738">
      <c r="A6738" s="2"/>
      <c r="B6738" s="168" t="s">
        <v>296</v>
      </c>
      <c r="C6738" s="168" t="s">
        <v>6958</v>
      </c>
      <c r="D6738" s="229">
        <v>26.5</v>
      </c>
      <c r="E6738" s="229">
        <v>30.0</v>
      </c>
      <c r="F6738" s="230">
        <v>3.0</v>
      </c>
      <c r="G6738" s="232"/>
    </row>
    <row r="6739">
      <c r="A6739" s="2"/>
      <c r="B6739" s="168" t="s">
        <v>241</v>
      </c>
      <c r="C6739" s="168" t="s">
        <v>6959</v>
      </c>
      <c r="D6739" s="229">
        <v>32.5</v>
      </c>
      <c r="E6739" s="229">
        <v>36.0</v>
      </c>
      <c r="F6739" s="230">
        <v>3.0</v>
      </c>
      <c r="G6739" s="232"/>
    </row>
    <row r="6740">
      <c r="A6740" s="2"/>
      <c r="B6740" s="168" t="s">
        <v>217</v>
      </c>
      <c r="C6740" s="168" t="s">
        <v>6960</v>
      </c>
      <c r="D6740" s="229">
        <v>27.5</v>
      </c>
      <c r="E6740" s="229">
        <v>31.0</v>
      </c>
      <c r="F6740" s="230">
        <v>3.0</v>
      </c>
      <c r="G6740" s="232"/>
    </row>
    <row r="6741">
      <c r="A6741" s="2"/>
      <c r="B6741" s="168" t="s">
        <v>337</v>
      </c>
      <c r="C6741" s="168" t="s">
        <v>6961</v>
      </c>
      <c r="D6741" s="229">
        <v>28.5</v>
      </c>
      <c r="E6741" s="229">
        <v>32.0</v>
      </c>
      <c r="F6741" s="230">
        <v>3.0</v>
      </c>
      <c r="G6741" s="232"/>
    </row>
    <row r="6742">
      <c r="A6742" s="2"/>
      <c r="B6742" s="168" t="s">
        <v>592</v>
      </c>
      <c r="C6742" s="168" t="s">
        <v>6962</v>
      </c>
      <c r="D6742" s="229">
        <v>34.5</v>
      </c>
      <c r="E6742" s="229">
        <v>38.0</v>
      </c>
      <c r="F6742" s="230">
        <v>3.0</v>
      </c>
      <c r="G6742" s="232"/>
    </row>
    <row r="6743">
      <c r="A6743" s="2"/>
      <c r="B6743" s="168" t="s">
        <v>223</v>
      </c>
      <c r="C6743" s="168" t="s">
        <v>6963</v>
      </c>
      <c r="D6743" s="229">
        <v>21.5</v>
      </c>
      <c r="E6743" s="229">
        <v>25.0</v>
      </c>
      <c r="F6743" s="230">
        <v>3.0</v>
      </c>
      <c r="G6743" s="232"/>
    </row>
    <row r="6744">
      <c r="A6744" s="2"/>
      <c r="B6744" s="168" t="s">
        <v>285</v>
      </c>
      <c r="C6744" s="168" t="s">
        <v>6964</v>
      </c>
      <c r="D6744" s="229">
        <v>24.5</v>
      </c>
      <c r="E6744" s="229">
        <v>28.0</v>
      </c>
      <c r="F6744" s="230">
        <v>3.0</v>
      </c>
      <c r="G6744" s="232"/>
    </row>
    <row r="6745">
      <c r="A6745" s="2"/>
      <c r="B6745" s="168" t="s">
        <v>271</v>
      </c>
      <c r="C6745" s="168" t="s">
        <v>6965</v>
      </c>
      <c r="D6745" s="229">
        <v>28.5</v>
      </c>
      <c r="E6745" s="229">
        <v>32.0</v>
      </c>
      <c r="F6745" s="230">
        <v>3.0</v>
      </c>
      <c r="G6745" s="232"/>
    </row>
    <row r="6746">
      <c r="A6746" s="2"/>
      <c r="B6746" s="168" t="s">
        <v>241</v>
      </c>
      <c r="C6746" s="168" t="s">
        <v>6966</v>
      </c>
      <c r="D6746" s="229">
        <v>31.5</v>
      </c>
      <c r="E6746" s="229">
        <v>35.0</v>
      </c>
      <c r="F6746" s="230">
        <v>3.0</v>
      </c>
      <c r="G6746" s="232"/>
    </row>
    <row r="6747">
      <c r="A6747" s="2"/>
      <c r="B6747" s="168" t="s">
        <v>241</v>
      </c>
      <c r="C6747" s="168" t="s">
        <v>6967</v>
      </c>
      <c r="D6747" s="229">
        <v>27.5</v>
      </c>
      <c r="E6747" s="229">
        <v>31.0</v>
      </c>
      <c r="F6747" s="230">
        <v>3.0</v>
      </c>
      <c r="G6747" s="232"/>
    </row>
    <row r="6748">
      <c r="A6748" s="2"/>
      <c r="B6748" s="168" t="s">
        <v>223</v>
      </c>
      <c r="C6748" s="168" t="s">
        <v>6968</v>
      </c>
      <c r="D6748" s="229">
        <v>26.5</v>
      </c>
      <c r="E6748" s="229">
        <v>30.0</v>
      </c>
      <c r="F6748" s="230">
        <v>3.0</v>
      </c>
      <c r="G6748" s="232"/>
    </row>
    <row r="6749">
      <c r="A6749" s="2"/>
      <c r="B6749" s="168" t="s">
        <v>255</v>
      </c>
      <c r="C6749" s="168" t="s">
        <v>6969</v>
      </c>
      <c r="D6749" s="229">
        <v>31.5</v>
      </c>
      <c r="E6749" s="229">
        <v>35.0</v>
      </c>
      <c r="F6749" s="230">
        <v>3.0</v>
      </c>
      <c r="G6749" s="232"/>
    </row>
    <row r="6750">
      <c r="A6750" s="2"/>
      <c r="B6750" s="168" t="s">
        <v>215</v>
      </c>
      <c r="C6750" s="168" t="s">
        <v>6970</v>
      </c>
      <c r="D6750" s="229">
        <v>27.5</v>
      </c>
      <c r="E6750" s="229">
        <v>31.0</v>
      </c>
      <c r="F6750" s="230">
        <v>3.0</v>
      </c>
      <c r="G6750" s="232"/>
    </row>
    <row r="6751">
      <c r="A6751" s="2"/>
      <c r="B6751" s="168" t="s">
        <v>592</v>
      </c>
      <c r="C6751" s="168" t="s">
        <v>6971</v>
      </c>
      <c r="D6751" s="229">
        <v>34.5</v>
      </c>
      <c r="E6751" s="229">
        <v>38.0</v>
      </c>
      <c r="F6751" s="230">
        <v>3.0</v>
      </c>
      <c r="G6751" s="232"/>
    </row>
    <row r="6752">
      <c r="A6752" s="2"/>
      <c r="B6752" s="168" t="s">
        <v>223</v>
      </c>
      <c r="C6752" s="168" t="s">
        <v>6972</v>
      </c>
      <c r="D6752" s="229">
        <v>26.5</v>
      </c>
      <c r="E6752" s="229">
        <v>30.0</v>
      </c>
      <c r="F6752" s="230">
        <v>3.0</v>
      </c>
      <c r="G6752" s="232"/>
    </row>
    <row r="6753">
      <c r="A6753" s="2"/>
      <c r="B6753" s="168" t="s">
        <v>223</v>
      </c>
      <c r="C6753" s="168" t="s">
        <v>6973</v>
      </c>
      <c r="D6753" s="229">
        <v>26.5</v>
      </c>
      <c r="E6753" s="229">
        <v>30.0</v>
      </c>
      <c r="F6753" s="230">
        <v>3.0</v>
      </c>
      <c r="G6753" s="232"/>
    </row>
    <row r="6754">
      <c r="A6754" s="2"/>
      <c r="B6754" s="168" t="s">
        <v>288</v>
      </c>
      <c r="C6754" s="168" t="s">
        <v>6974</v>
      </c>
      <c r="D6754" s="229">
        <v>21.5</v>
      </c>
      <c r="E6754" s="229">
        <v>25.0</v>
      </c>
      <c r="F6754" s="230">
        <v>3.0</v>
      </c>
      <c r="G6754" s="232"/>
    </row>
    <row r="6755">
      <c r="A6755" s="2"/>
      <c r="B6755" s="168" t="s">
        <v>296</v>
      </c>
      <c r="C6755" s="168" t="s">
        <v>6975</v>
      </c>
      <c r="D6755" s="229">
        <v>26.5</v>
      </c>
      <c r="E6755" s="229">
        <v>30.0</v>
      </c>
      <c r="F6755" s="230">
        <v>3.0</v>
      </c>
      <c r="G6755" s="232"/>
    </row>
    <row r="6756">
      <c r="A6756" s="2"/>
      <c r="B6756" s="168" t="s">
        <v>290</v>
      </c>
      <c r="C6756" s="168" t="s">
        <v>6976</v>
      </c>
      <c r="D6756" s="229">
        <v>29.5</v>
      </c>
      <c r="E6756" s="229">
        <v>33.0</v>
      </c>
      <c r="F6756" s="230">
        <v>3.0</v>
      </c>
      <c r="G6756" s="232"/>
    </row>
    <row r="6757">
      <c r="A6757" s="2"/>
      <c r="B6757" s="168" t="s">
        <v>255</v>
      </c>
      <c r="C6757" s="168" t="s">
        <v>6977</v>
      </c>
      <c r="D6757" s="229">
        <v>31.5</v>
      </c>
      <c r="E6757" s="229">
        <v>35.0</v>
      </c>
      <c r="F6757" s="230">
        <v>3.0</v>
      </c>
      <c r="G6757" s="232"/>
    </row>
    <row r="6758">
      <c r="A6758" s="2"/>
      <c r="B6758" s="168" t="s">
        <v>381</v>
      </c>
      <c r="C6758" s="168" t="s">
        <v>6978</v>
      </c>
      <c r="D6758" s="229">
        <v>27.0</v>
      </c>
      <c r="E6758" s="229">
        <v>30.5</v>
      </c>
      <c r="F6758" s="230">
        <v>3.0</v>
      </c>
      <c r="G6758" s="232"/>
    </row>
    <row r="6759">
      <c r="A6759" s="2"/>
      <c r="B6759" s="168" t="s">
        <v>230</v>
      </c>
      <c r="C6759" s="168" t="s">
        <v>6979</v>
      </c>
      <c r="D6759" s="229">
        <v>21.5</v>
      </c>
      <c r="E6759" s="229">
        <v>25.0</v>
      </c>
      <c r="F6759" s="230">
        <v>3.0</v>
      </c>
      <c r="G6759" s="232"/>
    </row>
    <row r="6760">
      <c r="A6760" s="2"/>
      <c r="B6760" s="168" t="s">
        <v>280</v>
      </c>
      <c r="C6760" s="168" t="s">
        <v>6980</v>
      </c>
      <c r="D6760" s="229">
        <v>28.5</v>
      </c>
      <c r="E6760" s="229">
        <v>32.0</v>
      </c>
      <c r="F6760" s="230">
        <v>3.0</v>
      </c>
      <c r="G6760" s="232"/>
    </row>
    <row r="6761">
      <c r="A6761" s="2"/>
      <c r="B6761" s="168" t="s">
        <v>280</v>
      </c>
      <c r="C6761" s="168" t="s">
        <v>6981</v>
      </c>
      <c r="D6761" s="229">
        <v>34.5</v>
      </c>
      <c r="E6761" s="229">
        <v>38.0</v>
      </c>
      <c r="F6761" s="230">
        <v>3.0</v>
      </c>
      <c r="G6761" s="232"/>
    </row>
    <row r="6762">
      <c r="A6762" s="2"/>
      <c r="B6762" s="168" t="s">
        <v>288</v>
      </c>
      <c r="C6762" s="168" t="s">
        <v>6982</v>
      </c>
      <c r="D6762" s="229">
        <v>21.5</v>
      </c>
      <c r="E6762" s="229">
        <v>25.0</v>
      </c>
      <c r="F6762" s="230">
        <v>3.0</v>
      </c>
      <c r="G6762" s="232"/>
    </row>
    <row r="6763">
      <c r="A6763" s="2"/>
      <c r="B6763" s="168" t="s">
        <v>273</v>
      </c>
      <c r="C6763" s="168" t="s">
        <v>6983</v>
      </c>
      <c r="D6763" s="229">
        <v>29.5</v>
      </c>
      <c r="E6763" s="229">
        <v>33.0</v>
      </c>
      <c r="F6763" s="230">
        <v>3.0</v>
      </c>
      <c r="G6763" s="232"/>
    </row>
    <row r="6764">
      <c r="A6764" s="2"/>
      <c r="B6764" s="168" t="s">
        <v>223</v>
      </c>
      <c r="C6764" s="168" t="s">
        <v>6984</v>
      </c>
      <c r="D6764" s="229">
        <v>26.5</v>
      </c>
      <c r="E6764" s="229">
        <v>30.0</v>
      </c>
      <c r="F6764" s="230">
        <v>3.0</v>
      </c>
      <c r="G6764" s="232"/>
    </row>
    <row r="6765">
      <c r="A6765" s="2"/>
      <c r="B6765" s="168" t="s">
        <v>239</v>
      </c>
      <c r="C6765" s="168" t="s">
        <v>6985</v>
      </c>
      <c r="D6765" s="229">
        <v>29.5</v>
      </c>
      <c r="E6765" s="229">
        <v>33.0</v>
      </c>
      <c r="F6765" s="230">
        <v>3.0</v>
      </c>
      <c r="G6765" s="232"/>
    </row>
    <row r="6766">
      <c r="A6766" s="2"/>
      <c r="B6766" s="168" t="s">
        <v>269</v>
      </c>
      <c r="C6766" s="168" t="s">
        <v>6986</v>
      </c>
      <c r="D6766" s="229">
        <v>26.5</v>
      </c>
      <c r="E6766" s="229">
        <v>30.0</v>
      </c>
      <c r="F6766" s="230">
        <v>3.0</v>
      </c>
      <c r="G6766" s="232"/>
    </row>
    <row r="6767">
      <c r="A6767" s="2"/>
      <c r="B6767" s="168" t="s">
        <v>217</v>
      </c>
      <c r="C6767" s="168" t="s">
        <v>6987</v>
      </c>
      <c r="D6767" s="229">
        <v>27.5</v>
      </c>
      <c r="E6767" s="229">
        <v>31.0</v>
      </c>
      <c r="F6767" s="230">
        <v>3.0</v>
      </c>
      <c r="G6767" s="232"/>
    </row>
    <row r="6768">
      <c r="A6768" s="2"/>
      <c r="B6768" s="168" t="s">
        <v>430</v>
      </c>
      <c r="C6768" s="168" t="s">
        <v>6988</v>
      </c>
      <c r="D6768" s="229">
        <v>34.5</v>
      </c>
      <c r="E6768" s="229">
        <v>38.0</v>
      </c>
      <c r="F6768" s="230">
        <v>3.0</v>
      </c>
      <c r="G6768" s="232"/>
    </row>
    <row r="6769">
      <c r="A6769" s="2"/>
      <c r="B6769" s="168" t="s">
        <v>223</v>
      </c>
      <c r="C6769" s="168" t="s">
        <v>6989</v>
      </c>
      <c r="D6769" s="229">
        <v>26.5</v>
      </c>
      <c r="E6769" s="229">
        <v>30.0</v>
      </c>
      <c r="F6769" s="230">
        <v>3.0</v>
      </c>
      <c r="G6769" s="232"/>
    </row>
    <row r="6770">
      <c r="A6770" s="2"/>
      <c r="B6770" s="168" t="s">
        <v>1392</v>
      </c>
      <c r="C6770" s="168" t="s">
        <v>1392</v>
      </c>
      <c r="D6770" s="229">
        <v>26.5</v>
      </c>
      <c r="E6770" s="229">
        <v>30.0</v>
      </c>
      <c r="F6770" s="230">
        <v>3.0</v>
      </c>
      <c r="G6770" s="232"/>
    </row>
    <row r="6771">
      <c r="A6771" s="2"/>
      <c r="B6771" s="168" t="s">
        <v>341</v>
      </c>
      <c r="C6771" s="168" t="s">
        <v>6990</v>
      </c>
      <c r="D6771" s="229">
        <v>29.5</v>
      </c>
      <c r="E6771" s="229">
        <v>29.5</v>
      </c>
      <c r="F6771" s="230">
        <v>3.0</v>
      </c>
      <c r="G6771" s="232"/>
    </row>
    <row r="6772">
      <c r="A6772" s="2"/>
      <c r="B6772" s="168" t="s">
        <v>290</v>
      </c>
      <c r="C6772" s="168" t="s">
        <v>6991</v>
      </c>
      <c r="D6772" s="229">
        <v>29.5</v>
      </c>
      <c r="E6772" s="229">
        <v>33.0</v>
      </c>
      <c r="F6772" s="230">
        <v>3.0</v>
      </c>
      <c r="G6772" s="232"/>
    </row>
    <row r="6773">
      <c r="A6773" s="2"/>
      <c r="B6773" s="168" t="s">
        <v>406</v>
      </c>
      <c r="C6773" s="168" t="s">
        <v>406</v>
      </c>
      <c r="D6773" s="229">
        <v>29.5</v>
      </c>
      <c r="E6773" s="229">
        <v>33.0</v>
      </c>
      <c r="F6773" s="230">
        <v>3.0</v>
      </c>
      <c r="G6773" s="232"/>
    </row>
    <row r="6774">
      <c r="A6774" s="2"/>
      <c r="B6774" s="168" t="s">
        <v>230</v>
      </c>
      <c r="C6774" s="168" t="s">
        <v>6992</v>
      </c>
      <c r="D6774" s="229">
        <v>21.5</v>
      </c>
      <c r="E6774" s="229">
        <v>25.0</v>
      </c>
      <c r="F6774" s="230">
        <v>3.0</v>
      </c>
      <c r="G6774" s="232"/>
    </row>
    <row r="6775">
      <c r="A6775" s="2"/>
      <c r="B6775" s="168" t="s">
        <v>219</v>
      </c>
      <c r="C6775" s="168" t="s">
        <v>6993</v>
      </c>
      <c r="D6775" s="229">
        <v>28.5</v>
      </c>
      <c r="E6775" s="229">
        <v>32.0</v>
      </c>
      <c r="F6775" s="230">
        <v>3.0</v>
      </c>
      <c r="G6775" s="232"/>
    </row>
    <row r="6776">
      <c r="A6776" s="2"/>
      <c r="B6776" s="168" t="s">
        <v>245</v>
      </c>
      <c r="C6776" s="168" t="s">
        <v>6994</v>
      </c>
      <c r="D6776" s="229">
        <v>29.5</v>
      </c>
      <c r="E6776" s="229">
        <v>33.0</v>
      </c>
      <c r="F6776" s="230">
        <v>3.0</v>
      </c>
      <c r="G6776" s="232"/>
    </row>
    <row r="6777">
      <c r="A6777" s="2"/>
      <c r="B6777" s="168" t="s">
        <v>217</v>
      </c>
      <c r="C6777" s="168" t="s">
        <v>6995</v>
      </c>
      <c r="D6777" s="229">
        <v>27.5</v>
      </c>
      <c r="E6777" s="229">
        <v>31.0</v>
      </c>
      <c r="F6777" s="230">
        <v>3.0</v>
      </c>
      <c r="G6777" s="232"/>
    </row>
    <row r="6778">
      <c r="A6778" s="2"/>
      <c r="B6778" s="168" t="s">
        <v>332</v>
      </c>
      <c r="C6778" s="168" t="s">
        <v>6996</v>
      </c>
      <c r="D6778" s="229">
        <v>28.5</v>
      </c>
      <c r="E6778" s="229">
        <v>32.0</v>
      </c>
      <c r="F6778" s="230">
        <v>3.0</v>
      </c>
      <c r="G6778" s="232"/>
    </row>
    <row r="6779">
      <c r="A6779" s="2"/>
      <c r="B6779" s="168" t="s">
        <v>615</v>
      </c>
      <c r="C6779" s="168" t="s">
        <v>615</v>
      </c>
      <c r="D6779" s="229">
        <v>24.5</v>
      </c>
      <c r="E6779" s="229">
        <v>28.0</v>
      </c>
      <c r="F6779" s="230">
        <v>3.0</v>
      </c>
      <c r="G6779" s="232"/>
    </row>
    <row r="6780">
      <c r="A6780" s="2"/>
      <c r="B6780" s="168" t="s">
        <v>449</v>
      </c>
      <c r="C6780" s="168" t="s">
        <v>449</v>
      </c>
      <c r="D6780" s="229">
        <v>28.5</v>
      </c>
      <c r="E6780" s="229">
        <v>32.0</v>
      </c>
      <c r="F6780" s="230">
        <v>3.0</v>
      </c>
      <c r="G6780" s="232"/>
    </row>
    <row r="6781">
      <c r="A6781" s="2"/>
      <c r="B6781" s="168" t="s">
        <v>236</v>
      </c>
      <c r="C6781" s="168" t="s">
        <v>6997</v>
      </c>
      <c r="D6781" s="229">
        <v>34.5</v>
      </c>
      <c r="E6781" s="229">
        <v>38.0</v>
      </c>
      <c r="F6781" s="230">
        <v>3.0</v>
      </c>
      <c r="G6781" s="232"/>
    </row>
    <row r="6782">
      <c r="A6782" s="2"/>
      <c r="B6782" s="168" t="s">
        <v>330</v>
      </c>
      <c r="C6782" s="168" t="s">
        <v>330</v>
      </c>
      <c r="D6782" s="229">
        <v>24.5</v>
      </c>
      <c r="E6782" s="229">
        <v>28.0</v>
      </c>
      <c r="F6782" s="230">
        <v>3.0</v>
      </c>
      <c r="G6782" s="232"/>
    </row>
    <row r="6783">
      <c r="A6783" s="2"/>
      <c r="B6783" s="168" t="s">
        <v>335</v>
      </c>
      <c r="C6783" s="168" t="s">
        <v>6998</v>
      </c>
      <c r="D6783" s="229">
        <v>34.5</v>
      </c>
      <c r="E6783" s="229">
        <v>38.0</v>
      </c>
      <c r="F6783" s="230">
        <v>3.0</v>
      </c>
      <c r="G6783" s="232"/>
    </row>
    <row r="6784">
      <c r="A6784" s="2"/>
      <c r="B6784" s="168" t="s">
        <v>381</v>
      </c>
      <c r="C6784" s="168" t="s">
        <v>6999</v>
      </c>
      <c r="D6784" s="229">
        <v>28.0</v>
      </c>
      <c r="E6784" s="229">
        <v>31.5</v>
      </c>
      <c r="F6784" s="230">
        <v>3.0</v>
      </c>
      <c r="G6784" s="232"/>
    </row>
    <row r="6785">
      <c r="A6785" s="2"/>
      <c r="B6785" s="168" t="s">
        <v>217</v>
      </c>
      <c r="C6785" s="168" t="s">
        <v>7000</v>
      </c>
      <c r="D6785" s="229">
        <v>27.5</v>
      </c>
      <c r="E6785" s="229">
        <v>31.0</v>
      </c>
      <c r="F6785" s="230">
        <v>3.0</v>
      </c>
      <c r="G6785" s="232"/>
    </row>
    <row r="6786">
      <c r="A6786" s="2"/>
      <c r="B6786" s="168" t="s">
        <v>335</v>
      </c>
      <c r="C6786" s="168" t="s">
        <v>7001</v>
      </c>
      <c r="D6786" s="229">
        <v>34.5</v>
      </c>
      <c r="E6786" s="229">
        <v>38.0</v>
      </c>
      <c r="F6786" s="230">
        <v>3.0</v>
      </c>
      <c r="G6786" s="232"/>
    </row>
    <row r="6787">
      <c r="A6787" s="2"/>
      <c r="B6787" s="168" t="s">
        <v>217</v>
      </c>
      <c r="C6787" s="168" t="s">
        <v>7002</v>
      </c>
      <c r="D6787" s="229">
        <v>27.5</v>
      </c>
      <c r="E6787" s="229">
        <v>31.0</v>
      </c>
      <c r="F6787" s="230">
        <v>3.0</v>
      </c>
      <c r="G6787" s="232"/>
    </row>
    <row r="6788">
      <c r="A6788" s="2"/>
      <c r="B6788" s="168" t="s">
        <v>296</v>
      </c>
      <c r="C6788" s="168" t="s">
        <v>7003</v>
      </c>
      <c r="D6788" s="229">
        <v>26.5</v>
      </c>
      <c r="E6788" s="229">
        <v>30.0</v>
      </c>
      <c r="F6788" s="230">
        <v>3.0</v>
      </c>
      <c r="G6788" s="232"/>
    </row>
    <row r="6789">
      <c r="A6789" s="2"/>
      <c r="B6789" s="168" t="s">
        <v>296</v>
      </c>
      <c r="C6789" s="168" t="s">
        <v>7004</v>
      </c>
      <c r="D6789" s="229">
        <v>21.5</v>
      </c>
      <c r="E6789" s="229">
        <v>25.0</v>
      </c>
      <c r="F6789" s="230">
        <v>3.0</v>
      </c>
      <c r="G6789" s="232"/>
    </row>
    <row r="6790">
      <c r="A6790" s="2"/>
      <c r="B6790" s="168" t="s">
        <v>296</v>
      </c>
      <c r="C6790" s="168" t="s">
        <v>7005</v>
      </c>
      <c r="D6790" s="229">
        <v>26.5</v>
      </c>
      <c r="E6790" s="229">
        <v>30.0</v>
      </c>
      <c r="F6790" s="230">
        <v>3.0</v>
      </c>
      <c r="G6790" s="232"/>
    </row>
    <row r="6791">
      <c r="A6791" s="2"/>
      <c r="B6791" s="168" t="s">
        <v>1392</v>
      </c>
      <c r="C6791" s="168" t="s">
        <v>7006</v>
      </c>
      <c r="D6791" s="229">
        <v>26.5</v>
      </c>
      <c r="E6791" s="229">
        <v>30.0</v>
      </c>
      <c r="F6791" s="230">
        <v>3.0</v>
      </c>
      <c r="G6791" s="232"/>
    </row>
    <row r="6792">
      <c r="A6792" s="2"/>
      <c r="B6792" s="168" t="s">
        <v>328</v>
      </c>
      <c r="C6792" s="168" t="s">
        <v>7007</v>
      </c>
      <c r="D6792" s="229">
        <v>34.5</v>
      </c>
      <c r="E6792" s="229">
        <v>38.0</v>
      </c>
      <c r="F6792" s="230">
        <v>3.0</v>
      </c>
      <c r="G6792" s="232"/>
    </row>
    <row r="6793">
      <c r="A6793" s="2"/>
      <c r="B6793" s="168" t="s">
        <v>345</v>
      </c>
      <c r="C6793" s="168" t="s">
        <v>7008</v>
      </c>
      <c r="D6793" s="229">
        <v>26.5</v>
      </c>
      <c r="E6793" s="229">
        <v>30.0</v>
      </c>
      <c r="F6793" s="230">
        <v>3.0</v>
      </c>
      <c r="G6793" s="232"/>
    </row>
    <row r="6794">
      <c r="A6794" s="2"/>
      <c r="B6794" s="168" t="s">
        <v>239</v>
      </c>
      <c r="C6794" s="168" t="s">
        <v>7009</v>
      </c>
      <c r="D6794" s="229">
        <v>29.5</v>
      </c>
      <c r="E6794" s="229">
        <v>33.0</v>
      </c>
      <c r="F6794" s="230">
        <v>3.0</v>
      </c>
      <c r="G6794" s="232"/>
    </row>
    <row r="6795">
      <c r="A6795" s="2"/>
      <c r="B6795" s="168" t="s">
        <v>245</v>
      </c>
      <c r="C6795" s="168" t="s">
        <v>7010</v>
      </c>
      <c r="D6795" s="229">
        <v>29.5</v>
      </c>
      <c r="E6795" s="229">
        <v>33.0</v>
      </c>
      <c r="F6795" s="230">
        <v>3.0</v>
      </c>
      <c r="G6795" s="232"/>
    </row>
    <row r="6796">
      <c r="A6796" s="2"/>
      <c r="B6796" s="168" t="s">
        <v>241</v>
      </c>
      <c r="C6796" s="168" t="s">
        <v>7011</v>
      </c>
      <c r="D6796" s="229">
        <v>32.5</v>
      </c>
      <c r="E6796" s="229">
        <v>36.0</v>
      </c>
      <c r="F6796" s="230">
        <v>3.0</v>
      </c>
      <c r="G6796" s="232"/>
    </row>
    <row r="6797">
      <c r="A6797" s="2"/>
      <c r="B6797" s="168" t="s">
        <v>245</v>
      </c>
      <c r="C6797" s="168" t="s">
        <v>7012</v>
      </c>
      <c r="D6797" s="229">
        <v>29.5</v>
      </c>
      <c r="E6797" s="229">
        <v>33.0</v>
      </c>
      <c r="F6797" s="230">
        <v>3.0</v>
      </c>
      <c r="G6797" s="232"/>
    </row>
    <row r="6798">
      <c r="A6798" s="2"/>
      <c r="B6798" s="168" t="s">
        <v>438</v>
      </c>
      <c r="C6798" s="168" t="s">
        <v>7013</v>
      </c>
      <c r="D6798" s="229">
        <v>29.5</v>
      </c>
      <c r="E6798" s="229">
        <v>33.0</v>
      </c>
      <c r="F6798" s="230">
        <v>3.0</v>
      </c>
      <c r="G6798" s="232"/>
    </row>
    <row r="6799">
      <c r="A6799" s="2"/>
      <c r="B6799" s="168" t="s">
        <v>282</v>
      </c>
      <c r="C6799" s="168" t="s">
        <v>7014</v>
      </c>
      <c r="D6799" s="229">
        <v>34.5</v>
      </c>
      <c r="E6799" s="229">
        <v>38.0</v>
      </c>
      <c r="F6799" s="230">
        <v>3.0</v>
      </c>
      <c r="G6799" s="232"/>
    </row>
    <row r="6800">
      <c r="A6800" s="2"/>
      <c r="B6800" s="168" t="s">
        <v>269</v>
      </c>
      <c r="C6800" s="168" t="s">
        <v>7015</v>
      </c>
      <c r="D6800" s="229">
        <v>26.5</v>
      </c>
      <c r="E6800" s="229">
        <v>30.0</v>
      </c>
      <c r="F6800" s="230">
        <v>3.0</v>
      </c>
      <c r="G6800" s="232"/>
    </row>
    <row r="6801">
      <c r="A6801" s="2"/>
      <c r="B6801" s="168" t="s">
        <v>241</v>
      </c>
      <c r="C6801" s="168" t="s">
        <v>7016</v>
      </c>
      <c r="D6801" s="229">
        <v>32.5</v>
      </c>
      <c r="E6801" s="229">
        <v>36.0</v>
      </c>
      <c r="F6801" s="230">
        <v>3.0</v>
      </c>
      <c r="G6801" s="232"/>
    </row>
    <row r="6802">
      <c r="A6802" s="2"/>
      <c r="B6802" s="168" t="s">
        <v>368</v>
      </c>
      <c r="C6802" s="168" t="s">
        <v>7017</v>
      </c>
      <c r="D6802" s="229">
        <v>27.5</v>
      </c>
      <c r="E6802" s="229">
        <v>31.0</v>
      </c>
      <c r="F6802" s="230">
        <v>3.0</v>
      </c>
      <c r="G6802" s="232"/>
    </row>
    <row r="6803">
      <c r="A6803" s="2"/>
      <c r="B6803" s="168" t="s">
        <v>368</v>
      </c>
      <c r="C6803" s="168" t="s">
        <v>7018</v>
      </c>
      <c r="D6803" s="229">
        <v>32.5</v>
      </c>
      <c r="E6803" s="229">
        <v>36.0</v>
      </c>
      <c r="F6803" s="230">
        <v>3.0</v>
      </c>
      <c r="G6803" s="232"/>
    </row>
    <row r="6804">
      <c r="A6804" s="2"/>
      <c r="B6804" s="168" t="s">
        <v>368</v>
      </c>
      <c r="C6804" s="168" t="s">
        <v>7019</v>
      </c>
      <c r="D6804" s="229">
        <v>32.5</v>
      </c>
      <c r="E6804" s="229">
        <v>36.0</v>
      </c>
      <c r="F6804" s="230">
        <v>3.0</v>
      </c>
      <c r="G6804" s="232"/>
    </row>
    <row r="6805">
      <c r="A6805" s="2"/>
      <c r="B6805" s="168" t="s">
        <v>217</v>
      </c>
      <c r="C6805" s="168" t="s">
        <v>7020</v>
      </c>
      <c r="D6805" s="229">
        <v>27.5</v>
      </c>
      <c r="E6805" s="229">
        <v>31.0</v>
      </c>
      <c r="F6805" s="230">
        <v>3.0</v>
      </c>
      <c r="G6805" s="232"/>
    </row>
    <row r="6806">
      <c r="A6806" s="2"/>
      <c r="B6806" s="168" t="s">
        <v>273</v>
      </c>
      <c r="C6806" s="168" t="s">
        <v>7021</v>
      </c>
      <c r="D6806" s="229">
        <v>29.5</v>
      </c>
      <c r="E6806" s="229">
        <v>33.0</v>
      </c>
      <c r="F6806" s="230">
        <v>3.0</v>
      </c>
      <c r="G6806" s="232"/>
    </row>
    <row r="6807">
      <c r="A6807" s="2"/>
      <c r="B6807" s="168" t="s">
        <v>221</v>
      </c>
      <c r="C6807" s="168" t="s">
        <v>7022</v>
      </c>
      <c r="D6807" s="229">
        <v>27.5</v>
      </c>
      <c r="E6807" s="229">
        <v>31.0</v>
      </c>
      <c r="F6807" s="230">
        <v>3.0</v>
      </c>
      <c r="G6807" s="232"/>
    </row>
    <row r="6808">
      <c r="A6808" s="2"/>
      <c r="B6808" s="168" t="s">
        <v>257</v>
      </c>
      <c r="C6808" s="168" t="s">
        <v>7023</v>
      </c>
      <c r="D6808" s="229">
        <v>28.5</v>
      </c>
      <c r="E6808" s="229">
        <v>32.0</v>
      </c>
      <c r="F6808" s="230">
        <v>3.0</v>
      </c>
      <c r="G6808" s="232"/>
    </row>
    <row r="6809">
      <c r="A6809" s="2"/>
      <c r="B6809" s="168" t="s">
        <v>239</v>
      </c>
      <c r="C6809" s="168" t="s">
        <v>7024</v>
      </c>
      <c r="D6809" s="229">
        <v>29.5</v>
      </c>
      <c r="E6809" s="229">
        <v>33.0</v>
      </c>
      <c r="F6809" s="230">
        <v>3.0</v>
      </c>
      <c r="G6809" s="232"/>
    </row>
    <row r="6810">
      <c r="A6810" s="2"/>
      <c r="B6810" s="168" t="s">
        <v>241</v>
      </c>
      <c r="C6810" s="168" t="s">
        <v>7025</v>
      </c>
      <c r="D6810" s="229">
        <v>32.5</v>
      </c>
      <c r="E6810" s="229">
        <v>36.0</v>
      </c>
      <c r="F6810" s="230">
        <v>3.0</v>
      </c>
      <c r="G6810" s="232"/>
    </row>
    <row r="6811">
      <c r="A6811" s="2"/>
      <c r="B6811" s="168" t="s">
        <v>245</v>
      </c>
      <c r="C6811" s="168" t="s">
        <v>7026</v>
      </c>
      <c r="D6811" s="229">
        <v>29.5</v>
      </c>
      <c r="E6811" s="229">
        <v>33.0</v>
      </c>
      <c r="F6811" s="230">
        <v>3.0</v>
      </c>
      <c r="G6811" s="232"/>
    </row>
    <row r="6812">
      <c r="A6812" s="2"/>
      <c r="B6812" s="168" t="s">
        <v>275</v>
      </c>
      <c r="C6812" s="168" t="s">
        <v>7027</v>
      </c>
      <c r="D6812" s="229">
        <v>26.5</v>
      </c>
      <c r="E6812" s="229">
        <v>30.0</v>
      </c>
      <c r="F6812" s="230">
        <v>3.0</v>
      </c>
      <c r="G6812" s="232"/>
    </row>
    <row r="6813">
      <c r="A6813" s="2"/>
      <c r="B6813" s="168" t="s">
        <v>217</v>
      </c>
      <c r="C6813" s="168" t="s">
        <v>7028</v>
      </c>
      <c r="D6813" s="229">
        <v>27.5</v>
      </c>
      <c r="E6813" s="229">
        <v>31.0</v>
      </c>
      <c r="F6813" s="230">
        <v>3.0</v>
      </c>
      <c r="G6813" s="232"/>
    </row>
    <row r="6814">
      <c r="A6814" s="2"/>
      <c r="B6814" s="168" t="s">
        <v>266</v>
      </c>
      <c r="C6814" s="168" t="s">
        <v>7029</v>
      </c>
      <c r="D6814" s="229">
        <v>33.0</v>
      </c>
      <c r="E6814" s="229">
        <v>33.0</v>
      </c>
      <c r="F6814" s="230">
        <v>3.0</v>
      </c>
      <c r="G6814" s="232"/>
    </row>
    <row r="6815">
      <c r="A6815" s="2"/>
      <c r="B6815" s="168" t="s">
        <v>318</v>
      </c>
      <c r="C6815" s="168" t="s">
        <v>7030</v>
      </c>
      <c r="D6815" s="229">
        <v>25.5</v>
      </c>
      <c r="E6815" s="229">
        <v>29.0</v>
      </c>
      <c r="F6815" s="230">
        <v>3.0</v>
      </c>
      <c r="G6815" s="232"/>
    </row>
    <row r="6816">
      <c r="A6816" s="2"/>
      <c r="B6816" s="168" t="s">
        <v>275</v>
      </c>
      <c r="C6816" s="168" t="s">
        <v>275</v>
      </c>
      <c r="D6816" s="229">
        <v>26.5</v>
      </c>
      <c r="E6816" s="229">
        <v>30.0</v>
      </c>
      <c r="F6816" s="230">
        <v>3.0</v>
      </c>
      <c r="G6816" s="232"/>
    </row>
    <row r="6817">
      <c r="A6817" s="2"/>
      <c r="B6817" s="168" t="s">
        <v>574</v>
      </c>
      <c r="C6817" s="168" t="s">
        <v>7031</v>
      </c>
      <c r="D6817" s="229">
        <v>34.5</v>
      </c>
      <c r="E6817" s="229">
        <v>38.0</v>
      </c>
      <c r="F6817" s="230">
        <v>3.0</v>
      </c>
      <c r="G6817" s="232"/>
    </row>
    <row r="6818">
      <c r="A6818" s="2"/>
      <c r="B6818" s="168" t="s">
        <v>328</v>
      </c>
      <c r="C6818" s="168" t="s">
        <v>7032</v>
      </c>
      <c r="D6818" s="229">
        <v>34.5</v>
      </c>
      <c r="E6818" s="229">
        <v>38.0</v>
      </c>
      <c r="F6818" s="230">
        <v>3.0</v>
      </c>
      <c r="G6818" s="232"/>
    </row>
    <row r="6819">
      <c r="A6819" s="2"/>
      <c r="B6819" s="168" t="s">
        <v>413</v>
      </c>
      <c r="C6819" s="168" t="s">
        <v>7033</v>
      </c>
      <c r="D6819" s="229">
        <v>29.5</v>
      </c>
      <c r="E6819" s="229">
        <v>33.0</v>
      </c>
      <c r="F6819" s="230">
        <v>3.0</v>
      </c>
      <c r="G6819" s="232"/>
    </row>
    <row r="6820">
      <c r="A6820" s="2"/>
      <c r="B6820" s="168" t="s">
        <v>335</v>
      </c>
      <c r="C6820" s="168" t="s">
        <v>7034</v>
      </c>
      <c r="D6820" s="229">
        <v>34.5</v>
      </c>
      <c r="E6820" s="229">
        <v>38.0</v>
      </c>
      <c r="F6820" s="230">
        <v>3.0</v>
      </c>
      <c r="G6820" s="232"/>
    </row>
    <row r="6821">
      <c r="A6821" s="2"/>
      <c r="B6821" s="168" t="s">
        <v>335</v>
      </c>
      <c r="C6821" s="168" t="s">
        <v>7035</v>
      </c>
      <c r="D6821" s="229">
        <v>34.5</v>
      </c>
      <c r="E6821" s="229">
        <v>38.0</v>
      </c>
      <c r="F6821" s="230">
        <v>3.0</v>
      </c>
      <c r="G6821" s="232"/>
    </row>
    <row r="6822">
      <c r="A6822" s="2"/>
      <c r="B6822" s="168" t="s">
        <v>241</v>
      </c>
      <c r="C6822" s="168" t="s">
        <v>7036</v>
      </c>
      <c r="D6822" s="229">
        <v>32.5</v>
      </c>
      <c r="E6822" s="229">
        <v>36.0</v>
      </c>
      <c r="F6822" s="230">
        <v>3.0</v>
      </c>
      <c r="G6822" s="232"/>
    </row>
    <row r="6823">
      <c r="A6823" s="2"/>
      <c r="B6823" s="168" t="s">
        <v>438</v>
      </c>
      <c r="C6823" s="168" t="s">
        <v>7037</v>
      </c>
      <c r="D6823" s="229">
        <v>29.5</v>
      </c>
      <c r="E6823" s="229">
        <v>33.0</v>
      </c>
      <c r="F6823" s="230">
        <v>3.0</v>
      </c>
      <c r="G6823" s="232"/>
    </row>
    <row r="6824">
      <c r="A6824" s="2"/>
      <c r="B6824" s="168" t="s">
        <v>300</v>
      </c>
      <c r="C6824" s="168" t="s">
        <v>7038</v>
      </c>
      <c r="D6824" s="229">
        <v>21.5</v>
      </c>
      <c r="E6824" s="229">
        <v>25.0</v>
      </c>
      <c r="F6824" s="230">
        <v>3.0</v>
      </c>
      <c r="G6824" s="232"/>
    </row>
    <row r="6825">
      <c r="A6825" s="2"/>
      <c r="B6825" s="168" t="s">
        <v>1311</v>
      </c>
      <c r="C6825" s="168" t="s">
        <v>7039</v>
      </c>
      <c r="D6825" s="229">
        <v>28.5</v>
      </c>
      <c r="E6825" s="229">
        <v>32.0</v>
      </c>
      <c r="F6825" s="230">
        <v>3.0</v>
      </c>
      <c r="G6825" s="232"/>
    </row>
    <row r="6826">
      <c r="A6826" s="2"/>
      <c r="B6826" s="168" t="s">
        <v>1311</v>
      </c>
      <c r="C6826" s="168" t="s">
        <v>7040</v>
      </c>
      <c r="D6826" s="229">
        <v>28.5</v>
      </c>
      <c r="E6826" s="229">
        <v>32.0</v>
      </c>
      <c r="F6826" s="230">
        <v>3.0</v>
      </c>
      <c r="G6826" s="232"/>
    </row>
    <row r="6827">
      <c r="A6827" s="2"/>
      <c r="B6827" s="168" t="s">
        <v>221</v>
      </c>
      <c r="C6827" s="168" t="s">
        <v>7041</v>
      </c>
      <c r="D6827" s="229">
        <v>27.5</v>
      </c>
      <c r="E6827" s="229">
        <v>31.0</v>
      </c>
      <c r="F6827" s="230">
        <v>3.0</v>
      </c>
      <c r="G6827" s="232"/>
    </row>
    <row r="6828">
      <c r="A6828" s="2"/>
      <c r="B6828" s="168" t="s">
        <v>271</v>
      </c>
      <c r="C6828" s="168" t="s">
        <v>7042</v>
      </c>
      <c r="D6828" s="229">
        <v>26.5</v>
      </c>
      <c r="E6828" s="229">
        <v>30.0</v>
      </c>
      <c r="F6828" s="230">
        <v>3.0</v>
      </c>
      <c r="G6828" s="232"/>
    </row>
    <row r="6829">
      <c r="A6829" s="2"/>
      <c r="B6829" s="168" t="s">
        <v>318</v>
      </c>
      <c r="C6829" s="168" t="s">
        <v>7043</v>
      </c>
      <c r="D6829" s="229">
        <v>25.5</v>
      </c>
      <c r="E6829" s="229">
        <v>29.0</v>
      </c>
      <c r="F6829" s="230">
        <v>3.0</v>
      </c>
      <c r="G6829" s="232"/>
    </row>
    <row r="6830">
      <c r="A6830" s="2"/>
      <c r="B6830" s="168" t="s">
        <v>217</v>
      </c>
      <c r="C6830" s="168" t="s">
        <v>7044</v>
      </c>
      <c r="D6830" s="229">
        <v>27.5</v>
      </c>
      <c r="E6830" s="229">
        <v>31.0</v>
      </c>
      <c r="F6830" s="230">
        <v>3.0</v>
      </c>
      <c r="G6830" s="232"/>
    </row>
    <row r="6831">
      <c r="A6831" s="2"/>
      <c r="B6831" s="168" t="s">
        <v>221</v>
      </c>
      <c r="C6831" s="168" t="s">
        <v>7045</v>
      </c>
      <c r="D6831" s="229">
        <v>27.5</v>
      </c>
      <c r="E6831" s="229">
        <v>31.0</v>
      </c>
      <c r="F6831" s="230">
        <v>3.0</v>
      </c>
      <c r="G6831" s="232"/>
    </row>
    <row r="6832">
      <c r="A6832" s="2"/>
      <c r="B6832" s="168" t="s">
        <v>230</v>
      </c>
      <c r="C6832" s="168" t="s">
        <v>7046</v>
      </c>
      <c r="D6832" s="229">
        <v>16.5</v>
      </c>
      <c r="E6832" s="229">
        <v>20.0</v>
      </c>
      <c r="F6832" s="230">
        <v>3.0</v>
      </c>
      <c r="G6832" s="232"/>
    </row>
    <row r="6833">
      <c r="A6833" s="2"/>
      <c r="B6833" s="168" t="s">
        <v>337</v>
      </c>
      <c r="C6833" s="168" t="s">
        <v>7047</v>
      </c>
      <c r="D6833" s="229">
        <v>28.5</v>
      </c>
      <c r="E6833" s="229">
        <v>32.0</v>
      </c>
      <c r="F6833" s="230">
        <v>3.0</v>
      </c>
      <c r="G6833" s="232"/>
    </row>
    <row r="6834">
      <c r="A6834" s="2"/>
      <c r="B6834" s="168" t="s">
        <v>332</v>
      </c>
      <c r="C6834" s="168" t="s">
        <v>7048</v>
      </c>
      <c r="D6834" s="229">
        <v>28.5</v>
      </c>
      <c r="E6834" s="229">
        <v>32.0</v>
      </c>
      <c r="F6834" s="230">
        <v>3.0</v>
      </c>
      <c r="G6834" s="232"/>
    </row>
    <row r="6835">
      <c r="A6835" s="2"/>
      <c r="B6835" s="168" t="s">
        <v>269</v>
      </c>
      <c r="C6835" s="168" t="s">
        <v>7049</v>
      </c>
      <c r="D6835" s="229">
        <v>26.5</v>
      </c>
      <c r="E6835" s="229">
        <v>30.0</v>
      </c>
      <c r="F6835" s="230">
        <v>3.0</v>
      </c>
      <c r="G6835" s="232"/>
    </row>
    <row r="6836">
      <c r="A6836" s="2"/>
      <c r="B6836" s="168" t="s">
        <v>243</v>
      </c>
      <c r="C6836" s="168" t="s">
        <v>7050</v>
      </c>
      <c r="D6836" s="229">
        <v>29.5</v>
      </c>
      <c r="E6836" s="229">
        <v>33.0</v>
      </c>
      <c r="F6836" s="230">
        <v>3.0</v>
      </c>
      <c r="G6836" s="232"/>
    </row>
    <row r="6837">
      <c r="A6837" s="2"/>
      <c r="B6837" s="168" t="s">
        <v>245</v>
      </c>
      <c r="C6837" s="168" t="s">
        <v>7051</v>
      </c>
      <c r="D6837" s="229">
        <v>29.5</v>
      </c>
      <c r="E6837" s="229">
        <v>33.0</v>
      </c>
      <c r="F6837" s="230">
        <v>3.0</v>
      </c>
      <c r="G6837" s="232"/>
    </row>
    <row r="6838">
      <c r="A6838" s="2"/>
      <c r="B6838" s="168" t="s">
        <v>260</v>
      </c>
      <c r="C6838" s="168" t="s">
        <v>7052</v>
      </c>
      <c r="D6838" s="229">
        <v>28.5</v>
      </c>
      <c r="E6838" s="229">
        <v>32.0</v>
      </c>
      <c r="F6838" s="230">
        <v>3.0</v>
      </c>
      <c r="G6838" s="232"/>
    </row>
    <row r="6839">
      <c r="A6839" s="2"/>
      <c r="B6839" s="168" t="s">
        <v>260</v>
      </c>
      <c r="C6839" s="168" t="s">
        <v>7053</v>
      </c>
      <c r="D6839" s="229">
        <v>28.5</v>
      </c>
      <c r="E6839" s="229">
        <v>32.0</v>
      </c>
      <c r="F6839" s="230">
        <v>3.0</v>
      </c>
      <c r="G6839" s="232"/>
    </row>
    <row r="6840">
      <c r="A6840" s="2"/>
      <c r="B6840" s="168" t="s">
        <v>260</v>
      </c>
      <c r="C6840" s="168" t="s">
        <v>7054</v>
      </c>
      <c r="D6840" s="229">
        <v>28.5</v>
      </c>
      <c r="E6840" s="229">
        <v>32.0</v>
      </c>
      <c r="F6840" s="230">
        <v>3.0</v>
      </c>
      <c r="G6840" s="232"/>
    </row>
    <row r="6841">
      <c r="A6841" s="2"/>
      <c r="B6841" s="168" t="s">
        <v>260</v>
      </c>
      <c r="C6841" s="168" t="s">
        <v>7055</v>
      </c>
      <c r="D6841" s="229">
        <v>28.5</v>
      </c>
      <c r="E6841" s="229">
        <v>32.0</v>
      </c>
      <c r="F6841" s="230">
        <v>3.0</v>
      </c>
      <c r="G6841" s="232"/>
    </row>
    <row r="6842">
      <c r="A6842" s="2"/>
      <c r="B6842" s="168" t="s">
        <v>215</v>
      </c>
      <c r="C6842" s="168" t="s">
        <v>7056</v>
      </c>
      <c r="D6842" s="229">
        <v>24.5</v>
      </c>
      <c r="E6842" s="229">
        <v>28.0</v>
      </c>
      <c r="F6842" s="230">
        <v>3.0</v>
      </c>
      <c r="G6842" s="232"/>
    </row>
    <row r="6843">
      <c r="A6843" s="2"/>
      <c r="B6843" s="168" t="s">
        <v>337</v>
      </c>
      <c r="C6843" s="168" t="s">
        <v>7057</v>
      </c>
      <c r="D6843" s="229">
        <v>28.5</v>
      </c>
      <c r="E6843" s="229">
        <v>32.0</v>
      </c>
      <c r="F6843" s="230">
        <v>3.0</v>
      </c>
      <c r="G6843" s="232"/>
    </row>
    <row r="6844">
      <c r="A6844" s="2"/>
      <c r="B6844" s="168" t="s">
        <v>249</v>
      </c>
      <c r="C6844" s="168" t="s">
        <v>7058</v>
      </c>
      <c r="D6844" s="229">
        <v>3.0</v>
      </c>
      <c r="E6844" s="229">
        <v>3.0</v>
      </c>
      <c r="F6844" s="230">
        <v>3.0</v>
      </c>
      <c r="G6844" s="232"/>
    </row>
    <row r="6845">
      <c r="A6845" s="2"/>
      <c r="B6845" s="168" t="s">
        <v>217</v>
      </c>
      <c r="C6845" s="168" t="s">
        <v>7059</v>
      </c>
      <c r="D6845" s="229">
        <v>27.5</v>
      </c>
      <c r="E6845" s="229">
        <v>31.0</v>
      </c>
      <c r="F6845" s="230">
        <v>3.0</v>
      </c>
      <c r="G6845" s="232"/>
    </row>
    <row r="6846">
      <c r="A6846" s="2"/>
      <c r="B6846" s="168" t="s">
        <v>296</v>
      </c>
      <c r="C6846" s="168" t="s">
        <v>7060</v>
      </c>
      <c r="D6846" s="229">
        <v>26.5</v>
      </c>
      <c r="E6846" s="229">
        <v>30.0</v>
      </c>
      <c r="F6846" s="230">
        <v>3.0</v>
      </c>
      <c r="G6846" s="232"/>
    </row>
    <row r="6847">
      <c r="A6847" s="2"/>
      <c r="B6847" s="168" t="s">
        <v>296</v>
      </c>
      <c r="C6847" s="168" t="s">
        <v>7061</v>
      </c>
      <c r="D6847" s="229">
        <v>26.5</v>
      </c>
      <c r="E6847" s="229">
        <v>30.0</v>
      </c>
      <c r="F6847" s="230">
        <v>3.0</v>
      </c>
      <c r="G6847" s="232"/>
    </row>
    <row r="6848">
      <c r="A6848" s="2"/>
      <c r="B6848" s="168" t="s">
        <v>243</v>
      </c>
      <c r="C6848" s="168" t="s">
        <v>7062</v>
      </c>
      <c r="D6848" s="229">
        <v>29.5</v>
      </c>
      <c r="E6848" s="229">
        <v>33.0</v>
      </c>
      <c r="F6848" s="230">
        <v>3.0</v>
      </c>
      <c r="G6848" s="232"/>
    </row>
    <row r="6849">
      <c r="A6849" s="2"/>
      <c r="B6849" s="168" t="s">
        <v>1329</v>
      </c>
      <c r="C6849" s="168" t="s">
        <v>7063</v>
      </c>
      <c r="D6849" s="229">
        <v>26.5</v>
      </c>
      <c r="E6849" s="229">
        <v>30.0</v>
      </c>
      <c r="F6849" s="230">
        <v>3.0</v>
      </c>
      <c r="G6849" s="232"/>
    </row>
    <row r="6850">
      <c r="A6850" s="2"/>
      <c r="B6850" s="168" t="s">
        <v>269</v>
      </c>
      <c r="C6850" s="168" t="s">
        <v>7064</v>
      </c>
      <c r="D6850" s="229">
        <v>26.5</v>
      </c>
      <c r="E6850" s="229">
        <v>30.0</v>
      </c>
      <c r="F6850" s="230">
        <v>3.0</v>
      </c>
      <c r="G6850" s="232"/>
    </row>
    <row r="6851">
      <c r="A6851" s="2"/>
      <c r="B6851" s="168" t="s">
        <v>269</v>
      </c>
      <c r="C6851" s="168" t="s">
        <v>7065</v>
      </c>
      <c r="D6851" s="229">
        <v>21.5</v>
      </c>
      <c r="E6851" s="229">
        <v>25.0</v>
      </c>
      <c r="F6851" s="230">
        <v>3.0</v>
      </c>
      <c r="G6851" s="232"/>
    </row>
    <row r="6852">
      <c r="A6852" s="2"/>
      <c r="B6852" s="168" t="s">
        <v>348</v>
      </c>
      <c r="C6852" s="168" t="s">
        <v>7066</v>
      </c>
      <c r="D6852" s="229">
        <v>24.5</v>
      </c>
      <c r="E6852" s="229">
        <v>28.0</v>
      </c>
      <c r="F6852" s="230">
        <v>3.0</v>
      </c>
      <c r="G6852" s="232"/>
    </row>
    <row r="6853">
      <c r="A6853" s="2"/>
      <c r="B6853" s="168" t="s">
        <v>247</v>
      </c>
      <c r="C6853" s="168" t="s">
        <v>7067</v>
      </c>
      <c r="D6853" s="229">
        <v>29.0</v>
      </c>
      <c r="E6853" s="229">
        <v>32.5</v>
      </c>
      <c r="F6853" s="230">
        <v>3.0</v>
      </c>
      <c r="G6853" s="232"/>
    </row>
    <row r="6854">
      <c r="A6854" s="2"/>
      <c r="B6854" s="168" t="s">
        <v>217</v>
      </c>
      <c r="C6854" s="168" t="s">
        <v>7068</v>
      </c>
      <c r="D6854" s="229">
        <v>27.5</v>
      </c>
      <c r="E6854" s="229">
        <v>31.0</v>
      </c>
      <c r="F6854" s="230">
        <v>3.0</v>
      </c>
      <c r="G6854" s="232"/>
    </row>
    <row r="6855">
      <c r="A6855" s="2"/>
      <c r="B6855" s="168" t="s">
        <v>245</v>
      </c>
      <c r="C6855" s="168" t="s">
        <v>7069</v>
      </c>
      <c r="D6855" s="229">
        <v>29.5</v>
      </c>
      <c r="E6855" s="229">
        <v>33.0</v>
      </c>
      <c r="F6855" s="230">
        <v>3.0</v>
      </c>
      <c r="G6855" s="232"/>
    </row>
    <row r="6856">
      <c r="A6856" s="2"/>
      <c r="B6856" s="168" t="s">
        <v>245</v>
      </c>
      <c r="C6856" s="168" t="s">
        <v>7070</v>
      </c>
      <c r="D6856" s="229">
        <v>29.5</v>
      </c>
      <c r="E6856" s="229">
        <v>33.0</v>
      </c>
      <c r="F6856" s="230">
        <v>3.0</v>
      </c>
      <c r="G6856" s="232"/>
    </row>
    <row r="6857">
      <c r="A6857" s="2"/>
      <c r="B6857" s="168" t="s">
        <v>280</v>
      </c>
      <c r="C6857" s="168" t="s">
        <v>7071</v>
      </c>
      <c r="D6857" s="229">
        <v>28.5</v>
      </c>
      <c r="E6857" s="229">
        <v>32.0</v>
      </c>
      <c r="F6857" s="230">
        <v>3.0</v>
      </c>
      <c r="G6857" s="232"/>
    </row>
    <row r="6858">
      <c r="A6858" s="2"/>
      <c r="B6858" s="168" t="s">
        <v>232</v>
      </c>
      <c r="C6858" s="168" t="s">
        <v>7072</v>
      </c>
      <c r="D6858" s="229">
        <v>25.5</v>
      </c>
      <c r="E6858" s="229">
        <v>29.0</v>
      </c>
      <c r="F6858" s="230">
        <v>3.0</v>
      </c>
      <c r="G6858" s="232"/>
    </row>
    <row r="6859">
      <c r="A6859" s="2"/>
      <c r="B6859" s="168" t="s">
        <v>245</v>
      </c>
      <c r="C6859" s="168" t="s">
        <v>7073</v>
      </c>
      <c r="D6859" s="229">
        <v>24.5</v>
      </c>
      <c r="E6859" s="229">
        <v>28.0</v>
      </c>
      <c r="F6859" s="230">
        <v>3.0</v>
      </c>
      <c r="G6859" s="232"/>
    </row>
    <row r="6860">
      <c r="A6860" s="2"/>
      <c r="B6860" s="168" t="s">
        <v>273</v>
      </c>
      <c r="C6860" s="168" t="s">
        <v>7074</v>
      </c>
      <c r="D6860" s="229">
        <v>29.5</v>
      </c>
      <c r="E6860" s="229">
        <v>33.0</v>
      </c>
      <c r="F6860" s="230">
        <v>3.0</v>
      </c>
      <c r="G6860" s="232"/>
    </row>
    <row r="6861">
      <c r="A6861" s="2"/>
      <c r="B6861" s="168" t="s">
        <v>288</v>
      </c>
      <c r="C6861" s="168" t="s">
        <v>7075</v>
      </c>
      <c r="D6861" s="229">
        <v>21.5</v>
      </c>
      <c r="E6861" s="229">
        <v>25.0</v>
      </c>
      <c r="F6861" s="230">
        <v>3.0</v>
      </c>
      <c r="G6861" s="232"/>
    </row>
    <row r="6862">
      <c r="A6862" s="2"/>
      <c r="B6862" s="168" t="s">
        <v>230</v>
      </c>
      <c r="C6862" s="168" t="s">
        <v>7076</v>
      </c>
      <c r="D6862" s="229">
        <v>21.5</v>
      </c>
      <c r="E6862" s="229">
        <v>25.0</v>
      </c>
      <c r="F6862" s="230">
        <v>3.0</v>
      </c>
      <c r="G6862" s="232"/>
    </row>
    <row r="6863">
      <c r="A6863" s="2"/>
      <c r="B6863" s="168" t="s">
        <v>245</v>
      </c>
      <c r="C6863" s="168" t="s">
        <v>7077</v>
      </c>
      <c r="D6863" s="229">
        <v>28.5</v>
      </c>
      <c r="E6863" s="229">
        <v>32.0</v>
      </c>
      <c r="F6863" s="230">
        <v>3.0</v>
      </c>
      <c r="G6863" s="232"/>
    </row>
    <row r="6864">
      <c r="A6864" s="2"/>
      <c r="B6864" s="168" t="s">
        <v>249</v>
      </c>
      <c r="C6864" s="168" t="s">
        <v>7078</v>
      </c>
      <c r="D6864" s="229">
        <v>3.0</v>
      </c>
      <c r="E6864" s="229">
        <v>3.0</v>
      </c>
      <c r="F6864" s="230">
        <v>3.0</v>
      </c>
      <c r="G6864" s="232"/>
    </row>
    <row r="6865">
      <c r="A6865" s="2"/>
      <c r="B6865" s="168" t="s">
        <v>249</v>
      </c>
      <c r="C6865" s="168" t="s">
        <v>7079</v>
      </c>
      <c r="D6865" s="229">
        <v>3.0</v>
      </c>
      <c r="E6865" s="229">
        <v>3.0</v>
      </c>
      <c r="F6865" s="230">
        <v>3.0</v>
      </c>
      <c r="G6865" s="232"/>
    </row>
    <row r="6866">
      <c r="A6866" s="2"/>
      <c r="B6866" s="168" t="s">
        <v>232</v>
      </c>
      <c r="C6866" s="168" t="s">
        <v>7080</v>
      </c>
      <c r="D6866" s="229">
        <v>32.5</v>
      </c>
      <c r="E6866" s="229">
        <v>36.0</v>
      </c>
      <c r="F6866" s="230">
        <v>3.0</v>
      </c>
      <c r="G6866" s="232"/>
    </row>
    <row r="6867">
      <c r="A6867" s="2"/>
      <c r="B6867" s="168" t="s">
        <v>232</v>
      </c>
      <c r="C6867" s="168" t="s">
        <v>7081</v>
      </c>
      <c r="D6867" s="229">
        <v>25.0</v>
      </c>
      <c r="E6867" s="229">
        <v>28.5</v>
      </c>
      <c r="F6867" s="230">
        <v>3.0</v>
      </c>
      <c r="G6867" s="232"/>
    </row>
    <row r="6868">
      <c r="A6868" s="2"/>
      <c r="B6868" s="168" t="s">
        <v>249</v>
      </c>
      <c r="C6868" s="168" t="s">
        <v>7082</v>
      </c>
      <c r="D6868" s="229">
        <v>3.0</v>
      </c>
      <c r="E6868" s="229">
        <v>3.0</v>
      </c>
      <c r="F6868" s="230">
        <v>3.0</v>
      </c>
      <c r="G6868" s="232"/>
    </row>
    <row r="6869">
      <c r="A6869" s="2"/>
      <c r="B6869" s="168" t="s">
        <v>285</v>
      </c>
      <c r="C6869" s="168" t="s">
        <v>7083</v>
      </c>
      <c r="D6869" s="229">
        <v>24.5</v>
      </c>
      <c r="E6869" s="229">
        <v>28.0</v>
      </c>
      <c r="F6869" s="230">
        <v>3.0</v>
      </c>
      <c r="G6869" s="232"/>
    </row>
    <row r="6870">
      <c r="A6870" s="2"/>
      <c r="B6870" s="168" t="s">
        <v>215</v>
      </c>
      <c r="C6870" s="168" t="s">
        <v>7084</v>
      </c>
      <c r="D6870" s="229">
        <v>29.5</v>
      </c>
      <c r="E6870" s="229">
        <v>33.0</v>
      </c>
      <c r="F6870" s="230">
        <v>3.0</v>
      </c>
      <c r="G6870" s="232"/>
    </row>
    <row r="6871">
      <c r="A6871" s="2"/>
      <c r="B6871" s="168" t="s">
        <v>245</v>
      </c>
      <c r="C6871" s="168" t="s">
        <v>7085</v>
      </c>
      <c r="D6871" s="229">
        <v>29.5</v>
      </c>
      <c r="E6871" s="229">
        <v>33.0</v>
      </c>
      <c r="F6871" s="230">
        <v>3.0</v>
      </c>
      <c r="G6871" s="232"/>
    </row>
    <row r="6872">
      <c r="A6872" s="2"/>
      <c r="B6872" s="168" t="s">
        <v>234</v>
      </c>
      <c r="C6872" s="168" t="s">
        <v>7086</v>
      </c>
      <c r="D6872" s="229">
        <v>29.5</v>
      </c>
      <c r="E6872" s="229">
        <v>33.0</v>
      </c>
      <c r="F6872" s="230">
        <v>3.0</v>
      </c>
      <c r="G6872" s="232"/>
    </row>
    <row r="6873">
      <c r="A6873" s="2"/>
      <c r="B6873" s="168" t="s">
        <v>290</v>
      </c>
      <c r="C6873" s="168" t="s">
        <v>7087</v>
      </c>
      <c r="D6873" s="229">
        <v>29.5</v>
      </c>
      <c r="E6873" s="229">
        <v>33.0</v>
      </c>
      <c r="F6873" s="230">
        <v>3.0</v>
      </c>
      <c r="G6873" s="232"/>
    </row>
    <row r="6874">
      <c r="A6874" s="2"/>
      <c r="B6874" s="168" t="s">
        <v>243</v>
      </c>
      <c r="C6874" s="168" t="s">
        <v>7088</v>
      </c>
      <c r="D6874" s="229">
        <v>29.5</v>
      </c>
      <c r="E6874" s="229">
        <v>33.0</v>
      </c>
      <c r="F6874" s="230">
        <v>3.0</v>
      </c>
      <c r="G6874" s="232"/>
    </row>
    <row r="6875">
      <c r="A6875" s="2"/>
      <c r="B6875" s="168" t="s">
        <v>280</v>
      </c>
      <c r="C6875" s="168" t="s">
        <v>7089</v>
      </c>
      <c r="D6875" s="229">
        <v>28.5</v>
      </c>
      <c r="E6875" s="229">
        <v>32.0</v>
      </c>
      <c r="F6875" s="230">
        <v>3.0</v>
      </c>
      <c r="G6875" s="232"/>
    </row>
    <row r="6876">
      <c r="A6876" s="2"/>
      <c r="B6876" s="168" t="s">
        <v>684</v>
      </c>
      <c r="C6876" s="168" t="s">
        <v>7090</v>
      </c>
      <c r="D6876" s="229">
        <v>25.5</v>
      </c>
      <c r="E6876" s="229">
        <v>29.0</v>
      </c>
      <c r="F6876" s="230">
        <v>3.0</v>
      </c>
      <c r="G6876" s="232"/>
    </row>
    <row r="6877">
      <c r="A6877" s="2"/>
      <c r="B6877" s="168" t="s">
        <v>345</v>
      </c>
      <c r="C6877" s="168" t="s">
        <v>7091</v>
      </c>
      <c r="D6877" s="229">
        <v>26.5</v>
      </c>
      <c r="E6877" s="229">
        <v>30.0</v>
      </c>
      <c r="F6877" s="230">
        <v>3.0</v>
      </c>
      <c r="G6877" s="232"/>
    </row>
    <row r="6878">
      <c r="A6878" s="2"/>
      <c r="B6878" s="168" t="s">
        <v>341</v>
      </c>
      <c r="C6878" s="168" t="s">
        <v>7092</v>
      </c>
      <c r="D6878" s="229">
        <v>29.5</v>
      </c>
      <c r="E6878" s="229">
        <v>29.5</v>
      </c>
      <c r="F6878" s="230">
        <v>3.0</v>
      </c>
      <c r="G6878" s="232"/>
    </row>
    <row r="6879">
      <c r="A6879" s="2"/>
      <c r="B6879" s="168" t="s">
        <v>249</v>
      </c>
      <c r="C6879" s="168" t="s">
        <v>7093</v>
      </c>
      <c r="D6879" s="229">
        <v>3.0</v>
      </c>
      <c r="E6879" s="229">
        <v>3.0</v>
      </c>
      <c r="F6879" s="230">
        <v>3.0</v>
      </c>
      <c r="G6879" s="232"/>
    </row>
    <row r="6880">
      <c r="A6880" s="2"/>
      <c r="B6880" s="168" t="s">
        <v>576</v>
      </c>
      <c r="C6880" s="168" t="s">
        <v>7094</v>
      </c>
      <c r="D6880" s="229">
        <v>21.5</v>
      </c>
      <c r="E6880" s="229">
        <v>25.0</v>
      </c>
      <c r="F6880" s="230">
        <v>3.0</v>
      </c>
      <c r="G6880" s="232"/>
    </row>
    <row r="6881">
      <c r="A6881" s="2"/>
      <c r="B6881" s="168" t="s">
        <v>275</v>
      </c>
      <c r="C6881" s="168" t="s">
        <v>7095</v>
      </c>
      <c r="D6881" s="229">
        <v>26.5</v>
      </c>
      <c r="E6881" s="229">
        <v>30.0</v>
      </c>
      <c r="F6881" s="230">
        <v>3.0</v>
      </c>
      <c r="G6881" s="232"/>
    </row>
    <row r="6882">
      <c r="A6882" s="2"/>
      <c r="B6882" s="168" t="s">
        <v>232</v>
      </c>
      <c r="C6882" s="168" t="s">
        <v>7096</v>
      </c>
      <c r="D6882" s="229">
        <v>25.5</v>
      </c>
      <c r="E6882" s="229">
        <v>29.0</v>
      </c>
      <c r="F6882" s="230">
        <v>3.0</v>
      </c>
      <c r="G6882" s="232"/>
    </row>
    <row r="6883">
      <c r="A6883" s="2"/>
      <c r="B6883" s="168" t="s">
        <v>296</v>
      </c>
      <c r="C6883" s="168" t="s">
        <v>7097</v>
      </c>
      <c r="D6883" s="229">
        <v>26.5</v>
      </c>
      <c r="E6883" s="229">
        <v>30.0</v>
      </c>
      <c r="F6883" s="230">
        <v>3.0</v>
      </c>
      <c r="G6883" s="232"/>
    </row>
    <row r="6884">
      <c r="A6884" s="2"/>
      <c r="B6884" s="168" t="s">
        <v>249</v>
      </c>
      <c r="C6884" s="168" t="s">
        <v>249</v>
      </c>
      <c r="D6884" s="229">
        <v>3.0</v>
      </c>
      <c r="E6884" s="229">
        <v>3.0</v>
      </c>
      <c r="F6884" s="230">
        <v>3.0</v>
      </c>
      <c r="G6884" s="232"/>
    </row>
    <row r="6885">
      <c r="A6885" s="2"/>
      <c r="B6885" s="168" t="s">
        <v>232</v>
      </c>
      <c r="C6885" s="168" t="s">
        <v>7098</v>
      </c>
      <c r="D6885" s="229">
        <v>25.5</v>
      </c>
      <c r="E6885" s="229">
        <v>29.0</v>
      </c>
      <c r="F6885" s="230">
        <v>3.0</v>
      </c>
      <c r="G6885" s="232"/>
    </row>
    <row r="6886">
      <c r="A6886" s="2"/>
      <c r="B6886" s="168" t="s">
        <v>223</v>
      </c>
      <c r="C6886" s="168" t="s">
        <v>7099</v>
      </c>
      <c r="D6886" s="229">
        <v>26.5</v>
      </c>
      <c r="E6886" s="229">
        <v>30.0</v>
      </c>
      <c r="F6886" s="230">
        <v>3.0</v>
      </c>
      <c r="G6886" s="232"/>
    </row>
    <row r="6887">
      <c r="A6887" s="2"/>
      <c r="B6887" s="168" t="s">
        <v>249</v>
      </c>
      <c r="C6887" s="168" t="s">
        <v>7100</v>
      </c>
      <c r="D6887" s="229">
        <v>3.0</v>
      </c>
      <c r="E6887" s="229">
        <v>3.0</v>
      </c>
      <c r="F6887" s="230">
        <v>3.0</v>
      </c>
      <c r="G6887" s="232"/>
    </row>
    <row r="6888">
      <c r="A6888" s="2"/>
      <c r="B6888" s="168" t="s">
        <v>234</v>
      </c>
      <c r="C6888" s="168" t="s">
        <v>7101</v>
      </c>
      <c r="D6888" s="229">
        <v>29.5</v>
      </c>
      <c r="E6888" s="229">
        <v>33.0</v>
      </c>
      <c r="F6888" s="230">
        <v>3.0</v>
      </c>
      <c r="G6888" s="232"/>
    </row>
    <row r="6889">
      <c r="A6889" s="2"/>
      <c r="B6889" s="168" t="s">
        <v>288</v>
      </c>
      <c r="C6889" s="168" t="s">
        <v>7102</v>
      </c>
      <c r="D6889" s="229">
        <v>21.5</v>
      </c>
      <c r="E6889" s="229">
        <v>25.0</v>
      </c>
      <c r="F6889" s="230">
        <v>3.0</v>
      </c>
      <c r="G6889" s="232"/>
    </row>
    <row r="6890">
      <c r="A6890" s="2"/>
      <c r="B6890" s="168" t="s">
        <v>337</v>
      </c>
      <c r="C6890" s="168" t="s">
        <v>7103</v>
      </c>
      <c r="D6890" s="229">
        <v>28.5</v>
      </c>
      <c r="E6890" s="229">
        <v>32.0</v>
      </c>
      <c r="F6890" s="230">
        <v>3.0</v>
      </c>
      <c r="G6890" s="232"/>
    </row>
    <row r="6891">
      <c r="A6891" s="2"/>
      <c r="B6891" s="168" t="s">
        <v>232</v>
      </c>
      <c r="C6891" s="168" t="s">
        <v>7104</v>
      </c>
      <c r="D6891" s="229">
        <v>32.5</v>
      </c>
      <c r="E6891" s="229">
        <v>36.0</v>
      </c>
      <c r="F6891" s="230">
        <v>3.0</v>
      </c>
      <c r="G6891" s="232"/>
    </row>
    <row r="6892">
      <c r="A6892" s="2"/>
      <c r="B6892" s="168" t="s">
        <v>215</v>
      </c>
      <c r="C6892" s="168" t="s">
        <v>7105</v>
      </c>
      <c r="D6892" s="229">
        <v>27.5</v>
      </c>
      <c r="E6892" s="229">
        <v>31.0</v>
      </c>
      <c r="F6892" s="230">
        <v>3.0</v>
      </c>
      <c r="G6892" s="232"/>
    </row>
    <row r="6893">
      <c r="A6893" s="2"/>
      <c r="B6893" s="168" t="s">
        <v>302</v>
      </c>
      <c r="C6893" s="168" t="s">
        <v>7106</v>
      </c>
      <c r="D6893" s="229">
        <v>34.5</v>
      </c>
      <c r="E6893" s="229">
        <v>38.0</v>
      </c>
      <c r="F6893" s="230">
        <v>3.0</v>
      </c>
      <c r="G6893" s="232"/>
    </row>
    <row r="6894">
      <c r="A6894" s="2"/>
      <c r="B6894" s="168" t="s">
        <v>245</v>
      </c>
      <c r="C6894" s="168" t="s">
        <v>7107</v>
      </c>
      <c r="D6894" s="229">
        <v>29.5</v>
      </c>
      <c r="E6894" s="229">
        <v>33.0</v>
      </c>
      <c r="F6894" s="230">
        <v>3.0</v>
      </c>
      <c r="G6894" s="232"/>
    </row>
    <row r="6895">
      <c r="A6895" s="2"/>
      <c r="B6895" s="168" t="s">
        <v>430</v>
      </c>
      <c r="C6895" s="168" t="s">
        <v>7108</v>
      </c>
      <c r="D6895" s="229">
        <v>34.5</v>
      </c>
      <c r="E6895" s="229">
        <v>38.0</v>
      </c>
      <c r="F6895" s="230">
        <v>3.0</v>
      </c>
      <c r="G6895" s="232"/>
    </row>
    <row r="6896">
      <c r="A6896" s="2"/>
      <c r="B6896" s="168" t="s">
        <v>430</v>
      </c>
      <c r="C6896" s="168" t="s">
        <v>7109</v>
      </c>
      <c r="D6896" s="229">
        <v>34.5</v>
      </c>
      <c r="E6896" s="229">
        <v>38.0</v>
      </c>
      <c r="F6896" s="230">
        <v>3.0</v>
      </c>
      <c r="G6896" s="232"/>
    </row>
    <row r="6897">
      <c r="A6897" s="2"/>
      <c r="B6897" s="168" t="s">
        <v>430</v>
      </c>
      <c r="C6897" s="168" t="s">
        <v>7110</v>
      </c>
      <c r="D6897" s="229">
        <v>34.5</v>
      </c>
      <c r="E6897" s="229">
        <v>38.0</v>
      </c>
      <c r="F6897" s="230">
        <v>3.0</v>
      </c>
      <c r="G6897" s="232"/>
    </row>
    <row r="6898">
      <c r="A6898" s="2"/>
      <c r="B6898" s="168" t="s">
        <v>430</v>
      </c>
      <c r="C6898" s="168" t="s">
        <v>430</v>
      </c>
      <c r="D6898" s="229">
        <v>34.5</v>
      </c>
      <c r="E6898" s="229">
        <v>38.0</v>
      </c>
      <c r="F6898" s="230">
        <v>3.0</v>
      </c>
      <c r="G6898" s="232"/>
    </row>
    <row r="6899">
      <c r="A6899" s="2"/>
      <c r="B6899" s="168" t="s">
        <v>430</v>
      </c>
      <c r="C6899" s="168" t="s">
        <v>7111</v>
      </c>
      <c r="D6899" s="229">
        <v>34.5</v>
      </c>
      <c r="E6899" s="229">
        <v>38.0</v>
      </c>
      <c r="F6899" s="230">
        <v>3.0</v>
      </c>
      <c r="G6899" s="232"/>
    </row>
    <row r="6900">
      <c r="A6900" s="2"/>
      <c r="B6900" s="168" t="s">
        <v>245</v>
      </c>
      <c r="C6900" s="168" t="s">
        <v>7112</v>
      </c>
      <c r="D6900" s="229">
        <v>29.5</v>
      </c>
      <c r="E6900" s="229">
        <v>33.0</v>
      </c>
      <c r="F6900" s="230">
        <v>3.0</v>
      </c>
      <c r="G6900" s="232"/>
    </row>
    <row r="6901">
      <c r="A6901" s="2"/>
      <c r="B6901" s="168" t="s">
        <v>456</v>
      </c>
      <c r="C6901" s="168" t="s">
        <v>7113</v>
      </c>
      <c r="D6901" s="229">
        <v>21.5</v>
      </c>
      <c r="E6901" s="229">
        <v>25.0</v>
      </c>
      <c r="F6901" s="230">
        <v>3.0</v>
      </c>
      <c r="G6901" s="232"/>
    </row>
    <row r="6902">
      <c r="A6902" s="2"/>
      <c r="B6902" s="168" t="s">
        <v>430</v>
      </c>
      <c r="C6902" s="168" t="s">
        <v>7114</v>
      </c>
      <c r="D6902" s="229">
        <v>34.5</v>
      </c>
      <c r="E6902" s="229">
        <v>38.0</v>
      </c>
      <c r="F6902" s="230">
        <v>3.0</v>
      </c>
      <c r="G6902" s="232"/>
    </row>
    <row r="6903">
      <c r="A6903" s="2"/>
      <c r="B6903" s="168" t="s">
        <v>430</v>
      </c>
      <c r="C6903" s="168" t="s">
        <v>7115</v>
      </c>
      <c r="D6903" s="229">
        <v>34.5</v>
      </c>
      <c r="E6903" s="229">
        <v>38.0</v>
      </c>
      <c r="F6903" s="230">
        <v>3.0</v>
      </c>
      <c r="G6903" s="232"/>
    </row>
    <row r="6904">
      <c r="A6904" s="2"/>
      <c r="B6904" s="168" t="s">
        <v>430</v>
      </c>
      <c r="C6904" s="168" t="s">
        <v>7116</v>
      </c>
      <c r="D6904" s="229">
        <v>34.5</v>
      </c>
      <c r="E6904" s="229">
        <v>38.0</v>
      </c>
      <c r="F6904" s="230">
        <v>3.0</v>
      </c>
      <c r="G6904" s="232"/>
    </row>
    <row r="6905">
      <c r="A6905" s="2"/>
      <c r="B6905" s="168" t="s">
        <v>430</v>
      </c>
      <c r="C6905" s="168" t="s">
        <v>7117</v>
      </c>
      <c r="D6905" s="229">
        <v>34.5</v>
      </c>
      <c r="E6905" s="229">
        <v>38.0</v>
      </c>
      <c r="F6905" s="230">
        <v>3.0</v>
      </c>
      <c r="G6905" s="232"/>
    </row>
    <row r="6906">
      <c r="A6906" s="2"/>
      <c r="B6906" s="168" t="s">
        <v>245</v>
      </c>
      <c r="C6906" s="168" t="s">
        <v>7118</v>
      </c>
      <c r="D6906" s="229">
        <v>29.5</v>
      </c>
      <c r="E6906" s="229">
        <v>33.0</v>
      </c>
      <c r="F6906" s="230">
        <v>3.0</v>
      </c>
      <c r="G6906" s="232"/>
    </row>
    <row r="6907">
      <c r="A6907" s="2"/>
      <c r="B6907" s="168" t="s">
        <v>245</v>
      </c>
      <c r="C6907" s="168" t="s">
        <v>7119</v>
      </c>
      <c r="D6907" s="229">
        <v>29.5</v>
      </c>
      <c r="E6907" s="229">
        <v>33.0</v>
      </c>
      <c r="F6907" s="230">
        <v>3.0</v>
      </c>
      <c r="G6907" s="232"/>
    </row>
    <row r="6908">
      <c r="A6908" s="2"/>
      <c r="B6908" s="168" t="s">
        <v>430</v>
      </c>
      <c r="C6908" s="168" t="s">
        <v>7120</v>
      </c>
      <c r="D6908" s="229">
        <v>34.5</v>
      </c>
      <c r="E6908" s="229">
        <v>38.0</v>
      </c>
      <c r="F6908" s="230">
        <v>3.0</v>
      </c>
      <c r="G6908" s="232"/>
    </row>
    <row r="6909">
      <c r="A6909" s="2"/>
      <c r="B6909" s="168" t="s">
        <v>296</v>
      </c>
      <c r="C6909" s="168" t="s">
        <v>7121</v>
      </c>
      <c r="D6909" s="229">
        <v>26.5</v>
      </c>
      <c r="E6909" s="229">
        <v>30.0</v>
      </c>
      <c r="F6909" s="230">
        <v>3.0</v>
      </c>
      <c r="G6909" s="232"/>
    </row>
    <row r="6910">
      <c r="A6910" s="2"/>
      <c r="B6910" s="168" t="s">
        <v>337</v>
      </c>
      <c r="C6910" s="168" t="s">
        <v>7122</v>
      </c>
      <c r="D6910" s="229">
        <v>28.5</v>
      </c>
      <c r="E6910" s="229">
        <v>32.0</v>
      </c>
      <c r="F6910" s="230">
        <v>3.0</v>
      </c>
      <c r="G6910" s="232"/>
    </row>
    <row r="6911">
      <c r="A6911" s="2"/>
      <c r="B6911" s="168" t="s">
        <v>215</v>
      </c>
      <c r="C6911" s="168" t="s">
        <v>7123</v>
      </c>
      <c r="D6911" s="229">
        <v>29.5</v>
      </c>
      <c r="E6911" s="229">
        <v>33.0</v>
      </c>
      <c r="F6911" s="230">
        <v>3.0</v>
      </c>
      <c r="G6911" s="232"/>
    </row>
    <row r="6912">
      <c r="A6912" s="2"/>
      <c r="B6912" s="168" t="s">
        <v>294</v>
      </c>
      <c r="C6912" s="168" t="s">
        <v>7124</v>
      </c>
      <c r="D6912" s="229">
        <v>19.5</v>
      </c>
      <c r="E6912" s="229">
        <v>19.5</v>
      </c>
      <c r="F6912" s="230">
        <v>3.0</v>
      </c>
      <c r="G6912" s="232"/>
    </row>
    <row r="6913">
      <c r="A6913" s="2"/>
      <c r="B6913" s="168" t="s">
        <v>255</v>
      </c>
      <c r="C6913" s="168" t="s">
        <v>7125</v>
      </c>
      <c r="D6913" s="229">
        <v>31.5</v>
      </c>
      <c r="E6913" s="229">
        <v>35.0</v>
      </c>
      <c r="F6913" s="230">
        <v>3.0</v>
      </c>
      <c r="G6913" s="232"/>
    </row>
    <row r="6914">
      <c r="A6914" s="2"/>
      <c r="B6914" s="168" t="s">
        <v>294</v>
      </c>
      <c r="C6914" s="168" t="s">
        <v>7126</v>
      </c>
      <c r="D6914" s="229">
        <v>19.5</v>
      </c>
      <c r="E6914" s="229">
        <v>19.5</v>
      </c>
      <c r="F6914" s="230">
        <v>3.0</v>
      </c>
      <c r="G6914" s="232"/>
    </row>
    <row r="6915">
      <c r="A6915" s="2"/>
      <c r="B6915" s="168" t="s">
        <v>332</v>
      </c>
      <c r="C6915" s="168" t="s">
        <v>7127</v>
      </c>
      <c r="D6915" s="229">
        <v>28.5</v>
      </c>
      <c r="E6915" s="229">
        <v>32.0</v>
      </c>
      <c r="F6915" s="230">
        <v>3.0</v>
      </c>
      <c r="G6915" s="232"/>
    </row>
    <row r="6916">
      <c r="A6916" s="2"/>
      <c r="B6916" s="168" t="s">
        <v>236</v>
      </c>
      <c r="C6916" s="168" t="s">
        <v>7128</v>
      </c>
      <c r="D6916" s="229">
        <v>34.5</v>
      </c>
      <c r="E6916" s="229">
        <v>38.0</v>
      </c>
      <c r="F6916" s="230">
        <v>3.0</v>
      </c>
      <c r="G6916" s="232"/>
    </row>
    <row r="6917">
      <c r="A6917" s="2"/>
      <c r="B6917" s="168" t="s">
        <v>332</v>
      </c>
      <c r="C6917" s="168" t="s">
        <v>7129</v>
      </c>
      <c r="D6917" s="229">
        <v>23.5</v>
      </c>
      <c r="E6917" s="229">
        <v>27.0</v>
      </c>
      <c r="F6917" s="230">
        <v>3.0</v>
      </c>
      <c r="G6917" s="232"/>
    </row>
    <row r="6918">
      <c r="A6918" s="2"/>
      <c r="B6918" s="168" t="s">
        <v>290</v>
      </c>
      <c r="C6918" s="168" t="s">
        <v>7130</v>
      </c>
      <c r="D6918" s="229">
        <v>29.5</v>
      </c>
      <c r="E6918" s="229">
        <v>33.0</v>
      </c>
      <c r="F6918" s="230">
        <v>3.0</v>
      </c>
      <c r="G6918" s="232"/>
    </row>
    <row r="6919">
      <c r="A6919" s="2"/>
      <c r="B6919" s="168" t="s">
        <v>318</v>
      </c>
      <c r="C6919" s="168" t="s">
        <v>7131</v>
      </c>
      <c r="D6919" s="229">
        <v>25.5</v>
      </c>
      <c r="E6919" s="229">
        <v>29.0</v>
      </c>
      <c r="F6919" s="230">
        <v>3.0</v>
      </c>
      <c r="G6919" s="232"/>
    </row>
    <row r="6920">
      <c r="A6920" s="2"/>
      <c r="B6920" s="168" t="s">
        <v>318</v>
      </c>
      <c r="C6920" s="168" t="s">
        <v>7132</v>
      </c>
      <c r="D6920" s="229">
        <v>25.5</v>
      </c>
      <c r="E6920" s="229">
        <v>29.0</v>
      </c>
      <c r="F6920" s="230">
        <v>3.0</v>
      </c>
      <c r="G6920" s="232"/>
    </row>
    <row r="6921">
      <c r="A6921" s="2"/>
      <c r="B6921" s="168" t="s">
        <v>290</v>
      </c>
      <c r="C6921" s="168" t="s">
        <v>7133</v>
      </c>
      <c r="D6921" s="229">
        <v>29.5</v>
      </c>
      <c r="E6921" s="229">
        <v>33.0</v>
      </c>
      <c r="F6921" s="230">
        <v>3.0</v>
      </c>
      <c r="G6921" s="232"/>
    </row>
    <row r="6922">
      <c r="A6922" s="2"/>
      <c r="B6922" s="168" t="s">
        <v>296</v>
      </c>
      <c r="C6922" s="168" t="s">
        <v>7134</v>
      </c>
      <c r="D6922" s="229">
        <v>26.5</v>
      </c>
      <c r="E6922" s="229">
        <v>30.0</v>
      </c>
      <c r="F6922" s="230">
        <v>3.0</v>
      </c>
      <c r="G6922" s="232"/>
    </row>
    <row r="6923">
      <c r="A6923" s="2"/>
      <c r="B6923" s="168" t="s">
        <v>296</v>
      </c>
      <c r="C6923" s="168" t="s">
        <v>7135</v>
      </c>
      <c r="D6923" s="229">
        <v>26.5</v>
      </c>
      <c r="E6923" s="229">
        <v>30.0</v>
      </c>
      <c r="F6923" s="230">
        <v>3.0</v>
      </c>
      <c r="G6923" s="232"/>
    </row>
    <row r="6924">
      <c r="A6924" s="2"/>
      <c r="B6924" s="168" t="s">
        <v>217</v>
      </c>
      <c r="C6924" s="168" t="s">
        <v>7136</v>
      </c>
      <c r="D6924" s="229">
        <v>27.5</v>
      </c>
      <c r="E6924" s="229">
        <v>31.0</v>
      </c>
      <c r="F6924" s="230">
        <v>3.0</v>
      </c>
      <c r="G6924" s="232"/>
    </row>
    <row r="6925">
      <c r="A6925" s="2"/>
      <c r="B6925" s="168" t="s">
        <v>300</v>
      </c>
      <c r="C6925" s="168" t="s">
        <v>7137</v>
      </c>
      <c r="D6925" s="229">
        <v>28.5</v>
      </c>
      <c r="E6925" s="229">
        <v>32.0</v>
      </c>
      <c r="F6925" s="230">
        <v>3.0</v>
      </c>
      <c r="G6925" s="232"/>
    </row>
    <row r="6926">
      <c r="A6926" s="2"/>
      <c r="B6926" s="168" t="s">
        <v>223</v>
      </c>
      <c r="C6926" s="168" t="s">
        <v>7138</v>
      </c>
      <c r="D6926" s="229">
        <v>26.5</v>
      </c>
      <c r="E6926" s="229">
        <v>30.0</v>
      </c>
      <c r="F6926" s="230">
        <v>3.0</v>
      </c>
      <c r="G6926" s="232"/>
    </row>
    <row r="6927">
      <c r="A6927" s="2"/>
      <c r="B6927" s="168" t="s">
        <v>565</v>
      </c>
      <c r="C6927" s="168" t="s">
        <v>565</v>
      </c>
      <c r="D6927" s="229">
        <v>24.5</v>
      </c>
      <c r="E6927" s="229">
        <v>28.0</v>
      </c>
      <c r="F6927" s="230">
        <v>3.0</v>
      </c>
      <c r="G6927" s="232"/>
    </row>
    <row r="6928">
      <c r="A6928" s="2"/>
      <c r="B6928" s="168" t="s">
        <v>275</v>
      </c>
      <c r="C6928" s="168" t="s">
        <v>7139</v>
      </c>
      <c r="D6928" s="229">
        <v>21.5</v>
      </c>
      <c r="E6928" s="229">
        <v>25.0</v>
      </c>
      <c r="F6928" s="230">
        <v>3.0</v>
      </c>
      <c r="G6928" s="232"/>
    </row>
    <row r="6929">
      <c r="A6929" s="2"/>
      <c r="B6929" s="168" t="s">
        <v>217</v>
      </c>
      <c r="C6929" s="168" t="s">
        <v>7140</v>
      </c>
      <c r="D6929" s="229">
        <v>27.5</v>
      </c>
      <c r="E6929" s="229">
        <v>31.0</v>
      </c>
      <c r="F6929" s="230">
        <v>3.0</v>
      </c>
      <c r="G6929" s="232"/>
    </row>
    <row r="6930">
      <c r="A6930" s="2"/>
      <c r="B6930" s="168" t="s">
        <v>223</v>
      </c>
      <c r="C6930" s="168" t="s">
        <v>7141</v>
      </c>
      <c r="D6930" s="229">
        <v>26.5</v>
      </c>
      <c r="E6930" s="229">
        <v>30.0</v>
      </c>
      <c r="F6930" s="230">
        <v>3.0</v>
      </c>
      <c r="G6930" s="232"/>
    </row>
    <row r="6931">
      <c r="A6931" s="2"/>
      <c r="B6931" s="168" t="s">
        <v>296</v>
      </c>
      <c r="C6931" s="168" t="s">
        <v>7142</v>
      </c>
      <c r="D6931" s="229">
        <v>26.5</v>
      </c>
      <c r="E6931" s="229">
        <v>30.0</v>
      </c>
      <c r="F6931" s="230">
        <v>3.0</v>
      </c>
      <c r="G6931" s="232"/>
    </row>
    <row r="6932">
      <c r="A6932" s="2"/>
      <c r="B6932" s="168" t="s">
        <v>241</v>
      </c>
      <c r="C6932" s="168" t="s">
        <v>7143</v>
      </c>
      <c r="D6932" s="229">
        <v>32.5</v>
      </c>
      <c r="E6932" s="229">
        <v>36.0</v>
      </c>
      <c r="F6932" s="230">
        <v>3.0</v>
      </c>
      <c r="G6932" s="232"/>
    </row>
    <row r="6933">
      <c r="A6933" s="2"/>
      <c r="B6933" s="168" t="s">
        <v>275</v>
      </c>
      <c r="C6933" s="168" t="s">
        <v>7144</v>
      </c>
      <c r="D6933" s="229">
        <v>26.5</v>
      </c>
      <c r="E6933" s="229">
        <v>30.0</v>
      </c>
      <c r="F6933" s="230">
        <v>3.0</v>
      </c>
      <c r="G6933" s="232"/>
    </row>
    <row r="6934">
      <c r="A6934" s="2"/>
      <c r="B6934" s="168" t="s">
        <v>615</v>
      </c>
      <c r="C6934" s="168" t="s">
        <v>7145</v>
      </c>
      <c r="D6934" s="229">
        <v>24.5</v>
      </c>
      <c r="E6934" s="229">
        <v>28.0</v>
      </c>
      <c r="F6934" s="230">
        <v>3.0</v>
      </c>
      <c r="G6934" s="232"/>
    </row>
    <row r="6935">
      <c r="A6935" s="2"/>
      <c r="B6935" s="168" t="s">
        <v>232</v>
      </c>
      <c r="C6935" s="168" t="s">
        <v>7146</v>
      </c>
      <c r="D6935" s="229">
        <v>25.0</v>
      </c>
      <c r="E6935" s="229">
        <v>28.5</v>
      </c>
      <c r="F6935" s="230">
        <v>3.0</v>
      </c>
      <c r="G6935" s="232"/>
    </row>
    <row r="6936">
      <c r="A6936" s="2"/>
      <c r="B6936" s="168" t="s">
        <v>215</v>
      </c>
      <c r="C6936" s="168" t="s">
        <v>7147</v>
      </c>
      <c r="D6936" s="229">
        <v>25.5</v>
      </c>
      <c r="E6936" s="229">
        <v>29.0</v>
      </c>
      <c r="F6936" s="230">
        <v>3.0</v>
      </c>
      <c r="G6936" s="232"/>
    </row>
    <row r="6937">
      <c r="A6937" s="2"/>
      <c r="B6937" s="168" t="s">
        <v>406</v>
      </c>
      <c r="C6937" s="168" t="s">
        <v>7148</v>
      </c>
      <c r="D6937" s="229">
        <v>27.5</v>
      </c>
      <c r="E6937" s="229">
        <v>31.0</v>
      </c>
      <c r="F6937" s="230">
        <v>3.0</v>
      </c>
      <c r="G6937" s="232"/>
    </row>
    <row r="6938">
      <c r="A6938" s="2"/>
      <c r="B6938" s="168" t="s">
        <v>221</v>
      </c>
      <c r="C6938" s="168" t="s">
        <v>7149</v>
      </c>
      <c r="D6938" s="229">
        <v>27.5</v>
      </c>
      <c r="E6938" s="229">
        <v>31.0</v>
      </c>
      <c r="F6938" s="230">
        <v>3.0</v>
      </c>
      <c r="G6938" s="232"/>
    </row>
    <row r="6939">
      <c r="A6939" s="2"/>
      <c r="B6939" s="168" t="s">
        <v>230</v>
      </c>
      <c r="C6939" s="168" t="s">
        <v>7150</v>
      </c>
      <c r="D6939" s="229">
        <v>21.5</v>
      </c>
      <c r="E6939" s="229">
        <v>25.0</v>
      </c>
      <c r="F6939" s="230">
        <v>3.0</v>
      </c>
      <c r="G6939" s="232"/>
    </row>
    <row r="6940">
      <c r="A6940" s="2"/>
      <c r="B6940" s="168" t="s">
        <v>381</v>
      </c>
      <c r="C6940" s="168" t="s">
        <v>7151</v>
      </c>
      <c r="D6940" s="229">
        <v>28.5</v>
      </c>
      <c r="E6940" s="229">
        <v>32.0</v>
      </c>
      <c r="F6940" s="230">
        <v>3.0</v>
      </c>
      <c r="G6940" s="232"/>
    </row>
    <row r="6941">
      <c r="A6941" s="2"/>
      <c r="B6941" s="168" t="s">
        <v>255</v>
      </c>
      <c r="C6941" s="168" t="s">
        <v>7152</v>
      </c>
      <c r="D6941" s="229">
        <v>31.5</v>
      </c>
      <c r="E6941" s="229">
        <v>35.0</v>
      </c>
      <c r="F6941" s="230">
        <v>3.0</v>
      </c>
      <c r="G6941" s="232"/>
    </row>
    <row r="6942">
      <c r="A6942" s="2"/>
      <c r="B6942" s="168" t="s">
        <v>230</v>
      </c>
      <c r="C6942" s="168" t="s">
        <v>230</v>
      </c>
      <c r="D6942" s="229">
        <v>21.5</v>
      </c>
      <c r="E6942" s="229">
        <v>25.0</v>
      </c>
      <c r="F6942" s="230">
        <v>3.0</v>
      </c>
      <c r="G6942" s="232"/>
    </row>
    <row r="6943">
      <c r="A6943" s="2"/>
      <c r="B6943" s="168" t="s">
        <v>288</v>
      </c>
      <c r="C6943" s="168" t="s">
        <v>7153</v>
      </c>
      <c r="D6943" s="229">
        <v>16.5</v>
      </c>
      <c r="E6943" s="229">
        <v>20.0</v>
      </c>
      <c r="F6943" s="230">
        <v>3.0</v>
      </c>
      <c r="G6943" s="232"/>
    </row>
    <row r="6944">
      <c r="A6944" s="2"/>
      <c r="B6944" s="168" t="s">
        <v>2259</v>
      </c>
      <c r="C6944" s="168" t="s">
        <v>2259</v>
      </c>
      <c r="D6944" s="229">
        <v>29.5</v>
      </c>
      <c r="E6944" s="229">
        <v>33.0</v>
      </c>
      <c r="F6944" s="230">
        <v>3.0</v>
      </c>
      <c r="G6944" s="232"/>
    </row>
    <row r="6945">
      <c r="A6945" s="2"/>
      <c r="B6945" s="168" t="s">
        <v>830</v>
      </c>
      <c r="C6945" s="168" t="s">
        <v>830</v>
      </c>
      <c r="D6945" s="229">
        <v>24.5</v>
      </c>
      <c r="E6945" s="229">
        <v>28.0</v>
      </c>
      <c r="F6945" s="230">
        <v>3.0</v>
      </c>
      <c r="G6945" s="232"/>
    </row>
    <row r="6946">
      <c r="A6946" s="2"/>
      <c r="B6946" s="168" t="s">
        <v>296</v>
      </c>
      <c r="C6946" s="168" t="s">
        <v>7154</v>
      </c>
      <c r="D6946" s="229">
        <v>26.5</v>
      </c>
      <c r="E6946" s="229">
        <v>30.0</v>
      </c>
      <c r="F6946" s="230">
        <v>3.0</v>
      </c>
      <c r="G6946" s="232"/>
    </row>
    <row r="6947">
      <c r="A6947" s="2"/>
      <c r="B6947" s="168" t="s">
        <v>288</v>
      </c>
      <c r="C6947" s="168" t="s">
        <v>7155</v>
      </c>
      <c r="D6947" s="229">
        <v>21.5</v>
      </c>
      <c r="E6947" s="229">
        <v>25.0</v>
      </c>
      <c r="F6947" s="230">
        <v>3.0</v>
      </c>
      <c r="G6947" s="232"/>
    </row>
    <row r="6948">
      <c r="A6948" s="2"/>
      <c r="B6948" s="168" t="s">
        <v>257</v>
      </c>
      <c r="C6948" s="168" t="s">
        <v>7156</v>
      </c>
      <c r="D6948" s="229">
        <v>23.5</v>
      </c>
      <c r="E6948" s="229">
        <v>27.0</v>
      </c>
      <c r="F6948" s="230">
        <v>3.0</v>
      </c>
      <c r="G6948" s="232"/>
    </row>
    <row r="6949">
      <c r="A6949" s="2"/>
      <c r="B6949" s="168" t="s">
        <v>449</v>
      </c>
      <c r="C6949" s="168" t="s">
        <v>7157</v>
      </c>
      <c r="D6949" s="229">
        <v>28.5</v>
      </c>
      <c r="E6949" s="229">
        <v>32.0</v>
      </c>
      <c r="F6949" s="230">
        <v>3.0</v>
      </c>
      <c r="G6949" s="232"/>
    </row>
    <row r="6950">
      <c r="A6950" s="2"/>
      <c r="B6950" s="168" t="s">
        <v>232</v>
      </c>
      <c r="C6950" s="168" t="s">
        <v>7158</v>
      </c>
      <c r="D6950" s="229">
        <v>27.5</v>
      </c>
      <c r="E6950" s="229">
        <v>31.0</v>
      </c>
      <c r="F6950" s="230">
        <v>3.0</v>
      </c>
      <c r="G6950" s="232"/>
    </row>
    <row r="6951">
      <c r="A6951" s="2"/>
      <c r="B6951" s="168" t="s">
        <v>239</v>
      </c>
      <c r="C6951" s="168" t="s">
        <v>7159</v>
      </c>
      <c r="D6951" s="229">
        <v>29.5</v>
      </c>
      <c r="E6951" s="229">
        <v>33.0</v>
      </c>
      <c r="F6951" s="230">
        <v>3.0</v>
      </c>
      <c r="G6951" s="232"/>
    </row>
    <row r="6952">
      <c r="A6952" s="2"/>
      <c r="B6952" s="168" t="s">
        <v>230</v>
      </c>
      <c r="C6952" s="168" t="s">
        <v>7160</v>
      </c>
      <c r="D6952" s="229">
        <v>21.5</v>
      </c>
      <c r="E6952" s="229">
        <v>25.0</v>
      </c>
      <c r="F6952" s="230">
        <v>3.0</v>
      </c>
      <c r="G6952" s="232"/>
    </row>
    <row r="6953">
      <c r="A6953" s="2"/>
      <c r="B6953" s="168" t="s">
        <v>260</v>
      </c>
      <c r="C6953" s="168" t="s">
        <v>7161</v>
      </c>
      <c r="D6953" s="229">
        <v>28.5</v>
      </c>
      <c r="E6953" s="229">
        <v>32.0</v>
      </c>
      <c r="F6953" s="230">
        <v>3.0</v>
      </c>
      <c r="G6953" s="232"/>
    </row>
    <row r="6954">
      <c r="A6954" s="2"/>
      <c r="B6954" s="168" t="s">
        <v>337</v>
      </c>
      <c r="C6954" s="168" t="s">
        <v>7162</v>
      </c>
      <c r="D6954" s="229">
        <v>25.0</v>
      </c>
      <c r="E6954" s="229">
        <v>28.5</v>
      </c>
      <c r="F6954" s="230">
        <v>3.0</v>
      </c>
      <c r="G6954" s="232"/>
    </row>
    <row r="6955">
      <c r="A6955" s="2"/>
      <c r="B6955" s="168" t="s">
        <v>290</v>
      </c>
      <c r="C6955" s="168" t="s">
        <v>7163</v>
      </c>
      <c r="D6955" s="229">
        <v>29.5</v>
      </c>
      <c r="E6955" s="229">
        <v>33.0</v>
      </c>
      <c r="F6955" s="230">
        <v>3.0</v>
      </c>
      <c r="G6955" s="232"/>
    </row>
    <row r="6956">
      <c r="A6956" s="2"/>
      <c r="B6956" s="168" t="s">
        <v>288</v>
      </c>
      <c r="C6956" s="168" t="s">
        <v>7164</v>
      </c>
      <c r="D6956" s="229">
        <v>21.5</v>
      </c>
      <c r="E6956" s="229">
        <v>25.0</v>
      </c>
      <c r="F6956" s="230">
        <v>3.0</v>
      </c>
      <c r="G6956" s="232"/>
    </row>
    <row r="6957">
      <c r="A6957" s="2"/>
      <c r="B6957" s="168" t="s">
        <v>318</v>
      </c>
      <c r="C6957" s="168" t="s">
        <v>7165</v>
      </c>
      <c r="D6957" s="229">
        <v>25.5</v>
      </c>
      <c r="E6957" s="229">
        <v>29.0</v>
      </c>
      <c r="F6957" s="230">
        <v>3.0</v>
      </c>
      <c r="G6957" s="232"/>
    </row>
    <row r="6958">
      <c r="A6958" s="2"/>
      <c r="B6958" s="168" t="s">
        <v>830</v>
      </c>
      <c r="C6958" s="168" t="s">
        <v>7166</v>
      </c>
      <c r="D6958" s="229">
        <v>24.5</v>
      </c>
      <c r="E6958" s="229">
        <v>28.0</v>
      </c>
      <c r="F6958" s="230">
        <v>3.0</v>
      </c>
      <c r="G6958" s="232"/>
    </row>
    <row r="6959">
      <c r="A6959" s="2"/>
      <c r="B6959" s="168" t="s">
        <v>260</v>
      </c>
      <c r="C6959" s="168" t="s">
        <v>7167</v>
      </c>
      <c r="D6959" s="229">
        <v>28.5</v>
      </c>
      <c r="E6959" s="229">
        <v>32.0</v>
      </c>
      <c r="F6959" s="230">
        <v>3.0</v>
      </c>
      <c r="G6959" s="232"/>
    </row>
    <row r="6960">
      <c r="A6960" s="2"/>
      <c r="B6960" s="168" t="s">
        <v>300</v>
      </c>
      <c r="C6960" s="168" t="s">
        <v>7168</v>
      </c>
      <c r="D6960" s="229">
        <v>27.5</v>
      </c>
      <c r="E6960" s="229">
        <v>31.0</v>
      </c>
      <c r="F6960" s="230">
        <v>3.0</v>
      </c>
      <c r="G6960" s="232"/>
    </row>
    <row r="6961">
      <c r="A6961" s="2"/>
      <c r="B6961" s="168" t="s">
        <v>260</v>
      </c>
      <c r="C6961" s="168" t="s">
        <v>7169</v>
      </c>
      <c r="D6961" s="229">
        <v>28.5</v>
      </c>
      <c r="E6961" s="229">
        <v>32.0</v>
      </c>
      <c r="F6961" s="230">
        <v>3.0</v>
      </c>
      <c r="G6961" s="232"/>
    </row>
    <row r="6962">
      <c r="A6962" s="2"/>
      <c r="B6962" s="168" t="s">
        <v>245</v>
      </c>
      <c r="C6962" s="168" t="s">
        <v>7170</v>
      </c>
      <c r="D6962" s="229">
        <v>29.5</v>
      </c>
      <c r="E6962" s="229">
        <v>33.0</v>
      </c>
      <c r="F6962" s="230">
        <v>3.0</v>
      </c>
      <c r="G6962" s="232"/>
    </row>
    <row r="6963">
      <c r="A6963" s="2"/>
      <c r="B6963" s="168" t="s">
        <v>615</v>
      </c>
      <c r="C6963" s="168" t="s">
        <v>7171</v>
      </c>
      <c r="D6963" s="229">
        <v>24.5</v>
      </c>
      <c r="E6963" s="229">
        <v>28.0</v>
      </c>
      <c r="F6963" s="230">
        <v>3.0</v>
      </c>
      <c r="G6963" s="232"/>
    </row>
    <row r="6964">
      <c r="A6964" s="2"/>
      <c r="B6964" s="168" t="s">
        <v>269</v>
      </c>
      <c r="C6964" s="168" t="s">
        <v>7172</v>
      </c>
      <c r="D6964" s="229">
        <v>26.5</v>
      </c>
      <c r="E6964" s="229">
        <v>30.0</v>
      </c>
      <c r="F6964" s="230">
        <v>3.0</v>
      </c>
      <c r="G6964" s="232"/>
    </row>
    <row r="6965">
      <c r="A6965" s="2"/>
      <c r="B6965" s="168" t="s">
        <v>341</v>
      </c>
      <c r="C6965" s="168" t="s">
        <v>7173</v>
      </c>
      <c r="D6965" s="229">
        <v>29.5</v>
      </c>
      <c r="E6965" s="229">
        <v>29.5</v>
      </c>
      <c r="F6965" s="230">
        <v>3.0</v>
      </c>
      <c r="G6965" s="232"/>
    </row>
    <row r="6966">
      <c r="A6966" s="2"/>
      <c r="B6966" s="168" t="s">
        <v>255</v>
      </c>
      <c r="C6966" s="168" t="s">
        <v>7174</v>
      </c>
      <c r="D6966" s="229">
        <v>28.5</v>
      </c>
      <c r="E6966" s="229">
        <v>32.0</v>
      </c>
      <c r="F6966" s="230">
        <v>3.0</v>
      </c>
      <c r="G6966" s="232"/>
    </row>
    <row r="6967">
      <c r="A6967" s="2"/>
      <c r="B6967" s="168" t="s">
        <v>241</v>
      </c>
      <c r="C6967" s="168" t="s">
        <v>7175</v>
      </c>
      <c r="D6967" s="229">
        <v>32.5</v>
      </c>
      <c r="E6967" s="229">
        <v>36.0</v>
      </c>
      <c r="F6967" s="230">
        <v>3.0</v>
      </c>
      <c r="G6967" s="232"/>
    </row>
    <row r="6968">
      <c r="A6968" s="2"/>
      <c r="B6968" s="168" t="s">
        <v>241</v>
      </c>
      <c r="C6968" s="168" t="s">
        <v>7176</v>
      </c>
      <c r="D6968" s="229">
        <v>32.5</v>
      </c>
      <c r="E6968" s="229">
        <v>36.0</v>
      </c>
      <c r="F6968" s="230">
        <v>3.0</v>
      </c>
      <c r="G6968" s="232"/>
    </row>
    <row r="6969">
      <c r="A6969" s="2"/>
      <c r="B6969" s="168" t="s">
        <v>296</v>
      </c>
      <c r="C6969" s="168" t="s">
        <v>7177</v>
      </c>
      <c r="D6969" s="229">
        <v>26.5</v>
      </c>
      <c r="E6969" s="229">
        <v>30.0</v>
      </c>
      <c r="F6969" s="230">
        <v>3.0</v>
      </c>
      <c r="G6969" s="232"/>
    </row>
    <row r="6970">
      <c r="A6970" s="2"/>
      <c r="B6970" s="168" t="s">
        <v>215</v>
      </c>
      <c r="C6970" s="168" t="s">
        <v>7178</v>
      </c>
      <c r="D6970" s="229">
        <v>27.5</v>
      </c>
      <c r="E6970" s="229">
        <v>31.0</v>
      </c>
      <c r="F6970" s="230">
        <v>3.0</v>
      </c>
      <c r="G6970" s="232"/>
    </row>
    <row r="6971">
      <c r="A6971" s="2"/>
      <c r="B6971" s="168" t="s">
        <v>368</v>
      </c>
      <c r="C6971" s="168" t="s">
        <v>7179</v>
      </c>
      <c r="D6971" s="229">
        <v>32.5</v>
      </c>
      <c r="E6971" s="229">
        <v>36.0</v>
      </c>
      <c r="F6971" s="230">
        <v>3.0</v>
      </c>
      <c r="G6971" s="232"/>
    </row>
    <row r="6972">
      <c r="A6972" s="2"/>
      <c r="B6972" s="168" t="s">
        <v>215</v>
      </c>
      <c r="C6972" s="168" t="s">
        <v>7180</v>
      </c>
      <c r="D6972" s="229">
        <v>25.5</v>
      </c>
      <c r="E6972" s="229">
        <v>29.0</v>
      </c>
      <c r="F6972" s="230">
        <v>3.0</v>
      </c>
      <c r="G6972" s="232"/>
    </row>
    <row r="6973">
      <c r="A6973" s="2"/>
      <c r="B6973" s="168" t="s">
        <v>260</v>
      </c>
      <c r="C6973" s="168" t="s">
        <v>7181</v>
      </c>
      <c r="D6973" s="229">
        <v>28.5</v>
      </c>
      <c r="E6973" s="229">
        <v>32.0</v>
      </c>
      <c r="F6973" s="230">
        <v>3.0</v>
      </c>
      <c r="G6973" s="232"/>
    </row>
    <row r="6974">
      <c r="A6974" s="2"/>
      <c r="B6974" s="168" t="s">
        <v>565</v>
      </c>
      <c r="C6974" s="168" t="s">
        <v>7182</v>
      </c>
      <c r="D6974" s="229">
        <v>24.5</v>
      </c>
      <c r="E6974" s="229">
        <v>28.0</v>
      </c>
      <c r="F6974" s="230">
        <v>3.0</v>
      </c>
      <c r="G6974" s="232"/>
    </row>
    <row r="6975">
      <c r="A6975" s="2"/>
      <c r="B6975" s="168" t="s">
        <v>368</v>
      </c>
      <c r="C6975" s="168" t="s">
        <v>7183</v>
      </c>
      <c r="D6975" s="229">
        <v>32.5</v>
      </c>
      <c r="E6975" s="229">
        <v>36.0</v>
      </c>
      <c r="F6975" s="230">
        <v>3.0</v>
      </c>
      <c r="G6975" s="232"/>
    </row>
    <row r="6976">
      <c r="A6976" s="2"/>
      <c r="B6976" s="168" t="s">
        <v>232</v>
      </c>
      <c r="C6976" s="168" t="s">
        <v>7184</v>
      </c>
      <c r="D6976" s="229">
        <v>32.5</v>
      </c>
      <c r="E6976" s="229">
        <v>36.0</v>
      </c>
      <c r="F6976" s="230">
        <v>3.0</v>
      </c>
      <c r="G6976" s="232"/>
    </row>
    <row r="6977">
      <c r="A6977" s="2"/>
      <c r="B6977" s="168" t="s">
        <v>1621</v>
      </c>
      <c r="C6977" s="168" t="s">
        <v>7185</v>
      </c>
      <c r="D6977" s="229">
        <v>23.5</v>
      </c>
      <c r="E6977" s="229">
        <v>23.5</v>
      </c>
      <c r="F6977" s="230">
        <v>3.0</v>
      </c>
      <c r="G6977" s="232"/>
    </row>
    <row r="6978">
      <c r="A6978" s="2"/>
      <c r="B6978" s="168" t="s">
        <v>260</v>
      </c>
      <c r="C6978" s="168" t="s">
        <v>7186</v>
      </c>
      <c r="D6978" s="229">
        <v>28.5</v>
      </c>
      <c r="E6978" s="229">
        <v>32.0</v>
      </c>
      <c r="F6978" s="230">
        <v>3.0</v>
      </c>
      <c r="G6978" s="232"/>
    </row>
    <row r="6979">
      <c r="A6979" s="2"/>
      <c r="B6979" s="168" t="s">
        <v>615</v>
      </c>
      <c r="C6979" s="168" t="s">
        <v>7187</v>
      </c>
      <c r="D6979" s="229">
        <v>24.5</v>
      </c>
      <c r="E6979" s="229">
        <v>28.0</v>
      </c>
      <c r="F6979" s="230">
        <v>3.0</v>
      </c>
      <c r="G6979" s="232"/>
    </row>
    <row r="6980">
      <c r="A6980" s="2"/>
      <c r="B6980" s="168" t="s">
        <v>232</v>
      </c>
      <c r="C6980" s="168" t="s">
        <v>7188</v>
      </c>
      <c r="D6980" s="229">
        <v>31.5</v>
      </c>
      <c r="E6980" s="229">
        <v>35.0</v>
      </c>
      <c r="F6980" s="230">
        <v>3.0</v>
      </c>
      <c r="G6980" s="232"/>
    </row>
    <row r="6981">
      <c r="A6981" s="2"/>
      <c r="B6981" s="168" t="s">
        <v>345</v>
      </c>
      <c r="C6981" s="168" t="s">
        <v>7189</v>
      </c>
      <c r="D6981" s="229">
        <v>26.5</v>
      </c>
      <c r="E6981" s="229">
        <v>30.0</v>
      </c>
      <c r="F6981" s="230">
        <v>3.0</v>
      </c>
      <c r="G6981" s="232"/>
    </row>
    <row r="6982">
      <c r="A6982" s="2"/>
      <c r="B6982" s="168" t="s">
        <v>260</v>
      </c>
      <c r="C6982" s="168" t="s">
        <v>7190</v>
      </c>
      <c r="D6982" s="229">
        <v>28.5</v>
      </c>
      <c r="E6982" s="229">
        <v>32.0</v>
      </c>
      <c r="F6982" s="230">
        <v>3.0</v>
      </c>
      <c r="G6982" s="232"/>
    </row>
    <row r="6983">
      <c r="A6983" s="2"/>
      <c r="B6983" s="168" t="s">
        <v>381</v>
      </c>
      <c r="C6983" s="168" t="s">
        <v>7191</v>
      </c>
      <c r="D6983" s="229">
        <v>28.5</v>
      </c>
      <c r="E6983" s="229">
        <v>32.0</v>
      </c>
      <c r="F6983" s="230">
        <v>3.0</v>
      </c>
      <c r="G6983" s="232"/>
    </row>
    <row r="6984">
      <c r="A6984" s="2"/>
      <c r="B6984" s="168" t="s">
        <v>1621</v>
      </c>
      <c r="C6984" s="168" t="s">
        <v>7192</v>
      </c>
      <c r="D6984" s="229">
        <v>23.5</v>
      </c>
      <c r="E6984" s="229">
        <v>23.5</v>
      </c>
      <c r="F6984" s="230">
        <v>3.0</v>
      </c>
      <c r="G6984" s="232"/>
    </row>
    <row r="6985">
      <c r="A6985" s="2"/>
      <c r="B6985" s="168" t="s">
        <v>245</v>
      </c>
      <c r="C6985" s="168" t="s">
        <v>7193</v>
      </c>
      <c r="D6985" s="229">
        <v>29.5</v>
      </c>
      <c r="E6985" s="229">
        <v>33.0</v>
      </c>
      <c r="F6985" s="230">
        <v>3.0</v>
      </c>
      <c r="G6985" s="232"/>
    </row>
    <row r="6986">
      <c r="A6986" s="2"/>
      <c r="B6986" s="168" t="s">
        <v>381</v>
      </c>
      <c r="C6986" s="168" t="s">
        <v>7194</v>
      </c>
      <c r="D6986" s="229">
        <v>28.5</v>
      </c>
      <c r="E6986" s="229">
        <v>32.0</v>
      </c>
      <c r="F6986" s="230">
        <v>3.0</v>
      </c>
      <c r="G6986" s="232"/>
    </row>
    <row r="6987">
      <c r="A6987" s="2"/>
      <c r="B6987" s="168" t="s">
        <v>217</v>
      </c>
      <c r="C6987" s="168" t="s">
        <v>7195</v>
      </c>
      <c r="D6987" s="229">
        <v>27.5</v>
      </c>
      <c r="E6987" s="229">
        <v>31.0</v>
      </c>
      <c r="F6987" s="230">
        <v>3.0</v>
      </c>
      <c r="G6987" s="232"/>
    </row>
    <row r="6988">
      <c r="A6988" s="2"/>
      <c r="B6988" s="168" t="s">
        <v>217</v>
      </c>
      <c r="C6988" s="168" t="s">
        <v>7196</v>
      </c>
      <c r="D6988" s="229">
        <v>27.5</v>
      </c>
      <c r="E6988" s="229">
        <v>31.0</v>
      </c>
      <c r="F6988" s="230">
        <v>3.0</v>
      </c>
      <c r="G6988" s="232"/>
    </row>
    <row r="6989">
      <c r="A6989" s="2"/>
      <c r="B6989" s="168" t="s">
        <v>260</v>
      </c>
      <c r="C6989" s="168" t="s">
        <v>7197</v>
      </c>
      <c r="D6989" s="229">
        <v>28.5</v>
      </c>
      <c r="E6989" s="229">
        <v>32.0</v>
      </c>
      <c r="F6989" s="230">
        <v>3.0</v>
      </c>
      <c r="G6989" s="232"/>
    </row>
    <row r="6990">
      <c r="A6990" s="2"/>
      <c r="B6990" s="168" t="s">
        <v>290</v>
      </c>
      <c r="C6990" s="168" t="s">
        <v>7198</v>
      </c>
      <c r="D6990" s="229">
        <v>29.5</v>
      </c>
      <c r="E6990" s="229">
        <v>33.0</v>
      </c>
      <c r="F6990" s="230">
        <v>3.0</v>
      </c>
      <c r="G6990" s="232"/>
    </row>
    <row r="6991">
      <c r="A6991" s="2"/>
      <c r="B6991" s="168" t="s">
        <v>217</v>
      </c>
      <c r="C6991" s="168" t="s">
        <v>7199</v>
      </c>
      <c r="D6991" s="229">
        <v>27.5</v>
      </c>
      <c r="E6991" s="229">
        <v>31.0</v>
      </c>
      <c r="F6991" s="230">
        <v>3.0</v>
      </c>
      <c r="G6991" s="232"/>
    </row>
    <row r="6992">
      <c r="A6992" s="2"/>
      <c r="B6992" s="168" t="s">
        <v>290</v>
      </c>
      <c r="C6992" s="168" t="s">
        <v>7200</v>
      </c>
      <c r="D6992" s="229">
        <v>29.5</v>
      </c>
      <c r="E6992" s="229">
        <v>33.0</v>
      </c>
      <c r="F6992" s="230">
        <v>3.0</v>
      </c>
      <c r="G6992" s="232"/>
    </row>
    <row r="6993">
      <c r="A6993" s="2"/>
      <c r="B6993" s="168" t="s">
        <v>275</v>
      </c>
      <c r="C6993" s="168" t="s">
        <v>7201</v>
      </c>
      <c r="D6993" s="229">
        <v>26.0</v>
      </c>
      <c r="E6993" s="229">
        <v>29.5</v>
      </c>
      <c r="F6993" s="230">
        <v>3.0</v>
      </c>
      <c r="G6993" s="232"/>
    </row>
    <row r="6994">
      <c r="A6994" s="2"/>
      <c r="B6994" s="168" t="s">
        <v>328</v>
      </c>
      <c r="C6994" s="168" t="s">
        <v>7202</v>
      </c>
      <c r="D6994" s="229">
        <v>34.5</v>
      </c>
      <c r="E6994" s="229">
        <v>38.0</v>
      </c>
      <c r="F6994" s="230">
        <v>3.0</v>
      </c>
      <c r="G6994" s="232"/>
    </row>
    <row r="6995">
      <c r="A6995" s="2"/>
      <c r="B6995" s="168" t="s">
        <v>438</v>
      </c>
      <c r="C6995" s="168" t="s">
        <v>7203</v>
      </c>
      <c r="D6995" s="229">
        <v>29.5</v>
      </c>
      <c r="E6995" s="229">
        <v>33.0</v>
      </c>
      <c r="F6995" s="230">
        <v>3.0</v>
      </c>
      <c r="G6995" s="232"/>
    </row>
    <row r="6996">
      <c r="A6996" s="2"/>
      <c r="B6996" s="168" t="s">
        <v>377</v>
      </c>
      <c r="C6996" s="168" t="s">
        <v>7204</v>
      </c>
      <c r="D6996" s="229">
        <v>29.5</v>
      </c>
      <c r="E6996" s="229">
        <v>33.0</v>
      </c>
      <c r="F6996" s="230">
        <v>3.0</v>
      </c>
      <c r="G6996" s="232"/>
    </row>
    <row r="6997">
      <c r="A6997" s="2"/>
      <c r="B6997" s="168" t="s">
        <v>217</v>
      </c>
      <c r="C6997" s="168" t="s">
        <v>7205</v>
      </c>
      <c r="D6997" s="229">
        <v>27.5</v>
      </c>
      <c r="E6997" s="229">
        <v>31.0</v>
      </c>
      <c r="F6997" s="230">
        <v>3.0</v>
      </c>
      <c r="G6997" s="232"/>
    </row>
    <row r="6998">
      <c r="A6998" s="2"/>
      <c r="B6998" s="168" t="s">
        <v>249</v>
      </c>
      <c r="C6998" s="168" t="s">
        <v>7206</v>
      </c>
      <c r="D6998" s="229">
        <v>3.0</v>
      </c>
      <c r="E6998" s="229">
        <v>3.0</v>
      </c>
      <c r="F6998" s="230">
        <v>3.0</v>
      </c>
      <c r="G6998" s="232"/>
    </row>
    <row r="6999">
      <c r="A6999" s="2"/>
      <c r="B6999" s="168" t="s">
        <v>490</v>
      </c>
      <c r="C6999" s="168" t="s">
        <v>7207</v>
      </c>
      <c r="D6999" s="229">
        <v>34.5</v>
      </c>
      <c r="E6999" s="229">
        <v>38.0</v>
      </c>
      <c r="F6999" s="230">
        <v>3.0</v>
      </c>
      <c r="G6999" s="232"/>
    </row>
    <row r="7000">
      <c r="A7000" s="2"/>
      <c r="B7000" s="168" t="s">
        <v>275</v>
      </c>
      <c r="C7000" s="168" t="s">
        <v>7208</v>
      </c>
      <c r="D7000" s="229">
        <v>21.5</v>
      </c>
      <c r="E7000" s="229">
        <v>25.0</v>
      </c>
      <c r="F7000" s="230">
        <v>3.0</v>
      </c>
      <c r="G7000" s="232"/>
    </row>
    <row r="7001">
      <c r="A7001" s="2"/>
      <c r="B7001" s="168" t="s">
        <v>288</v>
      </c>
      <c r="C7001" s="168" t="s">
        <v>7209</v>
      </c>
      <c r="D7001" s="229">
        <v>16.5</v>
      </c>
      <c r="E7001" s="229">
        <v>20.0</v>
      </c>
      <c r="F7001" s="230">
        <v>3.0</v>
      </c>
      <c r="G7001" s="232"/>
    </row>
    <row r="7002">
      <c r="A7002" s="2"/>
      <c r="B7002" s="168" t="s">
        <v>255</v>
      </c>
      <c r="C7002" s="168" t="s">
        <v>7210</v>
      </c>
      <c r="D7002" s="229">
        <v>31.5</v>
      </c>
      <c r="E7002" s="229">
        <v>35.0</v>
      </c>
      <c r="F7002" s="230">
        <v>3.0</v>
      </c>
      <c r="G7002" s="232"/>
    </row>
    <row r="7003">
      <c r="A7003" s="2"/>
      <c r="B7003" s="168" t="s">
        <v>232</v>
      </c>
      <c r="C7003" s="168" t="s">
        <v>7211</v>
      </c>
      <c r="D7003" s="229">
        <v>31.5</v>
      </c>
      <c r="E7003" s="229">
        <v>35.0</v>
      </c>
      <c r="F7003" s="230">
        <v>3.0</v>
      </c>
      <c r="G7003" s="232"/>
    </row>
    <row r="7004">
      <c r="A7004" s="2"/>
      <c r="B7004" s="168" t="s">
        <v>232</v>
      </c>
      <c r="C7004" s="168" t="s">
        <v>7212</v>
      </c>
      <c r="D7004" s="229">
        <v>32.5</v>
      </c>
      <c r="E7004" s="229">
        <v>36.0</v>
      </c>
      <c r="F7004" s="230">
        <v>3.0</v>
      </c>
      <c r="G7004" s="232"/>
    </row>
    <row r="7005">
      <c r="A7005" s="2"/>
      <c r="B7005" s="168" t="s">
        <v>232</v>
      </c>
      <c r="C7005" s="168" t="s">
        <v>7213</v>
      </c>
      <c r="D7005" s="229">
        <v>25.5</v>
      </c>
      <c r="E7005" s="229">
        <v>29.0</v>
      </c>
      <c r="F7005" s="230">
        <v>3.0</v>
      </c>
      <c r="G7005" s="232"/>
    </row>
    <row r="7006">
      <c r="A7006" s="2"/>
      <c r="B7006" s="168" t="s">
        <v>215</v>
      </c>
      <c r="C7006" s="168" t="s">
        <v>7214</v>
      </c>
      <c r="D7006" s="229">
        <v>29.5</v>
      </c>
      <c r="E7006" s="229">
        <v>33.0</v>
      </c>
      <c r="F7006" s="230">
        <v>3.0</v>
      </c>
      <c r="G7006" s="232"/>
    </row>
    <row r="7007">
      <c r="A7007" s="2"/>
      <c r="B7007" s="168" t="s">
        <v>302</v>
      </c>
      <c r="C7007" s="168" t="s">
        <v>7215</v>
      </c>
      <c r="D7007" s="229">
        <v>34.5</v>
      </c>
      <c r="E7007" s="229">
        <v>38.0</v>
      </c>
      <c r="F7007" s="230">
        <v>3.0</v>
      </c>
      <c r="G7007" s="232"/>
    </row>
    <row r="7008">
      <c r="A7008" s="2"/>
      <c r="B7008" s="168" t="s">
        <v>223</v>
      </c>
      <c r="C7008" s="168" t="s">
        <v>7216</v>
      </c>
      <c r="D7008" s="229">
        <v>26.5</v>
      </c>
      <c r="E7008" s="229">
        <v>30.0</v>
      </c>
      <c r="F7008" s="230">
        <v>3.0</v>
      </c>
      <c r="G7008" s="232"/>
    </row>
    <row r="7009">
      <c r="A7009" s="2"/>
      <c r="B7009" s="168" t="s">
        <v>230</v>
      </c>
      <c r="C7009" s="168" t="s">
        <v>7217</v>
      </c>
      <c r="D7009" s="229">
        <v>16.5</v>
      </c>
      <c r="E7009" s="229">
        <v>20.0</v>
      </c>
      <c r="F7009" s="230">
        <v>3.0</v>
      </c>
      <c r="G7009" s="232"/>
    </row>
    <row r="7010">
      <c r="A7010" s="2"/>
      <c r="B7010" s="168" t="s">
        <v>230</v>
      </c>
      <c r="C7010" s="168" t="s">
        <v>7218</v>
      </c>
      <c r="D7010" s="229">
        <v>16.5</v>
      </c>
      <c r="E7010" s="229">
        <v>20.0</v>
      </c>
      <c r="F7010" s="230">
        <v>3.0</v>
      </c>
      <c r="G7010" s="232"/>
    </row>
    <row r="7011">
      <c r="A7011" s="2"/>
      <c r="B7011" s="168" t="s">
        <v>275</v>
      </c>
      <c r="C7011" s="168" t="s">
        <v>7219</v>
      </c>
      <c r="D7011" s="229">
        <v>26.5</v>
      </c>
      <c r="E7011" s="229">
        <v>30.0</v>
      </c>
      <c r="F7011" s="230">
        <v>3.0</v>
      </c>
      <c r="G7011" s="232"/>
    </row>
    <row r="7012">
      <c r="A7012" s="2"/>
      <c r="B7012" s="168" t="s">
        <v>296</v>
      </c>
      <c r="C7012" s="168" t="s">
        <v>7220</v>
      </c>
      <c r="D7012" s="229">
        <v>26.5</v>
      </c>
      <c r="E7012" s="229">
        <v>30.0</v>
      </c>
      <c r="F7012" s="230">
        <v>3.0</v>
      </c>
      <c r="G7012" s="232"/>
    </row>
    <row r="7013">
      <c r="A7013" s="2"/>
      <c r="B7013" s="168" t="s">
        <v>438</v>
      </c>
      <c r="C7013" s="168" t="s">
        <v>7221</v>
      </c>
      <c r="D7013" s="229">
        <v>29.5</v>
      </c>
      <c r="E7013" s="229">
        <v>33.0</v>
      </c>
      <c r="F7013" s="230">
        <v>3.0</v>
      </c>
      <c r="G7013" s="232"/>
    </row>
    <row r="7014">
      <c r="A7014" s="2"/>
      <c r="B7014" s="168" t="s">
        <v>260</v>
      </c>
      <c r="C7014" s="168" t="s">
        <v>7222</v>
      </c>
      <c r="D7014" s="229">
        <v>28.5</v>
      </c>
      <c r="E7014" s="229">
        <v>32.0</v>
      </c>
      <c r="F7014" s="230">
        <v>3.0</v>
      </c>
      <c r="G7014" s="232"/>
    </row>
    <row r="7015">
      <c r="A7015" s="2"/>
      <c r="B7015" s="168" t="s">
        <v>255</v>
      </c>
      <c r="C7015" s="168" t="s">
        <v>7223</v>
      </c>
      <c r="D7015" s="229">
        <v>31.5</v>
      </c>
      <c r="E7015" s="229">
        <v>35.0</v>
      </c>
      <c r="F7015" s="230">
        <v>3.0</v>
      </c>
      <c r="G7015" s="232"/>
    </row>
    <row r="7016">
      <c r="A7016" s="2"/>
      <c r="B7016" s="168" t="s">
        <v>223</v>
      </c>
      <c r="C7016" s="168" t="s">
        <v>7224</v>
      </c>
      <c r="D7016" s="229">
        <v>26.5</v>
      </c>
      <c r="E7016" s="229">
        <v>30.0</v>
      </c>
      <c r="F7016" s="230">
        <v>3.0</v>
      </c>
      <c r="G7016" s="232"/>
    </row>
    <row r="7017">
      <c r="A7017" s="2"/>
      <c r="B7017" s="168" t="s">
        <v>328</v>
      </c>
      <c r="C7017" s="168" t="s">
        <v>7225</v>
      </c>
      <c r="D7017" s="229">
        <v>34.5</v>
      </c>
      <c r="E7017" s="229">
        <v>38.0</v>
      </c>
      <c r="F7017" s="230">
        <v>3.0</v>
      </c>
      <c r="G7017" s="232"/>
    </row>
    <row r="7018">
      <c r="A7018" s="2"/>
      <c r="B7018" s="168" t="s">
        <v>285</v>
      </c>
      <c r="C7018" s="168" t="s">
        <v>7226</v>
      </c>
      <c r="D7018" s="229">
        <v>24.5</v>
      </c>
      <c r="E7018" s="229">
        <v>28.0</v>
      </c>
      <c r="F7018" s="230">
        <v>3.0</v>
      </c>
      <c r="G7018" s="232"/>
    </row>
    <row r="7019">
      <c r="A7019" s="2"/>
      <c r="B7019" s="168" t="s">
        <v>232</v>
      </c>
      <c r="C7019" s="168" t="s">
        <v>7227</v>
      </c>
      <c r="D7019" s="229">
        <v>32.5</v>
      </c>
      <c r="E7019" s="229">
        <v>36.0</v>
      </c>
      <c r="F7019" s="230">
        <v>3.0</v>
      </c>
      <c r="G7019" s="232"/>
    </row>
    <row r="7020">
      <c r="A7020" s="2"/>
      <c r="B7020" s="168" t="s">
        <v>215</v>
      </c>
      <c r="C7020" s="168" t="s">
        <v>7228</v>
      </c>
      <c r="D7020" s="229">
        <v>29.5</v>
      </c>
      <c r="E7020" s="229">
        <v>33.0</v>
      </c>
      <c r="F7020" s="230">
        <v>3.0</v>
      </c>
      <c r="G7020" s="232"/>
    </row>
    <row r="7021">
      <c r="A7021" s="2"/>
      <c r="B7021" s="168" t="s">
        <v>271</v>
      </c>
      <c r="C7021" s="168" t="s">
        <v>7229</v>
      </c>
      <c r="D7021" s="229">
        <v>31.5</v>
      </c>
      <c r="E7021" s="229">
        <v>35.0</v>
      </c>
      <c r="F7021" s="230">
        <v>3.0</v>
      </c>
      <c r="G7021" s="232"/>
    </row>
    <row r="7022">
      <c r="A7022" s="2"/>
      <c r="B7022" s="168" t="s">
        <v>260</v>
      </c>
      <c r="C7022" s="168" t="s">
        <v>7230</v>
      </c>
      <c r="D7022" s="229">
        <v>28.5</v>
      </c>
      <c r="E7022" s="229">
        <v>32.0</v>
      </c>
      <c r="F7022" s="230">
        <v>3.0</v>
      </c>
      <c r="G7022" s="232"/>
    </row>
    <row r="7023">
      <c r="A7023" s="2"/>
      <c r="B7023" s="168" t="s">
        <v>230</v>
      </c>
      <c r="C7023" s="168" t="s">
        <v>7231</v>
      </c>
      <c r="D7023" s="229">
        <v>21.5</v>
      </c>
      <c r="E7023" s="229">
        <v>25.0</v>
      </c>
      <c r="F7023" s="230">
        <v>3.0</v>
      </c>
      <c r="G7023" s="232"/>
    </row>
    <row r="7024">
      <c r="A7024" s="2"/>
      <c r="B7024" s="168" t="s">
        <v>271</v>
      </c>
      <c r="C7024" s="168" t="s">
        <v>7232</v>
      </c>
      <c r="D7024" s="229">
        <v>31.0</v>
      </c>
      <c r="E7024" s="229">
        <v>34.5</v>
      </c>
      <c r="F7024" s="230">
        <v>3.0</v>
      </c>
      <c r="G7024" s="232"/>
    </row>
    <row r="7025">
      <c r="A7025" s="2"/>
      <c r="B7025" s="168" t="s">
        <v>241</v>
      </c>
      <c r="C7025" s="168" t="s">
        <v>7233</v>
      </c>
      <c r="D7025" s="229">
        <v>32.5</v>
      </c>
      <c r="E7025" s="229">
        <v>36.0</v>
      </c>
      <c r="F7025" s="230">
        <v>3.0</v>
      </c>
      <c r="G7025" s="232"/>
    </row>
    <row r="7026">
      <c r="A7026" s="2"/>
      <c r="B7026" s="168" t="s">
        <v>217</v>
      </c>
      <c r="C7026" s="168" t="s">
        <v>7234</v>
      </c>
      <c r="D7026" s="229">
        <v>27.5</v>
      </c>
      <c r="E7026" s="229">
        <v>31.0</v>
      </c>
      <c r="F7026" s="230">
        <v>3.0</v>
      </c>
      <c r="G7026" s="232"/>
    </row>
    <row r="7027">
      <c r="A7027" s="2"/>
      <c r="B7027" s="168" t="s">
        <v>217</v>
      </c>
      <c r="C7027" s="168" t="s">
        <v>7235</v>
      </c>
      <c r="D7027" s="229">
        <v>27.5</v>
      </c>
      <c r="E7027" s="229">
        <v>31.0</v>
      </c>
      <c r="F7027" s="230">
        <v>3.0</v>
      </c>
      <c r="G7027" s="232"/>
    </row>
    <row r="7028">
      <c r="A7028" s="2"/>
      <c r="B7028" s="168" t="s">
        <v>377</v>
      </c>
      <c r="C7028" s="168" t="s">
        <v>7236</v>
      </c>
      <c r="D7028" s="229">
        <v>29.5</v>
      </c>
      <c r="E7028" s="229">
        <v>33.0</v>
      </c>
      <c r="F7028" s="230">
        <v>3.0</v>
      </c>
      <c r="G7028" s="232"/>
    </row>
    <row r="7029">
      <c r="A7029" s="2"/>
      <c r="B7029" s="168" t="s">
        <v>438</v>
      </c>
      <c r="C7029" s="168" t="s">
        <v>7237</v>
      </c>
      <c r="D7029" s="229">
        <v>29.5</v>
      </c>
      <c r="E7029" s="229">
        <v>33.0</v>
      </c>
      <c r="F7029" s="230">
        <v>3.0</v>
      </c>
      <c r="G7029" s="232"/>
    </row>
    <row r="7030">
      <c r="A7030" s="2"/>
      <c r="B7030" s="168" t="s">
        <v>241</v>
      </c>
      <c r="C7030" s="168" t="s">
        <v>7238</v>
      </c>
      <c r="D7030" s="229">
        <v>32.5</v>
      </c>
      <c r="E7030" s="229">
        <v>36.0</v>
      </c>
      <c r="F7030" s="230">
        <v>3.0</v>
      </c>
      <c r="G7030" s="232"/>
    </row>
    <row r="7031">
      <c r="A7031" s="2"/>
      <c r="B7031" s="168" t="s">
        <v>228</v>
      </c>
      <c r="C7031" s="168" t="s">
        <v>7239</v>
      </c>
      <c r="D7031" s="229">
        <v>26.5</v>
      </c>
      <c r="E7031" s="229">
        <v>26.5</v>
      </c>
      <c r="F7031" s="230">
        <v>3.0</v>
      </c>
      <c r="G7031" s="232"/>
    </row>
    <row r="7032">
      <c r="A7032" s="2"/>
      <c r="B7032" s="168" t="s">
        <v>217</v>
      </c>
      <c r="C7032" s="168" t="s">
        <v>7240</v>
      </c>
      <c r="D7032" s="229">
        <v>27.5</v>
      </c>
      <c r="E7032" s="229">
        <v>31.0</v>
      </c>
      <c r="F7032" s="230">
        <v>3.0</v>
      </c>
      <c r="G7032" s="232"/>
    </row>
    <row r="7033">
      <c r="A7033" s="2"/>
      <c r="B7033" s="168" t="s">
        <v>239</v>
      </c>
      <c r="C7033" s="168" t="s">
        <v>7241</v>
      </c>
      <c r="D7033" s="229">
        <v>29.5</v>
      </c>
      <c r="E7033" s="229">
        <v>33.0</v>
      </c>
      <c r="F7033" s="230">
        <v>3.0</v>
      </c>
      <c r="G7033" s="232"/>
    </row>
    <row r="7034">
      <c r="A7034" s="2"/>
      <c r="B7034" s="168" t="s">
        <v>230</v>
      </c>
      <c r="C7034" s="168" t="s">
        <v>7242</v>
      </c>
      <c r="D7034" s="229">
        <v>21.5</v>
      </c>
      <c r="E7034" s="229">
        <v>25.0</v>
      </c>
      <c r="F7034" s="230">
        <v>3.0</v>
      </c>
      <c r="G7034" s="232"/>
    </row>
    <row r="7035">
      <c r="A7035" s="2"/>
      <c r="B7035" s="168" t="s">
        <v>328</v>
      </c>
      <c r="C7035" s="168" t="s">
        <v>7243</v>
      </c>
      <c r="D7035" s="229">
        <v>34.5</v>
      </c>
      <c r="E7035" s="229">
        <v>38.0</v>
      </c>
      <c r="F7035" s="230">
        <v>3.0</v>
      </c>
      <c r="G7035" s="232"/>
    </row>
    <row r="7036">
      <c r="A7036" s="2"/>
      <c r="B7036" s="168" t="s">
        <v>368</v>
      </c>
      <c r="C7036" s="168" t="s">
        <v>7244</v>
      </c>
      <c r="D7036" s="229">
        <v>32.5</v>
      </c>
      <c r="E7036" s="229">
        <v>36.0</v>
      </c>
      <c r="F7036" s="230">
        <v>3.0</v>
      </c>
      <c r="G7036" s="232"/>
    </row>
    <row r="7037">
      <c r="A7037" s="2"/>
      <c r="B7037" s="168" t="s">
        <v>430</v>
      </c>
      <c r="C7037" s="168" t="s">
        <v>7245</v>
      </c>
      <c r="D7037" s="229">
        <v>34.5</v>
      </c>
      <c r="E7037" s="229">
        <v>38.0</v>
      </c>
      <c r="F7037" s="230">
        <v>3.0</v>
      </c>
      <c r="G7037" s="232"/>
    </row>
    <row r="7038">
      <c r="A7038" s="2"/>
      <c r="B7038" s="168" t="s">
        <v>241</v>
      </c>
      <c r="C7038" s="168" t="s">
        <v>7246</v>
      </c>
      <c r="D7038" s="229">
        <v>32.5</v>
      </c>
      <c r="E7038" s="229">
        <v>36.0</v>
      </c>
      <c r="F7038" s="230">
        <v>3.0</v>
      </c>
      <c r="G7038" s="232"/>
    </row>
    <row r="7039">
      <c r="A7039" s="2"/>
      <c r="B7039" s="168" t="s">
        <v>241</v>
      </c>
      <c r="C7039" s="168" t="s">
        <v>7247</v>
      </c>
      <c r="D7039" s="229">
        <v>32.5</v>
      </c>
      <c r="E7039" s="229">
        <v>36.0</v>
      </c>
      <c r="F7039" s="230">
        <v>3.0</v>
      </c>
      <c r="G7039" s="232"/>
    </row>
    <row r="7040">
      <c r="A7040" s="2"/>
      <c r="B7040" s="168" t="s">
        <v>271</v>
      </c>
      <c r="C7040" s="168" t="s">
        <v>7248</v>
      </c>
      <c r="D7040" s="229">
        <v>28.5</v>
      </c>
      <c r="E7040" s="229">
        <v>32.0</v>
      </c>
      <c r="F7040" s="230">
        <v>3.0</v>
      </c>
      <c r="G7040" s="232"/>
    </row>
    <row r="7041">
      <c r="A7041" s="2"/>
      <c r="B7041" s="168" t="s">
        <v>490</v>
      </c>
      <c r="C7041" s="168" t="s">
        <v>7249</v>
      </c>
      <c r="D7041" s="229">
        <v>34.5</v>
      </c>
      <c r="E7041" s="229">
        <v>38.0</v>
      </c>
      <c r="F7041" s="230">
        <v>3.0</v>
      </c>
      <c r="G7041" s="232"/>
    </row>
    <row r="7042">
      <c r="A7042" s="2"/>
      <c r="B7042" s="168" t="s">
        <v>328</v>
      </c>
      <c r="C7042" s="168" t="s">
        <v>7250</v>
      </c>
      <c r="D7042" s="229">
        <v>34.5</v>
      </c>
      <c r="E7042" s="229">
        <v>38.0</v>
      </c>
      <c r="F7042" s="230">
        <v>3.0</v>
      </c>
      <c r="G7042" s="232"/>
    </row>
    <row r="7043">
      <c r="A7043" s="2"/>
      <c r="B7043" s="168" t="s">
        <v>332</v>
      </c>
      <c r="C7043" s="168" t="s">
        <v>7251</v>
      </c>
      <c r="D7043" s="229">
        <v>28.5</v>
      </c>
      <c r="E7043" s="229">
        <v>32.0</v>
      </c>
      <c r="F7043" s="230">
        <v>3.0</v>
      </c>
      <c r="G7043" s="232"/>
    </row>
    <row r="7044">
      <c r="A7044" s="2"/>
      <c r="B7044" s="168" t="s">
        <v>217</v>
      </c>
      <c r="C7044" s="168" t="s">
        <v>7252</v>
      </c>
      <c r="D7044" s="229">
        <v>27.5</v>
      </c>
      <c r="E7044" s="229">
        <v>31.0</v>
      </c>
      <c r="F7044" s="230">
        <v>3.0</v>
      </c>
      <c r="G7044" s="232"/>
    </row>
    <row r="7045">
      <c r="A7045" s="2"/>
      <c r="B7045" s="168" t="s">
        <v>260</v>
      </c>
      <c r="C7045" s="168" t="s">
        <v>7253</v>
      </c>
      <c r="D7045" s="229">
        <v>28.5</v>
      </c>
      <c r="E7045" s="229">
        <v>32.0</v>
      </c>
      <c r="F7045" s="230">
        <v>3.0</v>
      </c>
      <c r="G7045" s="232"/>
    </row>
    <row r="7046">
      <c r="A7046" s="2"/>
      <c r="B7046" s="168" t="s">
        <v>348</v>
      </c>
      <c r="C7046" s="168" t="s">
        <v>7254</v>
      </c>
      <c r="D7046" s="229">
        <v>24.5</v>
      </c>
      <c r="E7046" s="229">
        <v>28.0</v>
      </c>
      <c r="F7046" s="230">
        <v>3.0</v>
      </c>
      <c r="G7046" s="232"/>
    </row>
    <row r="7047">
      <c r="A7047" s="2"/>
      <c r="B7047" s="168" t="s">
        <v>296</v>
      </c>
      <c r="C7047" s="168" t="s">
        <v>7255</v>
      </c>
      <c r="D7047" s="229">
        <v>26.5</v>
      </c>
      <c r="E7047" s="229">
        <v>30.0</v>
      </c>
      <c r="F7047" s="230">
        <v>3.0</v>
      </c>
      <c r="G7047" s="232"/>
    </row>
    <row r="7048">
      <c r="A7048" s="2"/>
      <c r="B7048" s="168" t="s">
        <v>269</v>
      </c>
      <c r="C7048" s="168" t="s">
        <v>7256</v>
      </c>
      <c r="D7048" s="229">
        <v>26.5</v>
      </c>
      <c r="E7048" s="229">
        <v>30.0</v>
      </c>
      <c r="F7048" s="230">
        <v>3.0</v>
      </c>
      <c r="G7048" s="232"/>
    </row>
    <row r="7049">
      <c r="A7049" s="2"/>
      <c r="B7049" s="168" t="s">
        <v>290</v>
      </c>
      <c r="C7049" s="168" t="s">
        <v>7257</v>
      </c>
      <c r="D7049" s="229">
        <v>29.5</v>
      </c>
      <c r="E7049" s="229">
        <v>33.0</v>
      </c>
      <c r="F7049" s="230">
        <v>3.0</v>
      </c>
      <c r="G7049" s="232"/>
    </row>
    <row r="7050">
      <c r="A7050" s="2"/>
      <c r="B7050" s="168" t="s">
        <v>280</v>
      </c>
      <c r="C7050" s="168" t="s">
        <v>7258</v>
      </c>
      <c r="D7050" s="229">
        <v>28.5</v>
      </c>
      <c r="E7050" s="229">
        <v>32.0</v>
      </c>
      <c r="F7050" s="230">
        <v>3.0</v>
      </c>
      <c r="G7050" s="232"/>
    </row>
    <row r="7051">
      <c r="A7051" s="2"/>
      <c r="B7051" s="168" t="s">
        <v>302</v>
      </c>
      <c r="C7051" s="168" t="s">
        <v>7259</v>
      </c>
      <c r="D7051" s="229">
        <v>34.5</v>
      </c>
      <c r="E7051" s="229">
        <v>38.0</v>
      </c>
      <c r="F7051" s="230">
        <v>3.0</v>
      </c>
      <c r="G7051" s="232"/>
    </row>
    <row r="7052">
      <c r="A7052" s="2"/>
      <c r="B7052" s="168" t="s">
        <v>273</v>
      </c>
      <c r="C7052" s="168" t="s">
        <v>7260</v>
      </c>
      <c r="D7052" s="229">
        <v>29.5</v>
      </c>
      <c r="E7052" s="229">
        <v>33.0</v>
      </c>
      <c r="F7052" s="230">
        <v>3.0</v>
      </c>
      <c r="G7052" s="232"/>
    </row>
    <row r="7053">
      <c r="A7053" s="2"/>
      <c r="B7053" s="168" t="s">
        <v>217</v>
      </c>
      <c r="C7053" s="168" t="s">
        <v>7261</v>
      </c>
      <c r="D7053" s="229">
        <v>27.5</v>
      </c>
      <c r="E7053" s="229">
        <v>31.0</v>
      </c>
      <c r="F7053" s="230">
        <v>3.0</v>
      </c>
      <c r="G7053" s="232"/>
    </row>
    <row r="7054">
      <c r="A7054" s="2"/>
      <c r="B7054" s="168" t="s">
        <v>273</v>
      </c>
      <c r="C7054" s="168" t="s">
        <v>7262</v>
      </c>
      <c r="D7054" s="229">
        <v>29.5</v>
      </c>
      <c r="E7054" s="229">
        <v>33.0</v>
      </c>
      <c r="F7054" s="230">
        <v>3.0</v>
      </c>
      <c r="G7054" s="232"/>
    </row>
    <row r="7055">
      <c r="A7055" s="2"/>
      <c r="B7055" s="168" t="s">
        <v>234</v>
      </c>
      <c r="C7055" s="168" t="s">
        <v>7263</v>
      </c>
      <c r="D7055" s="229">
        <v>29.5</v>
      </c>
      <c r="E7055" s="229">
        <v>33.0</v>
      </c>
      <c r="F7055" s="230">
        <v>3.0</v>
      </c>
      <c r="G7055" s="232"/>
    </row>
    <row r="7056">
      <c r="A7056" s="2"/>
      <c r="B7056" s="168" t="s">
        <v>223</v>
      </c>
      <c r="C7056" s="168" t="s">
        <v>7264</v>
      </c>
      <c r="D7056" s="229">
        <v>26.5</v>
      </c>
      <c r="E7056" s="229">
        <v>30.0</v>
      </c>
      <c r="F7056" s="230">
        <v>3.0</v>
      </c>
      <c r="G7056" s="232"/>
    </row>
    <row r="7057">
      <c r="A7057" s="2"/>
      <c r="B7057" s="168" t="s">
        <v>217</v>
      </c>
      <c r="C7057" s="168" t="s">
        <v>7265</v>
      </c>
      <c r="D7057" s="229">
        <v>27.5</v>
      </c>
      <c r="E7057" s="229">
        <v>31.0</v>
      </c>
      <c r="F7057" s="230">
        <v>3.0</v>
      </c>
      <c r="G7057" s="232"/>
    </row>
    <row r="7058">
      <c r="A7058" s="2"/>
      <c r="B7058" s="168" t="s">
        <v>490</v>
      </c>
      <c r="C7058" s="168" t="s">
        <v>490</v>
      </c>
      <c r="D7058" s="229">
        <v>34.5</v>
      </c>
      <c r="E7058" s="229">
        <v>38.0</v>
      </c>
      <c r="F7058" s="230">
        <v>3.0</v>
      </c>
      <c r="G7058" s="232"/>
    </row>
    <row r="7059">
      <c r="A7059" s="2"/>
      <c r="B7059" s="168" t="s">
        <v>245</v>
      </c>
      <c r="C7059" s="168" t="s">
        <v>7266</v>
      </c>
      <c r="D7059" s="229">
        <v>29.5</v>
      </c>
      <c r="E7059" s="229">
        <v>33.0</v>
      </c>
      <c r="F7059" s="230">
        <v>3.0</v>
      </c>
      <c r="G7059" s="232"/>
    </row>
    <row r="7060">
      <c r="A7060" s="2"/>
      <c r="B7060" s="168" t="s">
        <v>215</v>
      </c>
      <c r="C7060" s="168" t="s">
        <v>7267</v>
      </c>
      <c r="D7060" s="229">
        <v>24.5</v>
      </c>
      <c r="E7060" s="229">
        <v>28.0</v>
      </c>
      <c r="F7060" s="230">
        <v>3.0</v>
      </c>
      <c r="G7060" s="232"/>
    </row>
    <row r="7061">
      <c r="A7061" s="2"/>
      <c r="B7061" s="168" t="s">
        <v>241</v>
      </c>
      <c r="C7061" s="168" t="s">
        <v>7268</v>
      </c>
      <c r="D7061" s="229">
        <v>32.5</v>
      </c>
      <c r="E7061" s="229">
        <v>36.0</v>
      </c>
      <c r="F7061" s="230">
        <v>3.0</v>
      </c>
      <c r="G7061" s="232"/>
    </row>
    <row r="7062">
      <c r="A7062" s="2"/>
      <c r="B7062" s="168" t="s">
        <v>232</v>
      </c>
      <c r="C7062" s="168" t="s">
        <v>7269</v>
      </c>
      <c r="D7062" s="229">
        <v>31.5</v>
      </c>
      <c r="E7062" s="229">
        <v>35.0</v>
      </c>
      <c r="F7062" s="230">
        <v>3.0</v>
      </c>
      <c r="G7062" s="232"/>
    </row>
    <row r="7063">
      <c r="A7063" s="2"/>
      <c r="B7063" s="168" t="s">
        <v>273</v>
      </c>
      <c r="C7063" s="168" t="s">
        <v>7270</v>
      </c>
      <c r="D7063" s="229">
        <v>29.5</v>
      </c>
      <c r="E7063" s="229">
        <v>33.0</v>
      </c>
      <c r="F7063" s="230">
        <v>3.0</v>
      </c>
      <c r="G7063" s="232"/>
    </row>
    <row r="7064">
      <c r="A7064" s="2"/>
      <c r="B7064" s="168" t="s">
        <v>273</v>
      </c>
      <c r="C7064" s="168" t="s">
        <v>7271</v>
      </c>
      <c r="D7064" s="229">
        <v>29.5</v>
      </c>
      <c r="E7064" s="229">
        <v>33.0</v>
      </c>
      <c r="F7064" s="230">
        <v>3.0</v>
      </c>
      <c r="G7064" s="232"/>
    </row>
    <row r="7065">
      <c r="A7065" s="2"/>
      <c r="B7065" s="168" t="s">
        <v>273</v>
      </c>
      <c r="C7065" s="168" t="s">
        <v>7272</v>
      </c>
      <c r="D7065" s="229">
        <v>24.5</v>
      </c>
      <c r="E7065" s="229">
        <v>28.0</v>
      </c>
      <c r="F7065" s="230">
        <v>3.0</v>
      </c>
      <c r="G7065" s="232"/>
    </row>
    <row r="7066">
      <c r="A7066" s="2"/>
      <c r="B7066" s="168" t="s">
        <v>215</v>
      </c>
      <c r="C7066" s="168" t="s">
        <v>7273</v>
      </c>
      <c r="D7066" s="229">
        <v>24.5</v>
      </c>
      <c r="E7066" s="229">
        <v>28.0</v>
      </c>
      <c r="F7066" s="230">
        <v>3.0</v>
      </c>
      <c r="G7066" s="232"/>
    </row>
    <row r="7067">
      <c r="A7067" s="2"/>
      <c r="B7067" s="168" t="s">
        <v>221</v>
      </c>
      <c r="C7067" s="168" t="s">
        <v>7274</v>
      </c>
      <c r="D7067" s="229">
        <v>27.5</v>
      </c>
      <c r="E7067" s="229">
        <v>31.0</v>
      </c>
      <c r="F7067" s="230">
        <v>3.0</v>
      </c>
      <c r="G7067" s="232"/>
    </row>
    <row r="7068">
      <c r="A7068" s="2"/>
      <c r="B7068" s="168" t="s">
        <v>230</v>
      </c>
      <c r="C7068" s="168" t="s">
        <v>7275</v>
      </c>
      <c r="D7068" s="229">
        <v>16.5</v>
      </c>
      <c r="E7068" s="229">
        <v>20.0</v>
      </c>
      <c r="F7068" s="230">
        <v>3.0</v>
      </c>
      <c r="G7068" s="232"/>
    </row>
    <row r="7069">
      <c r="A7069" s="2"/>
      <c r="B7069" s="168" t="s">
        <v>230</v>
      </c>
      <c r="C7069" s="168" t="s">
        <v>7276</v>
      </c>
      <c r="D7069" s="229">
        <v>16.5</v>
      </c>
      <c r="E7069" s="229">
        <v>20.0</v>
      </c>
      <c r="F7069" s="230">
        <v>3.0</v>
      </c>
      <c r="G7069" s="232"/>
    </row>
    <row r="7070">
      <c r="A7070" s="2"/>
      <c r="B7070" s="168" t="s">
        <v>230</v>
      </c>
      <c r="C7070" s="168" t="s">
        <v>7277</v>
      </c>
      <c r="D7070" s="229">
        <v>21.5</v>
      </c>
      <c r="E7070" s="229">
        <v>25.0</v>
      </c>
      <c r="F7070" s="230">
        <v>3.0</v>
      </c>
      <c r="G7070" s="232"/>
    </row>
    <row r="7071">
      <c r="A7071" s="2"/>
      <c r="B7071" s="168" t="s">
        <v>230</v>
      </c>
      <c r="C7071" s="168" t="s">
        <v>7278</v>
      </c>
      <c r="D7071" s="229">
        <v>16.5</v>
      </c>
      <c r="E7071" s="229">
        <v>20.0</v>
      </c>
      <c r="F7071" s="230">
        <v>3.0</v>
      </c>
      <c r="G7071" s="232"/>
    </row>
    <row r="7072">
      <c r="A7072" s="2"/>
      <c r="B7072" s="168" t="s">
        <v>230</v>
      </c>
      <c r="C7072" s="168" t="s">
        <v>7279</v>
      </c>
      <c r="D7072" s="229">
        <v>16.5</v>
      </c>
      <c r="E7072" s="229">
        <v>20.0</v>
      </c>
      <c r="F7072" s="230">
        <v>3.0</v>
      </c>
      <c r="G7072" s="232"/>
    </row>
    <row r="7073">
      <c r="A7073" s="2"/>
      <c r="B7073" s="168" t="s">
        <v>230</v>
      </c>
      <c r="C7073" s="168" t="s">
        <v>7280</v>
      </c>
      <c r="D7073" s="229">
        <v>16.5</v>
      </c>
      <c r="E7073" s="229">
        <v>20.0</v>
      </c>
      <c r="F7073" s="230">
        <v>3.0</v>
      </c>
      <c r="G7073" s="232"/>
    </row>
    <row r="7074">
      <c r="A7074" s="2"/>
      <c r="B7074" s="168" t="s">
        <v>1621</v>
      </c>
      <c r="C7074" s="168" t="s">
        <v>7281</v>
      </c>
      <c r="D7074" s="229">
        <v>23.5</v>
      </c>
      <c r="E7074" s="229">
        <v>23.5</v>
      </c>
      <c r="F7074" s="230">
        <v>3.0</v>
      </c>
      <c r="G7074" s="232"/>
    </row>
    <row r="7075">
      <c r="A7075" s="2"/>
      <c r="B7075" s="168" t="s">
        <v>221</v>
      </c>
      <c r="C7075" s="168" t="s">
        <v>7282</v>
      </c>
      <c r="D7075" s="229">
        <v>27.5</v>
      </c>
      <c r="E7075" s="229">
        <v>31.0</v>
      </c>
      <c r="F7075" s="230">
        <v>3.0</v>
      </c>
      <c r="G7075" s="232"/>
    </row>
    <row r="7076">
      <c r="A7076" s="2"/>
      <c r="B7076" s="168" t="s">
        <v>230</v>
      </c>
      <c r="C7076" s="168" t="s">
        <v>7283</v>
      </c>
      <c r="D7076" s="229">
        <v>21.5</v>
      </c>
      <c r="E7076" s="229">
        <v>25.0</v>
      </c>
      <c r="F7076" s="230">
        <v>3.0</v>
      </c>
      <c r="G7076" s="232"/>
    </row>
    <row r="7077">
      <c r="A7077" s="2"/>
      <c r="B7077" s="168" t="s">
        <v>296</v>
      </c>
      <c r="C7077" s="168" t="s">
        <v>7284</v>
      </c>
      <c r="D7077" s="229">
        <v>26.5</v>
      </c>
      <c r="E7077" s="229">
        <v>30.0</v>
      </c>
      <c r="F7077" s="230">
        <v>3.0</v>
      </c>
      <c r="G7077" s="232"/>
    </row>
    <row r="7078">
      <c r="A7078" s="2"/>
      <c r="B7078" s="168" t="s">
        <v>1311</v>
      </c>
      <c r="C7078" s="168" t="s">
        <v>7285</v>
      </c>
      <c r="D7078" s="229">
        <v>28.5</v>
      </c>
      <c r="E7078" s="229">
        <v>32.0</v>
      </c>
      <c r="F7078" s="230">
        <v>3.0</v>
      </c>
      <c r="G7078" s="232"/>
    </row>
    <row r="7079">
      <c r="A7079" s="2"/>
      <c r="B7079" s="168" t="s">
        <v>230</v>
      </c>
      <c r="C7079" s="168" t="s">
        <v>7286</v>
      </c>
      <c r="D7079" s="229">
        <v>16.5</v>
      </c>
      <c r="E7079" s="229">
        <v>20.0</v>
      </c>
      <c r="F7079" s="230">
        <v>3.0</v>
      </c>
      <c r="G7079" s="232"/>
    </row>
    <row r="7080">
      <c r="A7080" s="2"/>
      <c r="B7080" s="168" t="s">
        <v>230</v>
      </c>
      <c r="C7080" s="168" t="s">
        <v>7287</v>
      </c>
      <c r="D7080" s="229">
        <v>16.5</v>
      </c>
      <c r="E7080" s="229">
        <v>20.0</v>
      </c>
      <c r="F7080" s="230">
        <v>3.0</v>
      </c>
      <c r="G7080" s="232"/>
    </row>
    <row r="7081">
      <c r="A7081" s="2"/>
      <c r="B7081" s="168" t="s">
        <v>230</v>
      </c>
      <c r="C7081" s="168" t="s">
        <v>7288</v>
      </c>
      <c r="D7081" s="229">
        <v>16.5</v>
      </c>
      <c r="E7081" s="229">
        <v>20.0</v>
      </c>
      <c r="F7081" s="230">
        <v>3.0</v>
      </c>
      <c r="G7081" s="232"/>
    </row>
    <row r="7082">
      <c r="A7082" s="2"/>
      <c r="B7082" s="168" t="s">
        <v>230</v>
      </c>
      <c r="C7082" s="168" t="s">
        <v>7289</v>
      </c>
      <c r="D7082" s="229">
        <v>21.5</v>
      </c>
      <c r="E7082" s="229">
        <v>25.0</v>
      </c>
      <c r="F7082" s="230">
        <v>3.0</v>
      </c>
      <c r="G7082" s="232"/>
    </row>
    <row r="7083">
      <c r="A7083" s="2"/>
      <c r="B7083" s="168" t="s">
        <v>230</v>
      </c>
      <c r="C7083" s="168" t="s">
        <v>7290</v>
      </c>
      <c r="D7083" s="229">
        <v>16.5</v>
      </c>
      <c r="E7083" s="229">
        <v>20.0</v>
      </c>
      <c r="F7083" s="230">
        <v>3.0</v>
      </c>
      <c r="G7083" s="232"/>
    </row>
    <row r="7084">
      <c r="A7084" s="2"/>
      <c r="B7084" s="168" t="s">
        <v>230</v>
      </c>
      <c r="C7084" s="168" t="s">
        <v>7291</v>
      </c>
      <c r="D7084" s="229">
        <v>21.5</v>
      </c>
      <c r="E7084" s="229">
        <v>25.0</v>
      </c>
      <c r="F7084" s="230">
        <v>3.0</v>
      </c>
      <c r="G7084" s="232"/>
    </row>
    <row r="7085">
      <c r="A7085" s="2"/>
      <c r="B7085" s="168" t="s">
        <v>230</v>
      </c>
      <c r="C7085" s="168" t="s">
        <v>7292</v>
      </c>
      <c r="D7085" s="229">
        <v>21.5</v>
      </c>
      <c r="E7085" s="229">
        <v>25.0</v>
      </c>
      <c r="F7085" s="230">
        <v>3.0</v>
      </c>
      <c r="G7085" s="232"/>
    </row>
    <row r="7086">
      <c r="A7086" s="2"/>
      <c r="B7086" s="168" t="s">
        <v>230</v>
      </c>
      <c r="C7086" s="168" t="s">
        <v>7293</v>
      </c>
      <c r="D7086" s="229">
        <v>16.5</v>
      </c>
      <c r="E7086" s="229">
        <v>20.0</v>
      </c>
      <c r="F7086" s="230">
        <v>3.0</v>
      </c>
      <c r="G7086" s="232"/>
    </row>
    <row r="7087">
      <c r="A7087" s="2"/>
      <c r="B7087" s="168" t="s">
        <v>576</v>
      </c>
      <c r="C7087" s="168" t="s">
        <v>7294</v>
      </c>
      <c r="D7087" s="229">
        <v>22.0</v>
      </c>
      <c r="E7087" s="229">
        <v>25.5</v>
      </c>
      <c r="F7087" s="230">
        <v>3.0</v>
      </c>
      <c r="G7087" s="232"/>
    </row>
    <row r="7088">
      <c r="A7088" s="2"/>
      <c r="B7088" s="168" t="s">
        <v>232</v>
      </c>
      <c r="C7088" s="168" t="s">
        <v>7295</v>
      </c>
      <c r="D7088" s="229">
        <v>25.0</v>
      </c>
      <c r="E7088" s="229">
        <v>28.5</v>
      </c>
      <c r="F7088" s="230">
        <v>3.0</v>
      </c>
      <c r="G7088" s="232"/>
    </row>
    <row r="7089">
      <c r="A7089" s="2"/>
      <c r="B7089" s="168" t="s">
        <v>232</v>
      </c>
      <c r="C7089" s="168" t="s">
        <v>7296</v>
      </c>
      <c r="D7089" s="229">
        <v>25.5</v>
      </c>
      <c r="E7089" s="229">
        <v>29.0</v>
      </c>
      <c r="F7089" s="230">
        <v>3.0</v>
      </c>
      <c r="G7089" s="232"/>
    </row>
    <row r="7090">
      <c r="A7090" s="2"/>
      <c r="B7090" s="168" t="s">
        <v>230</v>
      </c>
      <c r="C7090" s="168" t="s">
        <v>7297</v>
      </c>
      <c r="D7090" s="229">
        <v>16.5</v>
      </c>
      <c r="E7090" s="229">
        <v>20.0</v>
      </c>
      <c r="F7090" s="230">
        <v>3.0</v>
      </c>
      <c r="G7090" s="232"/>
    </row>
    <row r="7091">
      <c r="A7091" s="2"/>
      <c r="B7091" s="168" t="s">
        <v>230</v>
      </c>
      <c r="C7091" s="168" t="s">
        <v>7298</v>
      </c>
      <c r="D7091" s="229">
        <v>16.5</v>
      </c>
      <c r="E7091" s="229">
        <v>20.0</v>
      </c>
      <c r="F7091" s="230">
        <v>3.0</v>
      </c>
      <c r="G7091" s="232"/>
    </row>
    <row r="7092">
      <c r="A7092" s="2"/>
      <c r="B7092" s="168" t="s">
        <v>684</v>
      </c>
      <c r="C7092" s="168" t="s">
        <v>7299</v>
      </c>
      <c r="D7092" s="229">
        <v>25.5</v>
      </c>
      <c r="E7092" s="229">
        <v>29.0</v>
      </c>
      <c r="F7092" s="230">
        <v>3.0</v>
      </c>
      <c r="G7092" s="232"/>
    </row>
    <row r="7093">
      <c r="A7093" s="2"/>
      <c r="B7093" s="168" t="s">
        <v>232</v>
      </c>
      <c r="C7093" s="168" t="s">
        <v>7300</v>
      </c>
      <c r="D7093" s="229">
        <v>25.5</v>
      </c>
      <c r="E7093" s="229">
        <v>29.0</v>
      </c>
      <c r="F7093" s="230">
        <v>3.0</v>
      </c>
      <c r="G7093" s="232"/>
    </row>
    <row r="7094">
      <c r="A7094" s="2"/>
      <c r="B7094" s="168" t="s">
        <v>230</v>
      </c>
      <c r="C7094" s="168" t="s">
        <v>7301</v>
      </c>
      <c r="D7094" s="229">
        <v>16.5</v>
      </c>
      <c r="E7094" s="229">
        <v>20.0</v>
      </c>
      <c r="F7094" s="230">
        <v>3.0</v>
      </c>
      <c r="G7094" s="232"/>
    </row>
    <row r="7095">
      <c r="A7095" s="2"/>
      <c r="B7095" s="168" t="s">
        <v>1392</v>
      </c>
      <c r="C7095" s="168" t="s">
        <v>7302</v>
      </c>
      <c r="D7095" s="229">
        <v>26.5</v>
      </c>
      <c r="E7095" s="229">
        <v>30.0</v>
      </c>
      <c r="F7095" s="230">
        <v>3.0</v>
      </c>
      <c r="G7095" s="232"/>
    </row>
    <row r="7096">
      <c r="A7096" s="2"/>
      <c r="B7096" s="168" t="s">
        <v>328</v>
      </c>
      <c r="C7096" s="168" t="s">
        <v>7303</v>
      </c>
      <c r="D7096" s="229">
        <v>34.5</v>
      </c>
      <c r="E7096" s="229">
        <v>38.0</v>
      </c>
      <c r="F7096" s="230">
        <v>3.0</v>
      </c>
      <c r="G7096" s="232"/>
    </row>
    <row r="7097">
      <c r="A7097" s="2"/>
      <c r="B7097" s="168" t="s">
        <v>247</v>
      </c>
      <c r="C7097" s="168" t="s">
        <v>7304</v>
      </c>
      <c r="D7097" s="229">
        <v>29.5</v>
      </c>
      <c r="E7097" s="229">
        <v>33.0</v>
      </c>
      <c r="F7097" s="230">
        <v>3.0</v>
      </c>
      <c r="G7097" s="232"/>
    </row>
    <row r="7098">
      <c r="A7098" s="2"/>
      <c r="B7098" s="168" t="s">
        <v>230</v>
      </c>
      <c r="C7098" s="168" t="s">
        <v>7305</v>
      </c>
      <c r="D7098" s="229">
        <v>16.5</v>
      </c>
      <c r="E7098" s="229">
        <v>20.0</v>
      </c>
      <c r="F7098" s="230">
        <v>3.0</v>
      </c>
      <c r="G7098" s="232"/>
    </row>
    <row r="7099">
      <c r="A7099" s="2"/>
      <c r="B7099" s="168" t="s">
        <v>239</v>
      </c>
      <c r="C7099" s="168" t="s">
        <v>7306</v>
      </c>
      <c r="D7099" s="229">
        <v>29.5</v>
      </c>
      <c r="E7099" s="229">
        <v>33.0</v>
      </c>
      <c r="F7099" s="230">
        <v>3.0</v>
      </c>
      <c r="G7099" s="232"/>
    </row>
    <row r="7100">
      <c r="A7100" s="2"/>
      <c r="B7100" s="168" t="s">
        <v>318</v>
      </c>
      <c r="C7100" s="168" t="s">
        <v>7307</v>
      </c>
      <c r="D7100" s="229">
        <v>25.5</v>
      </c>
      <c r="E7100" s="229">
        <v>29.0</v>
      </c>
      <c r="F7100" s="230">
        <v>3.0</v>
      </c>
      <c r="G7100" s="232"/>
    </row>
    <row r="7101">
      <c r="A7101" s="2"/>
      <c r="B7101" s="168" t="s">
        <v>230</v>
      </c>
      <c r="C7101" s="168" t="s">
        <v>7308</v>
      </c>
      <c r="D7101" s="229">
        <v>16.5</v>
      </c>
      <c r="E7101" s="229">
        <v>20.0</v>
      </c>
      <c r="F7101" s="230">
        <v>3.0</v>
      </c>
      <c r="G7101" s="232"/>
    </row>
    <row r="7102">
      <c r="A7102" s="2"/>
      <c r="B7102" s="168" t="s">
        <v>230</v>
      </c>
      <c r="C7102" s="168" t="s">
        <v>7309</v>
      </c>
      <c r="D7102" s="229">
        <v>21.5</v>
      </c>
      <c r="E7102" s="229">
        <v>25.0</v>
      </c>
      <c r="F7102" s="230">
        <v>3.0</v>
      </c>
      <c r="G7102" s="232"/>
    </row>
    <row r="7103">
      <c r="A7103" s="2"/>
      <c r="B7103" s="168" t="s">
        <v>260</v>
      </c>
      <c r="C7103" s="168" t="s">
        <v>7310</v>
      </c>
      <c r="D7103" s="229">
        <v>23.5</v>
      </c>
      <c r="E7103" s="229">
        <v>27.0</v>
      </c>
      <c r="F7103" s="230">
        <v>3.0</v>
      </c>
      <c r="G7103" s="232"/>
    </row>
    <row r="7104">
      <c r="A7104" s="2"/>
      <c r="B7104" s="168" t="s">
        <v>230</v>
      </c>
      <c r="C7104" s="168" t="s">
        <v>7311</v>
      </c>
      <c r="D7104" s="229">
        <v>21.5</v>
      </c>
      <c r="E7104" s="229">
        <v>25.0</v>
      </c>
      <c r="F7104" s="230">
        <v>3.0</v>
      </c>
      <c r="G7104" s="232"/>
    </row>
    <row r="7105">
      <c r="A7105" s="2"/>
      <c r="B7105" s="168" t="s">
        <v>381</v>
      </c>
      <c r="C7105" s="168" t="s">
        <v>7312</v>
      </c>
      <c r="D7105" s="229">
        <v>28.5</v>
      </c>
      <c r="E7105" s="229">
        <v>32.0</v>
      </c>
      <c r="F7105" s="230">
        <v>3.0</v>
      </c>
      <c r="G7105" s="232"/>
    </row>
    <row r="7106">
      <c r="A7106" s="2"/>
      <c r="B7106" s="168" t="s">
        <v>302</v>
      </c>
      <c r="C7106" s="168" t="s">
        <v>7313</v>
      </c>
      <c r="D7106" s="229">
        <v>34.5</v>
      </c>
      <c r="E7106" s="229">
        <v>38.0</v>
      </c>
      <c r="F7106" s="230">
        <v>3.0</v>
      </c>
      <c r="G7106" s="232"/>
    </row>
    <row r="7107">
      <c r="A7107" s="2"/>
      <c r="B7107" s="168" t="s">
        <v>230</v>
      </c>
      <c r="C7107" s="168" t="s">
        <v>7314</v>
      </c>
      <c r="D7107" s="229">
        <v>16.5</v>
      </c>
      <c r="E7107" s="229">
        <v>20.0</v>
      </c>
      <c r="F7107" s="230">
        <v>3.0</v>
      </c>
      <c r="G7107" s="232"/>
    </row>
    <row r="7108">
      <c r="A7108" s="2"/>
      <c r="B7108" s="168" t="s">
        <v>375</v>
      </c>
      <c r="C7108" s="168" t="s">
        <v>7315</v>
      </c>
      <c r="D7108" s="229">
        <v>26.5</v>
      </c>
      <c r="E7108" s="229">
        <v>30.0</v>
      </c>
      <c r="F7108" s="230">
        <v>3.0</v>
      </c>
      <c r="G7108" s="232"/>
    </row>
    <row r="7109">
      <c r="A7109" s="2"/>
      <c r="B7109" s="168" t="s">
        <v>230</v>
      </c>
      <c r="C7109" s="168" t="s">
        <v>7316</v>
      </c>
      <c r="D7109" s="229">
        <v>16.5</v>
      </c>
      <c r="E7109" s="229">
        <v>20.0</v>
      </c>
      <c r="F7109" s="230">
        <v>3.0</v>
      </c>
      <c r="G7109" s="232"/>
    </row>
    <row r="7110">
      <c r="A7110" s="2"/>
      <c r="B7110" s="168" t="s">
        <v>290</v>
      </c>
      <c r="C7110" s="168" t="s">
        <v>7317</v>
      </c>
      <c r="D7110" s="229">
        <v>29.5</v>
      </c>
      <c r="E7110" s="229">
        <v>33.0</v>
      </c>
      <c r="F7110" s="230">
        <v>3.0</v>
      </c>
      <c r="G7110" s="232"/>
    </row>
    <row r="7111">
      <c r="A7111" s="2"/>
      <c r="B7111" s="168" t="s">
        <v>217</v>
      </c>
      <c r="C7111" s="168" t="s">
        <v>7318</v>
      </c>
      <c r="D7111" s="229">
        <v>27.5</v>
      </c>
      <c r="E7111" s="229">
        <v>31.0</v>
      </c>
      <c r="F7111" s="230">
        <v>3.0</v>
      </c>
      <c r="G7111" s="232"/>
    </row>
    <row r="7112">
      <c r="A7112" s="2"/>
      <c r="B7112" s="168" t="s">
        <v>230</v>
      </c>
      <c r="C7112" s="168" t="s">
        <v>7319</v>
      </c>
      <c r="D7112" s="229">
        <v>16.5</v>
      </c>
      <c r="E7112" s="229">
        <v>20.0</v>
      </c>
      <c r="F7112" s="230">
        <v>3.0</v>
      </c>
      <c r="G7112" s="232"/>
    </row>
    <row r="7113">
      <c r="A7113" s="2"/>
      <c r="B7113" s="168" t="s">
        <v>230</v>
      </c>
      <c r="C7113" s="168" t="s">
        <v>7320</v>
      </c>
      <c r="D7113" s="229">
        <v>16.5</v>
      </c>
      <c r="E7113" s="229">
        <v>20.0</v>
      </c>
      <c r="F7113" s="230">
        <v>3.0</v>
      </c>
      <c r="G7113" s="232"/>
    </row>
    <row r="7114">
      <c r="A7114" s="2"/>
      <c r="B7114" s="168" t="s">
        <v>232</v>
      </c>
      <c r="C7114" s="168" t="s">
        <v>7321</v>
      </c>
      <c r="D7114" s="229">
        <v>27.5</v>
      </c>
      <c r="E7114" s="229">
        <v>31.0</v>
      </c>
      <c r="F7114" s="230">
        <v>3.0</v>
      </c>
      <c r="G7114" s="232"/>
    </row>
    <row r="7115">
      <c r="A7115" s="2"/>
      <c r="B7115" s="168" t="s">
        <v>230</v>
      </c>
      <c r="C7115" s="168" t="s">
        <v>7322</v>
      </c>
      <c r="D7115" s="229">
        <v>16.5</v>
      </c>
      <c r="E7115" s="229">
        <v>20.0</v>
      </c>
      <c r="F7115" s="230">
        <v>3.0</v>
      </c>
      <c r="G7115" s="232"/>
    </row>
    <row r="7116">
      <c r="A7116" s="2"/>
      <c r="B7116" s="168" t="s">
        <v>332</v>
      </c>
      <c r="C7116" s="168" t="s">
        <v>7323</v>
      </c>
      <c r="D7116" s="229">
        <v>28.0</v>
      </c>
      <c r="E7116" s="229">
        <v>31.5</v>
      </c>
      <c r="F7116" s="230">
        <v>3.0</v>
      </c>
      <c r="G7116" s="232"/>
    </row>
    <row r="7117">
      <c r="A7117" s="2"/>
      <c r="B7117" s="168" t="s">
        <v>247</v>
      </c>
      <c r="C7117" s="168" t="s">
        <v>7324</v>
      </c>
      <c r="D7117" s="229">
        <v>29.5</v>
      </c>
      <c r="E7117" s="229">
        <v>33.0</v>
      </c>
      <c r="F7117" s="230">
        <v>3.0</v>
      </c>
      <c r="G7117" s="232"/>
    </row>
    <row r="7118">
      <c r="A7118" s="2"/>
      <c r="B7118" s="168" t="s">
        <v>290</v>
      </c>
      <c r="C7118" s="168" t="s">
        <v>7325</v>
      </c>
      <c r="D7118" s="229">
        <v>29.5</v>
      </c>
      <c r="E7118" s="229">
        <v>33.0</v>
      </c>
      <c r="F7118" s="230">
        <v>3.0</v>
      </c>
      <c r="G7118" s="232"/>
    </row>
    <row r="7119">
      <c r="A7119" s="2"/>
      <c r="B7119" s="168" t="s">
        <v>217</v>
      </c>
      <c r="C7119" s="168" t="s">
        <v>7326</v>
      </c>
      <c r="D7119" s="229">
        <v>27.5</v>
      </c>
      <c r="E7119" s="229">
        <v>31.0</v>
      </c>
      <c r="F7119" s="230">
        <v>3.0</v>
      </c>
      <c r="G7119" s="232"/>
    </row>
    <row r="7120">
      <c r="A7120" s="2"/>
      <c r="B7120" s="168" t="s">
        <v>215</v>
      </c>
      <c r="C7120" s="168" t="s">
        <v>7327</v>
      </c>
      <c r="D7120" s="229">
        <v>27.5</v>
      </c>
      <c r="E7120" s="229">
        <v>31.0</v>
      </c>
      <c r="F7120" s="230">
        <v>3.0</v>
      </c>
      <c r="G7120" s="232"/>
    </row>
    <row r="7121">
      <c r="A7121" s="2"/>
      <c r="B7121" s="168" t="s">
        <v>592</v>
      </c>
      <c r="C7121" s="168" t="s">
        <v>7328</v>
      </c>
      <c r="D7121" s="229">
        <v>34.5</v>
      </c>
      <c r="E7121" s="229">
        <v>38.0</v>
      </c>
      <c r="F7121" s="230">
        <v>3.0</v>
      </c>
      <c r="G7121" s="232"/>
    </row>
    <row r="7122">
      <c r="A7122" s="2"/>
      <c r="B7122" s="168" t="s">
        <v>247</v>
      </c>
      <c r="C7122" s="168" t="s">
        <v>7329</v>
      </c>
      <c r="D7122" s="229">
        <v>19.5</v>
      </c>
      <c r="E7122" s="229">
        <v>23.0</v>
      </c>
      <c r="F7122" s="230">
        <v>3.0</v>
      </c>
      <c r="G7122" s="232"/>
    </row>
    <row r="7123">
      <c r="A7123" s="2"/>
      <c r="B7123" s="168" t="s">
        <v>427</v>
      </c>
      <c r="C7123" s="168" t="s">
        <v>7330</v>
      </c>
      <c r="D7123" s="229">
        <v>26.5</v>
      </c>
      <c r="E7123" s="229">
        <v>30.0</v>
      </c>
      <c r="F7123" s="230">
        <v>3.0</v>
      </c>
      <c r="G7123" s="232"/>
    </row>
    <row r="7124">
      <c r="A7124" s="2"/>
      <c r="B7124" s="168" t="s">
        <v>230</v>
      </c>
      <c r="C7124" s="168" t="s">
        <v>7331</v>
      </c>
      <c r="D7124" s="229">
        <v>21.5</v>
      </c>
      <c r="E7124" s="229">
        <v>25.0</v>
      </c>
      <c r="F7124" s="230">
        <v>3.0</v>
      </c>
      <c r="G7124" s="232"/>
    </row>
    <row r="7125">
      <c r="A7125" s="2"/>
      <c r="B7125" s="168" t="s">
        <v>230</v>
      </c>
      <c r="C7125" s="168" t="s">
        <v>7332</v>
      </c>
      <c r="D7125" s="229">
        <v>16.5</v>
      </c>
      <c r="E7125" s="229">
        <v>20.0</v>
      </c>
      <c r="F7125" s="230">
        <v>3.0</v>
      </c>
      <c r="G7125" s="232"/>
    </row>
    <row r="7126">
      <c r="A7126" s="2"/>
      <c r="B7126" s="168" t="s">
        <v>271</v>
      </c>
      <c r="C7126" s="168" t="s">
        <v>7333</v>
      </c>
      <c r="D7126" s="229">
        <v>29.5</v>
      </c>
      <c r="E7126" s="229">
        <v>33.0</v>
      </c>
      <c r="F7126" s="230">
        <v>3.0</v>
      </c>
      <c r="G7126" s="232"/>
    </row>
    <row r="7127">
      <c r="A7127" s="2"/>
      <c r="B7127" s="168" t="s">
        <v>230</v>
      </c>
      <c r="C7127" s="168" t="s">
        <v>7334</v>
      </c>
      <c r="D7127" s="229">
        <v>16.5</v>
      </c>
      <c r="E7127" s="229">
        <v>20.0</v>
      </c>
      <c r="F7127" s="230">
        <v>3.0</v>
      </c>
      <c r="G7127" s="232"/>
    </row>
    <row r="7128">
      <c r="A7128" s="2"/>
      <c r="B7128" s="168" t="s">
        <v>247</v>
      </c>
      <c r="C7128" s="168" t="s">
        <v>7335</v>
      </c>
      <c r="D7128" s="229">
        <v>29.5</v>
      </c>
      <c r="E7128" s="229">
        <v>33.0</v>
      </c>
      <c r="F7128" s="230">
        <v>3.0</v>
      </c>
      <c r="G7128" s="232"/>
    </row>
    <row r="7129">
      <c r="A7129" s="2"/>
      <c r="B7129" s="168" t="s">
        <v>247</v>
      </c>
      <c r="C7129" s="168" t="s">
        <v>7336</v>
      </c>
      <c r="D7129" s="229">
        <v>29.5</v>
      </c>
      <c r="E7129" s="229">
        <v>33.0</v>
      </c>
      <c r="F7129" s="230">
        <v>3.0</v>
      </c>
      <c r="G7129" s="232"/>
    </row>
    <row r="7130">
      <c r="A7130" s="2"/>
      <c r="B7130" s="168" t="s">
        <v>247</v>
      </c>
      <c r="C7130" s="168" t="s">
        <v>7337</v>
      </c>
      <c r="D7130" s="229">
        <v>24.5</v>
      </c>
      <c r="E7130" s="229">
        <v>28.0</v>
      </c>
      <c r="F7130" s="230">
        <v>3.0</v>
      </c>
      <c r="G7130" s="232"/>
    </row>
    <row r="7131">
      <c r="A7131" s="2"/>
      <c r="B7131" s="168" t="s">
        <v>2259</v>
      </c>
      <c r="C7131" s="168" t="s">
        <v>7338</v>
      </c>
      <c r="D7131" s="229">
        <v>29.5</v>
      </c>
      <c r="E7131" s="229">
        <v>33.0</v>
      </c>
      <c r="F7131" s="230">
        <v>3.0</v>
      </c>
      <c r="G7131" s="232"/>
    </row>
    <row r="7132">
      <c r="A7132" s="2"/>
      <c r="B7132" s="168" t="s">
        <v>217</v>
      </c>
      <c r="C7132" s="168" t="s">
        <v>7339</v>
      </c>
      <c r="D7132" s="229">
        <v>22.5</v>
      </c>
      <c r="E7132" s="229">
        <v>26.0</v>
      </c>
      <c r="F7132" s="230">
        <v>3.0</v>
      </c>
      <c r="G7132" s="232"/>
    </row>
    <row r="7133">
      <c r="A7133" s="2"/>
      <c r="B7133" s="168" t="s">
        <v>288</v>
      </c>
      <c r="C7133" s="168" t="s">
        <v>7340</v>
      </c>
      <c r="D7133" s="229">
        <v>21.5</v>
      </c>
      <c r="E7133" s="229">
        <v>25.0</v>
      </c>
      <c r="F7133" s="230">
        <v>3.0</v>
      </c>
      <c r="G7133" s="232"/>
    </row>
    <row r="7134">
      <c r="A7134" s="2"/>
      <c r="B7134" s="168" t="s">
        <v>241</v>
      </c>
      <c r="C7134" s="168" t="s">
        <v>7341</v>
      </c>
      <c r="D7134" s="229">
        <v>32.5</v>
      </c>
      <c r="E7134" s="229">
        <v>36.0</v>
      </c>
      <c r="F7134" s="230">
        <v>3.0</v>
      </c>
      <c r="G7134" s="232"/>
    </row>
    <row r="7135">
      <c r="A7135" s="2"/>
      <c r="B7135" s="168" t="s">
        <v>255</v>
      </c>
      <c r="C7135" s="168" t="s">
        <v>7342</v>
      </c>
      <c r="D7135" s="229">
        <v>31.5</v>
      </c>
      <c r="E7135" s="229">
        <v>35.0</v>
      </c>
      <c r="F7135" s="230">
        <v>3.0</v>
      </c>
      <c r="G7135" s="232"/>
    </row>
    <row r="7136">
      <c r="A7136" s="2"/>
      <c r="B7136" s="168" t="s">
        <v>215</v>
      </c>
      <c r="C7136" s="168" t="s">
        <v>7343</v>
      </c>
      <c r="D7136" s="229">
        <v>24.5</v>
      </c>
      <c r="E7136" s="229">
        <v>28.0</v>
      </c>
      <c r="F7136" s="230">
        <v>3.0</v>
      </c>
      <c r="G7136" s="232"/>
    </row>
    <row r="7137">
      <c r="A7137" s="2"/>
      <c r="B7137" s="168" t="s">
        <v>232</v>
      </c>
      <c r="C7137" s="168" t="s">
        <v>7344</v>
      </c>
      <c r="D7137" s="229">
        <v>32.5</v>
      </c>
      <c r="E7137" s="229">
        <v>36.0</v>
      </c>
      <c r="F7137" s="230">
        <v>3.0</v>
      </c>
      <c r="G7137" s="232"/>
    </row>
    <row r="7138">
      <c r="A7138" s="2"/>
      <c r="B7138" s="168" t="s">
        <v>337</v>
      </c>
      <c r="C7138" s="168" t="s">
        <v>7345</v>
      </c>
      <c r="D7138" s="229">
        <v>21.5</v>
      </c>
      <c r="E7138" s="229">
        <v>25.0</v>
      </c>
      <c r="F7138" s="230">
        <v>3.0</v>
      </c>
      <c r="G7138" s="232"/>
    </row>
    <row r="7139">
      <c r="A7139" s="2"/>
      <c r="B7139" s="168" t="s">
        <v>230</v>
      </c>
      <c r="C7139" s="168" t="s">
        <v>7346</v>
      </c>
      <c r="D7139" s="229">
        <v>16.5</v>
      </c>
      <c r="E7139" s="229">
        <v>20.0</v>
      </c>
      <c r="F7139" s="230">
        <v>3.0</v>
      </c>
      <c r="G7139" s="232"/>
    </row>
    <row r="7140">
      <c r="A7140" s="2"/>
      <c r="B7140" s="168" t="s">
        <v>230</v>
      </c>
      <c r="C7140" s="168" t="s">
        <v>7347</v>
      </c>
      <c r="D7140" s="229">
        <v>16.5</v>
      </c>
      <c r="E7140" s="229">
        <v>20.0</v>
      </c>
      <c r="F7140" s="230">
        <v>3.0</v>
      </c>
      <c r="G7140" s="232"/>
    </row>
    <row r="7141">
      <c r="A7141" s="2"/>
      <c r="B7141" s="168" t="s">
        <v>381</v>
      </c>
      <c r="C7141" s="168" t="s">
        <v>7348</v>
      </c>
      <c r="D7141" s="229">
        <v>28.5</v>
      </c>
      <c r="E7141" s="229">
        <v>32.0</v>
      </c>
      <c r="F7141" s="230">
        <v>3.0</v>
      </c>
      <c r="G7141" s="232"/>
    </row>
    <row r="7142">
      <c r="A7142" s="2"/>
      <c r="B7142" s="168" t="s">
        <v>217</v>
      </c>
      <c r="C7142" s="168" t="s">
        <v>7349</v>
      </c>
      <c r="D7142" s="229">
        <v>27.5</v>
      </c>
      <c r="E7142" s="229">
        <v>31.0</v>
      </c>
      <c r="F7142" s="230">
        <v>3.0</v>
      </c>
      <c r="G7142" s="232"/>
    </row>
    <row r="7143">
      <c r="A7143" s="2"/>
      <c r="B7143" s="168" t="s">
        <v>255</v>
      </c>
      <c r="C7143" s="168" t="s">
        <v>7350</v>
      </c>
      <c r="D7143" s="229">
        <v>31.5</v>
      </c>
      <c r="E7143" s="229">
        <v>35.0</v>
      </c>
      <c r="F7143" s="230">
        <v>3.0</v>
      </c>
      <c r="G7143" s="232"/>
    </row>
    <row r="7144">
      <c r="A7144" s="2"/>
      <c r="B7144" s="168" t="s">
        <v>241</v>
      </c>
      <c r="C7144" s="168" t="s">
        <v>7351</v>
      </c>
      <c r="D7144" s="229">
        <v>32.5</v>
      </c>
      <c r="E7144" s="229">
        <v>36.0</v>
      </c>
      <c r="F7144" s="230">
        <v>3.0</v>
      </c>
      <c r="G7144" s="232"/>
    </row>
    <row r="7145">
      <c r="A7145" s="2"/>
      <c r="B7145" s="168" t="s">
        <v>239</v>
      </c>
      <c r="C7145" s="168" t="s">
        <v>7352</v>
      </c>
      <c r="D7145" s="229">
        <v>28.5</v>
      </c>
      <c r="E7145" s="229">
        <v>32.0</v>
      </c>
      <c r="F7145" s="230">
        <v>3.0</v>
      </c>
      <c r="G7145" s="232"/>
    </row>
    <row r="7146">
      <c r="A7146" s="2"/>
      <c r="B7146" s="168" t="s">
        <v>215</v>
      </c>
      <c r="C7146" s="168" t="s">
        <v>7353</v>
      </c>
      <c r="D7146" s="229">
        <v>24.5</v>
      </c>
      <c r="E7146" s="229">
        <v>28.0</v>
      </c>
      <c r="F7146" s="230">
        <v>3.0</v>
      </c>
      <c r="G7146" s="232"/>
    </row>
    <row r="7147">
      <c r="A7147" s="2"/>
      <c r="B7147" s="168" t="s">
        <v>230</v>
      </c>
      <c r="C7147" s="168" t="s">
        <v>7354</v>
      </c>
      <c r="D7147" s="229">
        <v>16.5</v>
      </c>
      <c r="E7147" s="229">
        <v>20.0</v>
      </c>
      <c r="F7147" s="230">
        <v>3.0</v>
      </c>
      <c r="G7147" s="232"/>
    </row>
    <row r="7148">
      <c r="A7148" s="2"/>
      <c r="B7148" s="168" t="s">
        <v>288</v>
      </c>
      <c r="C7148" s="168" t="s">
        <v>7355</v>
      </c>
      <c r="D7148" s="229">
        <v>21.5</v>
      </c>
      <c r="E7148" s="229">
        <v>25.0</v>
      </c>
      <c r="F7148" s="230">
        <v>3.0</v>
      </c>
      <c r="G7148" s="232"/>
    </row>
    <row r="7149">
      <c r="A7149" s="2"/>
      <c r="B7149" s="168" t="s">
        <v>232</v>
      </c>
      <c r="C7149" s="168" t="s">
        <v>7356</v>
      </c>
      <c r="D7149" s="229">
        <v>31.5</v>
      </c>
      <c r="E7149" s="229">
        <v>35.0</v>
      </c>
      <c r="F7149" s="230">
        <v>3.0</v>
      </c>
      <c r="G7149" s="232"/>
    </row>
    <row r="7150">
      <c r="A7150" s="2"/>
      <c r="B7150" s="168" t="s">
        <v>288</v>
      </c>
      <c r="C7150" s="168" t="s">
        <v>7357</v>
      </c>
      <c r="D7150" s="229">
        <v>21.5</v>
      </c>
      <c r="E7150" s="229">
        <v>25.0</v>
      </c>
      <c r="F7150" s="230">
        <v>3.0</v>
      </c>
      <c r="G7150" s="232"/>
    </row>
    <row r="7151">
      <c r="A7151" s="2"/>
      <c r="B7151" s="168" t="s">
        <v>230</v>
      </c>
      <c r="C7151" s="168" t="s">
        <v>7358</v>
      </c>
      <c r="D7151" s="229">
        <v>21.5</v>
      </c>
      <c r="E7151" s="229">
        <v>25.0</v>
      </c>
      <c r="F7151" s="230">
        <v>3.0</v>
      </c>
      <c r="G7151" s="232"/>
    </row>
    <row r="7152">
      <c r="A7152" s="2"/>
      <c r="B7152" s="168" t="s">
        <v>230</v>
      </c>
      <c r="C7152" s="168" t="s">
        <v>7359</v>
      </c>
      <c r="D7152" s="229">
        <v>16.5</v>
      </c>
      <c r="E7152" s="229">
        <v>20.0</v>
      </c>
      <c r="F7152" s="230">
        <v>3.0</v>
      </c>
      <c r="G7152" s="232"/>
    </row>
    <row r="7153">
      <c r="A7153" s="2"/>
      <c r="B7153" s="168" t="s">
        <v>230</v>
      </c>
      <c r="C7153" s="168" t="s">
        <v>7360</v>
      </c>
      <c r="D7153" s="229">
        <v>16.5</v>
      </c>
      <c r="E7153" s="229">
        <v>20.0</v>
      </c>
      <c r="F7153" s="230">
        <v>3.0</v>
      </c>
      <c r="G7153" s="232"/>
    </row>
    <row r="7154">
      <c r="A7154" s="2"/>
      <c r="B7154" s="168" t="s">
        <v>230</v>
      </c>
      <c r="C7154" s="168" t="s">
        <v>7361</v>
      </c>
      <c r="D7154" s="229">
        <v>16.5</v>
      </c>
      <c r="E7154" s="229">
        <v>20.0</v>
      </c>
      <c r="F7154" s="230">
        <v>3.0</v>
      </c>
      <c r="G7154" s="232"/>
    </row>
    <row r="7155">
      <c r="A7155" s="2"/>
      <c r="B7155" s="168" t="s">
        <v>230</v>
      </c>
      <c r="C7155" s="168" t="s">
        <v>7362</v>
      </c>
      <c r="D7155" s="229">
        <v>16.5</v>
      </c>
      <c r="E7155" s="229">
        <v>20.0</v>
      </c>
      <c r="F7155" s="230">
        <v>3.0</v>
      </c>
      <c r="G7155" s="232"/>
    </row>
    <row r="7156">
      <c r="A7156" s="2"/>
      <c r="B7156" s="168" t="s">
        <v>255</v>
      </c>
      <c r="C7156" s="168" t="s">
        <v>7363</v>
      </c>
      <c r="D7156" s="229">
        <v>31.5</v>
      </c>
      <c r="E7156" s="229">
        <v>35.0</v>
      </c>
      <c r="F7156" s="230">
        <v>3.0</v>
      </c>
      <c r="G7156" s="232"/>
    </row>
    <row r="7157">
      <c r="A7157" s="2"/>
      <c r="B7157" s="168" t="s">
        <v>217</v>
      </c>
      <c r="C7157" s="168" t="s">
        <v>7364</v>
      </c>
      <c r="D7157" s="229">
        <v>27.5</v>
      </c>
      <c r="E7157" s="229">
        <v>31.0</v>
      </c>
      <c r="F7157" s="230">
        <v>3.0</v>
      </c>
      <c r="G7157" s="232"/>
    </row>
    <row r="7158">
      <c r="A7158" s="2"/>
      <c r="B7158" s="168" t="s">
        <v>243</v>
      </c>
      <c r="C7158" s="168" t="s">
        <v>7365</v>
      </c>
      <c r="D7158" s="229">
        <v>29.5</v>
      </c>
      <c r="E7158" s="229">
        <v>33.0</v>
      </c>
      <c r="F7158" s="230">
        <v>3.0</v>
      </c>
      <c r="G7158" s="232"/>
    </row>
    <row r="7159">
      <c r="A7159" s="2"/>
      <c r="B7159" s="168" t="s">
        <v>217</v>
      </c>
      <c r="C7159" s="168" t="s">
        <v>7366</v>
      </c>
      <c r="D7159" s="229">
        <v>27.5</v>
      </c>
      <c r="E7159" s="229">
        <v>31.0</v>
      </c>
      <c r="F7159" s="230">
        <v>3.0</v>
      </c>
      <c r="G7159" s="232"/>
    </row>
    <row r="7160">
      <c r="A7160" s="2"/>
      <c r="B7160" s="168" t="s">
        <v>243</v>
      </c>
      <c r="C7160" s="168" t="s">
        <v>7367</v>
      </c>
      <c r="D7160" s="229">
        <v>29.5</v>
      </c>
      <c r="E7160" s="229">
        <v>33.0</v>
      </c>
      <c r="F7160" s="230">
        <v>3.0</v>
      </c>
      <c r="G7160" s="232"/>
    </row>
    <row r="7161">
      <c r="A7161" s="2"/>
      <c r="B7161" s="168" t="s">
        <v>217</v>
      </c>
      <c r="C7161" s="168" t="s">
        <v>7368</v>
      </c>
      <c r="D7161" s="229">
        <v>27.5</v>
      </c>
      <c r="E7161" s="229">
        <v>31.0</v>
      </c>
      <c r="F7161" s="230">
        <v>3.0</v>
      </c>
      <c r="G7161" s="232"/>
    </row>
    <row r="7162">
      <c r="A7162" s="2"/>
      <c r="B7162" s="168" t="s">
        <v>215</v>
      </c>
      <c r="C7162" s="168" t="s">
        <v>7369</v>
      </c>
      <c r="D7162" s="229">
        <v>27.5</v>
      </c>
      <c r="E7162" s="229">
        <v>31.0</v>
      </c>
      <c r="F7162" s="230">
        <v>3.0</v>
      </c>
      <c r="G7162" s="232"/>
    </row>
    <row r="7163">
      <c r="A7163" s="2"/>
      <c r="B7163" s="168" t="s">
        <v>337</v>
      </c>
      <c r="C7163" s="168" t="s">
        <v>7370</v>
      </c>
      <c r="D7163" s="229">
        <v>29.0</v>
      </c>
      <c r="E7163" s="229">
        <v>32.5</v>
      </c>
      <c r="F7163" s="230">
        <v>3.0</v>
      </c>
      <c r="G7163" s="232"/>
    </row>
    <row r="7164">
      <c r="A7164" s="2"/>
      <c r="B7164" s="168" t="s">
        <v>438</v>
      </c>
      <c r="C7164" s="168" t="s">
        <v>7371</v>
      </c>
      <c r="D7164" s="229">
        <v>29.5</v>
      </c>
      <c r="E7164" s="229">
        <v>33.0</v>
      </c>
      <c r="F7164" s="230">
        <v>3.0</v>
      </c>
      <c r="G7164" s="232"/>
    </row>
    <row r="7165">
      <c r="A7165" s="2"/>
      <c r="B7165" s="168" t="s">
        <v>223</v>
      </c>
      <c r="C7165" s="168" t="s">
        <v>7372</v>
      </c>
      <c r="D7165" s="229">
        <v>26.5</v>
      </c>
      <c r="E7165" s="229">
        <v>30.0</v>
      </c>
      <c r="F7165" s="230">
        <v>3.0</v>
      </c>
      <c r="G7165" s="232"/>
    </row>
    <row r="7166">
      <c r="A7166" s="2"/>
      <c r="B7166" s="168" t="s">
        <v>215</v>
      </c>
      <c r="C7166" s="168" t="s">
        <v>7373</v>
      </c>
      <c r="D7166" s="229">
        <v>27.5</v>
      </c>
      <c r="E7166" s="229">
        <v>31.0</v>
      </c>
      <c r="F7166" s="230">
        <v>3.0</v>
      </c>
      <c r="G7166" s="232"/>
    </row>
    <row r="7167">
      <c r="A7167" s="2"/>
      <c r="B7167" s="168" t="s">
        <v>234</v>
      </c>
      <c r="C7167" s="168" t="s">
        <v>7374</v>
      </c>
      <c r="D7167" s="229">
        <v>29.5</v>
      </c>
      <c r="E7167" s="229">
        <v>33.0</v>
      </c>
      <c r="F7167" s="230">
        <v>3.0</v>
      </c>
      <c r="G7167" s="232"/>
    </row>
    <row r="7168">
      <c r="A7168" s="2"/>
      <c r="B7168" s="168" t="s">
        <v>273</v>
      </c>
      <c r="C7168" s="168" t="s">
        <v>7375</v>
      </c>
      <c r="D7168" s="229">
        <v>29.5</v>
      </c>
      <c r="E7168" s="229">
        <v>33.0</v>
      </c>
      <c r="F7168" s="230">
        <v>3.0</v>
      </c>
      <c r="G7168" s="232"/>
    </row>
    <row r="7169">
      <c r="A7169" s="2"/>
      <c r="B7169" s="168" t="s">
        <v>234</v>
      </c>
      <c r="C7169" s="168" t="s">
        <v>7376</v>
      </c>
      <c r="D7169" s="229">
        <v>24.5</v>
      </c>
      <c r="E7169" s="229">
        <v>28.0</v>
      </c>
      <c r="F7169" s="230">
        <v>3.0</v>
      </c>
      <c r="G7169" s="232"/>
    </row>
    <row r="7170">
      <c r="A7170" s="2"/>
      <c r="B7170" s="168" t="s">
        <v>245</v>
      </c>
      <c r="C7170" s="168" t="s">
        <v>7377</v>
      </c>
      <c r="D7170" s="229">
        <v>29.5</v>
      </c>
      <c r="E7170" s="229">
        <v>33.0</v>
      </c>
      <c r="F7170" s="230">
        <v>3.0</v>
      </c>
      <c r="G7170" s="232"/>
    </row>
    <row r="7171">
      <c r="A7171" s="2"/>
      <c r="B7171" s="168" t="s">
        <v>217</v>
      </c>
      <c r="C7171" s="168" t="s">
        <v>7378</v>
      </c>
      <c r="D7171" s="229">
        <v>22.5</v>
      </c>
      <c r="E7171" s="229">
        <v>26.0</v>
      </c>
      <c r="F7171" s="230">
        <v>3.0</v>
      </c>
      <c r="G7171" s="232"/>
    </row>
    <row r="7172">
      <c r="A7172" s="2"/>
      <c r="B7172" s="168" t="s">
        <v>217</v>
      </c>
      <c r="C7172" s="168" t="s">
        <v>7379</v>
      </c>
      <c r="D7172" s="229">
        <v>27.5</v>
      </c>
      <c r="E7172" s="229">
        <v>31.0</v>
      </c>
      <c r="F7172" s="230">
        <v>3.0</v>
      </c>
      <c r="G7172" s="232"/>
    </row>
    <row r="7173">
      <c r="A7173" s="2"/>
      <c r="B7173" s="168" t="s">
        <v>217</v>
      </c>
      <c r="C7173" s="168" t="s">
        <v>7380</v>
      </c>
      <c r="D7173" s="229">
        <v>27.5</v>
      </c>
      <c r="E7173" s="229">
        <v>31.0</v>
      </c>
      <c r="F7173" s="230">
        <v>3.0</v>
      </c>
      <c r="G7173" s="232"/>
    </row>
    <row r="7174">
      <c r="A7174" s="2"/>
      <c r="B7174" s="168" t="s">
        <v>230</v>
      </c>
      <c r="C7174" s="168" t="s">
        <v>7381</v>
      </c>
      <c r="D7174" s="229">
        <v>21.5</v>
      </c>
      <c r="E7174" s="229">
        <v>25.0</v>
      </c>
      <c r="F7174" s="230">
        <v>3.0</v>
      </c>
      <c r="G7174" s="232"/>
    </row>
    <row r="7175">
      <c r="A7175" s="2"/>
      <c r="B7175" s="168" t="s">
        <v>241</v>
      </c>
      <c r="C7175" s="168" t="s">
        <v>7382</v>
      </c>
      <c r="D7175" s="229">
        <v>32.5</v>
      </c>
      <c r="E7175" s="229">
        <v>36.0</v>
      </c>
      <c r="F7175" s="230">
        <v>3.0</v>
      </c>
      <c r="G7175" s="232"/>
    </row>
    <row r="7176">
      <c r="A7176" s="2"/>
      <c r="B7176" s="168" t="s">
        <v>217</v>
      </c>
      <c r="C7176" s="168" t="s">
        <v>7383</v>
      </c>
      <c r="D7176" s="229">
        <v>27.5</v>
      </c>
      <c r="E7176" s="229">
        <v>31.0</v>
      </c>
      <c r="F7176" s="230">
        <v>3.0</v>
      </c>
      <c r="G7176" s="232"/>
    </row>
    <row r="7177">
      <c r="A7177" s="2"/>
      <c r="B7177" s="168" t="s">
        <v>280</v>
      </c>
      <c r="C7177" s="168" t="s">
        <v>7384</v>
      </c>
      <c r="D7177" s="229">
        <v>28.5</v>
      </c>
      <c r="E7177" s="229">
        <v>32.0</v>
      </c>
      <c r="F7177" s="230">
        <v>3.0</v>
      </c>
      <c r="G7177" s="232"/>
    </row>
    <row r="7178">
      <c r="A7178" s="2"/>
      <c r="B7178" s="168" t="s">
        <v>223</v>
      </c>
      <c r="C7178" s="168" t="s">
        <v>7385</v>
      </c>
      <c r="D7178" s="229">
        <v>26.5</v>
      </c>
      <c r="E7178" s="229">
        <v>30.0</v>
      </c>
      <c r="F7178" s="230">
        <v>3.0</v>
      </c>
      <c r="G7178" s="232"/>
    </row>
    <row r="7179">
      <c r="A7179" s="2"/>
      <c r="B7179" s="168" t="s">
        <v>232</v>
      </c>
      <c r="C7179" s="168" t="s">
        <v>7386</v>
      </c>
      <c r="D7179" s="229">
        <v>32.5</v>
      </c>
      <c r="E7179" s="229">
        <v>36.0</v>
      </c>
      <c r="F7179" s="230">
        <v>3.0</v>
      </c>
      <c r="G7179" s="232"/>
    </row>
    <row r="7180">
      <c r="A7180" s="2"/>
      <c r="B7180" s="168" t="s">
        <v>230</v>
      </c>
      <c r="C7180" s="168" t="s">
        <v>7387</v>
      </c>
      <c r="D7180" s="229">
        <v>16.5</v>
      </c>
      <c r="E7180" s="229">
        <v>20.0</v>
      </c>
      <c r="F7180" s="230">
        <v>3.0</v>
      </c>
      <c r="G7180" s="232"/>
    </row>
    <row r="7181">
      <c r="A7181" s="2"/>
      <c r="B7181" s="168" t="s">
        <v>230</v>
      </c>
      <c r="C7181" s="168" t="s">
        <v>7388</v>
      </c>
      <c r="D7181" s="229">
        <v>16.5</v>
      </c>
      <c r="E7181" s="229">
        <v>20.0</v>
      </c>
      <c r="F7181" s="230">
        <v>3.0</v>
      </c>
      <c r="G7181" s="232"/>
    </row>
    <row r="7182">
      <c r="A7182" s="2"/>
      <c r="B7182" s="168" t="s">
        <v>404</v>
      </c>
      <c r="C7182" s="168" t="s">
        <v>7389</v>
      </c>
      <c r="D7182" s="229">
        <v>29.5</v>
      </c>
      <c r="E7182" s="229">
        <v>33.0</v>
      </c>
      <c r="F7182" s="230">
        <v>3.0</v>
      </c>
      <c r="G7182" s="232"/>
    </row>
    <row r="7183">
      <c r="A7183" s="2"/>
      <c r="B7183" s="168" t="s">
        <v>581</v>
      </c>
      <c r="C7183" s="168" t="s">
        <v>7390</v>
      </c>
      <c r="D7183" s="229">
        <v>23.5</v>
      </c>
      <c r="E7183" s="229">
        <v>27.0</v>
      </c>
      <c r="F7183" s="230">
        <v>3.0</v>
      </c>
      <c r="G7183" s="232"/>
    </row>
    <row r="7184">
      <c r="A7184" s="2"/>
      <c r="B7184" s="168" t="s">
        <v>446</v>
      </c>
      <c r="C7184" s="168" t="s">
        <v>7391</v>
      </c>
      <c r="D7184" s="229">
        <v>9.5</v>
      </c>
      <c r="E7184" s="229">
        <v>9.5</v>
      </c>
      <c r="F7184" s="230">
        <v>3.0</v>
      </c>
      <c r="G7184" s="232"/>
    </row>
    <row r="7185">
      <c r="A7185" s="2"/>
      <c r="B7185" s="168" t="s">
        <v>219</v>
      </c>
      <c r="C7185" s="168" t="s">
        <v>7392</v>
      </c>
      <c r="D7185" s="229">
        <v>28.5</v>
      </c>
      <c r="E7185" s="229">
        <v>32.0</v>
      </c>
      <c r="F7185" s="230">
        <v>3.0</v>
      </c>
      <c r="G7185" s="232"/>
    </row>
    <row r="7186">
      <c r="A7186" s="2"/>
      <c r="B7186" s="168" t="s">
        <v>234</v>
      </c>
      <c r="C7186" s="168" t="s">
        <v>7393</v>
      </c>
      <c r="D7186" s="229">
        <v>29.5</v>
      </c>
      <c r="E7186" s="229">
        <v>33.0</v>
      </c>
      <c r="F7186" s="230">
        <v>3.0</v>
      </c>
      <c r="G7186" s="232"/>
    </row>
    <row r="7187">
      <c r="A7187" s="2"/>
      <c r="B7187" s="168" t="s">
        <v>217</v>
      </c>
      <c r="C7187" s="168" t="s">
        <v>7394</v>
      </c>
      <c r="D7187" s="229">
        <v>27.5</v>
      </c>
      <c r="E7187" s="229">
        <v>31.0</v>
      </c>
      <c r="F7187" s="230">
        <v>3.0</v>
      </c>
      <c r="G7187" s="232"/>
    </row>
    <row r="7188">
      <c r="A7188" s="2"/>
      <c r="B7188" s="168" t="s">
        <v>223</v>
      </c>
      <c r="C7188" s="168" t="s">
        <v>7395</v>
      </c>
      <c r="D7188" s="229">
        <v>26.5</v>
      </c>
      <c r="E7188" s="229">
        <v>30.0</v>
      </c>
      <c r="F7188" s="230">
        <v>3.0</v>
      </c>
      <c r="G7188" s="232"/>
    </row>
    <row r="7189">
      <c r="A7189" s="2"/>
      <c r="B7189" s="168" t="s">
        <v>341</v>
      </c>
      <c r="C7189" s="168" t="s">
        <v>7396</v>
      </c>
      <c r="D7189" s="229">
        <v>29.5</v>
      </c>
      <c r="E7189" s="229">
        <v>29.5</v>
      </c>
      <c r="F7189" s="230">
        <v>3.0</v>
      </c>
      <c r="G7189" s="232"/>
    </row>
    <row r="7190">
      <c r="A7190" s="2"/>
      <c r="B7190" s="168" t="s">
        <v>341</v>
      </c>
      <c r="C7190" s="168" t="s">
        <v>7397</v>
      </c>
      <c r="D7190" s="229">
        <v>29.5</v>
      </c>
      <c r="E7190" s="229">
        <v>29.5</v>
      </c>
      <c r="F7190" s="230">
        <v>3.0</v>
      </c>
      <c r="G7190" s="232"/>
    </row>
    <row r="7191">
      <c r="A7191" s="2"/>
      <c r="B7191" s="168" t="s">
        <v>217</v>
      </c>
      <c r="C7191" s="168" t="s">
        <v>7398</v>
      </c>
      <c r="D7191" s="229">
        <v>27.5</v>
      </c>
      <c r="E7191" s="229">
        <v>31.0</v>
      </c>
      <c r="F7191" s="230">
        <v>3.0</v>
      </c>
      <c r="G7191" s="232"/>
    </row>
    <row r="7192">
      <c r="A7192" s="2"/>
      <c r="B7192" s="168" t="s">
        <v>245</v>
      </c>
      <c r="C7192" s="168" t="s">
        <v>7399</v>
      </c>
      <c r="D7192" s="229">
        <v>29.5</v>
      </c>
      <c r="E7192" s="229">
        <v>33.0</v>
      </c>
      <c r="F7192" s="230">
        <v>3.0</v>
      </c>
      <c r="G7192" s="232"/>
    </row>
    <row r="7193">
      <c r="A7193" s="2"/>
      <c r="B7193" s="168" t="s">
        <v>446</v>
      </c>
      <c r="C7193" s="168" t="s">
        <v>7400</v>
      </c>
      <c r="D7193" s="229">
        <v>9.5</v>
      </c>
      <c r="E7193" s="229">
        <v>9.5</v>
      </c>
      <c r="F7193" s="230">
        <v>3.0</v>
      </c>
      <c r="G7193" s="232"/>
    </row>
    <row r="7194">
      <c r="A7194" s="2"/>
      <c r="B7194" s="168" t="s">
        <v>255</v>
      </c>
      <c r="C7194" s="168" t="s">
        <v>7401</v>
      </c>
      <c r="D7194" s="229">
        <v>31.5</v>
      </c>
      <c r="E7194" s="229">
        <v>35.0</v>
      </c>
      <c r="F7194" s="230">
        <v>3.0</v>
      </c>
      <c r="G7194" s="232"/>
    </row>
    <row r="7195">
      <c r="A7195" s="2"/>
      <c r="B7195" s="168" t="s">
        <v>232</v>
      </c>
      <c r="C7195" s="168" t="s">
        <v>7402</v>
      </c>
      <c r="D7195" s="229">
        <v>27.5</v>
      </c>
      <c r="E7195" s="229">
        <v>31.0</v>
      </c>
      <c r="F7195" s="230">
        <v>3.0</v>
      </c>
      <c r="G7195" s="232"/>
    </row>
    <row r="7196">
      <c r="A7196" s="2"/>
      <c r="B7196" s="168" t="s">
        <v>446</v>
      </c>
      <c r="C7196" s="168" t="s">
        <v>7403</v>
      </c>
      <c r="D7196" s="229">
        <v>4.5</v>
      </c>
      <c r="E7196" s="229">
        <v>4.5</v>
      </c>
      <c r="F7196" s="230">
        <v>3.0</v>
      </c>
      <c r="G7196" s="232"/>
    </row>
    <row r="7197">
      <c r="A7197" s="2"/>
      <c r="B7197" s="168" t="s">
        <v>381</v>
      </c>
      <c r="C7197" s="168" t="s">
        <v>7404</v>
      </c>
      <c r="D7197" s="229">
        <v>28.5</v>
      </c>
      <c r="E7197" s="229">
        <v>32.0</v>
      </c>
      <c r="F7197" s="230">
        <v>3.0</v>
      </c>
      <c r="G7197" s="232"/>
    </row>
    <row r="7198">
      <c r="A7198" s="2"/>
      <c r="B7198" s="168" t="s">
        <v>288</v>
      </c>
      <c r="C7198" s="168" t="s">
        <v>7405</v>
      </c>
      <c r="D7198" s="229">
        <v>21.5</v>
      </c>
      <c r="E7198" s="229">
        <v>25.0</v>
      </c>
      <c r="F7198" s="230">
        <v>3.0</v>
      </c>
      <c r="G7198" s="232"/>
    </row>
    <row r="7199">
      <c r="A7199" s="2"/>
      <c r="B7199" s="168" t="s">
        <v>232</v>
      </c>
      <c r="C7199" s="168" t="s">
        <v>7406</v>
      </c>
      <c r="D7199" s="229">
        <v>25.5</v>
      </c>
      <c r="E7199" s="229">
        <v>29.0</v>
      </c>
      <c r="F7199" s="230">
        <v>3.0</v>
      </c>
      <c r="G7199" s="232"/>
    </row>
    <row r="7200">
      <c r="A7200" s="2"/>
      <c r="B7200" s="168" t="s">
        <v>232</v>
      </c>
      <c r="C7200" s="168" t="s">
        <v>7407</v>
      </c>
      <c r="D7200" s="229">
        <v>31.5</v>
      </c>
      <c r="E7200" s="229">
        <v>35.0</v>
      </c>
      <c r="F7200" s="230">
        <v>3.0</v>
      </c>
      <c r="G7200" s="232"/>
    </row>
    <row r="7201">
      <c r="A7201" s="2"/>
      <c r="B7201" s="168" t="s">
        <v>245</v>
      </c>
      <c r="C7201" s="168" t="s">
        <v>7408</v>
      </c>
      <c r="D7201" s="229">
        <v>29.5</v>
      </c>
      <c r="E7201" s="229">
        <v>33.0</v>
      </c>
      <c r="F7201" s="230">
        <v>3.0</v>
      </c>
      <c r="G7201" s="232"/>
    </row>
    <row r="7202">
      <c r="A7202" s="2"/>
      <c r="B7202" s="168" t="s">
        <v>337</v>
      </c>
      <c r="C7202" s="168" t="s">
        <v>7409</v>
      </c>
      <c r="D7202" s="229">
        <v>28.5</v>
      </c>
      <c r="E7202" s="229">
        <v>32.0</v>
      </c>
      <c r="F7202" s="230">
        <v>3.0</v>
      </c>
      <c r="G7202" s="232"/>
    </row>
    <row r="7203">
      <c r="A7203" s="2"/>
      <c r="B7203" s="168" t="s">
        <v>221</v>
      </c>
      <c r="C7203" s="168" t="s">
        <v>7410</v>
      </c>
      <c r="D7203" s="229">
        <v>27.5</v>
      </c>
      <c r="E7203" s="229">
        <v>31.0</v>
      </c>
      <c r="F7203" s="230">
        <v>3.0</v>
      </c>
      <c r="G7203" s="232"/>
    </row>
    <row r="7204">
      <c r="A7204" s="2"/>
      <c r="B7204" s="168" t="s">
        <v>581</v>
      </c>
      <c r="C7204" s="168" t="s">
        <v>7411</v>
      </c>
      <c r="D7204" s="229">
        <v>26.5</v>
      </c>
      <c r="E7204" s="229">
        <v>30.0</v>
      </c>
      <c r="F7204" s="230">
        <v>3.0</v>
      </c>
      <c r="G7204" s="232"/>
    </row>
    <row r="7205">
      <c r="A7205" s="2"/>
      <c r="B7205" s="168" t="s">
        <v>290</v>
      </c>
      <c r="C7205" s="168" t="s">
        <v>7412</v>
      </c>
      <c r="D7205" s="229">
        <v>29.5</v>
      </c>
      <c r="E7205" s="229">
        <v>33.0</v>
      </c>
      <c r="F7205" s="230">
        <v>3.0</v>
      </c>
      <c r="G7205" s="232"/>
    </row>
    <row r="7206">
      <c r="A7206" s="2"/>
      <c r="B7206" s="168" t="s">
        <v>288</v>
      </c>
      <c r="C7206" s="168" t="s">
        <v>7413</v>
      </c>
      <c r="D7206" s="229">
        <v>21.5</v>
      </c>
      <c r="E7206" s="229">
        <v>25.0</v>
      </c>
      <c r="F7206" s="230">
        <v>3.0</v>
      </c>
      <c r="G7206" s="232"/>
    </row>
    <row r="7207">
      <c r="A7207" s="2"/>
      <c r="B7207" s="168" t="s">
        <v>288</v>
      </c>
      <c r="C7207" s="168" t="s">
        <v>7414</v>
      </c>
      <c r="D7207" s="229">
        <v>21.5</v>
      </c>
      <c r="E7207" s="229">
        <v>25.0</v>
      </c>
      <c r="F7207" s="230">
        <v>3.0</v>
      </c>
      <c r="G7207" s="232"/>
    </row>
    <row r="7208">
      <c r="A7208" s="2"/>
      <c r="B7208" s="168" t="s">
        <v>381</v>
      </c>
      <c r="C7208" s="168" t="s">
        <v>7415</v>
      </c>
      <c r="D7208" s="229">
        <v>28.5</v>
      </c>
      <c r="E7208" s="229">
        <v>32.0</v>
      </c>
      <c r="F7208" s="230">
        <v>3.0</v>
      </c>
      <c r="G7208" s="232"/>
    </row>
    <row r="7209">
      <c r="A7209" s="2"/>
      <c r="B7209" s="168" t="s">
        <v>230</v>
      </c>
      <c r="C7209" s="168" t="s">
        <v>7416</v>
      </c>
      <c r="D7209" s="229">
        <v>21.5</v>
      </c>
      <c r="E7209" s="229">
        <v>25.0</v>
      </c>
      <c r="F7209" s="230">
        <v>3.0</v>
      </c>
      <c r="G7209" s="232"/>
    </row>
    <row r="7210">
      <c r="A7210" s="2"/>
      <c r="B7210" s="168" t="s">
        <v>332</v>
      </c>
      <c r="C7210" s="168" t="s">
        <v>7417</v>
      </c>
      <c r="D7210" s="229">
        <v>28.5</v>
      </c>
      <c r="E7210" s="229">
        <v>32.0</v>
      </c>
      <c r="F7210" s="230">
        <v>3.0</v>
      </c>
      <c r="G7210" s="232"/>
    </row>
    <row r="7211">
      <c r="A7211" s="2"/>
      <c r="B7211" s="168" t="s">
        <v>215</v>
      </c>
      <c r="C7211" s="168" t="s">
        <v>7418</v>
      </c>
      <c r="D7211" s="229">
        <v>29.5</v>
      </c>
      <c r="E7211" s="229">
        <v>33.0</v>
      </c>
      <c r="F7211" s="230">
        <v>3.0</v>
      </c>
      <c r="G7211" s="232"/>
    </row>
    <row r="7212">
      <c r="A7212" s="2"/>
      <c r="B7212" s="168" t="s">
        <v>217</v>
      </c>
      <c r="C7212" s="168" t="s">
        <v>7419</v>
      </c>
      <c r="D7212" s="229">
        <v>27.5</v>
      </c>
      <c r="E7212" s="229">
        <v>31.0</v>
      </c>
      <c r="F7212" s="230">
        <v>3.0</v>
      </c>
      <c r="G7212" s="232"/>
    </row>
    <row r="7213">
      <c r="A7213" s="2"/>
      <c r="B7213" s="168" t="s">
        <v>300</v>
      </c>
      <c r="C7213" s="168" t="s">
        <v>7420</v>
      </c>
      <c r="D7213" s="229">
        <v>21.5</v>
      </c>
      <c r="E7213" s="229">
        <v>25.0</v>
      </c>
      <c r="F7213" s="230">
        <v>3.0</v>
      </c>
      <c r="G7213" s="232"/>
    </row>
    <row r="7214">
      <c r="A7214" s="2"/>
      <c r="B7214" s="168" t="s">
        <v>348</v>
      </c>
      <c r="C7214" s="168" t="s">
        <v>7421</v>
      </c>
      <c r="D7214" s="229">
        <v>24.5</v>
      </c>
      <c r="E7214" s="229">
        <v>28.0</v>
      </c>
      <c r="F7214" s="230">
        <v>3.0</v>
      </c>
      <c r="G7214" s="232"/>
    </row>
    <row r="7215">
      <c r="A7215" s="2"/>
      <c r="B7215" s="168" t="s">
        <v>221</v>
      </c>
      <c r="C7215" s="168" t="s">
        <v>7422</v>
      </c>
      <c r="D7215" s="229">
        <v>27.5</v>
      </c>
      <c r="E7215" s="229">
        <v>31.0</v>
      </c>
      <c r="F7215" s="230">
        <v>3.0</v>
      </c>
      <c r="G7215" s="232"/>
    </row>
    <row r="7216">
      <c r="A7216" s="2"/>
      <c r="B7216" s="168" t="s">
        <v>406</v>
      </c>
      <c r="C7216" s="168" t="s">
        <v>7423</v>
      </c>
      <c r="D7216" s="229">
        <v>29.5</v>
      </c>
      <c r="E7216" s="229">
        <v>33.0</v>
      </c>
      <c r="F7216" s="230">
        <v>3.0</v>
      </c>
      <c r="G7216" s="232"/>
    </row>
    <row r="7217">
      <c r="A7217" s="2"/>
      <c r="B7217" s="168" t="s">
        <v>345</v>
      </c>
      <c r="C7217" s="168" t="s">
        <v>7424</v>
      </c>
      <c r="D7217" s="229">
        <v>26.5</v>
      </c>
      <c r="E7217" s="229">
        <v>30.0</v>
      </c>
      <c r="F7217" s="230">
        <v>3.0</v>
      </c>
      <c r="G7217" s="232"/>
    </row>
    <row r="7218">
      <c r="A7218" s="2"/>
      <c r="B7218" s="168" t="s">
        <v>243</v>
      </c>
      <c r="C7218" s="168" t="s">
        <v>7425</v>
      </c>
      <c r="D7218" s="229">
        <v>29.5</v>
      </c>
      <c r="E7218" s="229">
        <v>33.0</v>
      </c>
      <c r="F7218" s="230">
        <v>3.0</v>
      </c>
      <c r="G7218" s="232"/>
    </row>
    <row r="7219">
      <c r="A7219" s="2"/>
      <c r="B7219" s="168" t="s">
        <v>232</v>
      </c>
      <c r="C7219" s="168" t="s">
        <v>7426</v>
      </c>
      <c r="D7219" s="229">
        <v>25.0</v>
      </c>
      <c r="E7219" s="229">
        <v>28.5</v>
      </c>
      <c r="F7219" s="230">
        <v>3.0</v>
      </c>
      <c r="G7219" s="232"/>
    </row>
    <row r="7220">
      <c r="A7220" s="2"/>
      <c r="B7220" s="168" t="s">
        <v>230</v>
      </c>
      <c r="C7220" s="168" t="s">
        <v>7427</v>
      </c>
      <c r="D7220" s="229">
        <v>21.5</v>
      </c>
      <c r="E7220" s="229">
        <v>25.0</v>
      </c>
      <c r="F7220" s="230">
        <v>3.0</v>
      </c>
      <c r="G7220" s="232"/>
    </row>
    <row r="7221">
      <c r="A7221" s="2"/>
      <c r="B7221" s="168" t="s">
        <v>243</v>
      </c>
      <c r="C7221" s="168" t="s">
        <v>7428</v>
      </c>
      <c r="D7221" s="229">
        <v>29.5</v>
      </c>
      <c r="E7221" s="229">
        <v>33.0</v>
      </c>
      <c r="F7221" s="230">
        <v>3.0</v>
      </c>
      <c r="G7221" s="232"/>
    </row>
    <row r="7222">
      <c r="A7222" s="2"/>
      <c r="B7222" s="168" t="s">
        <v>239</v>
      </c>
      <c r="C7222" s="168" t="s">
        <v>7429</v>
      </c>
      <c r="D7222" s="229">
        <v>29.5</v>
      </c>
      <c r="E7222" s="229">
        <v>33.0</v>
      </c>
      <c r="F7222" s="230">
        <v>3.0</v>
      </c>
      <c r="G7222" s="232"/>
    </row>
    <row r="7223">
      <c r="A7223" s="2"/>
      <c r="B7223" s="168" t="s">
        <v>239</v>
      </c>
      <c r="C7223" s="168" t="s">
        <v>7430</v>
      </c>
      <c r="D7223" s="229">
        <v>29.5</v>
      </c>
      <c r="E7223" s="229">
        <v>33.0</v>
      </c>
      <c r="F7223" s="230">
        <v>3.0</v>
      </c>
      <c r="G7223" s="232"/>
    </row>
    <row r="7224">
      <c r="A7224" s="2"/>
      <c r="B7224" s="168" t="s">
        <v>243</v>
      </c>
      <c r="C7224" s="168" t="s">
        <v>7431</v>
      </c>
      <c r="D7224" s="229">
        <v>29.5</v>
      </c>
      <c r="E7224" s="229">
        <v>33.0</v>
      </c>
      <c r="F7224" s="230">
        <v>3.0</v>
      </c>
      <c r="G7224" s="232"/>
    </row>
    <row r="7225">
      <c r="A7225" s="2"/>
      <c r="B7225" s="168" t="s">
        <v>245</v>
      </c>
      <c r="C7225" s="168" t="s">
        <v>7432</v>
      </c>
      <c r="D7225" s="229">
        <v>24.5</v>
      </c>
      <c r="E7225" s="229">
        <v>28.0</v>
      </c>
      <c r="F7225" s="230">
        <v>3.0</v>
      </c>
      <c r="G7225" s="232"/>
    </row>
    <row r="7226">
      <c r="A7226" s="2"/>
      <c r="B7226" s="168" t="s">
        <v>230</v>
      </c>
      <c r="C7226" s="168" t="s">
        <v>7433</v>
      </c>
      <c r="D7226" s="229">
        <v>21.5</v>
      </c>
      <c r="E7226" s="229">
        <v>25.0</v>
      </c>
      <c r="F7226" s="230">
        <v>3.0</v>
      </c>
      <c r="G7226" s="232"/>
    </row>
    <row r="7227">
      <c r="A7227" s="2"/>
      <c r="B7227" s="168" t="s">
        <v>230</v>
      </c>
      <c r="C7227" s="168" t="s">
        <v>7434</v>
      </c>
      <c r="D7227" s="229">
        <v>21.5</v>
      </c>
      <c r="E7227" s="229">
        <v>25.0</v>
      </c>
      <c r="F7227" s="230">
        <v>3.0</v>
      </c>
      <c r="G7227" s="232"/>
    </row>
    <row r="7228">
      <c r="A7228" s="2"/>
      <c r="B7228" s="168" t="s">
        <v>243</v>
      </c>
      <c r="C7228" s="168" t="s">
        <v>7435</v>
      </c>
      <c r="D7228" s="229">
        <v>29.5</v>
      </c>
      <c r="E7228" s="229">
        <v>33.0</v>
      </c>
      <c r="F7228" s="230">
        <v>3.0</v>
      </c>
      <c r="G7228" s="232"/>
    </row>
    <row r="7229">
      <c r="A7229" s="2"/>
      <c r="B7229" s="168" t="s">
        <v>255</v>
      </c>
      <c r="C7229" s="168" t="s">
        <v>7436</v>
      </c>
      <c r="D7229" s="229">
        <v>31.5</v>
      </c>
      <c r="E7229" s="229">
        <v>35.0</v>
      </c>
      <c r="F7229" s="230">
        <v>3.0</v>
      </c>
      <c r="G7229" s="232"/>
    </row>
    <row r="7230">
      <c r="A7230" s="2"/>
      <c r="B7230" s="168" t="s">
        <v>576</v>
      </c>
      <c r="C7230" s="168" t="s">
        <v>7437</v>
      </c>
      <c r="D7230" s="229">
        <v>24.5</v>
      </c>
      <c r="E7230" s="229">
        <v>28.0</v>
      </c>
      <c r="F7230" s="230">
        <v>3.0</v>
      </c>
      <c r="G7230" s="232"/>
    </row>
    <row r="7231">
      <c r="A7231" s="2"/>
      <c r="B7231" s="168" t="s">
        <v>576</v>
      </c>
      <c r="C7231" s="168" t="s">
        <v>7438</v>
      </c>
      <c r="D7231" s="229">
        <v>24.5</v>
      </c>
      <c r="E7231" s="229">
        <v>28.0</v>
      </c>
      <c r="F7231" s="230">
        <v>3.0</v>
      </c>
      <c r="G7231" s="232"/>
    </row>
    <row r="7232">
      <c r="A7232" s="2"/>
      <c r="B7232" s="168" t="s">
        <v>255</v>
      </c>
      <c r="C7232" s="168" t="s">
        <v>7439</v>
      </c>
      <c r="D7232" s="229">
        <v>31.5</v>
      </c>
      <c r="E7232" s="229">
        <v>35.0</v>
      </c>
      <c r="F7232" s="230">
        <v>3.0</v>
      </c>
      <c r="G7232" s="232"/>
    </row>
    <row r="7233">
      <c r="A7233" s="2"/>
      <c r="B7233" s="168" t="s">
        <v>232</v>
      </c>
      <c r="C7233" s="168" t="s">
        <v>7440</v>
      </c>
      <c r="D7233" s="229">
        <v>32.5</v>
      </c>
      <c r="E7233" s="229">
        <v>36.0</v>
      </c>
      <c r="F7233" s="230">
        <v>3.0</v>
      </c>
      <c r="G7233" s="232"/>
    </row>
    <row r="7234">
      <c r="A7234" s="2"/>
      <c r="B7234" s="168" t="s">
        <v>230</v>
      </c>
      <c r="C7234" s="168" t="s">
        <v>7441</v>
      </c>
      <c r="D7234" s="229">
        <v>21.5</v>
      </c>
      <c r="E7234" s="229">
        <v>25.0</v>
      </c>
      <c r="F7234" s="230">
        <v>3.0</v>
      </c>
      <c r="G7234" s="232"/>
    </row>
    <row r="7235">
      <c r="A7235" s="2"/>
      <c r="B7235" s="168" t="s">
        <v>381</v>
      </c>
      <c r="C7235" s="168" t="s">
        <v>7442</v>
      </c>
      <c r="D7235" s="229">
        <v>23.5</v>
      </c>
      <c r="E7235" s="229">
        <v>27.0</v>
      </c>
      <c r="F7235" s="230">
        <v>3.0</v>
      </c>
      <c r="G7235" s="232"/>
    </row>
    <row r="7236">
      <c r="A7236" s="2"/>
      <c r="B7236" s="168" t="s">
        <v>290</v>
      </c>
      <c r="C7236" s="168" t="s">
        <v>7443</v>
      </c>
      <c r="D7236" s="229">
        <v>29.5</v>
      </c>
      <c r="E7236" s="229">
        <v>33.0</v>
      </c>
      <c r="F7236" s="230">
        <v>3.0</v>
      </c>
      <c r="G7236" s="232"/>
    </row>
    <row r="7237">
      <c r="A7237" s="2"/>
      <c r="B7237" s="168" t="s">
        <v>243</v>
      </c>
      <c r="C7237" s="168" t="s">
        <v>7444</v>
      </c>
      <c r="D7237" s="229">
        <v>29.5</v>
      </c>
      <c r="E7237" s="229">
        <v>33.0</v>
      </c>
      <c r="F7237" s="230">
        <v>3.0</v>
      </c>
      <c r="G7237" s="232"/>
    </row>
    <row r="7238">
      <c r="A7238" s="2"/>
      <c r="B7238" s="168" t="s">
        <v>615</v>
      </c>
      <c r="C7238" s="168" t="s">
        <v>7445</v>
      </c>
      <c r="D7238" s="229">
        <v>24.5</v>
      </c>
      <c r="E7238" s="229">
        <v>28.0</v>
      </c>
      <c r="F7238" s="230">
        <v>3.0</v>
      </c>
      <c r="G7238" s="232"/>
    </row>
    <row r="7239">
      <c r="A7239" s="2"/>
      <c r="B7239" s="168" t="s">
        <v>230</v>
      </c>
      <c r="C7239" s="168" t="s">
        <v>7446</v>
      </c>
      <c r="D7239" s="229">
        <v>16.5</v>
      </c>
      <c r="E7239" s="229">
        <v>20.0</v>
      </c>
      <c r="F7239" s="230">
        <v>3.0</v>
      </c>
      <c r="G7239" s="232"/>
    </row>
    <row r="7240">
      <c r="A7240" s="2"/>
      <c r="B7240" s="168" t="s">
        <v>337</v>
      </c>
      <c r="C7240" s="168" t="s">
        <v>7447</v>
      </c>
      <c r="D7240" s="229">
        <v>28.5</v>
      </c>
      <c r="E7240" s="229">
        <v>32.0</v>
      </c>
      <c r="F7240" s="230">
        <v>3.0</v>
      </c>
      <c r="G7240" s="232"/>
    </row>
    <row r="7241">
      <c r="A7241" s="2"/>
      <c r="B7241" s="168" t="s">
        <v>290</v>
      </c>
      <c r="C7241" s="168" t="s">
        <v>7448</v>
      </c>
      <c r="D7241" s="229">
        <v>29.5</v>
      </c>
      <c r="E7241" s="229">
        <v>33.0</v>
      </c>
      <c r="F7241" s="230">
        <v>3.0</v>
      </c>
      <c r="G7241" s="232"/>
    </row>
    <row r="7242">
      <c r="A7242" s="2"/>
      <c r="B7242" s="168" t="s">
        <v>234</v>
      </c>
      <c r="C7242" s="168" t="s">
        <v>234</v>
      </c>
      <c r="D7242" s="229">
        <v>29.5</v>
      </c>
      <c r="E7242" s="229">
        <v>33.0</v>
      </c>
      <c r="F7242" s="230">
        <v>3.0</v>
      </c>
      <c r="G7242" s="232"/>
    </row>
    <row r="7243">
      <c r="A7243" s="2"/>
      <c r="B7243" s="168" t="s">
        <v>232</v>
      </c>
      <c r="C7243" s="168" t="s">
        <v>7449</v>
      </c>
      <c r="D7243" s="229">
        <v>25.0</v>
      </c>
      <c r="E7243" s="229">
        <v>28.5</v>
      </c>
      <c r="F7243" s="230">
        <v>3.0</v>
      </c>
      <c r="G7243" s="232"/>
    </row>
    <row r="7244">
      <c r="A7244" s="2"/>
      <c r="B7244" s="168" t="s">
        <v>271</v>
      </c>
      <c r="C7244" s="168" t="s">
        <v>7450</v>
      </c>
      <c r="D7244" s="229">
        <v>31.0</v>
      </c>
      <c r="E7244" s="229">
        <v>34.5</v>
      </c>
      <c r="F7244" s="230">
        <v>3.0</v>
      </c>
      <c r="G7244" s="232"/>
    </row>
    <row r="7245">
      <c r="A7245" s="2"/>
      <c r="B7245" s="168" t="s">
        <v>296</v>
      </c>
      <c r="C7245" s="168" t="s">
        <v>7451</v>
      </c>
      <c r="D7245" s="229">
        <v>26.5</v>
      </c>
      <c r="E7245" s="229">
        <v>30.0</v>
      </c>
      <c r="F7245" s="230">
        <v>3.0</v>
      </c>
      <c r="G7245" s="232"/>
    </row>
    <row r="7246">
      <c r="A7246" s="2"/>
      <c r="B7246" s="168" t="s">
        <v>230</v>
      </c>
      <c r="C7246" s="168" t="s">
        <v>7452</v>
      </c>
      <c r="D7246" s="229">
        <v>16.5</v>
      </c>
      <c r="E7246" s="229">
        <v>20.0</v>
      </c>
      <c r="F7246" s="230">
        <v>3.0</v>
      </c>
      <c r="G7246" s="232"/>
    </row>
    <row r="7247">
      <c r="A7247" s="2"/>
      <c r="B7247" s="168" t="s">
        <v>592</v>
      </c>
      <c r="C7247" s="168" t="s">
        <v>7453</v>
      </c>
      <c r="D7247" s="229">
        <v>34.5</v>
      </c>
      <c r="E7247" s="229">
        <v>38.0</v>
      </c>
      <c r="F7247" s="230">
        <v>3.0</v>
      </c>
      <c r="G7247" s="232"/>
    </row>
    <row r="7248">
      <c r="A7248" s="2"/>
      <c r="B7248" s="168" t="s">
        <v>337</v>
      </c>
      <c r="C7248" s="168" t="s">
        <v>7454</v>
      </c>
      <c r="D7248" s="229">
        <v>28.5</v>
      </c>
      <c r="E7248" s="229">
        <v>32.0</v>
      </c>
      <c r="F7248" s="230">
        <v>3.0</v>
      </c>
      <c r="G7248" s="232"/>
    </row>
    <row r="7249">
      <c r="A7249" s="2"/>
      <c r="B7249" s="168" t="s">
        <v>230</v>
      </c>
      <c r="C7249" s="168" t="s">
        <v>7455</v>
      </c>
      <c r="D7249" s="229">
        <v>16.5</v>
      </c>
      <c r="E7249" s="229">
        <v>20.0</v>
      </c>
      <c r="F7249" s="230">
        <v>3.0</v>
      </c>
      <c r="G7249" s="232"/>
    </row>
    <row r="7250">
      <c r="A7250" s="2"/>
      <c r="B7250" s="168" t="s">
        <v>271</v>
      </c>
      <c r="C7250" s="168" t="s">
        <v>7456</v>
      </c>
      <c r="D7250" s="229">
        <v>31.0</v>
      </c>
      <c r="E7250" s="229">
        <v>34.5</v>
      </c>
      <c r="F7250" s="230">
        <v>3.0</v>
      </c>
      <c r="G7250" s="232"/>
    </row>
    <row r="7251">
      <c r="A7251" s="2"/>
      <c r="B7251" s="168" t="s">
        <v>230</v>
      </c>
      <c r="C7251" s="168" t="s">
        <v>7457</v>
      </c>
      <c r="D7251" s="229">
        <v>21.5</v>
      </c>
      <c r="E7251" s="229">
        <v>25.0</v>
      </c>
      <c r="F7251" s="230">
        <v>3.0</v>
      </c>
      <c r="G7251" s="232"/>
    </row>
    <row r="7252">
      <c r="A7252" s="2"/>
      <c r="B7252" s="168" t="s">
        <v>328</v>
      </c>
      <c r="C7252" s="168" t="s">
        <v>7458</v>
      </c>
      <c r="D7252" s="229">
        <v>34.5</v>
      </c>
      <c r="E7252" s="229">
        <v>38.0</v>
      </c>
      <c r="F7252" s="230">
        <v>3.0</v>
      </c>
      <c r="G7252" s="232"/>
    </row>
    <row r="7253">
      <c r="A7253" s="2"/>
      <c r="B7253" s="168" t="s">
        <v>446</v>
      </c>
      <c r="C7253" s="168" t="s">
        <v>7459</v>
      </c>
      <c r="D7253" s="229">
        <v>9.5</v>
      </c>
      <c r="E7253" s="229">
        <v>9.5</v>
      </c>
      <c r="F7253" s="230">
        <v>3.0</v>
      </c>
      <c r="G7253" s="232"/>
    </row>
    <row r="7254">
      <c r="A7254" s="2"/>
      <c r="B7254" s="168" t="s">
        <v>290</v>
      </c>
      <c r="C7254" s="168" t="s">
        <v>7460</v>
      </c>
      <c r="D7254" s="229">
        <v>29.5</v>
      </c>
      <c r="E7254" s="229">
        <v>33.0</v>
      </c>
      <c r="F7254" s="230">
        <v>3.0</v>
      </c>
      <c r="G7254" s="232"/>
    </row>
    <row r="7255">
      <c r="A7255" s="2"/>
      <c r="B7255" s="168" t="s">
        <v>337</v>
      </c>
      <c r="C7255" s="168" t="s">
        <v>7461</v>
      </c>
      <c r="D7255" s="229">
        <v>23.5</v>
      </c>
      <c r="E7255" s="229">
        <v>27.0</v>
      </c>
      <c r="F7255" s="230">
        <v>3.0</v>
      </c>
      <c r="G7255" s="232"/>
    </row>
    <row r="7256">
      <c r="A7256" s="2"/>
      <c r="B7256" s="168" t="s">
        <v>430</v>
      </c>
      <c r="C7256" s="168" t="s">
        <v>7462</v>
      </c>
      <c r="D7256" s="229">
        <v>34.5</v>
      </c>
      <c r="E7256" s="229">
        <v>38.0</v>
      </c>
      <c r="F7256" s="230">
        <v>3.0</v>
      </c>
      <c r="G7256" s="232"/>
    </row>
    <row r="7257">
      <c r="A7257" s="2"/>
      <c r="B7257" s="168" t="s">
        <v>230</v>
      </c>
      <c r="C7257" s="168" t="s">
        <v>7463</v>
      </c>
      <c r="D7257" s="229">
        <v>16.5</v>
      </c>
      <c r="E7257" s="229">
        <v>20.0</v>
      </c>
      <c r="F7257" s="230">
        <v>3.0</v>
      </c>
      <c r="G7257" s="232"/>
    </row>
    <row r="7258">
      <c r="A7258" s="2"/>
      <c r="B7258" s="168" t="s">
        <v>232</v>
      </c>
      <c r="C7258" s="168" t="s">
        <v>7464</v>
      </c>
      <c r="D7258" s="229">
        <v>25.5</v>
      </c>
      <c r="E7258" s="229">
        <v>29.0</v>
      </c>
      <c r="F7258" s="230">
        <v>3.0</v>
      </c>
      <c r="G7258" s="232"/>
    </row>
    <row r="7259">
      <c r="A7259" s="2"/>
      <c r="B7259" s="168" t="s">
        <v>230</v>
      </c>
      <c r="C7259" s="168" t="s">
        <v>7465</v>
      </c>
      <c r="D7259" s="229">
        <v>16.5</v>
      </c>
      <c r="E7259" s="229">
        <v>20.0</v>
      </c>
      <c r="F7259" s="230">
        <v>3.0</v>
      </c>
      <c r="G7259" s="232"/>
    </row>
    <row r="7260">
      <c r="A7260" s="2"/>
      <c r="B7260" s="168" t="s">
        <v>245</v>
      </c>
      <c r="C7260" s="168" t="s">
        <v>7466</v>
      </c>
      <c r="D7260" s="229">
        <v>29.5</v>
      </c>
      <c r="E7260" s="229">
        <v>33.0</v>
      </c>
      <c r="F7260" s="230">
        <v>3.0</v>
      </c>
      <c r="G7260" s="232"/>
    </row>
    <row r="7261">
      <c r="A7261" s="2"/>
      <c r="B7261" s="168" t="s">
        <v>230</v>
      </c>
      <c r="C7261" s="168" t="s">
        <v>7467</v>
      </c>
      <c r="D7261" s="229">
        <v>16.5</v>
      </c>
      <c r="E7261" s="229">
        <v>20.0</v>
      </c>
      <c r="F7261" s="230">
        <v>3.0</v>
      </c>
      <c r="G7261" s="232"/>
    </row>
    <row r="7262">
      <c r="A7262" s="2"/>
      <c r="B7262" s="168" t="s">
        <v>230</v>
      </c>
      <c r="C7262" s="168" t="s">
        <v>7468</v>
      </c>
      <c r="D7262" s="229">
        <v>16.5</v>
      </c>
      <c r="E7262" s="229">
        <v>20.0</v>
      </c>
      <c r="F7262" s="230">
        <v>3.0</v>
      </c>
      <c r="G7262" s="232"/>
    </row>
    <row r="7263">
      <c r="A7263" s="2"/>
      <c r="B7263" s="168" t="s">
        <v>230</v>
      </c>
      <c r="C7263" s="168" t="s">
        <v>7469</v>
      </c>
      <c r="D7263" s="229">
        <v>16.5</v>
      </c>
      <c r="E7263" s="229">
        <v>20.0</v>
      </c>
      <c r="F7263" s="230">
        <v>3.0</v>
      </c>
      <c r="G7263" s="232"/>
    </row>
    <row r="7264">
      <c r="A7264" s="2"/>
      <c r="B7264" s="168" t="s">
        <v>230</v>
      </c>
      <c r="C7264" s="168" t="s">
        <v>7470</v>
      </c>
      <c r="D7264" s="229">
        <v>21.5</v>
      </c>
      <c r="E7264" s="229">
        <v>25.0</v>
      </c>
      <c r="F7264" s="230">
        <v>3.0</v>
      </c>
      <c r="G7264" s="232"/>
    </row>
    <row r="7265">
      <c r="A7265" s="2"/>
      <c r="B7265" s="168" t="s">
        <v>232</v>
      </c>
      <c r="C7265" s="168" t="s">
        <v>7471</v>
      </c>
      <c r="D7265" s="229">
        <v>31.5</v>
      </c>
      <c r="E7265" s="229">
        <v>35.0</v>
      </c>
      <c r="F7265" s="230">
        <v>3.0</v>
      </c>
      <c r="G7265" s="232"/>
    </row>
    <row r="7266">
      <c r="A7266" s="2"/>
      <c r="B7266" s="168" t="s">
        <v>271</v>
      </c>
      <c r="C7266" s="168" t="s">
        <v>7472</v>
      </c>
      <c r="D7266" s="229">
        <v>31.5</v>
      </c>
      <c r="E7266" s="229">
        <v>35.0</v>
      </c>
      <c r="F7266" s="230">
        <v>3.0</v>
      </c>
      <c r="G7266" s="232"/>
    </row>
    <row r="7267">
      <c r="A7267" s="2"/>
      <c r="B7267" s="168" t="s">
        <v>245</v>
      </c>
      <c r="C7267" s="168" t="s">
        <v>7473</v>
      </c>
      <c r="D7267" s="229">
        <v>29.5</v>
      </c>
      <c r="E7267" s="229">
        <v>33.0</v>
      </c>
      <c r="F7267" s="230">
        <v>3.0</v>
      </c>
      <c r="G7267" s="232"/>
    </row>
    <row r="7268">
      <c r="A7268" s="2"/>
      <c r="B7268" s="168" t="s">
        <v>290</v>
      </c>
      <c r="C7268" s="168" t="s">
        <v>7474</v>
      </c>
      <c r="D7268" s="229">
        <v>29.5</v>
      </c>
      <c r="E7268" s="229">
        <v>33.0</v>
      </c>
      <c r="F7268" s="230">
        <v>3.0</v>
      </c>
      <c r="G7268" s="232"/>
    </row>
    <row r="7269">
      <c r="A7269" s="2"/>
      <c r="B7269" s="168" t="s">
        <v>290</v>
      </c>
      <c r="C7269" s="168" t="s">
        <v>7475</v>
      </c>
      <c r="D7269" s="229">
        <v>24.5</v>
      </c>
      <c r="E7269" s="229">
        <v>28.0</v>
      </c>
      <c r="F7269" s="230">
        <v>3.0</v>
      </c>
      <c r="G7269" s="232"/>
    </row>
    <row r="7270">
      <c r="A7270" s="2"/>
      <c r="B7270" s="168" t="s">
        <v>215</v>
      </c>
      <c r="C7270" s="168" t="s">
        <v>7476</v>
      </c>
      <c r="D7270" s="229">
        <v>29.5</v>
      </c>
      <c r="E7270" s="229">
        <v>33.0</v>
      </c>
      <c r="F7270" s="230">
        <v>3.0</v>
      </c>
      <c r="G7270" s="232"/>
    </row>
    <row r="7271">
      <c r="A7271" s="2"/>
      <c r="B7271" s="168" t="s">
        <v>215</v>
      </c>
      <c r="C7271" s="168" t="s">
        <v>7477</v>
      </c>
      <c r="D7271" s="229">
        <v>29.5</v>
      </c>
      <c r="E7271" s="229">
        <v>33.0</v>
      </c>
      <c r="F7271" s="230">
        <v>3.0</v>
      </c>
      <c r="G7271" s="232"/>
    </row>
    <row r="7272">
      <c r="A7272" s="2"/>
      <c r="B7272" s="168" t="s">
        <v>288</v>
      </c>
      <c r="C7272" s="168" t="s">
        <v>7478</v>
      </c>
      <c r="D7272" s="229">
        <v>21.5</v>
      </c>
      <c r="E7272" s="229">
        <v>25.0</v>
      </c>
      <c r="F7272" s="230">
        <v>3.0</v>
      </c>
      <c r="G7272" s="232"/>
    </row>
    <row r="7273">
      <c r="A7273" s="2"/>
      <c r="B7273" s="168" t="s">
        <v>239</v>
      </c>
      <c r="C7273" s="168" t="s">
        <v>7479</v>
      </c>
      <c r="D7273" s="229">
        <v>21.5</v>
      </c>
      <c r="E7273" s="229">
        <v>25.0</v>
      </c>
      <c r="F7273" s="230">
        <v>3.0</v>
      </c>
      <c r="G7273" s="232"/>
    </row>
    <row r="7274">
      <c r="A7274" s="2"/>
      <c r="B7274" s="168" t="s">
        <v>232</v>
      </c>
      <c r="C7274" s="168" t="s">
        <v>7480</v>
      </c>
      <c r="D7274" s="229">
        <v>25.5</v>
      </c>
      <c r="E7274" s="229">
        <v>29.0</v>
      </c>
      <c r="F7274" s="230">
        <v>3.0</v>
      </c>
      <c r="G7274" s="232"/>
    </row>
    <row r="7275">
      <c r="A7275" s="2"/>
      <c r="B7275" s="168" t="s">
        <v>290</v>
      </c>
      <c r="C7275" s="168" t="s">
        <v>7481</v>
      </c>
      <c r="D7275" s="229">
        <v>29.5</v>
      </c>
      <c r="E7275" s="229">
        <v>33.0</v>
      </c>
      <c r="F7275" s="230">
        <v>3.0</v>
      </c>
      <c r="G7275" s="232"/>
    </row>
    <row r="7276">
      <c r="A7276" s="2"/>
      <c r="B7276" s="168" t="s">
        <v>337</v>
      </c>
      <c r="C7276" s="168" t="s">
        <v>7482</v>
      </c>
      <c r="D7276" s="229">
        <v>28.5</v>
      </c>
      <c r="E7276" s="229">
        <v>32.0</v>
      </c>
      <c r="F7276" s="230">
        <v>3.0</v>
      </c>
      <c r="G7276" s="232"/>
    </row>
    <row r="7277">
      <c r="A7277" s="2"/>
      <c r="B7277" s="168" t="s">
        <v>217</v>
      </c>
      <c r="C7277" s="168" t="s">
        <v>7483</v>
      </c>
      <c r="D7277" s="229">
        <v>27.5</v>
      </c>
      <c r="E7277" s="229">
        <v>31.0</v>
      </c>
      <c r="F7277" s="230">
        <v>3.0</v>
      </c>
      <c r="G7277" s="232"/>
    </row>
    <row r="7278">
      <c r="A7278" s="2"/>
      <c r="B7278" s="168" t="s">
        <v>230</v>
      </c>
      <c r="C7278" s="168" t="s">
        <v>7484</v>
      </c>
      <c r="D7278" s="229">
        <v>16.5</v>
      </c>
      <c r="E7278" s="229">
        <v>20.0</v>
      </c>
      <c r="F7278" s="230">
        <v>3.0</v>
      </c>
      <c r="G7278" s="232"/>
    </row>
    <row r="7279">
      <c r="A7279" s="2"/>
      <c r="B7279" s="168" t="s">
        <v>811</v>
      </c>
      <c r="C7279" s="168" t="s">
        <v>7485</v>
      </c>
      <c r="D7279" s="229">
        <v>29.5</v>
      </c>
      <c r="E7279" s="229">
        <v>33.0</v>
      </c>
      <c r="F7279" s="230">
        <v>3.0</v>
      </c>
      <c r="G7279" s="232"/>
    </row>
    <row r="7280">
      <c r="A7280" s="2"/>
      <c r="B7280" s="168" t="s">
        <v>260</v>
      </c>
      <c r="C7280" s="168" t="s">
        <v>7486</v>
      </c>
      <c r="D7280" s="229">
        <v>28.5</v>
      </c>
      <c r="E7280" s="229">
        <v>32.0</v>
      </c>
      <c r="F7280" s="230">
        <v>3.0</v>
      </c>
      <c r="G7280" s="232"/>
    </row>
    <row r="7281">
      <c r="A7281" s="2"/>
      <c r="B7281" s="168" t="s">
        <v>288</v>
      </c>
      <c r="C7281" s="168" t="s">
        <v>7487</v>
      </c>
      <c r="D7281" s="229">
        <v>21.5</v>
      </c>
      <c r="E7281" s="229">
        <v>25.0</v>
      </c>
      <c r="F7281" s="230">
        <v>3.0</v>
      </c>
      <c r="G7281" s="232"/>
    </row>
    <row r="7282">
      <c r="A7282" s="2"/>
      <c r="B7282" s="168" t="s">
        <v>217</v>
      </c>
      <c r="C7282" s="168" t="s">
        <v>7488</v>
      </c>
      <c r="D7282" s="229">
        <v>27.5</v>
      </c>
      <c r="E7282" s="229">
        <v>31.0</v>
      </c>
      <c r="F7282" s="230">
        <v>3.0</v>
      </c>
      <c r="G7282" s="232"/>
    </row>
    <row r="7283">
      <c r="A7283" s="2"/>
      <c r="B7283" s="168" t="s">
        <v>290</v>
      </c>
      <c r="C7283" s="168" t="s">
        <v>7489</v>
      </c>
      <c r="D7283" s="229">
        <v>29.5</v>
      </c>
      <c r="E7283" s="229">
        <v>33.0</v>
      </c>
      <c r="F7283" s="230">
        <v>3.0</v>
      </c>
      <c r="G7283" s="232"/>
    </row>
    <row r="7284">
      <c r="A7284" s="2"/>
      <c r="B7284" s="168" t="s">
        <v>230</v>
      </c>
      <c r="C7284" s="168" t="s">
        <v>7490</v>
      </c>
      <c r="D7284" s="229">
        <v>21.5</v>
      </c>
      <c r="E7284" s="229">
        <v>25.0</v>
      </c>
      <c r="F7284" s="230">
        <v>3.0</v>
      </c>
      <c r="G7284" s="232"/>
    </row>
    <row r="7285">
      <c r="A7285" s="2"/>
      <c r="B7285" s="168" t="s">
        <v>592</v>
      </c>
      <c r="C7285" s="168" t="s">
        <v>592</v>
      </c>
      <c r="D7285" s="229">
        <v>34.5</v>
      </c>
      <c r="E7285" s="229">
        <v>38.0</v>
      </c>
      <c r="F7285" s="230">
        <v>3.0</v>
      </c>
      <c r="G7285" s="232"/>
    </row>
    <row r="7286">
      <c r="A7286" s="2"/>
      <c r="B7286" s="168" t="s">
        <v>245</v>
      </c>
      <c r="C7286" s="168" t="s">
        <v>7491</v>
      </c>
      <c r="D7286" s="229">
        <v>29.5</v>
      </c>
      <c r="E7286" s="229">
        <v>33.0</v>
      </c>
      <c r="F7286" s="230">
        <v>3.0</v>
      </c>
      <c r="G7286" s="232"/>
    </row>
    <row r="7287">
      <c r="A7287" s="2"/>
      <c r="B7287" s="168" t="s">
        <v>271</v>
      </c>
      <c r="C7287" s="168" t="s">
        <v>7492</v>
      </c>
      <c r="D7287" s="229">
        <v>28.5</v>
      </c>
      <c r="E7287" s="229">
        <v>32.0</v>
      </c>
      <c r="F7287" s="230">
        <v>3.0</v>
      </c>
      <c r="G7287" s="232"/>
    </row>
    <row r="7288">
      <c r="A7288" s="2"/>
      <c r="B7288" s="168" t="s">
        <v>230</v>
      </c>
      <c r="C7288" s="168" t="s">
        <v>7493</v>
      </c>
      <c r="D7288" s="229">
        <v>21.5</v>
      </c>
      <c r="E7288" s="229">
        <v>25.0</v>
      </c>
      <c r="F7288" s="230">
        <v>3.0</v>
      </c>
      <c r="G7288" s="232"/>
    </row>
    <row r="7289">
      <c r="A7289" s="2"/>
      <c r="B7289" s="168" t="s">
        <v>234</v>
      </c>
      <c r="C7289" s="168" t="s">
        <v>7494</v>
      </c>
      <c r="D7289" s="229">
        <v>29.5</v>
      </c>
      <c r="E7289" s="229">
        <v>33.0</v>
      </c>
      <c r="F7289" s="230">
        <v>3.0</v>
      </c>
      <c r="G7289" s="232"/>
    </row>
    <row r="7290">
      <c r="A7290" s="2"/>
      <c r="B7290" s="168" t="s">
        <v>234</v>
      </c>
      <c r="C7290" s="168" t="s">
        <v>7495</v>
      </c>
      <c r="D7290" s="229">
        <v>29.5</v>
      </c>
      <c r="E7290" s="229">
        <v>33.0</v>
      </c>
      <c r="F7290" s="230">
        <v>3.0</v>
      </c>
      <c r="G7290" s="232"/>
    </row>
    <row r="7291">
      <c r="A7291" s="2"/>
      <c r="B7291" s="168" t="s">
        <v>288</v>
      </c>
      <c r="C7291" s="168" t="s">
        <v>7496</v>
      </c>
      <c r="D7291" s="229">
        <v>21.5</v>
      </c>
      <c r="E7291" s="229">
        <v>25.0</v>
      </c>
      <c r="F7291" s="230">
        <v>3.0</v>
      </c>
      <c r="G7291" s="232"/>
    </row>
    <row r="7292">
      <c r="A7292" s="2"/>
      <c r="B7292" s="168" t="s">
        <v>337</v>
      </c>
      <c r="C7292" s="168" t="s">
        <v>7497</v>
      </c>
      <c r="D7292" s="229">
        <v>32.5</v>
      </c>
      <c r="E7292" s="229">
        <v>36.0</v>
      </c>
      <c r="F7292" s="230">
        <v>3.0</v>
      </c>
      <c r="G7292" s="232"/>
    </row>
    <row r="7293">
      <c r="A7293" s="2"/>
      <c r="B7293" s="168" t="s">
        <v>230</v>
      </c>
      <c r="C7293" s="168" t="s">
        <v>7498</v>
      </c>
      <c r="D7293" s="229">
        <v>16.5</v>
      </c>
      <c r="E7293" s="229">
        <v>20.0</v>
      </c>
      <c r="F7293" s="230">
        <v>3.0</v>
      </c>
      <c r="G7293" s="232"/>
    </row>
    <row r="7294">
      <c r="A7294" s="2"/>
      <c r="B7294" s="168" t="s">
        <v>230</v>
      </c>
      <c r="C7294" s="168" t="s">
        <v>7499</v>
      </c>
      <c r="D7294" s="229">
        <v>16.5</v>
      </c>
      <c r="E7294" s="229">
        <v>20.0</v>
      </c>
      <c r="F7294" s="230">
        <v>3.0</v>
      </c>
      <c r="G7294" s="232"/>
    </row>
    <row r="7295">
      <c r="A7295" s="2"/>
      <c r="B7295" s="168" t="s">
        <v>328</v>
      </c>
      <c r="C7295" s="168" t="s">
        <v>7500</v>
      </c>
      <c r="D7295" s="229">
        <v>34.5</v>
      </c>
      <c r="E7295" s="229">
        <v>38.0</v>
      </c>
      <c r="F7295" s="230">
        <v>3.0</v>
      </c>
      <c r="G7295" s="232"/>
    </row>
    <row r="7296">
      <c r="A7296" s="2"/>
      <c r="B7296" s="168" t="s">
        <v>221</v>
      </c>
      <c r="C7296" s="168" t="s">
        <v>7501</v>
      </c>
      <c r="D7296" s="229">
        <v>27.5</v>
      </c>
      <c r="E7296" s="229">
        <v>31.0</v>
      </c>
      <c r="F7296" s="230">
        <v>3.0</v>
      </c>
      <c r="G7296" s="232"/>
    </row>
    <row r="7297">
      <c r="A7297" s="2"/>
      <c r="B7297" s="168" t="s">
        <v>254</v>
      </c>
      <c r="C7297" s="168" t="s">
        <v>7502</v>
      </c>
      <c r="D7297" s="229">
        <v>26.5</v>
      </c>
      <c r="E7297" s="229">
        <v>30.0</v>
      </c>
      <c r="F7297" s="230">
        <v>3.0</v>
      </c>
      <c r="G7297" s="232"/>
    </row>
    <row r="7298">
      <c r="A7298" s="2"/>
      <c r="B7298" s="168" t="s">
        <v>581</v>
      </c>
      <c r="C7298" s="168" t="s">
        <v>7503</v>
      </c>
      <c r="D7298" s="229">
        <v>26.5</v>
      </c>
      <c r="E7298" s="229">
        <v>30.0</v>
      </c>
      <c r="F7298" s="230">
        <v>3.0</v>
      </c>
      <c r="G7298" s="232"/>
    </row>
    <row r="7299">
      <c r="A7299" s="2"/>
      <c r="B7299" s="168" t="s">
        <v>230</v>
      </c>
      <c r="C7299" s="168" t="s">
        <v>7504</v>
      </c>
      <c r="D7299" s="229">
        <v>16.5</v>
      </c>
      <c r="E7299" s="229">
        <v>20.0</v>
      </c>
      <c r="F7299" s="230">
        <v>3.0</v>
      </c>
      <c r="G7299" s="232"/>
    </row>
    <row r="7300">
      <c r="A7300" s="2"/>
      <c r="B7300" s="168" t="s">
        <v>288</v>
      </c>
      <c r="C7300" s="168" t="s">
        <v>7505</v>
      </c>
      <c r="D7300" s="229">
        <v>21.5</v>
      </c>
      <c r="E7300" s="229">
        <v>25.0</v>
      </c>
      <c r="F7300" s="230">
        <v>3.0</v>
      </c>
      <c r="G7300" s="232"/>
    </row>
    <row r="7301">
      <c r="A7301" s="2"/>
      <c r="B7301" s="168" t="s">
        <v>288</v>
      </c>
      <c r="C7301" s="168" t="s">
        <v>7506</v>
      </c>
      <c r="D7301" s="229">
        <v>21.5</v>
      </c>
      <c r="E7301" s="229">
        <v>25.0</v>
      </c>
      <c r="F7301" s="230">
        <v>3.0</v>
      </c>
      <c r="G7301" s="232"/>
    </row>
    <row r="7302">
      <c r="A7302" s="2"/>
      <c r="B7302" s="168" t="s">
        <v>290</v>
      </c>
      <c r="C7302" s="168" t="s">
        <v>7507</v>
      </c>
      <c r="D7302" s="229">
        <v>29.5</v>
      </c>
      <c r="E7302" s="229">
        <v>33.0</v>
      </c>
      <c r="F7302" s="230">
        <v>3.0</v>
      </c>
      <c r="G7302" s="232"/>
    </row>
    <row r="7303">
      <c r="A7303" s="2"/>
      <c r="B7303" s="168" t="s">
        <v>290</v>
      </c>
      <c r="C7303" s="168" t="s">
        <v>7508</v>
      </c>
      <c r="D7303" s="229">
        <v>29.5</v>
      </c>
      <c r="E7303" s="229">
        <v>33.0</v>
      </c>
      <c r="F7303" s="230">
        <v>3.0</v>
      </c>
      <c r="G7303" s="232"/>
    </row>
    <row r="7304">
      <c r="A7304" s="2"/>
      <c r="B7304" s="168" t="s">
        <v>377</v>
      </c>
      <c r="C7304" s="168" t="s">
        <v>7509</v>
      </c>
      <c r="D7304" s="229">
        <v>29.5</v>
      </c>
      <c r="E7304" s="229">
        <v>33.0</v>
      </c>
      <c r="F7304" s="230">
        <v>3.0</v>
      </c>
      <c r="G7304" s="232"/>
    </row>
    <row r="7305">
      <c r="A7305" s="2"/>
      <c r="B7305" s="168" t="s">
        <v>290</v>
      </c>
      <c r="C7305" s="168" t="s">
        <v>7510</v>
      </c>
      <c r="D7305" s="229">
        <v>29.0</v>
      </c>
      <c r="E7305" s="229">
        <v>32.5</v>
      </c>
      <c r="F7305" s="230">
        <v>3.0</v>
      </c>
      <c r="G7305" s="232"/>
    </row>
    <row r="7306">
      <c r="A7306" s="2"/>
      <c r="B7306" s="168" t="s">
        <v>288</v>
      </c>
      <c r="C7306" s="168" t="s">
        <v>7511</v>
      </c>
      <c r="D7306" s="229">
        <v>21.5</v>
      </c>
      <c r="E7306" s="229">
        <v>25.0</v>
      </c>
      <c r="F7306" s="230">
        <v>3.0</v>
      </c>
      <c r="G7306" s="232"/>
    </row>
    <row r="7307">
      <c r="A7307" s="231"/>
      <c r="B7307" s="230" t="s">
        <v>273</v>
      </c>
      <c r="C7307" s="230" t="s">
        <v>7512</v>
      </c>
      <c r="D7307" s="230">
        <v>24.5</v>
      </c>
      <c r="E7307" s="230">
        <v>28.0</v>
      </c>
      <c r="F7307" s="230">
        <v>3.0</v>
      </c>
      <c r="G7307" s="232"/>
    </row>
    <row r="7308">
      <c r="A7308" s="231"/>
      <c r="B7308" s="230" t="s">
        <v>230</v>
      </c>
      <c r="C7308" s="230" t="s">
        <v>7513</v>
      </c>
      <c r="D7308" s="230">
        <v>16.5</v>
      </c>
      <c r="E7308" s="230">
        <v>20.0</v>
      </c>
      <c r="F7308" s="230">
        <v>3.0</v>
      </c>
      <c r="G7308" s="232"/>
    </row>
    <row r="7309">
      <c r="A7309" s="231"/>
      <c r="B7309" s="230" t="s">
        <v>288</v>
      </c>
      <c r="C7309" s="230" t="s">
        <v>7514</v>
      </c>
      <c r="D7309" s="230">
        <v>16.5</v>
      </c>
      <c r="E7309" s="230">
        <v>20.0</v>
      </c>
      <c r="F7309" s="230">
        <v>3.0</v>
      </c>
      <c r="G7309" s="232"/>
    </row>
    <row r="7310">
      <c r="A7310" s="231"/>
      <c r="B7310" s="230" t="s">
        <v>280</v>
      </c>
      <c r="C7310" s="230" t="s">
        <v>7515</v>
      </c>
      <c r="D7310" s="230">
        <v>33.5</v>
      </c>
      <c r="E7310" s="230">
        <v>37.0</v>
      </c>
      <c r="F7310" s="230">
        <v>3.0</v>
      </c>
      <c r="G7310" s="232"/>
    </row>
    <row r="7311">
      <c r="A7311" s="231"/>
      <c r="B7311" s="230" t="s">
        <v>332</v>
      </c>
      <c r="C7311" s="230" t="s">
        <v>7516</v>
      </c>
      <c r="D7311" s="230">
        <v>28.5</v>
      </c>
      <c r="E7311" s="230">
        <v>32.0</v>
      </c>
      <c r="F7311" s="230">
        <v>3.0</v>
      </c>
      <c r="G7311" s="232"/>
    </row>
    <row r="7312">
      <c r="A7312" s="231"/>
      <c r="B7312" s="230" t="s">
        <v>255</v>
      </c>
      <c r="C7312" s="230" t="s">
        <v>7517</v>
      </c>
      <c r="D7312" s="230">
        <v>29.5</v>
      </c>
      <c r="E7312" s="230">
        <v>33.0</v>
      </c>
      <c r="F7312" s="230">
        <v>3.0</v>
      </c>
      <c r="G7312" s="232"/>
    </row>
    <row r="7313">
      <c r="A7313" s="231"/>
      <c r="B7313" s="230" t="s">
        <v>241</v>
      </c>
      <c r="C7313" s="230" t="s">
        <v>7518</v>
      </c>
      <c r="D7313" s="230">
        <v>32.5</v>
      </c>
      <c r="E7313" s="230">
        <v>36.0</v>
      </c>
      <c r="F7313" s="230">
        <v>3.0</v>
      </c>
      <c r="G7313" s="232"/>
    </row>
    <row r="7314">
      <c r="A7314" s="231"/>
      <c r="B7314" s="230" t="s">
        <v>332</v>
      </c>
      <c r="C7314" s="230" t="s">
        <v>7519</v>
      </c>
      <c r="D7314" s="230">
        <v>28.5</v>
      </c>
      <c r="E7314" s="230">
        <v>32.0</v>
      </c>
      <c r="F7314" s="230">
        <v>3.0</v>
      </c>
      <c r="G7314" s="232"/>
    </row>
    <row r="7315">
      <c r="A7315" s="231"/>
      <c r="B7315" s="230" t="s">
        <v>332</v>
      </c>
      <c r="C7315" s="230" t="s">
        <v>7520</v>
      </c>
      <c r="D7315" s="230">
        <v>28.5</v>
      </c>
      <c r="E7315" s="230">
        <v>32.0</v>
      </c>
      <c r="F7315" s="230">
        <v>3.0</v>
      </c>
      <c r="G7315" s="232"/>
    </row>
    <row r="7316">
      <c r="A7316" s="231"/>
      <c r="B7316" s="230" t="s">
        <v>332</v>
      </c>
      <c r="C7316" s="230" t="s">
        <v>7521</v>
      </c>
      <c r="D7316" s="230">
        <v>28.5</v>
      </c>
      <c r="E7316" s="230">
        <v>32.0</v>
      </c>
      <c r="F7316" s="230">
        <v>3.0</v>
      </c>
      <c r="G7316" s="232"/>
    </row>
    <row r="7317">
      <c r="A7317" s="231"/>
      <c r="B7317" s="230" t="s">
        <v>228</v>
      </c>
      <c r="C7317" s="230" t="s">
        <v>7522</v>
      </c>
      <c r="D7317" s="230">
        <v>11.5</v>
      </c>
      <c r="E7317" s="230">
        <v>11.5</v>
      </c>
      <c r="F7317" s="230">
        <v>3.0</v>
      </c>
      <c r="G7317" s="232"/>
    </row>
    <row r="7318">
      <c r="A7318" s="231"/>
      <c r="B7318" s="230" t="s">
        <v>247</v>
      </c>
      <c r="C7318" s="230" t="s">
        <v>7523</v>
      </c>
      <c r="D7318" s="230">
        <v>29.5</v>
      </c>
      <c r="E7318" s="230">
        <v>33.0</v>
      </c>
      <c r="F7318" s="230">
        <v>3.0</v>
      </c>
      <c r="G7318" s="232"/>
    </row>
    <row r="7319">
      <c r="A7319" s="231"/>
      <c r="B7319" s="230" t="s">
        <v>223</v>
      </c>
      <c r="C7319" s="230" t="s">
        <v>7524</v>
      </c>
      <c r="D7319" s="230">
        <v>21.5</v>
      </c>
      <c r="E7319" s="230">
        <v>25.0</v>
      </c>
      <c r="F7319" s="230">
        <v>3.0</v>
      </c>
      <c r="G7319" s="232"/>
    </row>
    <row r="7320">
      <c r="A7320" s="231"/>
      <c r="B7320" s="230" t="s">
        <v>273</v>
      </c>
      <c r="C7320" s="230" t="s">
        <v>7525</v>
      </c>
      <c r="D7320" s="230">
        <v>29.5</v>
      </c>
      <c r="E7320" s="230">
        <v>33.0</v>
      </c>
      <c r="F7320" s="230">
        <v>3.0</v>
      </c>
      <c r="G7320" s="232"/>
    </row>
    <row r="7321">
      <c r="A7321" s="231"/>
      <c r="B7321" s="230" t="s">
        <v>247</v>
      </c>
      <c r="C7321" s="230" t="s">
        <v>7526</v>
      </c>
      <c r="D7321" s="230">
        <v>29.5</v>
      </c>
      <c r="E7321" s="230">
        <v>33.0</v>
      </c>
      <c r="F7321" s="230">
        <v>3.0</v>
      </c>
      <c r="G7321" s="232"/>
    </row>
    <row r="7322">
      <c r="A7322" s="231"/>
      <c r="B7322" s="230" t="s">
        <v>247</v>
      </c>
      <c r="C7322" s="230" t="s">
        <v>7527</v>
      </c>
      <c r="D7322" s="230">
        <v>29.5</v>
      </c>
      <c r="E7322" s="230">
        <v>33.0</v>
      </c>
      <c r="F7322" s="230">
        <v>3.0</v>
      </c>
      <c r="G7322" s="232"/>
    </row>
    <row r="7323">
      <c r="A7323" s="231"/>
      <c r="B7323" s="230" t="s">
        <v>273</v>
      </c>
      <c r="C7323" s="230" t="s">
        <v>7528</v>
      </c>
      <c r="D7323" s="230">
        <v>29.5</v>
      </c>
      <c r="E7323" s="230">
        <v>33.0</v>
      </c>
      <c r="F7323" s="230">
        <v>3.0</v>
      </c>
      <c r="G7323" s="232"/>
    </row>
    <row r="7324">
      <c r="A7324" s="231"/>
      <c r="B7324" s="230" t="s">
        <v>241</v>
      </c>
      <c r="C7324" s="230" t="s">
        <v>7529</v>
      </c>
      <c r="D7324" s="230">
        <v>32.5</v>
      </c>
      <c r="E7324" s="230">
        <v>36.0</v>
      </c>
      <c r="F7324" s="230">
        <v>3.0</v>
      </c>
      <c r="G7324" s="232"/>
    </row>
    <row r="7325">
      <c r="A7325" s="231"/>
      <c r="B7325" s="230" t="s">
        <v>720</v>
      </c>
      <c r="C7325" s="230" t="s">
        <v>7530</v>
      </c>
      <c r="D7325" s="230">
        <v>30.0</v>
      </c>
      <c r="E7325" s="230">
        <v>33.5</v>
      </c>
      <c r="F7325" s="230">
        <v>3.0</v>
      </c>
      <c r="G7325" s="232"/>
    </row>
    <row r="7326">
      <c r="A7326" s="231"/>
      <c r="B7326" s="230" t="s">
        <v>234</v>
      </c>
      <c r="C7326" s="230" t="s">
        <v>7531</v>
      </c>
      <c r="D7326" s="230">
        <v>29.5</v>
      </c>
      <c r="E7326" s="230">
        <v>33.0</v>
      </c>
      <c r="F7326" s="230">
        <v>3.0</v>
      </c>
      <c r="G7326" s="232"/>
    </row>
    <row r="7327">
      <c r="A7327" s="231"/>
      <c r="B7327" s="230" t="s">
        <v>375</v>
      </c>
      <c r="C7327" s="230" t="s">
        <v>7532</v>
      </c>
      <c r="D7327" s="230">
        <v>26.5</v>
      </c>
      <c r="E7327" s="230">
        <v>30.0</v>
      </c>
      <c r="F7327" s="230">
        <v>3.0</v>
      </c>
      <c r="G7327" s="232"/>
    </row>
    <row r="7328">
      <c r="A7328" s="231"/>
      <c r="B7328" s="230" t="s">
        <v>232</v>
      </c>
      <c r="C7328" s="230" t="s">
        <v>7533</v>
      </c>
      <c r="D7328" s="230">
        <v>30.5</v>
      </c>
      <c r="E7328" s="230">
        <v>34.0</v>
      </c>
      <c r="F7328" s="230">
        <v>3.0</v>
      </c>
      <c r="G7328" s="232"/>
    </row>
    <row r="7329">
      <c r="A7329" s="231"/>
      <c r="B7329" s="230" t="s">
        <v>217</v>
      </c>
      <c r="C7329" s="230" t="s">
        <v>7534</v>
      </c>
      <c r="D7329" s="230">
        <v>27.5</v>
      </c>
      <c r="E7329" s="230">
        <v>31.0</v>
      </c>
      <c r="F7329" s="230">
        <v>3.0</v>
      </c>
      <c r="G7329" s="232"/>
    </row>
    <row r="7330">
      <c r="A7330" s="231"/>
      <c r="B7330" s="230" t="s">
        <v>243</v>
      </c>
      <c r="C7330" s="230" t="s">
        <v>7535</v>
      </c>
      <c r="D7330" s="230">
        <v>29.5</v>
      </c>
      <c r="E7330" s="230">
        <v>33.0</v>
      </c>
      <c r="F7330" s="230">
        <v>3.0</v>
      </c>
      <c r="G7330" s="232"/>
    </row>
    <row r="7331">
      <c r="A7331" s="231"/>
      <c r="B7331" s="230" t="s">
        <v>381</v>
      </c>
      <c r="C7331" s="230" t="s">
        <v>7536</v>
      </c>
      <c r="D7331" s="230">
        <v>26.0</v>
      </c>
      <c r="E7331" s="230">
        <v>29.5</v>
      </c>
      <c r="F7331" s="230">
        <v>3.0</v>
      </c>
      <c r="G7331" s="232"/>
    </row>
    <row r="7332">
      <c r="A7332" s="231"/>
      <c r="B7332" s="230" t="s">
        <v>271</v>
      </c>
      <c r="C7332" s="230" t="s">
        <v>7537</v>
      </c>
      <c r="D7332" s="230">
        <v>29.5</v>
      </c>
      <c r="E7332" s="230">
        <v>33.0</v>
      </c>
      <c r="F7332" s="230">
        <v>3.0</v>
      </c>
      <c r="G7332" s="232"/>
    </row>
    <row r="7333">
      <c r="A7333" s="231"/>
      <c r="B7333" s="230" t="s">
        <v>341</v>
      </c>
      <c r="C7333" s="230" t="s">
        <v>7538</v>
      </c>
      <c r="D7333" s="230">
        <v>29.5</v>
      </c>
      <c r="E7333" s="230">
        <v>29.5</v>
      </c>
      <c r="F7333" s="230">
        <v>3.0</v>
      </c>
      <c r="G7333" s="232"/>
    </row>
    <row r="7334">
      <c r="A7334" s="231"/>
      <c r="B7334" s="230" t="s">
        <v>341</v>
      </c>
      <c r="C7334" s="230" t="s">
        <v>7539</v>
      </c>
      <c r="D7334" s="230">
        <v>29.5</v>
      </c>
      <c r="E7334" s="230">
        <v>29.5</v>
      </c>
      <c r="F7334" s="230">
        <v>3.0</v>
      </c>
      <c r="G7334" s="232"/>
    </row>
    <row r="7335">
      <c r="A7335" s="231"/>
      <c r="B7335" s="230" t="s">
        <v>332</v>
      </c>
      <c r="C7335" s="230" t="s">
        <v>7540</v>
      </c>
      <c r="D7335" s="230">
        <v>28.5</v>
      </c>
      <c r="E7335" s="230">
        <v>32.0</v>
      </c>
      <c r="F7335" s="230">
        <v>3.0</v>
      </c>
      <c r="G7335" s="232"/>
    </row>
    <row r="7336">
      <c r="A7336" s="231"/>
      <c r="B7336" s="230" t="s">
        <v>300</v>
      </c>
      <c r="C7336" s="230" t="s">
        <v>7541</v>
      </c>
      <c r="D7336" s="230">
        <v>28.0</v>
      </c>
      <c r="E7336" s="230">
        <v>31.5</v>
      </c>
      <c r="F7336" s="230">
        <v>3.0</v>
      </c>
      <c r="G7336" s="232"/>
    </row>
    <row r="7337">
      <c r="A7337" s="231"/>
      <c r="B7337" s="230" t="s">
        <v>290</v>
      </c>
      <c r="C7337" s="230" t="s">
        <v>7542</v>
      </c>
      <c r="D7337" s="230">
        <v>29.5</v>
      </c>
      <c r="E7337" s="230">
        <v>33.0</v>
      </c>
      <c r="F7337" s="230">
        <v>3.0</v>
      </c>
      <c r="G7337" s="232"/>
    </row>
    <row r="7338">
      <c r="A7338" s="231"/>
      <c r="B7338" s="230" t="s">
        <v>255</v>
      </c>
      <c r="C7338" s="230" t="s">
        <v>7543</v>
      </c>
      <c r="D7338" s="230">
        <v>31.5</v>
      </c>
      <c r="E7338" s="230">
        <v>35.0</v>
      </c>
      <c r="F7338" s="230">
        <v>3.0</v>
      </c>
      <c r="G7338" s="232"/>
    </row>
    <row r="7339">
      <c r="A7339" s="231"/>
      <c r="B7339" s="230" t="s">
        <v>345</v>
      </c>
      <c r="C7339" s="230" t="s">
        <v>7544</v>
      </c>
      <c r="D7339" s="230">
        <v>26.5</v>
      </c>
      <c r="E7339" s="230">
        <v>30.0</v>
      </c>
      <c r="F7339" s="230">
        <v>3.0</v>
      </c>
      <c r="G7339" s="232"/>
    </row>
    <row r="7340">
      <c r="A7340" s="231"/>
      <c r="B7340" s="230" t="s">
        <v>296</v>
      </c>
      <c r="C7340" s="230" t="s">
        <v>7545</v>
      </c>
      <c r="D7340" s="230">
        <v>26.5</v>
      </c>
      <c r="E7340" s="230">
        <v>30.0</v>
      </c>
      <c r="F7340" s="230">
        <v>3.0</v>
      </c>
      <c r="G7340" s="232"/>
    </row>
    <row r="7341">
      <c r="A7341" s="231"/>
      <c r="B7341" s="230" t="s">
        <v>243</v>
      </c>
      <c r="C7341" s="230" t="s">
        <v>7546</v>
      </c>
      <c r="D7341" s="230">
        <v>29.5</v>
      </c>
      <c r="E7341" s="230">
        <v>33.0</v>
      </c>
      <c r="F7341" s="230">
        <v>3.0</v>
      </c>
      <c r="G7341" s="232"/>
    </row>
    <row r="7342">
      <c r="A7342" s="231"/>
      <c r="B7342" s="230" t="s">
        <v>230</v>
      </c>
      <c r="C7342" s="230" t="s">
        <v>7547</v>
      </c>
      <c r="D7342" s="230">
        <v>16.5</v>
      </c>
      <c r="E7342" s="230">
        <v>20.0</v>
      </c>
      <c r="F7342" s="230">
        <v>3.0</v>
      </c>
      <c r="G7342" s="232"/>
    </row>
    <row r="7343">
      <c r="A7343" s="231"/>
      <c r="B7343" s="230" t="s">
        <v>234</v>
      </c>
      <c r="C7343" s="230" t="s">
        <v>7548</v>
      </c>
      <c r="D7343" s="230">
        <v>29.5</v>
      </c>
      <c r="E7343" s="230">
        <v>33.0</v>
      </c>
      <c r="F7343" s="230">
        <v>3.0</v>
      </c>
      <c r="G7343" s="232"/>
    </row>
    <row r="7344">
      <c r="A7344" s="231"/>
      <c r="B7344" s="230" t="s">
        <v>381</v>
      </c>
      <c r="C7344" s="230" t="s">
        <v>7549</v>
      </c>
      <c r="D7344" s="230">
        <v>28.5</v>
      </c>
      <c r="E7344" s="230">
        <v>32.0</v>
      </c>
      <c r="F7344" s="230">
        <v>3.0</v>
      </c>
      <c r="G7344" s="232"/>
    </row>
    <row r="7345">
      <c r="A7345" s="231"/>
      <c r="B7345" s="230" t="s">
        <v>592</v>
      </c>
      <c r="C7345" s="230" t="s">
        <v>7550</v>
      </c>
      <c r="D7345" s="230">
        <v>34.5</v>
      </c>
      <c r="E7345" s="230">
        <v>38.0</v>
      </c>
      <c r="F7345" s="230">
        <v>3.0</v>
      </c>
      <c r="G7345" s="232"/>
    </row>
    <row r="7346">
      <c r="A7346" s="231"/>
      <c r="B7346" s="230" t="s">
        <v>592</v>
      </c>
      <c r="C7346" s="230" t="s">
        <v>7551</v>
      </c>
      <c r="D7346" s="230">
        <v>34.5</v>
      </c>
      <c r="E7346" s="230">
        <v>38.0</v>
      </c>
      <c r="F7346" s="230">
        <v>3.0</v>
      </c>
      <c r="G7346" s="232"/>
    </row>
    <row r="7347">
      <c r="A7347" s="231"/>
      <c r="B7347" s="230" t="s">
        <v>592</v>
      </c>
      <c r="C7347" s="230" t="s">
        <v>7552</v>
      </c>
      <c r="D7347" s="230">
        <v>34.5</v>
      </c>
      <c r="E7347" s="230">
        <v>38.0</v>
      </c>
      <c r="F7347" s="230">
        <v>3.0</v>
      </c>
      <c r="G7347" s="232"/>
    </row>
    <row r="7348">
      <c r="A7348" s="231"/>
      <c r="B7348" s="230" t="s">
        <v>335</v>
      </c>
      <c r="C7348" s="230" t="s">
        <v>7553</v>
      </c>
      <c r="D7348" s="230">
        <v>34.5</v>
      </c>
      <c r="E7348" s="230">
        <v>38.0</v>
      </c>
      <c r="F7348" s="230">
        <v>3.0</v>
      </c>
      <c r="G7348" s="232"/>
    </row>
    <row r="7349">
      <c r="A7349" s="231"/>
      <c r="B7349" s="230" t="s">
        <v>241</v>
      </c>
      <c r="C7349" s="230" t="s">
        <v>7554</v>
      </c>
      <c r="D7349" s="230">
        <v>27.5</v>
      </c>
      <c r="E7349" s="230">
        <v>31.0</v>
      </c>
      <c r="F7349" s="230">
        <v>3.0</v>
      </c>
      <c r="G7349" s="232"/>
    </row>
  </sheetData>
  <mergeCells count="4">
    <mergeCell ref="B2:F2"/>
    <mergeCell ref="B4:C4"/>
    <mergeCell ref="D4:F4"/>
    <mergeCell ref="D5:E5"/>
  </mergeCells>
  <hyperlinks>
    <hyperlink r:id="rId1" ref="B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E4BA"/>
    <outlinePr summaryBelow="0" summaryRight="0"/>
  </sheetPr>
  <sheetViews>
    <sheetView workbookViewId="0"/>
  </sheetViews>
  <sheetFormatPr customHeight="1" defaultColWidth="11.22" defaultRowHeight="15.75"/>
  <cols>
    <col customWidth="1" min="1" max="1" width="4.56"/>
    <col customWidth="1" min="2" max="2" width="3.89"/>
    <col customWidth="1" min="3" max="3" width="6.44"/>
    <col customWidth="1" min="4" max="4" width="27.33"/>
    <col customWidth="1" min="5" max="5" width="9.89"/>
    <col customWidth="1" min="6" max="8" width="10.22"/>
    <col customWidth="1" min="9" max="9" width="2.89"/>
    <col customWidth="1" min="10" max="10" width="6.33"/>
    <col customWidth="1" min="11" max="11" width="8.89"/>
    <col customWidth="1" min="12" max="12" width="9.0"/>
    <col customWidth="1" min="13" max="13" width="8.78"/>
    <col customWidth="1" min="14" max="14" width="9.0"/>
    <col customWidth="1" min="15" max="15" width="12.0"/>
    <col customWidth="1" min="16" max="16" width="9.44"/>
    <col customWidth="1" min="17" max="17" width="5.11"/>
  </cols>
  <sheetData>
    <row r="1" ht="15.0" customHeight="1">
      <c r="A1" s="216"/>
      <c r="B1" s="216"/>
      <c r="C1" s="216"/>
      <c r="D1" s="216" t="s">
        <v>7555</v>
      </c>
      <c r="Q1" s="216"/>
    </row>
    <row r="2" ht="30.0" customHeight="1">
      <c r="A2" s="216"/>
      <c r="B2" s="216"/>
      <c r="C2" s="216"/>
      <c r="Q2" s="216"/>
    </row>
    <row r="3" ht="7.5" customHeight="1">
      <c r="A3" s="219"/>
      <c r="B3" s="233" t="s">
        <v>7556</v>
      </c>
      <c r="I3" s="234"/>
      <c r="J3" s="221"/>
      <c r="Q3" s="219"/>
    </row>
    <row r="4" ht="15.0" customHeight="1">
      <c r="A4" s="219"/>
      <c r="I4" s="221"/>
      <c r="Q4" s="219"/>
    </row>
    <row r="5" ht="15.0" customHeight="1">
      <c r="A5" s="235"/>
      <c r="B5" s="235"/>
      <c r="C5" s="235"/>
      <c r="D5" s="236"/>
      <c r="F5" s="237"/>
      <c r="G5" s="237"/>
      <c r="H5" s="237"/>
      <c r="I5" s="234"/>
      <c r="J5" s="235"/>
      <c r="K5" s="235"/>
      <c r="L5" s="235"/>
      <c r="M5" s="238"/>
      <c r="O5" s="237"/>
      <c r="P5" s="239"/>
      <c r="Q5" s="240"/>
    </row>
    <row r="6" ht="22.5" customHeight="1">
      <c r="A6" s="235"/>
      <c r="B6" s="235"/>
      <c r="C6" s="235"/>
      <c r="D6" s="236" t="s">
        <v>209</v>
      </c>
      <c r="F6" s="224">
        <v>45971.0</v>
      </c>
      <c r="G6" s="224"/>
      <c r="H6" s="224"/>
      <c r="I6" s="235"/>
      <c r="J6" s="235"/>
      <c r="K6" s="235"/>
      <c r="L6" s="236"/>
      <c r="M6" s="238"/>
      <c r="N6" s="236" t="s">
        <v>209</v>
      </c>
      <c r="P6" s="241">
        <v>45915.0</v>
      </c>
      <c r="Q6" s="242"/>
    </row>
    <row r="7" ht="45.0" customHeight="1">
      <c r="A7" s="227"/>
      <c r="B7" s="243" t="s">
        <v>7557</v>
      </c>
      <c r="G7" s="243"/>
      <c r="H7" s="243"/>
      <c r="I7" s="244"/>
      <c r="J7" s="243" t="s">
        <v>7558</v>
      </c>
      <c r="Q7" s="245"/>
    </row>
    <row r="8">
      <c r="A8" s="217"/>
      <c r="B8" s="246"/>
      <c r="C8" s="246"/>
      <c r="D8" s="246"/>
      <c r="E8" s="246" t="s">
        <v>7559</v>
      </c>
      <c r="F8" s="246" t="s">
        <v>7560</v>
      </c>
      <c r="G8" s="246" t="s">
        <v>7561</v>
      </c>
      <c r="H8" s="246" t="s">
        <v>7562</v>
      </c>
      <c r="I8" s="247"/>
      <c r="J8" s="248"/>
      <c r="K8" s="246" t="s">
        <v>7563</v>
      </c>
      <c r="L8" s="246" t="s">
        <v>7564</v>
      </c>
      <c r="M8" s="246" t="s">
        <v>7565</v>
      </c>
      <c r="N8" s="246" t="s">
        <v>7566</v>
      </c>
      <c r="O8" s="246" t="s">
        <v>7567</v>
      </c>
      <c r="P8" s="246" t="s">
        <v>7568</v>
      </c>
      <c r="Q8" s="217"/>
    </row>
    <row r="9">
      <c r="A9" s="217"/>
      <c r="B9" s="249"/>
      <c r="C9" s="249" t="s">
        <v>193</v>
      </c>
      <c r="D9" s="249" t="s">
        <v>192</v>
      </c>
      <c r="E9" s="250">
        <f>MAXIFS(E12:E221,B12:B221,true,C12:C221,C9)</f>
        <v>138</v>
      </c>
      <c r="F9" s="250">
        <f>MAXIFS(F12:F221,$B12:$B221,true,$C12:$C221,$C9)</f>
        <v>42</v>
      </c>
      <c r="G9" s="250">
        <f t="shared" ref="G9:H9" si="1">MAXIFS(G$12:G221,$B$12:$B221,true,$C$12:$C221,$C9)</f>
        <v>0.24</v>
      </c>
      <c r="H9" s="250">
        <f t="shared" si="1"/>
        <v>0.24</v>
      </c>
      <c r="I9" s="2"/>
      <c r="J9" s="168" t="s">
        <v>193</v>
      </c>
      <c r="K9" s="229">
        <v>46.0</v>
      </c>
      <c r="L9" s="229">
        <v>14.0</v>
      </c>
      <c r="M9" s="229">
        <v>0.08</v>
      </c>
      <c r="N9" s="229">
        <v>0.08</v>
      </c>
      <c r="O9" s="229">
        <v>0.0</v>
      </c>
      <c r="P9" s="229">
        <v>50.0</v>
      </c>
      <c r="Q9" s="217"/>
    </row>
    <row r="10">
      <c r="A10" s="217"/>
      <c r="B10" s="249"/>
      <c r="C10" s="249" t="s">
        <v>7569</v>
      </c>
      <c r="D10" s="249" t="s">
        <v>192</v>
      </c>
      <c r="E10" s="250">
        <f>MAXIFS(E12:E221,B12:B221,true,C12:C221,C10)</f>
        <v>115</v>
      </c>
      <c r="F10" s="250">
        <f>MAXIFS(F12:F221,B12:B221,true,C12:C221,C10)</f>
        <v>35</v>
      </c>
      <c r="G10" s="250">
        <f t="shared" ref="G10:H10" si="2">MAXIFS(G$12:G221,$B$12:$B221,true,$C$12:$C221,$C10)</f>
        <v>65</v>
      </c>
      <c r="H10" s="250">
        <f t="shared" si="2"/>
        <v>0</v>
      </c>
      <c r="I10" s="2"/>
      <c r="J10" s="168" t="s">
        <v>7569</v>
      </c>
      <c r="K10" s="229">
        <v>46.0</v>
      </c>
      <c r="L10" s="229">
        <v>14.0</v>
      </c>
      <c r="M10" s="229">
        <v>0.0</v>
      </c>
      <c r="N10" s="229">
        <v>0.0</v>
      </c>
      <c r="O10" s="229">
        <v>23.0</v>
      </c>
      <c r="P10" s="229">
        <v>50.0</v>
      </c>
      <c r="Q10" s="2"/>
    </row>
    <row r="11">
      <c r="A11" s="217"/>
      <c r="B11" s="217"/>
      <c r="C11" s="217"/>
      <c r="D11" s="217"/>
      <c r="E11" s="217"/>
      <c r="F11" s="217"/>
      <c r="G11" s="217"/>
      <c r="H11" s="217"/>
      <c r="I11" s="2"/>
      <c r="J11" s="2"/>
      <c r="K11" s="232"/>
      <c r="L11" s="232"/>
      <c r="M11" s="232"/>
      <c r="N11" s="232"/>
      <c r="O11" s="232"/>
      <c r="P11" s="232"/>
      <c r="Q11" s="2"/>
    </row>
    <row r="12">
      <c r="A12" s="217"/>
      <c r="B12" s="231" t="b">
        <f>IFERROR(__xludf.DUMMYFUNCTION("IF(ISNA(VLOOKUP(D12,TRANSPOSE(SPLIT('▶️ Инструкция'!S$36,"", "",FALSE,TRUE)),1,FALSE)),FALSE,TRUE)"),FALSE)</f>
        <v>0</v>
      </c>
      <c r="C12" s="251" t="s">
        <v>193</v>
      </c>
      <c r="D12" s="251" t="s">
        <v>7570</v>
      </c>
      <c r="E12" s="252">
        <v>94.3</v>
      </c>
      <c r="F12" s="252">
        <v>28.7</v>
      </c>
      <c r="G12" s="252">
        <v>0.16</v>
      </c>
      <c r="H12" s="252">
        <v>0.16</v>
      </c>
      <c r="I12" s="2"/>
      <c r="J12" s="253" t="s">
        <v>7571</v>
      </c>
      <c r="Q12" s="2"/>
    </row>
    <row r="13">
      <c r="A13" s="217"/>
      <c r="B13" s="231" t="b">
        <f>IFERROR(__xludf.DUMMYFUNCTION("IF(ISNA(VLOOKUP(D13,TRANSPOSE(SPLIT('▶️ Инструкция'!S$36,"", "",FALSE,TRUE)),1,FALSE)),FALSE,TRUE)"),FALSE)</f>
        <v>0</v>
      </c>
      <c r="C13" s="251" t="s">
        <v>193</v>
      </c>
      <c r="D13" s="251" t="s">
        <v>7572</v>
      </c>
      <c r="E13" s="252">
        <v>80.5</v>
      </c>
      <c r="F13" s="252">
        <v>24.5</v>
      </c>
      <c r="G13" s="252">
        <v>0.14</v>
      </c>
      <c r="H13" s="252">
        <v>0.14</v>
      </c>
      <c r="I13" s="2"/>
      <c r="Q13" s="2"/>
    </row>
    <row r="14">
      <c r="A14" s="217"/>
      <c r="B14" s="231" t="b">
        <f>IFERROR(__xludf.DUMMYFUNCTION("IF(ISNA(VLOOKUP(D14,TRANSPOSE(SPLIT('▶️ Инструкция'!S$36,"", "",FALSE,TRUE)),1,FALSE)),FALSE,TRUE)"),FALSE)</f>
        <v>0</v>
      </c>
      <c r="C14" s="251" t="s">
        <v>193</v>
      </c>
      <c r="D14" s="251" t="s">
        <v>7573</v>
      </c>
      <c r="E14" s="252">
        <v>59.8</v>
      </c>
      <c r="F14" s="252">
        <v>18.2</v>
      </c>
      <c r="G14" s="252">
        <v>0.1</v>
      </c>
      <c r="H14" s="252">
        <v>0.1</v>
      </c>
      <c r="I14" s="2"/>
      <c r="J14" s="253"/>
      <c r="M14" s="254" t="s">
        <v>7574</v>
      </c>
      <c r="N14" s="253" t="s">
        <v>7575</v>
      </c>
      <c r="O14" s="253"/>
      <c r="Q14" s="2"/>
    </row>
    <row r="15">
      <c r="A15" s="217"/>
      <c r="B15" s="231" t="b">
        <f>IFERROR(__xludf.DUMMYFUNCTION("IF(ISNA(VLOOKUP(D15,TRANSPOSE(SPLIT('▶️ Инструкция'!S$36,"", "",FALSE,TRUE)),1,FALSE)),FALSE,TRUE)"),FALSE)</f>
        <v>0</v>
      </c>
      <c r="C15" s="251" t="s">
        <v>193</v>
      </c>
      <c r="D15" s="251" t="s">
        <v>7576</v>
      </c>
      <c r="E15" s="252">
        <v>73.6</v>
      </c>
      <c r="F15" s="252">
        <v>22.4</v>
      </c>
      <c r="G15" s="252">
        <v>0.13</v>
      </c>
      <c r="H15" s="252">
        <v>0.13</v>
      </c>
      <c r="I15" s="2"/>
      <c r="J15" s="255" t="s">
        <v>7577</v>
      </c>
      <c r="M15" s="10">
        <v>1.0</v>
      </c>
      <c r="N15" s="10" t="b">
        <v>0</v>
      </c>
      <c r="O15" s="10" t="s">
        <v>7578</v>
      </c>
      <c r="P15" s="256">
        <v>0.025</v>
      </c>
      <c r="Q15" s="2"/>
    </row>
    <row r="16">
      <c r="A16" s="217"/>
      <c r="B16" s="231" t="b">
        <f>IFERROR(__xludf.DUMMYFUNCTION("IF(ISNA(VLOOKUP(D16,TRANSPOSE(SPLIT('▶️ Инструкция'!S$36,"", "",FALSE,TRUE)),1,FALSE)),FALSE,TRUE)"),FALSE)</f>
        <v>0</v>
      </c>
      <c r="C16" s="251" t="s">
        <v>193</v>
      </c>
      <c r="D16" s="251" t="s">
        <v>7579</v>
      </c>
      <c r="E16" s="252">
        <v>161.0</v>
      </c>
      <c r="F16" s="252">
        <v>49.0</v>
      </c>
      <c r="G16" s="252">
        <v>0.28</v>
      </c>
      <c r="H16" s="252">
        <v>0.28</v>
      </c>
      <c r="I16" s="2"/>
      <c r="J16" s="255" t="s">
        <v>7580</v>
      </c>
      <c r="M16" s="10">
        <v>1.0</v>
      </c>
      <c r="N16" s="10" t="b">
        <v>0</v>
      </c>
      <c r="O16" s="10" t="s">
        <v>7578</v>
      </c>
      <c r="P16" s="256">
        <v>0.025</v>
      </c>
      <c r="Q16" s="2"/>
    </row>
    <row r="17">
      <c r="A17" s="217"/>
      <c r="B17" s="231" t="b">
        <f>IFERROR(__xludf.DUMMYFUNCTION("IF(ISNA(VLOOKUP(D17,TRANSPOSE(SPLIT('▶️ Инструкция'!S$36,"", "",FALSE,TRUE)),1,FALSE)),FALSE,TRUE)"),FALSE)</f>
        <v>0</v>
      </c>
      <c r="C17" s="251" t="s">
        <v>193</v>
      </c>
      <c r="D17" s="251" t="s">
        <v>7581</v>
      </c>
      <c r="E17" s="252">
        <v>73.6</v>
      </c>
      <c r="F17" s="252">
        <v>22.4</v>
      </c>
      <c r="G17" s="252">
        <v>0.13</v>
      </c>
      <c r="H17" s="252">
        <v>0.13</v>
      </c>
      <c r="I17" s="2"/>
      <c r="J17" s="255" t="s">
        <v>7582</v>
      </c>
      <c r="M17" s="10">
        <v>1.0</v>
      </c>
      <c r="N17" s="10" t="b">
        <v>0</v>
      </c>
      <c r="O17" s="10" t="s">
        <v>7578</v>
      </c>
      <c r="P17" s="256">
        <v>0.023</v>
      </c>
      <c r="Q17" s="2"/>
    </row>
    <row r="18">
      <c r="A18" s="217"/>
      <c r="B18" s="231" t="b">
        <f>IFERROR(__xludf.DUMMYFUNCTION("IF(ISNA(VLOOKUP(D18,TRANSPOSE(SPLIT('▶️ Инструкция'!S$36,"", "",FALSE,TRUE)),1,FALSE)),FALSE,TRUE)"),FALSE)</f>
        <v>0</v>
      </c>
      <c r="C18" s="251" t="s">
        <v>193</v>
      </c>
      <c r="D18" s="251" t="s">
        <v>7583</v>
      </c>
      <c r="E18" s="252">
        <v>73.6</v>
      </c>
      <c r="F18" s="252">
        <v>22.4</v>
      </c>
      <c r="G18" s="252">
        <v>0.13</v>
      </c>
      <c r="H18" s="252">
        <v>0.13</v>
      </c>
      <c r="I18" s="2"/>
      <c r="J18" s="255" t="s">
        <v>7584</v>
      </c>
      <c r="M18" s="10">
        <v>1.0</v>
      </c>
      <c r="N18" s="10" t="b">
        <v>0</v>
      </c>
      <c r="O18" s="10" t="s">
        <v>7578</v>
      </c>
      <c r="P18" s="256">
        <v>0.015</v>
      </c>
      <c r="Q18" s="2"/>
    </row>
    <row r="19">
      <c r="A19" s="217"/>
      <c r="B19" s="231" t="b">
        <f>IFERROR(__xludf.DUMMYFUNCTION("IF(ISNA(VLOOKUP(D19,TRANSPOSE(SPLIT('▶️ Инструкция'!S$36,"", "",FALSE,TRUE)),1,FALSE)),FALSE,TRUE)"),TRUE)</f>
        <v>1</v>
      </c>
      <c r="C19" s="251" t="s">
        <v>193</v>
      </c>
      <c r="D19" s="251" t="s">
        <v>7585</v>
      </c>
      <c r="E19" s="252">
        <v>87.4</v>
      </c>
      <c r="F19" s="252">
        <v>26.6</v>
      </c>
      <c r="G19" s="252">
        <v>0.15</v>
      </c>
      <c r="H19" s="252">
        <v>0.15</v>
      </c>
      <c r="I19" s="2"/>
      <c r="J19" s="255" t="s">
        <v>7586</v>
      </c>
      <c r="M19" s="10">
        <v>1.0</v>
      </c>
      <c r="N19" s="10" t="b">
        <v>0</v>
      </c>
      <c r="O19" s="10" t="s">
        <v>7578</v>
      </c>
      <c r="P19" s="256">
        <v>0.015</v>
      </c>
      <c r="Q19" s="2"/>
    </row>
    <row r="20">
      <c r="A20" s="217"/>
      <c r="B20" s="231" t="b">
        <f>IFERROR(__xludf.DUMMYFUNCTION("IF(ISNA(VLOOKUP(D20,TRANSPOSE(SPLIT('▶️ Инструкция'!S$36,"", "",FALSE,TRUE)),1,FALSE)),FALSE,TRUE)"),FALSE)</f>
        <v>0</v>
      </c>
      <c r="C20" s="251" t="s">
        <v>193</v>
      </c>
      <c r="D20" s="251" t="s">
        <v>7587</v>
      </c>
      <c r="E20" s="252">
        <v>73.6</v>
      </c>
      <c r="F20" s="252">
        <v>22.4</v>
      </c>
      <c r="G20" s="252">
        <v>0.13</v>
      </c>
      <c r="H20" s="252">
        <v>0.13</v>
      </c>
      <c r="I20" s="2"/>
      <c r="J20" s="255" t="s">
        <v>7588</v>
      </c>
      <c r="M20" s="10">
        <v>1.0</v>
      </c>
      <c r="N20" s="10" t="b">
        <v>0</v>
      </c>
      <c r="O20" s="10" t="s">
        <v>7578</v>
      </c>
      <c r="P20" s="256">
        <v>0.015</v>
      </c>
      <c r="Q20" s="2"/>
    </row>
    <row r="21">
      <c r="A21" s="217"/>
      <c r="B21" s="231" t="b">
        <f>IFERROR(__xludf.DUMMYFUNCTION("IF(ISNA(VLOOKUP(D21,TRANSPOSE(SPLIT('▶️ Инструкция'!S$36,"", "",FALSE,TRUE)),1,FALSE)),FALSE,TRUE)"),FALSE)</f>
        <v>0</v>
      </c>
      <c r="C21" s="251" t="s">
        <v>193</v>
      </c>
      <c r="D21" s="251" t="s">
        <v>7589</v>
      </c>
      <c r="E21" s="252">
        <v>59.8</v>
      </c>
      <c r="F21" s="252">
        <v>18.2</v>
      </c>
      <c r="G21" s="252">
        <v>0.1</v>
      </c>
      <c r="H21" s="252">
        <v>0.1</v>
      </c>
      <c r="I21" s="2"/>
      <c r="J21" s="255" t="s">
        <v>7590</v>
      </c>
      <c r="M21" s="10">
        <v>1.0</v>
      </c>
      <c r="N21" s="10" t="b">
        <v>0</v>
      </c>
      <c r="O21" s="10" t="s">
        <v>7578</v>
      </c>
      <c r="P21" s="256">
        <v>0.0075</v>
      </c>
      <c r="Q21" s="2"/>
    </row>
    <row r="22">
      <c r="A22" s="217"/>
      <c r="B22" s="231" t="b">
        <f>IFERROR(__xludf.DUMMYFUNCTION("IF(ISNA(VLOOKUP(D22,TRANSPOSE(SPLIT('▶️ Инструкция'!S$36,"", "",FALSE,TRUE)),1,FALSE)),FALSE,TRUE)"),FALSE)</f>
        <v>0</v>
      </c>
      <c r="C22" s="251" t="s">
        <v>193</v>
      </c>
      <c r="D22" s="251" t="s">
        <v>7591</v>
      </c>
      <c r="E22" s="252">
        <v>96.6</v>
      </c>
      <c r="F22" s="252">
        <v>29.4</v>
      </c>
      <c r="G22" s="252">
        <v>0.17</v>
      </c>
      <c r="H22" s="252">
        <v>0.17</v>
      </c>
      <c r="I22" s="2"/>
      <c r="J22" s="255" t="s">
        <v>7592</v>
      </c>
      <c r="M22" s="10">
        <v>1.0</v>
      </c>
      <c r="N22" s="10" t="b">
        <v>0</v>
      </c>
      <c r="O22" s="10" t="s">
        <v>7578</v>
      </c>
      <c r="P22" s="256">
        <v>0.01</v>
      </c>
      <c r="Q22" s="2"/>
    </row>
    <row r="23">
      <c r="A23" s="217"/>
      <c r="B23" s="231" t="b">
        <f>IFERROR(__xludf.DUMMYFUNCTION("IF(ISNA(VLOOKUP(D23,TRANSPOSE(SPLIT('▶️ Инструкция'!S$36,"", "",FALSE,TRUE)),1,FALSE)),FALSE,TRUE)"),FALSE)</f>
        <v>0</v>
      </c>
      <c r="C23" s="251" t="s">
        <v>193</v>
      </c>
      <c r="D23" s="251" t="s">
        <v>7593</v>
      </c>
      <c r="E23" s="252">
        <v>52.9</v>
      </c>
      <c r="F23" s="252">
        <v>16.1</v>
      </c>
      <c r="G23" s="252">
        <v>0.09</v>
      </c>
      <c r="H23" s="252">
        <v>0.09</v>
      </c>
      <c r="I23" s="2"/>
      <c r="J23" s="255" t="s">
        <v>7594</v>
      </c>
      <c r="M23" s="10">
        <v>1.0</v>
      </c>
      <c r="N23" s="10" t="b">
        <v>0</v>
      </c>
      <c r="O23" s="10" t="s">
        <v>7578</v>
      </c>
      <c r="P23" s="256">
        <v>0.01</v>
      </c>
      <c r="Q23" s="2"/>
    </row>
    <row r="24">
      <c r="A24" s="217"/>
      <c r="B24" s="231" t="b">
        <f>IFERROR(__xludf.DUMMYFUNCTION("IF(ISNA(VLOOKUP(D24,TRANSPOSE(SPLIT('▶️ Инструкция'!S$36,"", "",FALSE,TRUE)),1,FALSE)),FALSE,TRUE)"),FALSE)</f>
        <v>0</v>
      </c>
      <c r="C24" s="251" t="s">
        <v>193</v>
      </c>
      <c r="D24" s="251" t="s">
        <v>7595</v>
      </c>
      <c r="E24" s="252">
        <v>92.0</v>
      </c>
      <c r="F24" s="252">
        <v>28.0</v>
      </c>
      <c r="G24" s="252">
        <v>0.16</v>
      </c>
      <c r="H24" s="252">
        <v>0.16</v>
      </c>
      <c r="I24" s="2"/>
      <c r="J24" s="255" t="s">
        <v>7596</v>
      </c>
      <c r="M24" s="10">
        <v>1.0</v>
      </c>
      <c r="N24" s="10" t="b">
        <v>0</v>
      </c>
      <c r="O24" s="10" t="s">
        <v>7578</v>
      </c>
      <c r="P24" s="256">
        <v>0.01</v>
      </c>
      <c r="Q24" s="2"/>
    </row>
    <row r="25">
      <c r="A25" s="217"/>
      <c r="B25" s="231" t="b">
        <f>IFERROR(__xludf.DUMMYFUNCTION("IF(ISNA(VLOOKUP(D25,TRANSPOSE(SPLIT('▶️ Инструкция'!S$36,"", "",FALSE,TRUE)),1,FALSE)),FALSE,TRUE)"),FALSE)</f>
        <v>0</v>
      </c>
      <c r="C25" s="251" t="s">
        <v>193</v>
      </c>
      <c r="D25" s="251" t="s">
        <v>7597</v>
      </c>
      <c r="E25" s="252">
        <v>82.8</v>
      </c>
      <c r="F25" s="252">
        <v>25.2</v>
      </c>
      <c r="G25" s="252">
        <v>0.14</v>
      </c>
      <c r="H25" s="252">
        <v>0.14</v>
      </c>
      <c r="I25" s="2"/>
      <c r="J25" s="255" t="s">
        <v>7598</v>
      </c>
      <c r="M25" s="10">
        <v>1.0</v>
      </c>
      <c r="N25" s="10" t="b">
        <v>0</v>
      </c>
      <c r="O25" s="10" t="s">
        <v>7578</v>
      </c>
      <c r="P25" s="256">
        <v>0.0075</v>
      </c>
      <c r="Q25" s="2"/>
    </row>
    <row r="26">
      <c r="A26" s="217"/>
      <c r="B26" s="231" t="b">
        <f>IFERROR(__xludf.DUMMYFUNCTION("IF(ISNA(VLOOKUP(D26,TRANSPOSE(SPLIT('▶️ Инструкция'!S$36,"", "",FALSE,TRUE)),1,FALSE)),FALSE,TRUE)"),FALSE)</f>
        <v>0</v>
      </c>
      <c r="C26" s="251" t="s">
        <v>193</v>
      </c>
      <c r="D26" s="251" t="s">
        <v>7599</v>
      </c>
      <c r="E26" s="252">
        <v>48.3</v>
      </c>
      <c r="F26" s="252">
        <v>14.7</v>
      </c>
      <c r="G26" s="252">
        <v>0.08</v>
      </c>
      <c r="H26" s="252">
        <v>0.08</v>
      </c>
      <c r="I26" s="2"/>
      <c r="J26" s="255" t="s">
        <v>7600</v>
      </c>
      <c r="M26" s="10">
        <v>1.0</v>
      </c>
      <c r="N26" s="10" t="b">
        <v>0</v>
      </c>
      <c r="O26" s="10" t="s">
        <v>7578</v>
      </c>
      <c r="P26" s="256">
        <v>0.0075</v>
      </c>
      <c r="Q26" s="2"/>
    </row>
    <row r="27">
      <c r="A27" s="217"/>
      <c r="B27" s="231" t="b">
        <f>IFERROR(__xludf.DUMMYFUNCTION("IF(ISNA(VLOOKUP(D27,TRANSPOSE(SPLIT('▶️ Инструкция'!S$36,"", "",FALSE,TRUE)),1,FALSE)),FALSE,TRUE)"),FALSE)</f>
        <v>0</v>
      </c>
      <c r="C27" s="251" t="s">
        <v>193</v>
      </c>
      <c r="D27" s="251" t="s">
        <v>7601</v>
      </c>
      <c r="E27" s="252">
        <v>46.0</v>
      </c>
      <c r="F27" s="252">
        <v>14.0</v>
      </c>
      <c r="G27" s="252">
        <v>0.08</v>
      </c>
      <c r="H27" s="252">
        <v>0.08</v>
      </c>
      <c r="I27" s="2"/>
      <c r="J27" s="255" t="s">
        <v>7602</v>
      </c>
      <c r="M27" s="10">
        <v>1.0</v>
      </c>
      <c r="N27" s="10" t="b">
        <v>0</v>
      </c>
      <c r="O27" s="10" t="s">
        <v>7578</v>
      </c>
      <c r="P27" s="256">
        <v>0.0075</v>
      </c>
      <c r="Q27" s="2"/>
    </row>
    <row r="28">
      <c r="A28" s="217"/>
      <c r="B28" s="231" t="b">
        <f>IFERROR(__xludf.DUMMYFUNCTION("IF(ISNA(VLOOKUP(D28,TRANSPOSE(SPLIT('▶️ Инструкция'!S$36,"", "",FALSE,TRUE)),1,FALSE)),FALSE,TRUE)"),FALSE)</f>
        <v>0</v>
      </c>
      <c r="C28" s="251" t="s">
        <v>193</v>
      </c>
      <c r="D28" s="251" t="s">
        <v>7603</v>
      </c>
      <c r="E28" s="252">
        <v>46.0</v>
      </c>
      <c r="F28" s="252">
        <v>14.0</v>
      </c>
      <c r="G28" s="252">
        <v>0.08</v>
      </c>
      <c r="H28" s="252">
        <v>0.08</v>
      </c>
      <c r="I28" s="2"/>
      <c r="J28" s="255" t="s">
        <v>7604</v>
      </c>
      <c r="M28" s="10">
        <v>1.0</v>
      </c>
      <c r="N28" s="10" t="b">
        <v>0</v>
      </c>
      <c r="O28" s="10" t="s">
        <v>7578</v>
      </c>
      <c r="P28" s="256">
        <v>0.0075</v>
      </c>
      <c r="Q28" s="2"/>
    </row>
    <row r="29">
      <c r="A29" s="217"/>
      <c r="B29" s="231" t="b">
        <f>IFERROR(__xludf.DUMMYFUNCTION("IF(ISNA(VLOOKUP(D29,TRANSPOSE(SPLIT('▶️ Инструкция'!S$36,"", "",FALSE,TRUE)),1,FALSE)),FALSE,TRUE)"),FALSE)</f>
        <v>0</v>
      </c>
      <c r="C29" s="251" t="s">
        <v>193</v>
      </c>
      <c r="D29" s="251" t="s">
        <v>7605</v>
      </c>
      <c r="E29" s="252">
        <v>78.2</v>
      </c>
      <c r="F29" s="252">
        <v>23.8</v>
      </c>
      <c r="G29" s="252">
        <v>0.14</v>
      </c>
      <c r="H29" s="252">
        <v>0.14</v>
      </c>
      <c r="I29" s="2"/>
      <c r="J29" s="255" t="s">
        <v>7606</v>
      </c>
      <c r="M29" s="10">
        <v>1.0</v>
      </c>
      <c r="N29" s="10" t="b">
        <v>0</v>
      </c>
      <c r="O29" s="10" t="s">
        <v>7578</v>
      </c>
      <c r="P29" s="256">
        <v>0.007</v>
      </c>
      <c r="Q29" s="2"/>
    </row>
    <row r="30">
      <c r="A30" s="217"/>
      <c r="B30" s="231" t="b">
        <f>IFERROR(__xludf.DUMMYFUNCTION("IF(ISNA(VLOOKUP(D30,TRANSPOSE(SPLIT('▶️ Инструкция'!S$36,"", "",FALSE,TRUE)),1,FALSE)),FALSE,TRUE)"),FALSE)</f>
        <v>0</v>
      </c>
      <c r="C30" s="251" t="s">
        <v>193</v>
      </c>
      <c r="D30" s="251" t="s">
        <v>7607</v>
      </c>
      <c r="E30" s="252">
        <v>82.8</v>
      </c>
      <c r="F30" s="252">
        <v>25.2</v>
      </c>
      <c r="G30" s="252">
        <v>0.14</v>
      </c>
      <c r="H30" s="252">
        <v>0.14</v>
      </c>
      <c r="I30" s="2"/>
      <c r="J30" s="255" t="s">
        <v>7608</v>
      </c>
      <c r="M30" s="10">
        <v>1.0</v>
      </c>
      <c r="N30" s="10" t="b">
        <v>0</v>
      </c>
      <c r="O30" s="10" t="s">
        <v>7578</v>
      </c>
      <c r="P30" s="256">
        <v>0.005</v>
      </c>
      <c r="Q30" s="2"/>
    </row>
    <row r="31">
      <c r="A31" s="217"/>
      <c r="B31" s="231" t="b">
        <f>IFERROR(__xludf.DUMMYFUNCTION("IF(ISNA(VLOOKUP(D31,TRANSPOSE(SPLIT('▶️ Инструкция'!S$36,"", "",FALSE,TRUE)),1,FALSE)),FALSE,TRUE)"),FALSE)</f>
        <v>0</v>
      </c>
      <c r="C31" s="251" t="s">
        <v>193</v>
      </c>
      <c r="D31" s="251" t="s">
        <v>7609</v>
      </c>
      <c r="E31" s="252">
        <v>78.2</v>
      </c>
      <c r="F31" s="252">
        <v>23.8</v>
      </c>
      <c r="G31" s="252">
        <v>0.14</v>
      </c>
      <c r="H31" s="252">
        <v>0.14</v>
      </c>
      <c r="I31" s="2"/>
      <c r="J31" s="255" t="s">
        <v>7610</v>
      </c>
      <c r="M31" s="10">
        <v>1.0</v>
      </c>
      <c r="N31" s="10" t="b">
        <v>0</v>
      </c>
      <c r="O31" s="10" t="s">
        <v>7578</v>
      </c>
      <c r="P31" s="256">
        <v>0.005</v>
      </c>
      <c r="Q31" s="2"/>
    </row>
    <row r="32">
      <c r="A32" s="217"/>
      <c r="B32" s="231" t="b">
        <f>IFERROR(__xludf.DUMMYFUNCTION("IF(ISNA(VLOOKUP(D32,TRANSPOSE(SPLIT('▶️ Инструкция'!S$36,"", "",FALSE,TRUE)),1,FALSE)),FALSE,TRUE)"),FALSE)</f>
        <v>0</v>
      </c>
      <c r="C32" s="251" t="s">
        <v>193</v>
      </c>
      <c r="D32" s="251" t="s">
        <v>7611</v>
      </c>
      <c r="E32" s="252">
        <v>73.6</v>
      </c>
      <c r="F32" s="252">
        <v>22.4</v>
      </c>
      <c r="G32" s="252">
        <v>0.13</v>
      </c>
      <c r="H32" s="252">
        <v>0.13</v>
      </c>
      <c r="I32" s="2"/>
      <c r="J32" s="255" t="s">
        <v>7612</v>
      </c>
      <c r="M32" s="10">
        <v>1.0</v>
      </c>
      <c r="N32" s="10" t="b">
        <v>0</v>
      </c>
      <c r="O32" s="10" t="s">
        <v>7578</v>
      </c>
      <c r="P32" s="256">
        <v>0.005</v>
      </c>
      <c r="Q32" s="2"/>
    </row>
    <row r="33">
      <c r="A33" s="217"/>
      <c r="B33" s="231" t="b">
        <f>IFERROR(__xludf.DUMMYFUNCTION("IF(ISNA(VLOOKUP(D33,TRANSPOSE(SPLIT('▶️ Инструкция'!S$36,"", "",FALSE,TRUE)),1,FALSE)),FALSE,TRUE)"),FALSE)</f>
        <v>0</v>
      </c>
      <c r="C33" s="251" t="s">
        <v>193</v>
      </c>
      <c r="D33" s="251" t="s">
        <v>7613</v>
      </c>
      <c r="E33" s="252">
        <v>66.7</v>
      </c>
      <c r="F33" s="252">
        <v>20.3</v>
      </c>
      <c r="G33" s="252">
        <v>0.12</v>
      </c>
      <c r="H33" s="252">
        <v>0.12</v>
      </c>
      <c r="I33" s="2"/>
      <c r="J33" s="255" t="s">
        <v>7614</v>
      </c>
      <c r="M33" s="10">
        <v>1.0</v>
      </c>
      <c r="N33" s="10" t="b">
        <v>0</v>
      </c>
      <c r="O33" s="10" t="s">
        <v>7578</v>
      </c>
      <c r="P33" s="256">
        <v>0.005</v>
      </c>
      <c r="Q33" s="2"/>
    </row>
    <row r="34">
      <c r="A34" s="217"/>
      <c r="B34" s="231" t="b">
        <f>IFERROR(__xludf.DUMMYFUNCTION("IF(ISNA(VLOOKUP(D34,TRANSPOSE(SPLIT('▶️ Инструкция'!S$36,"", "",FALSE,TRUE)),1,FALSE)),FALSE,TRUE)"),FALSE)</f>
        <v>0</v>
      </c>
      <c r="C34" s="251" t="s">
        <v>193</v>
      </c>
      <c r="D34" s="251" t="s">
        <v>7615</v>
      </c>
      <c r="E34" s="252">
        <v>78.2</v>
      </c>
      <c r="F34" s="252">
        <v>23.8</v>
      </c>
      <c r="G34" s="252">
        <v>0.14</v>
      </c>
      <c r="H34" s="252">
        <v>0.14</v>
      </c>
      <c r="I34" s="2"/>
      <c r="J34" s="255" t="s">
        <v>7616</v>
      </c>
      <c r="M34" s="10">
        <v>1.0</v>
      </c>
      <c r="N34" s="10" t="b">
        <v>0</v>
      </c>
      <c r="O34" s="10" t="s">
        <v>7578</v>
      </c>
      <c r="P34" s="256">
        <v>0.005</v>
      </c>
      <c r="Q34" s="2"/>
    </row>
    <row r="35">
      <c r="A35" s="217"/>
      <c r="B35" s="231" t="b">
        <f>IFERROR(__xludf.DUMMYFUNCTION("IF(ISNA(VLOOKUP(D35,TRANSPOSE(SPLIT('▶️ Инструкция'!S$36,"", "",FALSE,TRUE)),1,FALSE)),FALSE,TRUE)"),FALSE)</f>
        <v>0</v>
      </c>
      <c r="C35" s="251" t="s">
        <v>193</v>
      </c>
      <c r="D35" s="251" t="s">
        <v>7617</v>
      </c>
      <c r="E35" s="252">
        <v>43.7</v>
      </c>
      <c r="F35" s="252">
        <v>13.3</v>
      </c>
      <c r="G35" s="252">
        <v>0.08</v>
      </c>
      <c r="H35" s="252">
        <v>0.08</v>
      </c>
      <c r="I35" s="2"/>
      <c r="J35" s="255" t="s">
        <v>7618</v>
      </c>
      <c r="M35" s="10">
        <v>1.0</v>
      </c>
      <c r="N35" s="10" t="b">
        <v>0</v>
      </c>
      <c r="O35" s="10" t="s">
        <v>7578</v>
      </c>
      <c r="P35" s="256">
        <v>0.005</v>
      </c>
      <c r="Q35" s="2"/>
    </row>
    <row r="36">
      <c r="A36" s="217"/>
      <c r="B36" s="231" t="b">
        <f>IFERROR(__xludf.DUMMYFUNCTION("IF(ISNA(VLOOKUP(D36,TRANSPOSE(SPLIT('▶️ Инструкция'!S$36,"", "",FALSE,TRUE)),1,FALSE)),FALSE,TRUE)"),FALSE)</f>
        <v>0</v>
      </c>
      <c r="C36" s="251" t="s">
        <v>193</v>
      </c>
      <c r="D36" s="251" t="s">
        <v>7619</v>
      </c>
      <c r="E36" s="252">
        <v>75.9</v>
      </c>
      <c r="F36" s="252">
        <v>23.1</v>
      </c>
      <c r="G36" s="252">
        <v>0.13</v>
      </c>
      <c r="H36" s="252">
        <v>0.13</v>
      </c>
      <c r="I36" s="2"/>
      <c r="J36" s="255" t="s">
        <v>7620</v>
      </c>
      <c r="M36" s="10">
        <v>1.0</v>
      </c>
      <c r="N36" s="10" t="b">
        <v>0</v>
      </c>
      <c r="O36" s="10" t="s">
        <v>7578</v>
      </c>
      <c r="P36" s="256">
        <v>0.005</v>
      </c>
      <c r="Q36" s="2"/>
    </row>
    <row r="37">
      <c r="A37" s="217"/>
      <c r="B37" s="231" t="b">
        <f>IFERROR(__xludf.DUMMYFUNCTION("IF(ISNA(VLOOKUP(D37,TRANSPOSE(SPLIT('▶️ Инструкция'!S$36,"", "",FALSE,TRUE)),1,FALSE)),FALSE,TRUE)"),FALSE)</f>
        <v>0</v>
      </c>
      <c r="C37" s="251" t="s">
        <v>193</v>
      </c>
      <c r="D37" s="251" t="s">
        <v>7621</v>
      </c>
      <c r="E37" s="252">
        <v>43.7</v>
      </c>
      <c r="F37" s="252">
        <v>13.3</v>
      </c>
      <c r="G37" s="252">
        <v>0.08</v>
      </c>
      <c r="H37" s="252">
        <v>0.08</v>
      </c>
      <c r="I37" s="2"/>
      <c r="J37" s="255" t="s">
        <v>7622</v>
      </c>
      <c r="M37" s="10">
        <v>1.0</v>
      </c>
      <c r="N37" s="10" t="b">
        <v>0</v>
      </c>
      <c r="O37" s="10" t="s">
        <v>7578</v>
      </c>
      <c r="P37" s="256">
        <v>0.005</v>
      </c>
      <c r="Q37" s="2"/>
    </row>
    <row r="38">
      <c r="A38" s="217"/>
      <c r="B38" s="231" t="b">
        <f>IFERROR(__xludf.DUMMYFUNCTION("IF(ISNA(VLOOKUP(D38,TRANSPOSE(SPLIT('▶️ Инструкция'!S$36,"", "",FALSE,TRUE)),1,FALSE)),FALSE,TRUE)"),TRUE)</f>
        <v>1</v>
      </c>
      <c r="C38" s="251" t="s">
        <v>193</v>
      </c>
      <c r="D38" s="251" t="s">
        <v>7623</v>
      </c>
      <c r="E38" s="252">
        <v>75.9</v>
      </c>
      <c r="F38" s="252">
        <v>23.1</v>
      </c>
      <c r="G38" s="252">
        <v>0.13</v>
      </c>
      <c r="H38" s="252">
        <v>0.13</v>
      </c>
      <c r="I38" s="2"/>
      <c r="J38" s="255" t="s">
        <v>7624</v>
      </c>
      <c r="M38" s="10">
        <v>1.0</v>
      </c>
      <c r="N38" s="10" t="b">
        <v>0</v>
      </c>
      <c r="O38" s="10" t="s">
        <v>7578</v>
      </c>
      <c r="P38" s="256">
        <v>0.005</v>
      </c>
      <c r="Q38" s="2"/>
    </row>
    <row r="39">
      <c r="A39" s="217"/>
      <c r="B39" s="231" t="b">
        <f>IFERROR(__xludf.DUMMYFUNCTION("IF(ISNA(VLOOKUP(D39,TRANSPOSE(SPLIT('▶️ Инструкция'!S$36,"", "",FALSE,TRUE)),1,FALSE)),FALSE,TRUE)"),FALSE)</f>
        <v>0</v>
      </c>
      <c r="C39" s="251" t="s">
        <v>193</v>
      </c>
      <c r="D39" s="251" t="s">
        <v>7625</v>
      </c>
      <c r="E39" s="252">
        <v>46.0</v>
      </c>
      <c r="F39" s="252">
        <v>14.0</v>
      </c>
      <c r="G39" s="252">
        <v>0.08</v>
      </c>
      <c r="H39" s="252">
        <v>0.08</v>
      </c>
      <c r="I39" s="2"/>
      <c r="J39" s="255" t="s">
        <v>7626</v>
      </c>
      <c r="M39" s="10">
        <v>1.0</v>
      </c>
      <c r="N39" s="10" t="b">
        <v>0</v>
      </c>
      <c r="O39" s="10" t="s">
        <v>7578</v>
      </c>
      <c r="P39" s="256">
        <v>0.005</v>
      </c>
      <c r="Q39" s="2"/>
    </row>
    <row r="40">
      <c r="A40" s="217"/>
      <c r="B40" s="231" t="b">
        <f>IFERROR(__xludf.DUMMYFUNCTION("IF(ISNA(VLOOKUP(D40,TRANSPOSE(SPLIT('▶️ Инструкция'!S$36,"", "",FALSE,TRUE)),1,FALSE)),FALSE,TRUE)"),FALSE)</f>
        <v>0</v>
      </c>
      <c r="C40" s="251" t="s">
        <v>193</v>
      </c>
      <c r="D40" s="251" t="s">
        <v>7627</v>
      </c>
      <c r="E40" s="252">
        <v>64.4</v>
      </c>
      <c r="F40" s="252">
        <v>19.6</v>
      </c>
      <c r="G40" s="252">
        <v>0.12</v>
      </c>
      <c r="H40" s="252">
        <v>0.12</v>
      </c>
      <c r="I40" s="2"/>
      <c r="J40" s="255" t="s">
        <v>7628</v>
      </c>
      <c r="M40" s="10">
        <v>1.0</v>
      </c>
      <c r="N40" s="10" t="b">
        <v>0</v>
      </c>
      <c r="O40" s="10" t="s">
        <v>7578</v>
      </c>
      <c r="P40" s="256">
        <v>0.0025</v>
      </c>
      <c r="Q40" s="2"/>
    </row>
    <row r="41">
      <c r="A41" s="217"/>
      <c r="B41" s="231" t="b">
        <f>IFERROR(__xludf.DUMMYFUNCTION("IF(ISNA(VLOOKUP(D41,TRANSPOSE(SPLIT('▶️ Инструкция'!S$36,"", "",FALSE,TRUE)),1,FALSE)),FALSE,TRUE)"),FALSE)</f>
        <v>0</v>
      </c>
      <c r="C41" s="251" t="s">
        <v>193</v>
      </c>
      <c r="D41" s="251" t="s">
        <v>7629</v>
      </c>
      <c r="E41" s="252">
        <v>85.1</v>
      </c>
      <c r="F41" s="252">
        <v>25.9</v>
      </c>
      <c r="G41" s="252">
        <v>0.15</v>
      </c>
      <c r="H41" s="252">
        <v>0.15</v>
      </c>
      <c r="I41" s="2"/>
      <c r="J41" s="255" t="s">
        <v>7630</v>
      </c>
      <c r="M41" s="10">
        <v>1.0</v>
      </c>
      <c r="N41" s="10" t="b">
        <v>0</v>
      </c>
      <c r="O41" s="10" t="s">
        <v>7578</v>
      </c>
      <c r="P41" s="256">
        <v>0.015</v>
      </c>
      <c r="Q41" s="2"/>
    </row>
    <row r="42">
      <c r="A42" s="217"/>
      <c r="B42" s="231" t="b">
        <f>IFERROR(__xludf.DUMMYFUNCTION("IF(ISNA(VLOOKUP(D42,TRANSPOSE(SPLIT('▶️ Инструкция'!S$36,"", "",FALSE,TRUE)),1,FALSE)),FALSE,TRUE)"),FALSE)</f>
        <v>0</v>
      </c>
      <c r="C42" s="251" t="s">
        <v>193</v>
      </c>
      <c r="D42" s="251" t="s">
        <v>7631</v>
      </c>
      <c r="E42" s="252">
        <v>128.8</v>
      </c>
      <c r="F42" s="252">
        <v>39.2</v>
      </c>
      <c r="G42" s="252">
        <v>0.22</v>
      </c>
      <c r="H42" s="252">
        <v>0.22</v>
      </c>
      <c r="I42" s="2"/>
      <c r="J42" s="255" t="s">
        <v>7632</v>
      </c>
      <c r="M42" s="10">
        <v>1.0</v>
      </c>
      <c r="N42" s="10" t="b">
        <v>0</v>
      </c>
      <c r="O42" s="10" t="s">
        <v>7578</v>
      </c>
      <c r="P42" s="256">
        <v>0.005</v>
      </c>
      <c r="Q42" s="2"/>
    </row>
    <row r="43">
      <c r="A43" s="217"/>
      <c r="B43" s="231" t="b">
        <f>IFERROR(__xludf.DUMMYFUNCTION("IF(ISNA(VLOOKUP(D43,TRANSPOSE(SPLIT('▶️ Инструкция'!S$36,"", "",FALSE,TRUE)),1,FALSE)),FALSE,TRUE)"),FALSE)</f>
        <v>0</v>
      </c>
      <c r="C43" s="251" t="s">
        <v>193</v>
      </c>
      <c r="D43" s="251" t="s">
        <v>7633</v>
      </c>
      <c r="E43" s="252">
        <v>55.2</v>
      </c>
      <c r="F43" s="252">
        <v>16.8</v>
      </c>
      <c r="G43" s="252">
        <v>0.15</v>
      </c>
      <c r="H43" s="252">
        <v>0.15</v>
      </c>
      <c r="I43" s="2"/>
      <c r="J43" s="255" t="s">
        <v>7634</v>
      </c>
      <c r="M43" s="10">
        <v>1.0</v>
      </c>
      <c r="N43" s="10" t="b">
        <v>0</v>
      </c>
      <c r="O43" s="10" t="s">
        <v>7578</v>
      </c>
      <c r="P43" s="256">
        <v>0.02</v>
      </c>
      <c r="Q43" s="2"/>
    </row>
    <row r="44">
      <c r="A44" s="217"/>
      <c r="B44" s="231" t="b">
        <f>IFERROR(__xludf.DUMMYFUNCTION("IF(ISNA(VLOOKUP(D44,TRANSPOSE(SPLIT('▶️ Инструкция'!S$36,"", "",FALSE,TRUE)),1,FALSE)),FALSE,TRUE)"),FALSE)</f>
        <v>0</v>
      </c>
      <c r="C44" s="251" t="s">
        <v>193</v>
      </c>
      <c r="D44" s="251" t="s">
        <v>7635</v>
      </c>
      <c r="E44" s="252">
        <v>46.0</v>
      </c>
      <c r="F44" s="252">
        <v>14.0</v>
      </c>
      <c r="G44" s="252">
        <v>0.08</v>
      </c>
      <c r="H44" s="252">
        <v>0.08</v>
      </c>
      <c r="I44" s="2"/>
      <c r="J44" s="255" t="s">
        <v>7636</v>
      </c>
      <c r="M44" s="10">
        <v>1.0</v>
      </c>
      <c r="N44" s="10" t="b">
        <v>0</v>
      </c>
      <c r="O44" s="10" t="s">
        <v>7578</v>
      </c>
      <c r="P44" s="256">
        <v>0.0075</v>
      </c>
      <c r="Q44" s="2"/>
    </row>
    <row r="45">
      <c r="A45" s="217"/>
      <c r="B45" s="231" t="b">
        <f>IFERROR(__xludf.DUMMYFUNCTION("IF(ISNA(VLOOKUP(D45,TRANSPOSE(SPLIT('▶️ Инструкция'!S$36,"", "",FALSE,TRUE)),1,FALSE)),FALSE,TRUE)"),FALSE)</f>
        <v>0</v>
      </c>
      <c r="C45" s="251" t="s">
        <v>193</v>
      </c>
      <c r="D45" s="251" t="s">
        <v>7637</v>
      </c>
      <c r="E45" s="252">
        <v>71.3</v>
      </c>
      <c r="F45" s="252">
        <v>21.7</v>
      </c>
      <c r="G45" s="252">
        <v>0.12</v>
      </c>
      <c r="H45" s="252">
        <v>0.12</v>
      </c>
      <c r="I45" s="2"/>
      <c r="J45" s="255" t="s">
        <v>7638</v>
      </c>
      <c r="M45" s="10">
        <v>1.0</v>
      </c>
      <c r="N45" s="10" t="b">
        <v>0</v>
      </c>
      <c r="O45" s="10" t="s">
        <v>7578</v>
      </c>
      <c r="P45" s="256">
        <v>0.0075</v>
      </c>
      <c r="Q45" s="2"/>
    </row>
    <row r="46">
      <c r="A46" s="217"/>
      <c r="B46" s="231" t="b">
        <f>IFERROR(__xludf.DUMMYFUNCTION("IF(ISNA(VLOOKUP(D46,TRANSPOSE(SPLIT('▶️ Инструкция'!S$36,"", "",FALSE,TRUE)),1,FALSE)),FALSE,TRUE)"),TRUE)</f>
        <v>1</v>
      </c>
      <c r="C46" s="251" t="s">
        <v>193</v>
      </c>
      <c r="D46" s="251" t="s">
        <v>202</v>
      </c>
      <c r="E46" s="252">
        <v>78.2</v>
      </c>
      <c r="F46" s="252">
        <v>23.8</v>
      </c>
      <c r="G46" s="252">
        <v>0.14</v>
      </c>
      <c r="H46" s="252">
        <v>0.14</v>
      </c>
      <c r="I46" s="2"/>
      <c r="J46" s="255" t="s">
        <v>7639</v>
      </c>
      <c r="M46" s="10">
        <v>1.0</v>
      </c>
      <c r="N46" s="10" t="b">
        <v>0</v>
      </c>
      <c r="O46" s="10" t="s">
        <v>7578</v>
      </c>
      <c r="P46" s="256">
        <v>0.01</v>
      </c>
      <c r="Q46" s="2"/>
    </row>
    <row r="47">
      <c r="A47" s="217"/>
      <c r="B47" s="231" t="b">
        <f>IFERROR(__xludf.DUMMYFUNCTION("IF(ISNA(VLOOKUP(D47,TRANSPOSE(SPLIT('▶️ Инструкция'!S$36,"", "",FALSE,TRUE)),1,FALSE)),FALSE,TRUE)"),FALSE)</f>
        <v>0</v>
      </c>
      <c r="C47" s="251" t="s">
        <v>193</v>
      </c>
      <c r="D47" s="251" t="s">
        <v>7640</v>
      </c>
      <c r="E47" s="252">
        <v>92.0</v>
      </c>
      <c r="F47" s="252">
        <v>28.0</v>
      </c>
      <c r="G47" s="252">
        <v>0.16</v>
      </c>
      <c r="H47" s="252">
        <v>0.16</v>
      </c>
      <c r="I47" s="2"/>
      <c r="J47" s="255" t="s">
        <v>7641</v>
      </c>
      <c r="M47" s="10">
        <v>5.0</v>
      </c>
      <c r="N47" s="10" t="b">
        <v>0</v>
      </c>
      <c r="O47" s="10" t="s">
        <v>7642</v>
      </c>
      <c r="P47" s="256">
        <v>0.025</v>
      </c>
      <c r="Q47" s="2"/>
    </row>
    <row r="48">
      <c r="A48" s="217"/>
      <c r="B48" s="231" t="b">
        <f>IFERROR(__xludf.DUMMYFUNCTION("IF(ISNA(VLOOKUP(D48,TRANSPOSE(SPLIT('▶️ Инструкция'!S$36,"", "",FALSE,TRUE)),1,FALSE)),FALSE,TRUE)"),FALSE)</f>
        <v>0</v>
      </c>
      <c r="C48" s="251" t="s">
        <v>193</v>
      </c>
      <c r="D48" s="251" t="s">
        <v>7643</v>
      </c>
      <c r="E48" s="252">
        <v>73.6</v>
      </c>
      <c r="F48" s="252">
        <v>22.4</v>
      </c>
      <c r="G48" s="252">
        <v>0.13</v>
      </c>
      <c r="H48" s="252">
        <v>0.13</v>
      </c>
      <c r="I48" s="2"/>
      <c r="J48" s="255" t="s">
        <v>7644</v>
      </c>
      <c r="M48" s="10">
        <v>5.0</v>
      </c>
      <c r="N48" s="10" t="b">
        <v>1</v>
      </c>
      <c r="O48" s="10" t="s">
        <v>7642</v>
      </c>
      <c r="P48" s="256">
        <v>0.0235</v>
      </c>
      <c r="Q48" s="2"/>
    </row>
    <row r="49">
      <c r="A49" s="217"/>
      <c r="B49" s="231" t="b">
        <f>IFERROR(__xludf.DUMMYFUNCTION("IF(ISNA(VLOOKUP(D49,TRANSPOSE(SPLIT('▶️ Инструкция'!S$36,"", "",FALSE,TRUE)),1,FALSE)),FALSE,TRUE)"),FALSE)</f>
        <v>0</v>
      </c>
      <c r="C49" s="251" t="s">
        <v>193</v>
      </c>
      <c r="D49" s="251" t="s">
        <v>7645</v>
      </c>
      <c r="E49" s="252">
        <v>75.9</v>
      </c>
      <c r="F49" s="252">
        <v>23.1</v>
      </c>
      <c r="G49" s="257">
        <v>46021.0</v>
      </c>
      <c r="H49" s="252">
        <v>0.13</v>
      </c>
      <c r="I49" s="2"/>
      <c r="J49" s="255" t="s">
        <v>7646</v>
      </c>
      <c r="M49" s="10">
        <v>6.0</v>
      </c>
      <c r="N49" s="10" t="b">
        <v>1</v>
      </c>
      <c r="O49" s="10" t="s">
        <v>7642</v>
      </c>
      <c r="P49" s="256">
        <v>0.02</v>
      </c>
      <c r="Q49" s="2"/>
    </row>
    <row r="50">
      <c r="A50" s="217"/>
      <c r="B50" s="231" t="b">
        <f>IFERROR(__xludf.DUMMYFUNCTION("IF(ISNA(VLOOKUP(D50,TRANSPOSE(SPLIT('▶️ Инструкция'!S$36,"", "",FALSE,TRUE)),1,FALSE)),FALSE,TRUE)"),TRUE)</f>
        <v>1</v>
      </c>
      <c r="C50" s="251" t="s">
        <v>193</v>
      </c>
      <c r="D50" s="251" t="s">
        <v>205</v>
      </c>
      <c r="E50" s="252">
        <v>92.0</v>
      </c>
      <c r="F50" s="252">
        <v>28.0</v>
      </c>
      <c r="G50" s="252">
        <v>0.16</v>
      </c>
      <c r="H50" s="252">
        <v>0.16</v>
      </c>
      <c r="I50" s="2"/>
      <c r="J50" s="255" t="s">
        <v>7647</v>
      </c>
      <c r="M50" s="10">
        <v>6.0</v>
      </c>
      <c r="N50" s="10" t="b">
        <v>1</v>
      </c>
      <c r="O50" s="10" t="s">
        <v>7642</v>
      </c>
      <c r="P50" s="256">
        <v>0.02</v>
      </c>
      <c r="Q50" s="2"/>
    </row>
    <row r="51">
      <c r="A51" s="217"/>
      <c r="B51" s="231" t="b">
        <f>IFERROR(__xludf.DUMMYFUNCTION("IF(ISNA(VLOOKUP(D51,TRANSPOSE(SPLIT('▶️ Инструкция'!S$36,"", "",FALSE,TRUE)),1,FALSE)),FALSE,TRUE)"),FALSE)</f>
        <v>0</v>
      </c>
      <c r="C51" s="251" t="s">
        <v>193</v>
      </c>
      <c r="D51" s="251" t="s">
        <v>7648</v>
      </c>
      <c r="E51" s="252">
        <v>64.4</v>
      </c>
      <c r="F51" s="252">
        <v>19.6</v>
      </c>
      <c r="G51" s="252">
        <v>0.11</v>
      </c>
      <c r="H51" s="252">
        <v>0.11</v>
      </c>
      <c r="I51" s="2"/>
      <c r="J51" s="255" t="s">
        <v>7649</v>
      </c>
      <c r="M51" s="10">
        <v>4.0</v>
      </c>
      <c r="N51" s="10" t="b">
        <v>0</v>
      </c>
      <c r="O51" s="10" t="s">
        <v>7642</v>
      </c>
      <c r="P51" s="256">
        <v>0.045</v>
      </c>
      <c r="Q51" s="2"/>
    </row>
    <row r="52">
      <c r="A52" s="217"/>
      <c r="B52" s="231" t="b">
        <f>IFERROR(__xludf.DUMMYFUNCTION("IF(ISNA(VLOOKUP(D52,TRANSPOSE(SPLIT('▶️ Инструкция'!S$36,"", "",FALSE,TRUE)),1,FALSE)),FALSE,TRUE)"),FALSE)</f>
        <v>0</v>
      </c>
      <c r="C52" s="251" t="s">
        <v>193</v>
      </c>
      <c r="D52" s="251" t="s">
        <v>7650</v>
      </c>
      <c r="E52" s="252">
        <v>39.1</v>
      </c>
      <c r="F52" s="252">
        <v>11.9</v>
      </c>
      <c r="G52" s="252">
        <v>0.14</v>
      </c>
      <c r="H52" s="252">
        <v>0.14</v>
      </c>
      <c r="I52" s="2"/>
      <c r="J52" s="255" t="s">
        <v>7651</v>
      </c>
      <c r="M52" s="10">
        <v>6.0</v>
      </c>
      <c r="N52" s="10" t="b">
        <v>0</v>
      </c>
      <c r="O52" s="10" t="s">
        <v>7642</v>
      </c>
      <c r="P52" s="256">
        <v>0.045</v>
      </c>
      <c r="Q52" s="2"/>
    </row>
    <row r="53">
      <c r="A53" s="217"/>
      <c r="B53" s="231" t="b">
        <f>IFERROR(__xludf.DUMMYFUNCTION("IF(ISNA(VLOOKUP(D53,TRANSPOSE(SPLIT('▶️ Инструкция'!S$36,"", "",FALSE,TRUE)),1,FALSE)),FALSE,TRUE)"),FALSE)</f>
        <v>0</v>
      </c>
      <c r="C53" s="251" t="s">
        <v>193</v>
      </c>
      <c r="D53" s="251" t="s">
        <v>7652</v>
      </c>
      <c r="E53" s="252">
        <v>34.5</v>
      </c>
      <c r="F53" s="252">
        <v>10.5</v>
      </c>
      <c r="G53" s="252">
        <v>0.13</v>
      </c>
      <c r="H53" s="252">
        <v>0.13</v>
      </c>
      <c r="I53" s="2"/>
      <c r="J53" s="255" t="s">
        <v>7653</v>
      </c>
      <c r="M53" s="10">
        <v>4.0</v>
      </c>
      <c r="N53" s="10" t="b">
        <v>0</v>
      </c>
      <c r="O53" s="10" t="s">
        <v>7642</v>
      </c>
      <c r="P53" s="256">
        <v>0.04</v>
      </c>
      <c r="Q53" s="2"/>
    </row>
    <row r="54">
      <c r="A54" s="217"/>
      <c r="B54" s="231" t="b">
        <f>IFERROR(__xludf.DUMMYFUNCTION("IF(ISNA(VLOOKUP(D54,TRANSPOSE(SPLIT('▶️ Инструкция'!S$36,"", "",FALSE,TRUE)),1,FALSE)),FALSE,TRUE)"),FALSE)</f>
        <v>0</v>
      </c>
      <c r="C54" s="251" t="s">
        <v>193</v>
      </c>
      <c r="D54" s="251" t="s">
        <v>7654</v>
      </c>
      <c r="E54" s="252">
        <v>62.1</v>
      </c>
      <c r="F54" s="252">
        <v>18.9</v>
      </c>
      <c r="G54" s="252">
        <v>0.11</v>
      </c>
      <c r="H54" s="252">
        <v>0.11</v>
      </c>
      <c r="I54" s="2"/>
      <c r="J54" s="255" t="s">
        <v>7655</v>
      </c>
      <c r="M54" s="10">
        <v>5.0</v>
      </c>
      <c r="N54" s="10" t="b">
        <v>0</v>
      </c>
      <c r="O54" s="10" t="s">
        <v>7642</v>
      </c>
      <c r="P54" s="256">
        <v>0.035</v>
      </c>
      <c r="Q54" s="2"/>
    </row>
    <row r="55">
      <c r="A55" s="217"/>
      <c r="B55" s="231" t="b">
        <f>IFERROR(__xludf.DUMMYFUNCTION("IF(ISNA(VLOOKUP(D55,TRANSPOSE(SPLIT('▶️ Инструкция'!S$36,"", "",FALSE,TRUE)),1,FALSE)),FALSE,TRUE)"),FALSE)</f>
        <v>0</v>
      </c>
      <c r="C55" s="251" t="s">
        <v>193</v>
      </c>
      <c r="D55" s="251" t="s">
        <v>7656</v>
      </c>
      <c r="E55" s="252">
        <v>64.4</v>
      </c>
      <c r="F55" s="252">
        <v>19.6</v>
      </c>
      <c r="G55" s="252">
        <v>0.11</v>
      </c>
      <c r="H55" s="252">
        <v>0.11</v>
      </c>
      <c r="I55" s="2"/>
      <c r="J55" s="255" t="s">
        <v>7657</v>
      </c>
      <c r="M55" s="10">
        <v>5.0</v>
      </c>
      <c r="N55" s="10" t="b">
        <v>0</v>
      </c>
      <c r="O55" s="10" t="s">
        <v>7642</v>
      </c>
      <c r="P55" s="256">
        <v>0.035</v>
      </c>
      <c r="Q55" s="2"/>
    </row>
    <row r="56">
      <c r="A56" s="217"/>
      <c r="B56" s="231" t="b">
        <f>IFERROR(__xludf.DUMMYFUNCTION("IF(ISNA(VLOOKUP(D56,TRANSPOSE(SPLIT('▶️ Инструкция'!S$36,"", "",FALSE,TRUE)),1,FALSE)),FALSE,TRUE)"),FALSE)</f>
        <v>0</v>
      </c>
      <c r="C56" s="251" t="s">
        <v>193</v>
      </c>
      <c r="D56" s="251" t="s">
        <v>7658</v>
      </c>
      <c r="E56" s="252">
        <v>62.1</v>
      </c>
      <c r="F56" s="252">
        <v>18.9</v>
      </c>
      <c r="G56" s="252">
        <v>0.11</v>
      </c>
      <c r="H56" s="252">
        <v>0.11</v>
      </c>
      <c r="I56" s="2"/>
      <c r="J56" s="255" t="s">
        <v>7659</v>
      </c>
      <c r="M56" s="10">
        <v>5.0</v>
      </c>
      <c r="N56" s="10" t="b">
        <v>0</v>
      </c>
      <c r="O56" s="10" t="s">
        <v>7642</v>
      </c>
      <c r="P56" s="256">
        <v>0.034</v>
      </c>
      <c r="Q56" s="2"/>
    </row>
    <row r="57">
      <c r="A57" s="217"/>
      <c r="B57" s="231" t="b">
        <f>IFERROR(__xludf.DUMMYFUNCTION("IF(ISNA(VLOOKUP(D57,TRANSPOSE(SPLIT('▶️ Инструкция'!S$36,"", "",FALSE,TRUE)),1,FALSE)),FALSE,TRUE)"),FALSE)</f>
        <v>0</v>
      </c>
      <c r="C57" s="251" t="s">
        <v>193</v>
      </c>
      <c r="D57" s="251" t="s">
        <v>7660</v>
      </c>
      <c r="E57" s="252">
        <v>204.7</v>
      </c>
      <c r="F57" s="252">
        <v>62.3</v>
      </c>
      <c r="G57" s="252">
        <v>0.36</v>
      </c>
      <c r="H57" s="252">
        <v>0.36</v>
      </c>
      <c r="I57" s="2"/>
      <c r="J57" s="255" t="s">
        <v>7661</v>
      </c>
      <c r="M57" s="10">
        <v>2.0</v>
      </c>
      <c r="N57" s="10" t="b">
        <v>0</v>
      </c>
      <c r="O57" s="10" t="s">
        <v>7642</v>
      </c>
      <c r="P57" s="256">
        <v>0.023</v>
      </c>
      <c r="Q57" s="2"/>
    </row>
    <row r="58">
      <c r="A58" s="217"/>
      <c r="B58" s="231" t="b">
        <f>IFERROR(__xludf.DUMMYFUNCTION("IF(ISNA(VLOOKUP(D58,TRANSPOSE(SPLIT('▶️ Инструкция'!S$36,"", "",FALSE,TRUE)),1,FALSE)),FALSE,TRUE)"),FALSE)</f>
        <v>0</v>
      </c>
      <c r="C58" s="251" t="s">
        <v>193</v>
      </c>
      <c r="D58" s="251" t="s">
        <v>7662</v>
      </c>
      <c r="E58" s="252">
        <v>59.8</v>
      </c>
      <c r="F58" s="252">
        <v>18.2</v>
      </c>
      <c r="G58" s="252">
        <v>0.1</v>
      </c>
      <c r="H58" s="252">
        <v>0.1</v>
      </c>
      <c r="I58" s="2"/>
      <c r="J58" s="258" t="s">
        <v>7663</v>
      </c>
      <c r="M58" s="259">
        <v>5.0</v>
      </c>
      <c r="N58" s="259" t="b">
        <v>0</v>
      </c>
      <c r="O58" s="259" t="s">
        <v>7642</v>
      </c>
      <c r="P58" s="260">
        <v>0.0225</v>
      </c>
      <c r="Q58" s="2"/>
    </row>
    <row r="59">
      <c r="A59" s="217"/>
      <c r="B59" s="231" t="b">
        <f>IFERROR(__xludf.DUMMYFUNCTION("IF(ISNA(VLOOKUP(D59,TRANSPOSE(SPLIT('▶️ Инструкция'!S$36,"", "",FALSE,TRUE)),1,FALSE)),FALSE,TRUE)"),FALSE)</f>
        <v>0</v>
      </c>
      <c r="C59" s="251" t="s">
        <v>193</v>
      </c>
      <c r="D59" s="251" t="s">
        <v>7664</v>
      </c>
      <c r="E59" s="252">
        <v>50.6</v>
      </c>
      <c r="F59" s="252">
        <v>15.4</v>
      </c>
      <c r="G59" s="252">
        <v>0.09</v>
      </c>
      <c r="H59" s="252">
        <v>0.09</v>
      </c>
      <c r="I59" s="2"/>
      <c r="J59" s="255" t="s">
        <v>7665</v>
      </c>
      <c r="M59" s="10">
        <v>4.0</v>
      </c>
      <c r="N59" s="10" t="b">
        <v>0</v>
      </c>
      <c r="O59" s="10" t="s">
        <v>7642</v>
      </c>
      <c r="P59" s="256">
        <v>0.02</v>
      </c>
      <c r="Q59" s="2"/>
    </row>
    <row r="60">
      <c r="A60" s="217"/>
      <c r="B60" s="231" t="b">
        <f>IFERROR(__xludf.DUMMYFUNCTION("IF(ISNA(VLOOKUP(D60,TRANSPOSE(SPLIT('▶️ Инструкция'!S$36,"", "",FALSE,TRUE)),1,FALSE)),FALSE,TRUE)"),FALSE)</f>
        <v>0</v>
      </c>
      <c r="C60" s="251" t="s">
        <v>193</v>
      </c>
      <c r="D60" s="251" t="s">
        <v>7666</v>
      </c>
      <c r="E60" s="252">
        <v>103.5</v>
      </c>
      <c r="F60" s="252">
        <v>31.5</v>
      </c>
      <c r="G60" s="252">
        <v>0.18</v>
      </c>
      <c r="H60" s="252">
        <v>0.18</v>
      </c>
      <c r="I60" s="2"/>
      <c r="J60" s="261"/>
      <c r="M60" s="262"/>
      <c r="N60" s="262"/>
      <c r="O60" s="262"/>
      <c r="P60" s="263"/>
      <c r="Q60" s="2"/>
    </row>
    <row r="61">
      <c r="A61" s="217"/>
      <c r="B61" s="231" t="b">
        <f>IFERROR(__xludf.DUMMYFUNCTION("IF(ISNA(VLOOKUP(D61,TRANSPOSE(SPLIT('▶️ Инструкция'!S$36,"", "",FALSE,TRUE)),1,FALSE)),FALSE,TRUE)"),FALSE)</f>
        <v>0</v>
      </c>
      <c r="C61" s="251" t="s">
        <v>193</v>
      </c>
      <c r="D61" s="251" t="s">
        <v>7667</v>
      </c>
      <c r="E61" s="252">
        <v>39.1</v>
      </c>
      <c r="F61" s="252">
        <v>11.9</v>
      </c>
      <c r="G61" s="252">
        <v>0.14</v>
      </c>
      <c r="H61" s="252">
        <v>0.14</v>
      </c>
      <c r="I61" s="2"/>
      <c r="J61" s="261"/>
      <c r="M61" s="262"/>
      <c r="N61" s="262"/>
      <c r="O61" s="262"/>
      <c r="P61" s="263"/>
      <c r="Q61" s="2"/>
    </row>
    <row r="62">
      <c r="A62" s="217"/>
      <c r="B62" s="231" t="b">
        <f>IFERROR(__xludf.DUMMYFUNCTION("IF(ISNA(VLOOKUP(D62,TRANSPOSE(SPLIT('▶️ Инструкция'!S$36,"", "",FALSE,TRUE)),1,FALSE)),FALSE,TRUE)"),FALSE)</f>
        <v>0</v>
      </c>
      <c r="C62" s="251" t="s">
        <v>193</v>
      </c>
      <c r="D62" s="251" t="s">
        <v>7668</v>
      </c>
      <c r="E62" s="252">
        <v>78.2</v>
      </c>
      <c r="F62" s="252">
        <v>23.8</v>
      </c>
      <c r="G62" s="252">
        <v>0.14</v>
      </c>
      <c r="H62" s="252">
        <v>0.14</v>
      </c>
      <c r="I62" s="2"/>
      <c r="J62" s="261"/>
      <c r="M62" s="262"/>
      <c r="N62" s="262"/>
      <c r="O62" s="262"/>
      <c r="P62" s="263"/>
      <c r="Q62" s="2"/>
    </row>
    <row r="63">
      <c r="A63" s="217"/>
      <c r="B63" s="231" t="b">
        <f>IFERROR(__xludf.DUMMYFUNCTION("IF(ISNA(VLOOKUP(D63,TRANSPOSE(SPLIT('▶️ Инструкция'!S$36,"", "",FALSE,TRUE)),1,FALSE)),FALSE,TRUE)"),FALSE)</f>
        <v>0</v>
      </c>
      <c r="C63" s="251" t="s">
        <v>193</v>
      </c>
      <c r="D63" s="251" t="s">
        <v>7669</v>
      </c>
      <c r="E63" s="252">
        <v>73.6</v>
      </c>
      <c r="F63" s="252">
        <v>22.4</v>
      </c>
      <c r="G63" s="252">
        <v>0.13</v>
      </c>
      <c r="H63" s="252">
        <v>0.13</v>
      </c>
      <c r="I63" s="2"/>
      <c r="J63" s="261"/>
      <c r="M63" s="262"/>
      <c r="N63" s="262"/>
      <c r="O63" s="262"/>
      <c r="P63" s="263"/>
      <c r="Q63" s="2"/>
    </row>
    <row r="64">
      <c r="A64" s="217"/>
      <c r="B64" s="231" t="b">
        <f>IFERROR(__xludf.DUMMYFUNCTION("IF(ISNA(VLOOKUP(D64,TRANSPOSE(SPLIT('▶️ Инструкция'!S$36,"", "",FALSE,TRUE)),1,FALSE)),FALSE,TRUE)"),FALSE)</f>
        <v>0</v>
      </c>
      <c r="C64" s="251" t="s">
        <v>193</v>
      </c>
      <c r="D64" s="251" t="s">
        <v>7670</v>
      </c>
      <c r="E64" s="252">
        <v>71.3</v>
      </c>
      <c r="F64" s="252">
        <v>21.7</v>
      </c>
      <c r="G64" s="252">
        <v>0.12</v>
      </c>
      <c r="H64" s="252">
        <v>0.12</v>
      </c>
      <c r="I64" s="2"/>
      <c r="J64" s="261"/>
      <c r="M64" s="262"/>
      <c r="N64" s="262"/>
      <c r="O64" s="262"/>
      <c r="P64" s="263"/>
      <c r="Q64" s="2"/>
    </row>
    <row r="65">
      <c r="A65" s="217"/>
      <c r="B65" s="231" t="b">
        <f>IFERROR(__xludf.DUMMYFUNCTION("IF(ISNA(VLOOKUP(D65,TRANSPOSE(SPLIT('▶️ Инструкция'!S$36,"", "",FALSE,TRUE)),1,FALSE)),FALSE,TRUE)"),FALSE)</f>
        <v>0</v>
      </c>
      <c r="C65" s="251" t="s">
        <v>193</v>
      </c>
      <c r="D65" s="251" t="s">
        <v>7671</v>
      </c>
      <c r="E65" s="252">
        <v>101.2</v>
      </c>
      <c r="F65" s="252">
        <v>30.8</v>
      </c>
      <c r="G65" s="252">
        <v>0.18</v>
      </c>
      <c r="H65" s="252">
        <v>0.18</v>
      </c>
      <c r="I65" s="2"/>
      <c r="J65" s="261"/>
      <c r="M65" s="262"/>
      <c r="N65" s="262"/>
      <c r="O65" s="262"/>
      <c r="P65" s="263"/>
      <c r="Q65" s="2"/>
    </row>
    <row r="66">
      <c r="A66" s="217"/>
      <c r="B66" s="231" t="b">
        <f>IFERROR(__xludf.DUMMYFUNCTION("IF(ISNA(VLOOKUP(D66,TRANSPOSE(SPLIT('▶️ Инструкция'!S$36,"", "",FALSE,TRUE)),1,FALSE)),FALSE,TRUE)"),TRUE)</f>
        <v>1</v>
      </c>
      <c r="C66" s="251" t="s">
        <v>193</v>
      </c>
      <c r="D66" s="251" t="s">
        <v>7672</v>
      </c>
      <c r="E66" s="252">
        <v>73.6</v>
      </c>
      <c r="F66" s="252">
        <v>22.4</v>
      </c>
      <c r="G66" s="252">
        <v>0.13</v>
      </c>
      <c r="H66" s="252">
        <v>0.13</v>
      </c>
      <c r="I66" s="2"/>
      <c r="J66" s="261"/>
      <c r="M66" s="262"/>
      <c r="N66" s="262"/>
      <c r="O66" s="262"/>
      <c r="P66" s="263"/>
      <c r="Q66" s="2"/>
    </row>
    <row r="67">
      <c r="A67" s="217"/>
      <c r="B67" s="231" t="b">
        <f>IFERROR(__xludf.DUMMYFUNCTION("IF(ISNA(VLOOKUP(D67,TRANSPOSE(SPLIT('▶️ Инструкция'!S$36,"", "",FALSE,TRUE)),1,FALSE)),FALSE,TRUE)"),FALSE)</f>
        <v>0</v>
      </c>
      <c r="C67" s="251" t="s">
        <v>193</v>
      </c>
      <c r="D67" s="251" t="s">
        <v>7673</v>
      </c>
      <c r="E67" s="252">
        <v>82.8</v>
      </c>
      <c r="F67" s="252">
        <v>25.2</v>
      </c>
      <c r="G67" s="252">
        <v>0.14</v>
      </c>
      <c r="H67" s="252">
        <v>0.14</v>
      </c>
      <c r="I67" s="2"/>
      <c r="J67" s="261"/>
      <c r="M67" s="262"/>
      <c r="N67" s="262"/>
      <c r="O67" s="262"/>
      <c r="P67" s="263"/>
      <c r="Q67" s="2"/>
    </row>
    <row r="68">
      <c r="A68" s="217"/>
      <c r="B68" s="231" t="b">
        <f>IFERROR(__xludf.DUMMYFUNCTION("IF(ISNA(VLOOKUP(D68,TRANSPOSE(SPLIT('▶️ Инструкция'!S$36,"", "",FALSE,TRUE)),1,FALSE)),FALSE,TRUE)"),FALSE)</f>
        <v>0</v>
      </c>
      <c r="C68" s="251" t="s">
        <v>193</v>
      </c>
      <c r="D68" s="251" t="s">
        <v>7674</v>
      </c>
      <c r="E68" s="252">
        <v>89.7</v>
      </c>
      <c r="F68" s="252">
        <v>27.3</v>
      </c>
      <c r="G68" s="264">
        <v>46021.0</v>
      </c>
      <c r="H68" s="252">
        <v>0.16</v>
      </c>
      <c r="I68" s="2"/>
      <c r="J68" s="261"/>
      <c r="M68" s="262"/>
      <c r="N68" s="262"/>
      <c r="O68" s="262"/>
      <c r="P68" s="263"/>
      <c r="Q68" s="2"/>
    </row>
    <row r="69">
      <c r="A69" s="217"/>
      <c r="B69" s="231" t="b">
        <f>IFERROR(__xludf.DUMMYFUNCTION("IF(ISNA(VLOOKUP(D69,TRANSPOSE(SPLIT('▶️ Инструкция'!S$36,"", "",FALSE,TRUE)),1,FALSE)),FALSE,TRUE)"),FALSE)</f>
        <v>0</v>
      </c>
      <c r="C69" s="251" t="s">
        <v>193</v>
      </c>
      <c r="D69" s="251" t="s">
        <v>7675</v>
      </c>
      <c r="E69" s="252">
        <v>71.3</v>
      </c>
      <c r="F69" s="252">
        <v>21.7</v>
      </c>
      <c r="G69" s="252">
        <v>0.13</v>
      </c>
      <c r="H69" s="252">
        <v>0.13</v>
      </c>
      <c r="I69" s="2"/>
      <c r="J69" s="261"/>
      <c r="M69" s="262"/>
      <c r="N69" s="262"/>
      <c r="O69" s="262"/>
      <c r="P69" s="263"/>
      <c r="Q69" s="2"/>
    </row>
    <row r="70">
      <c r="A70" s="217"/>
      <c r="B70" s="231" t="b">
        <f>IFERROR(__xludf.DUMMYFUNCTION("IF(ISNA(VLOOKUP(D70,TRANSPOSE(SPLIT('▶️ Инструкция'!S$36,"", "",FALSE,TRUE)),1,FALSE)),FALSE,TRUE)"),FALSE)</f>
        <v>0</v>
      </c>
      <c r="C70" s="251" t="s">
        <v>193</v>
      </c>
      <c r="D70" s="251" t="s">
        <v>7676</v>
      </c>
      <c r="E70" s="252">
        <v>85.1</v>
      </c>
      <c r="F70" s="252">
        <v>25.9</v>
      </c>
      <c r="G70" s="257">
        <v>46021.0</v>
      </c>
      <c r="H70" s="252">
        <v>0.15</v>
      </c>
      <c r="I70" s="2"/>
      <c r="J70" s="261"/>
      <c r="M70" s="262"/>
      <c r="N70" s="262"/>
      <c r="O70" s="262"/>
      <c r="P70" s="263"/>
      <c r="Q70" s="2"/>
    </row>
    <row r="71">
      <c r="A71" s="217"/>
      <c r="B71" s="231" t="b">
        <f>IFERROR(__xludf.DUMMYFUNCTION("IF(ISNA(VLOOKUP(D71,TRANSPOSE(SPLIT('▶️ Инструкция'!S$36,"", "",FALSE,TRUE)),1,FALSE)),FALSE,TRUE)"),FALSE)</f>
        <v>0</v>
      </c>
      <c r="C71" s="251" t="s">
        <v>193</v>
      </c>
      <c r="D71" s="251" t="s">
        <v>7677</v>
      </c>
      <c r="E71" s="252">
        <v>69.0</v>
      </c>
      <c r="F71" s="252">
        <v>21.0</v>
      </c>
      <c r="G71" s="252">
        <v>0.12</v>
      </c>
      <c r="H71" s="252">
        <v>0.12</v>
      </c>
      <c r="I71" s="2"/>
      <c r="J71" s="261"/>
      <c r="M71" s="262"/>
      <c r="N71" s="262"/>
      <c r="O71" s="262"/>
      <c r="P71" s="263"/>
      <c r="Q71" s="2"/>
    </row>
    <row r="72">
      <c r="A72" s="217"/>
      <c r="B72" s="231" t="b">
        <f>IFERROR(__xludf.DUMMYFUNCTION("IF(ISNA(VLOOKUP(D72,TRANSPOSE(SPLIT('▶️ Инструкция'!S$36,"", "",FALSE,TRUE)),1,FALSE)),FALSE,TRUE)"),TRUE)</f>
        <v>1</v>
      </c>
      <c r="C72" s="251" t="s">
        <v>193</v>
      </c>
      <c r="D72" s="251" t="s">
        <v>7678</v>
      </c>
      <c r="E72" s="252">
        <v>101.2</v>
      </c>
      <c r="F72" s="252">
        <v>30.8</v>
      </c>
      <c r="G72" s="252">
        <v>0.18</v>
      </c>
      <c r="H72" s="252">
        <v>0.18</v>
      </c>
      <c r="I72" s="2"/>
      <c r="J72" s="261"/>
      <c r="M72" s="262"/>
      <c r="N72" s="262"/>
      <c r="O72" s="262"/>
      <c r="P72" s="263"/>
      <c r="Q72" s="2"/>
    </row>
    <row r="73">
      <c r="A73" s="217"/>
      <c r="B73" s="231" t="b">
        <f>IFERROR(__xludf.DUMMYFUNCTION("IF(ISNA(VLOOKUP(D73,TRANSPOSE(SPLIT('▶️ Инструкция'!S$36,"", "",FALSE,TRUE)),1,FALSE)),FALSE,TRUE)"),FALSE)</f>
        <v>0</v>
      </c>
      <c r="C73" s="251" t="s">
        <v>193</v>
      </c>
      <c r="D73" s="251" t="s">
        <v>7679</v>
      </c>
      <c r="E73" s="252">
        <v>96.6</v>
      </c>
      <c r="F73" s="252">
        <v>29.4</v>
      </c>
      <c r="G73" s="252">
        <v>0.17</v>
      </c>
      <c r="H73" s="252">
        <v>0.17</v>
      </c>
      <c r="I73" s="2"/>
      <c r="J73" s="261"/>
      <c r="M73" s="262"/>
      <c r="N73" s="262"/>
      <c r="O73" s="262"/>
      <c r="P73" s="263"/>
      <c r="Q73" s="2"/>
    </row>
    <row r="74">
      <c r="A74" s="217"/>
      <c r="B74" s="231" t="b">
        <f>IFERROR(__xludf.DUMMYFUNCTION("IF(ISNA(VLOOKUP(D74,TRANSPOSE(SPLIT('▶️ Инструкция'!S$36,"", "",FALSE,TRUE)),1,FALSE)),FALSE,TRUE)"),FALSE)</f>
        <v>0</v>
      </c>
      <c r="C74" s="251" t="s">
        <v>193</v>
      </c>
      <c r="D74" s="251" t="s">
        <v>7680</v>
      </c>
      <c r="E74" s="252">
        <v>34.5</v>
      </c>
      <c r="F74" s="252">
        <v>10.5</v>
      </c>
      <c r="G74" s="252">
        <v>0.06</v>
      </c>
      <c r="H74" s="252">
        <v>0.06</v>
      </c>
      <c r="I74" s="2"/>
      <c r="J74" s="261"/>
      <c r="M74" s="262"/>
      <c r="N74" s="262"/>
      <c r="O74" s="262"/>
      <c r="P74" s="263"/>
      <c r="Q74" s="2"/>
    </row>
    <row r="75">
      <c r="A75" s="217"/>
      <c r="B75" s="231" t="b">
        <f>IFERROR(__xludf.DUMMYFUNCTION("IF(ISNA(VLOOKUP(D75,TRANSPOSE(SPLIT('▶️ Инструкция'!S$36,"", "",FALSE,TRUE)),1,FALSE)),FALSE,TRUE)"),FALSE)</f>
        <v>0</v>
      </c>
      <c r="C75" s="251" t="s">
        <v>193</v>
      </c>
      <c r="D75" s="251" t="s">
        <v>198</v>
      </c>
      <c r="E75" s="252">
        <v>89.7</v>
      </c>
      <c r="F75" s="252">
        <v>27.3</v>
      </c>
      <c r="G75" s="252">
        <v>0.16</v>
      </c>
      <c r="H75" s="252">
        <v>0.16</v>
      </c>
      <c r="I75" s="2"/>
      <c r="J75" s="261"/>
      <c r="M75" s="262"/>
      <c r="N75" s="262"/>
      <c r="O75" s="262"/>
      <c r="P75" s="263"/>
      <c r="Q75" s="2"/>
    </row>
    <row r="76">
      <c r="A76" s="217"/>
      <c r="B76" s="231" t="b">
        <f>IFERROR(__xludf.DUMMYFUNCTION("IF(ISNA(VLOOKUP(D76,TRANSPOSE(SPLIT('▶️ Инструкция'!S$36,"", "",FALSE,TRUE)),1,FALSE)),FALSE,TRUE)"),FALSE)</f>
        <v>0</v>
      </c>
      <c r="C76" s="251" t="s">
        <v>193</v>
      </c>
      <c r="D76" s="251" t="s">
        <v>7681</v>
      </c>
      <c r="E76" s="252">
        <v>80.5</v>
      </c>
      <c r="F76" s="252">
        <v>24.5</v>
      </c>
      <c r="G76" s="252">
        <v>0.14</v>
      </c>
      <c r="H76" s="252">
        <v>0.14</v>
      </c>
      <c r="I76" s="2"/>
      <c r="J76" s="261"/>
      <c r="M76" s="262"/>
      <c r="N76" s="262"/>
      <c r="O76" s="262"/>
      <c r="P76" s="263"/>
      <c r="Q76" s="2"/>
    </row>
    <row r="77">
      <c r="A77" s="217"/>
      <c r="B77" s="231" t="b">
        <f>IFERROR(__xludf.DUMMYFUNCTION("IF(ISNA(VLOOKUP(D77,TRANSPOSE(SPLIT('▶️ Инструкция'!S$36,"", "",FALSE,TRUE)),1,FALSE)),FALSE,TRUE)"),FALSE)</f>
        <v>0</v>
      </c>
      <c r="C77" s="251" t="s">
        <v>193</v>
      </c>
      <c r="D77" s="251" t="s">
        <v>7682</v>
      </c>
      <c r="E77" s="252">
        <v>66.7</v>
      </c>
      <c r="F77" s="252">
        <v>20.3</v>
      </c>
      <c r="G77" s="252">
        <v>0.12</v>
      </c>
      <c r="H77" s="252">
        <v>0.12</v>
      </c>
      <c r="I77" s="2"/>
      <c r="J77" s="261"/>
      <c r="M77" s="262"/>
      <c r="N77" s="262"/>
      <c r="O77" s="262"/>
      <c r="P77" s="263"/>
      <c r="Q77" s="2"/>
    </row>
    <row r="78">
      <c r="A78" s="217"/>
      <c r="B78" s="231" t="b">
        <f>IFERROR(__xludf.DUMMYFUNCTION("IF(ISNA(VLOOKUP(D78,TRANSPOSE(SPLIT('▶️ Инструкция'!S$36,"", "",FALSE,TRUE)),1,FALSE)),FALSE,TRUE)"),FALSE)</f>
        <v>0</v>
      </c>
      <c r="C78" s="251" t="s">
        <v>193</v>
      </c>
      <c r="D78" s="251" t="s">
        <v>7683</v>
      </c>
      <c r="E78" s="252">
        <v>73.6</v>
      </c>
      <c r="F78" s="252">
        <v>22.4</v>
      </c>
      <c r="G78" s="252">
        <v>0.13</v>
      </c>
      <c r="H78" s="252">
        <v>0.13</v>
      </c>
      <c r="I78" s="2"/>
      <c r="J78" s="261"/>
      <c r="M78" s="262"/>
      <c r="N78" s="262"/>
      <c r="O78" s="262"/>
      <c r="P78" s="263"/>
      <c r="Q78" s="2"/>
    </row>
    <row r="79">
      <c r="A79" s="217"/>
      <c r="B79" s="231" t="b">
        <f>IFERROR(__xludf.DUMMYFUNCTION("IF(ISNA(VLOOKUP(D79,TRANSPOSE(SPLIT('▶️ Инструкция'!S$36,"", "",FALSE,TRUE)),1,FALSE)),FALSE,TRUE)"),TRUE)</f>
        <v>1</v>
      </c>
      <c r="C79" s="251" t="s">
        <v>193</v>
      </c>
      <c r="D79" s="251" t="s">
        <v>7684</v>
      </c>
      <c r="E79" s="252">
        <v>138.0</v>
      </c>
      <c r="F79" s="252">
        <v>42.0</v>
      </c>
      <c r="G79" s="252">
        <v>0.24</v>
      </c>
      <c r="H79" s="252">
        <v>0.24</v>
      </c>
      <c r="I79" s="2"/>
      <c r="J79" s="261"/>
      <c r="M79" s="262"/>
      <c r="N79" s="262"/>
      <c r="O79" s="262"/>
      <c r="P79" s="263"/>
      <c r="Q79" s="2"/>
    </row>
    <row r="80">
      <c r="A80" s="217"/>
      <c r="B80" s="231" t="b">
        <f>IFERROR(__xludf.DUMMYFUNCTION("IF(ISNA(VLOOKUP(D80,TRANSPOSE(SPLIT('▶️ Инструкция'!S$36,"", "",FALSE,TRUE)),1,FALSE)),FALSE,TRUE)"),FALSE)</f>
        <v>0</v>
      </c>
      <c r="C80" s="251" t="s">
        <v>193</v>
      </c>
      <c r="D80" s="251" t="s">
        <v>7685</v>
      </c>
      <c r="E80" s="252">
        <v>34.5</v>
      </c>
      <c r="F80" s="252">
        <v>10.5</v>
      </c>
      <c r="G80" s="252">
        <v>0.06</v>
      </c>
      <c r="H80" s="252">
        <v>0.06</v>
      </c>
      <c r="I80" s="2"/>
      <c r="J80" s="261"/>
      <c r="M80" s="262"/>
      <c r="N80" s="262"/>
      <c r="O80" s="262"/>
      <c r="P80" s="263"/>
      <c r="Q80" s="2"/>
    </row>
    <row r="81">
      <c r="A81" s="217"/>
      <c r="B81" s="231" t="b">
        <f>IFERROR(__xludf.DUMMYFUNCTION("IF(ISNA(VLOOKUP(D81,TRANSPOSE(SPLIT('▶️ Инструкция'!S$36,"", "",FALSE,TRUE)),1,FALSE)),FALSE,TRUE)"),FALSE)</f>
        <v>0</v>
      </c>
      <c r="C81" s="251" t="s">
        <v>193</v>
      </c>
      <c r="D81" s="251" t="s">
        <v>7686</v>
      </c>
      <c r="E81" s="252">
        <v>73.6</v>
      </c>
      <c r="F81" s="252">
        <v>22.4</v>
      </c>
      <c r="G81" s="252">
        <v>0.13</v>
      </c>
      <c r="H81" s="252">
        <v>0.13</v>
      </c>
      <c r="I81" s="2"/>
      <c r="J81" s="261"/>
      <c r="M81" s="262"/>
      <c r="N81" s="262"/>
      <c r="O81" s="262"/>
      <c r="P81" s="263"/>
      <c r="Q81" s="2"/>
    </row>
    <row r="82">
      <c r="A82" s="217"/>
      <c r="B82" s="231" t="b">
        <f>IFERROR(__xludf.DUMMYFUNCTION("IF(ISNA(VLOOKUP(D82,TRANSPOSE(SPLIT('▶️ Инструкция'!S$36,"", "",FALSE,TRUE)),1,FALSE)),FALSE,TRUE)"),FALSE)</f>
        <v>0</v>
      </c>
      <c r="C82" s="251" t="s">
        <v>193</v>
      </c>
      <c r="D82" s="251" t="s">
        <v>7687</v>
      </c>
      <c r="E82" s="252">
        <v>82.8</v>
      </c>
      <c r="F82" s="252">
        <v>25.2</v>
      </c>
      <c r="G82" s="252">
        <v>0.14</v>
      </c>
      <c r="H82" s="252">
        <v>0.14</v>
      </c>
      <c r="I82" s="2"/>
      <c r="J82" s="261"/>
      <c r="M82" s="262"/>
      <c r="N82" s="262"/>
      <c r="O82" s="262"/>
      <c r="P82" s="263"/>
      <c r="Q82" s="2"/>
    </row>
    <row r="83">
      <c r="A83" s="217"/>
      <c r="B83" s="231" t="b">
        <f>IFERROR(__xludf.DUMMYFUNCTION("IF(ISNA(VLOOKUP(D83,TRANSPOSE(SPLIT('▶️ Инструкция'!S$36,"", "",FALSE,TRUE)),1,FALSE)),FALSE,TRUE)"),FALSE)</f>
        <v>0</v>
      </c>
      <c r="C83" s="251" t="s">
        <v>193</v>
      </c>
      <c r="D83" s="251" t="s">
        <v>7688</v>
      </c>
      <c r="E83" s="252">
        <v>59.8</v>
      </c>
      <c r="F83" s="252">
        <v>18.2</v>
      </c>
      <c r="G83" s="252">
        <v>0.1</v>
      </c>
      <c r="H83" s="252">
        <v>0.1</v>
      </c>
      <c r="I83" s="2"/>
      <c r="J83" s="261"/>
      <c r="M83" s="262"/>
      <c r="N83" s="262"/>
      <c r="O83" s="262"/>
      <c r="P83" s="263"/>
      <c r="Q83" s="2"/>
    </row>
    <row r="84">
      <c r="A84" s="217"/>
      <c r="B84" s="231" t="b">
        <f>IFERROR(__xludf.DUMMYFUNCTION("IF(ISNA(VLOOKUP(D84,TRANSPOSE(SPLIT('▶️ Инструкция'!S$36,"", "",FALSE,TRUE)),1,FALSE)),FALSE,TRUE)"),FALSE)</f>
        <v>0</v>
      </c>
      <c r="C84" s="251" t="s">
        <v>193</v>
      </c>
      <c r="D84" s="251" t="s">
        <v>7689</v>
      </c>
      <c r="E84" s="252">
        <v>80.5</v>
      </c>
      <c r="F84" s="252">
        <v>24.5</v>
      </c>
      <c r="G84" s="252">
        <v>0.14</v>
      </c>
      <c r="H84" s="252">
        <v>0.14</v>
      </c>
      <c r="I84" s="2"/>
      <c r="J84" s="261"/>
      <c r="M84" s="262"/>
      <c r="N84" s="262"/>
      <c r="O84" s="262"/>
      <c r="P84" s="263"/>
      <c r="Q84" s="2"/>
    </row>
    <row r="85">
      <c r="A85" s="217"/>
      <c r="B85" s="231" t="b">
        <f>IFERROR(__xludf.DUMMYFUNCTION("IF(ISNA(VLOOKUP(D85,TRANSPOSE(SPLIT('▶️ Инструкция'!S$36,"", "",FALSE,TRUE)),1,FALSE)),FALSE,TRUE)"),FALSE)</f>
        <v>0</v>
      </c>
      <c r="C85" s="251" t="s">
        <v>193</v>
      </c>
      <c r="D85" s="251" t="s">
        <v>7690</v>
      </c>
      <c r="E85" s="252">
        <v>66.7</v>
      </c>
      <c r="F85" s="252">
        <v>20.3</v>
      </c>
      <c r="G85" s="252">
        <v>0.12</v>
      </c>
      <c r="H85" s="252">
        <v>0.12</v>
      </c>
      <c r="I85" s="2"/>
      <c r="J85" s="261"/>
      <c r="M85" s="262"/>
      <c r="N85" s="262"/>
      <c r="O85" s="262"/>
      <c r="P85" s="263"/>
      <c r="Q85" s="2"/>
    </row>
    <row r="86">
      <c r="A86" s="217"/>
      <c r="B86" s="231" t="b">
        <f>IFERROR(__xludf.DUMMYFUNCTION("IF(ISNA(VLOOKUP(D86,TRANSPOSE(SPLIT('▶️ Инструкция'!S$36,"", "",FALSE,TRUE)),1,FALSE)),FALSE,TRUE)"),FALSE)</f>
        <v>0</v>
      </c>
      <c r="C86" s="251" t="s">
        <v>193</v>
      </c>
      <c r="D86" s="251" t="s">
        <v>7691</v>
      </c>
      <c r="E86" s="252">
        <v>94.3</v>
      </c>
      <c r="F86" s="252">
        <v>28.7</v>
      </c>
      <c r="G86" s="252">
        <v>0.16</v>
      </c>
      <c r="H86" s="252">
        <v>0.16</v>
      </c>
      <c r="I86" s="2"/>
      <c r="J86" s="261"/>
      <c r="M86" s="262"/>
      <c r="N86" s="262"/>
      <c r="O86" s="262"/>
      <c r="P86" s="263"/>
      <c r="Q86" s="2"/>
    </row>
    <row r="87">
      <c r="A87" s="217"/>
      <c r="B87" s="231" t="b">
        <f>IFERROR(__xludf.DUMMYFUNCTION("IF(ISNA(VLOOKUP(D87,TRANSPOSE(SPLIT('▶️ Инструкция'!S$36,"", "",FALSE,TRUE)),1,FALSE)),FALSE,TRUE)"),FALSE)</f>
        <v>0</v>
      </c>
      <c r="C87" s="251" t="s">
        <v>193</v>
      </c>
      <c r="D87" s="251" t="s">
        <v>7692</v>
      </c>
      <c r="E87" s="252">
        <v>66.7</v>
      </c>
      <c r="F87" s="252">
        <v>20.3</v>
      </c>
      <c r="G87" s="252">
        <v>0.12</v>
      </c>
      <c r="H87" s="252">
        <v>0.12</v>
      </c>
      <c r="I87" s="2"/>
      <c r="J87" s="261"/>
      <c r="M87" s="262"/>
      <c r="N87" s="262"/>
      <c r="O87" s="262"/>
      <c r="P87" s="263"/>
      <c r="Q87" s="2"/>
    </row>
    <row r="88">
      <c r="A88" s="217"/>
      <c r="B88" s="231" t="b">
        <f>IFERROR(__xludf.DUMMYFUNCTION("IF(ISNA(VLOOKUP(D88,TRANSPOSE(SPLIT('▶️ Инструкция'!S$36,"", "",FALSE,TRUE)),1,FALSE)),FALSE,TRUE)"),FALSE)</f>
        <v>0</v>
      </c>
      <c r="C88" s="251" t="s">
        <v>193</v>
      </c>
      <c r="D88" s="251" t="s">
        <v>7693</v>
      </c>
      <c r="E88" s="252">
        <v>92.0</v>
      </c>
      <c r="F88" s="252">
        <v>28.0</v>
      </c>
      <c r="G88" s="252">
        <v>0.16</v>
      </c>
      <c r="H88" s="252">
        <v>0.16</v>
      </c>
      <c r="I88" s="2"/>
      <c r="J88" s="261"/>
      <c r="M88" s="262"/>
      <c r="N88" s="262"/>
      <c r="O88" s="262"/>
      <c r="P88" s="263"/>
      <c r="Q88" s="2"/>
    </row>
    <row r="89">
      <c r="A89" s="217"/>
      <c r="B89" s="231" t="b">
        <f>IFERROR(__xludf.DUMMYFUNCTION("IF(ISNA(VLOOKUP(D89,TRANSPOSE(SPLIT('▶️ Инструкция'!S$36,"", "",FALSE,TRUE)),1,FALSE)),FALSE,TRUE)"),FALSE)</f>
        <v>0</v>
      </c>
      <c r="C89" s="251" t="s">
        <v>193</v>
      </c>
      <c r="D89" s="251" t="s">
        <v>7694</v>
      </c>
      <c r="E89" s="252">
        <v>73.6</v>
      </c>
      <c r="F89" s="252">
        <v>22.4</v>
      </c>
      <c r="G89" s="252">
        <v>0.13</v>
      </c>
      <c r="H89" s="252">
        <v>0.13</v>
      </c>
      <c r="I89" s="2"/>
      <c r="J89" s="261"/>
      <c r="M89" s="262"/>
      <c r="N89" s="262"/>
      <c r="O89" s="262"/>
      <c r="P89" s="263"/>
      <c r="Q89" s="2"/>
    </row>
    <row r="90">
      <c r="A90" s="217"/>
      <c r="B90" s="231" t="b">
        <f>IFERROR(__xludf.DUMMYFUNCTION("IF(ISNA(VLOOKUP(D90,TRANSPOSE(SPLIT('▶️ Инструкция'!S$36,"", "",FALSE,TRUE)),1,FALSE)),FALSE,TRUE)"),FALSE)</f>
        <v>0</v>
      </c>
      <c r="C90" s="251" t="s">
        <v>193</v>
      </c>
      <c r="D90" s="251" t="s">
        <v>7695</v>
      </c>
      <c r="E90" s="252">
        <v>101.2</v>
      </c>
      <c r="F90" s="252">
        <v>30.8</v>
      </c>
      <c r="G90" s="252">
        <v>0.18</v>
      </c>
      <c r="H90" s="252">
        <v>0.18</v>
      </c>
      <c r="I90" s="2"/>
      <c r="J90" s="261"/>
      <c r="M90" s="262"/>
      <c r="N90" s="262"/>
      <c r="O90" s="262"/>
      <c r="P90" s="263"/>
      <c r="Q90" s="2"/>
    </row>
    <row r="91">
      <c r="A91" s="217"/>
      <c r="B91" s="231" t="b">
        <f>IFERROR(__xludf.DUMMYFUNCTION("IF(ISNA(VLOOKUP(D91,TRANSPOSE(SPLIT('▶️ Инструкция'!S$36,"", "",FALSE,TRUE)),1,FALSE)),FALSE,TRUE)"),FALSE)</f>
        <v>0</v>
      </c>
      <c r="C91" s="251" t="s">
        <v>193</v>
      </c>
      <c r="D91" s="251" t="s">
        <v>7696</v>
      </c>
      <c r="E91" s="252">
        <v>82.8</v>
      </c>
      <c r="F91" s="252">
        <v>25.2</v>
      </c>
      <c r="G91" s="252">
        <v>0.14</v>
      </c>
      <c r="H91" s="252">
        <v>0.14</v>
      </c>
      <c r="I91" s="2"/>
      <c r="J91" s="261"/>
      <c r="M91" s="262"/>
      <c r="N91" s="262"/>
      <c r="O91" s="262"/>
      <c r="P91" s="263"/>
      <c r="Q91" s="2"/>
    </row>
    <row r="92">
      <c r="A92" s="217"/>
      <c r="B92" s="231" t="b">
        <f>IFERROR(__xludf.DUMMYFUNCTION("IF(ISNA(VLOOKUP(D92,TRANSPOSE(SPLIT('▶️ Инструкция'!S$36,"", "",FALSE,TRUE)),1,FALSE)),FALSE,TRUE)"),FALSE)</f>
        <v>0</v>
      </c>
      <c r="C92" s="251" t="s">
        <v>193</v>
      </c>
      <c r="D92" s="251" t="s">
        <v>7697</v>
      </c>
      <c r="E92" s="252">
        <v>46.0</v>
      </c>
      <c r="F92" s="252">
        <v>14.0</v>
      </c>
      <c r="G92" s="252">
        <v>0.08</v>
      </c>
      <c r="H92" s="252">
        <v>0.08</v>
      </c>
      <c r="I92" s="2"/>
      <c r="J92" s="261"/>
      <c r="M92" s="262"/>
      <c r="N92" s="262"/>
      <c r="O92" s="262"/>
      <c r="P92" s="263"/>
      <c r="Q92" s="2"/>
    </row>
    <row r="93">
      <c r="A93" s="217"/>
      <c r="B93" s="231" t="b">
        <f>IFERROR(__xludf.DUMMYFUNCTION("IF(ISNA(VLOOKUP(D93,TRANSPOSE(SPLIT('▶️ Инструкция'!S$36,"", "",FALSE,TRUE)),1,FALSE)),FALSE,TRUE)"),FALSE)</f>
        <v>0</v>
      </c>
      <c r="C93" s="251" t="s">
        <v>193</v>
      </c>
      <c r="D93" s="251" t="s">
        <v>7698</v>
      </c>
      <c r="E93" s="252">
        <v>94.3</v>
      </c>
      <c r="F93" s="252">
        <v>28.7</v>
      </c>
      <c r="G93" s="252">
        <v>0.16</v>
      </c>
      <c r="H93" s="252">
        <v>0.16</v>
      </c>
      <c r="I93" s="2"/>
      <c r="J93" s="261"/>
      <c r="M93" s="262"/>
      <c r="N93" s="262"/>
      <c r="O93" s="262"/>
      <c r="P93" s="263"/>
      <c r="Q93" s="2"/>
    </row>
    <row r="94">
      <c r="A94" s="217"/>
      <c r="B94" s="231" t="b">
        <f>IFERROR(__xludf.DUMMYFUNCTION("IF(ISNA(VLOOKUP(D94,TRANSPOSE(SPLIT('▶️ Инструкция'!S$36,"", "",FALSE,TRUE)),1,FALSE)),FALSE,TRUE)"),FALSE)</f>
        <v>0</v>
      </c>
      <c r="C94" s="251" t="s">
        <v>193</v>
      </c>
      <c r="D94" s="251" t="s">
        <v>7699</v>
      </c>
      <c r="E94" s="252">
        <v>78.2</v>
      </c>
      <c r="F94" s="252">
        <v>23.8</v>
      </c>
      <c r="G94" s="252">
        <v>0.14</v>
      </c>
      <c r="H94" s="252">
        <v>0.14</v>
      </c>
      <c r="I94" s="2"/>
      <c r="J94" s="261"/>
      <c r="M94" s="262"/>
      <c r="N94" s="262"/>
      <c r="O94" s="262"/>
      <c r="P94" s="263"/>
      <c r="Q94" s="2"/>
    </row>
    <row r="95">
      <c r="A95" s="217"/>
      <c r="B95" s="231" t="b">
        <f>IFERROR(__xludf.DUMMYFUNCTION("IF(ISNA(VLOOKUP(D95,TRANSPOSE(SPLIT('▶️ Инструкция'!S$36,"", "",FALSE,TRUE)),1,FALSE)),FALSE,TRUE)"),FALSE)</f>
        <v>0</v>
      </c>
      <c r="C95" s="251" t="s">
        <v>193</v>
      </c>
      <c r="D95" s="251" t="s">
        <v>7700</v>
      </c>
      <c r="E95" s="252">
        <v>92.0</v>
      </c>
      <c r="F95" s="252">
        <v>28.0</v>
      </c>
      <c r="G95" s="252">
        <v>0.16</v>
      </c>
      <c r="H95" s="252">
        <v>0.16</v>
      </c>
      <c r="I95" s="2"/>
      <c r="J95" s="261"/>
      <c r="M95" s="262"/>
      <c r="N95" s="262"/>
      <c r="O95" s="262"/>
      <c r="P95" s="263"/>
      <c r="Q95" s="2"/>
    </row>
    <row r="96">
      <c r="A96" s="217"/>
      <c r="B96" s="231" t="b">
        <f>IFERROR(__xludf.DUMMYFUNCTION("IF(ISNA(VLOOKUP(D96,TRANSPOSE(SPLIT('▶️ Инструкция'!S$36,"", "",FALSE,TRUE)),1,FALSE)),FALSE,TRUE)"),FALSE)</f>
        <v>0</v>
      </c>
      <c r="C96" s="251" t="s">
        <v>193</v>
      </c>
      <c r="D96" s="251" t="s">
        <v>7701</v>
      </c>
      <c r="E96" s="252">
        <v>59.8</v>
      </c>
      <c r="F96" s="252">
        <v>18.2</v>
      </c>
      <c r="G96" s="252">
        <v>0.1</v>
      </c>
      <c r="H96" s="252">
        <v>0.1</v>
      </c>
      <c r="I96" s="2"/>
      <c r="J96" s="261"/>
      <c r="M96" s="262"/>
      <c r="N96" s="262"/>
      <c r="O96" s="262"/>
      <c r="P96" s="263"/>
      <c r="Q96" s="2"/>
    </row>
    <row r="97">
      <c r="A97" s="217"/>
      <c r="B97" s="231" t="b">
        <f>IFERROR(__xludf.DUMMYFUNCTION("IF(ISNA(VLOOKUP(D97,TRANSPOSE(SPLIT('▶️ Инструкция'!S$36,"", "",FALSE,TRUE)),1,FALSE)),FALSE,TRUE)"),FALSE)</f>
        <v>0</v>
      </c>
      <c r="C97" s="251" t="s">
        <v>193</v>
      </c>
      <c r="D97" s="251" t="s">
        <v>7702</v>
      </c>
      <c r="E97" s="252">
        <v>43.7</v>
      </c>
      <c r="F97" s="252">
        <v>13.3</v>
      </c>
      <c r="G97" s="252">
        <v>0.08</v>
      </c>
      <c r="H97" s="252">
        <v>0.08</v>
      </c>
      <c r="I97" s="2"/>
      <c r="J97" s="261"/>
      <c r="M97" s="262"/>
      <c r="N97" s="262"/>
      <c r="O97" s="262"/>
      <c r="P97" s="263"/>
      <c r="Q97" s="2"/>
    </row>
    <row r="98">
      <c r="A98" s="217"/>
      <c r="B98" s="231" t="b">
        <f>IFERROR(__xludf.DUMMYFUNCTION("IF(ISNA(VLOOKUP(D98,TRANSPOSE(SPLIT('▶️ Инструкция'!S$36,"", "",FALSE,TRUE)),1,FALSE)),FALSE,TRUE)"),FALSE)</f>
        <v>0</v>
      </c>
      <c r="C98" s="251" t="s">
        <v>193</v>
      </c>
      <c r="D98" s="251" t="s">
        <v>7703</v>
      </c>
      <c r="E98" s="252">
        <v>66.7</v>
      </c>
      <c r="F98" s="252">
        <v>20.3</v>
      </c>
      <c r="G98" s="252">
        <v>0.12</v>
      </c>
      <c r="H98" s="252">
        <v>0.12</v>
      </c>
      <c r="I98" s="2"/>
      <c r="J98" s="261"/>
      <c r="M98" s="262"/>
      <c r="N98" s="262"/>
      <c r="O98" s="262"/>
      <c r="P98" s="263"/>
      <c r="Q98" s="2"/>
    </row>
    <row r="99">
      <c r="A99" s="217"/>
      <c r="B99" s="231" t="b">
        <f>IFERROR(__xludf.DUMMYFUNCTION("IF(ISNA(VLOOKUP(D99,TRANSPOSE(SPLIT('▶️ Инструкция'!S$36,"", "",FALSE,TRUE)),1,FALSE)),FALSE,TRUE)"),FALSE)</f>
        <v>0</v>
      </c>
      <c r="C99" s="251" t="s">
        <v>193</v>
      </c>
      <c r="D99" s="251" t="s">
        <v>7704</v>
      </c>
      <c r="E99" s="252">
        <v>48.3</v>
      </c>
      <c r="F99" s="252">
        <v>14.7</v>
      </c>
      <c r="G99" s="252">
        <v>0.08</v>
      </c>
      <c r="H99" s="252">
        <v>0.08</v>
      </c>
      <c r="I99" s="2"/>
      <c r="J99" s="261"/>
      <c r="M99" s="262"/>
      <c r="N99" s="262"/>
      <c r="O99" s="262"/>
      <c r="P99" s="263"/>
      <c r="Q99" s="2"/>
    </row>
    <row r="100">
      <c r="A100" s="217"/>
      <c r="B100" s="231" t="b">
        <f>IFERROR(__xludf.DUMMYFUNCTION("IF(ISNA(VLOOKUP(D100,TRANSPOSE(SPLIT('▶️ Инструкция'!S$36,"", "",FALSE,TRUE)),1,FALSE)),FALSE,TRUE)"),FALSE)</f>
        <v>0</v>
      </c>
      <c r="C100" s="251" t="s">
        <v>193</v>
      </c>
      <c r="D100" s="251" t="s">
        <v>7705</v>
      </c>
      <c r="E100" s="252">
        <v>69.0</v>
      </c>
      <c r="F100" s="252">
        <v>21.0</v>
      </c>
      <c r="G100" s="252">
        <v>0.12</v>
      </c>
      <c r="H100" s="252">
        <v>0.12</v>
      </c>
      <c r="I100" s="2"/>
      <c r="J100" s="261"/>
      <c r="M100" s="262"/>
      <c r="N100" s="262"/>
      <c r="O100" s="262"/>
      <c r="P100" s="263"/>
      <c r="Q100" s="2"/>
    </row>
    <row r="101">
      <c r="A101" s="217"/>
      <c r="B101" s="231" t="b">
        <f>IFERROR(__xludf.DUMMYFUNCTION("IF(ISNA(VLOOKUP(D101,TRANSPOSE(SPLIT('▶️ Инструкция'!S$36,"", "",FALSE,TRUE)),1,FALSE)),FALSE,TRUE)"),FALSE)</f>
        <v>0</v>
      </c>
      <c r="C101" s="251" t="s">
        <v>193</v>
      </c>
      <c r="D101" s="251" t="s">
        <v>7706</v>
      </c>
      <c r="E101" s="252">
        <v>87.4</v>
      </c>
      <c r="F101" s="252">
        <v>26.6</v>
      </c>
      <c r="G101" s="252">
        <v>0.15</v>
      </c>
      <c r="H101" s="252">
        <v>0.15</v>
      </c>
      <c r="I101" s="2"/>
      <c r="J101" s="261"/>
      <c r="M101" s="262"/>
      <c r="N101" s="262"/>
      <c r="O101" s="262"/>
      <c r="P101" s="263"/>
      <c r="Q101" s="2"/>
    </row>
    <row r="102">
      <c r="A102" s="217"/>
      <c r="B102" s="231" t="b">
        <f>IFERROR(__xludf.DUMMYFUNCTION("IF(ISNA(VLOOKUP(D102,TRANSPOSE(SPLIT('▶️ Инструкция'!S$36,"", "",FALSE,TRUE)),1,FALSE)),FALSE,TRUE)"),FALSE)</f>
        <v>0</v>
      </c>
      <c r="C102" s="251" t="s">
        <v>193</v>
      </c>
      <c r="D102" s="251" t="s">
        <v>7707</v>
      </c>
      <c r="E102" s="252">
        <v>92.0</v>
      </c>
      <c r="F102" s="252">
        <v>28.0</v>
      </c>
      <c r="G102" s="252">
        <v>0.16</v>
      </c>
      <c r="H102" s="252">
        <v>0.16</v>
      </c>
      <c r="I102" s="2"/>
      <c r="J102" s="261"/>
      <c r="M102" s="262"/>
      <c r="N102" s="262"/>
      <c r="O102" s="262"/>
      <c r="P102" s="263"/>
      <c r="Q102" s="2"/>
    </row>
    <row r="103">
      <c r="A103" s="217"/>
      <c r="B103" s="231" t="b">
        <f>IFERROR(__xludf.DUMMYFUNCTION("IF(ISNA(VLOOKUP(D103,TRANSPOSE(SPLIT('▶️ Инструкция'!S$36,"", "",FALSE,TRUE)),1,FALSE)),FALSE,TRUE)"),FALSE)</f>
        <v>0</v>
      </c>
      <c r="C103" s="251" t="s">
        <v>7569</v>
      </c>
      <c r="D103" s="251" t="s">
        <v>7705</v>
      </c>
      <c r="E103" s="252">
        <v>94.3</v>
      </c>
      <c r="F103" s="252">
        <v>28.7</v>
      </c>
      <c r="G103" s="252">
        <v>51.25</v>
      </c>
      <c r="H103" s="252"/>
      <c r="I103" s="2"/>
      <c r="J103" s="261"/>
      <c r="M103" s="262"/>
      <c r="N103" s="262"/>
      <c r="O103" s="262"/>
      <c r="P103" s="263"/>
      <c r="Q103" s="2"/>
    </row>
    <row r="104">
      <c r="A104" s="217"/>
      <c r="B104" s="231" t="b">
        <f>IFERROR(__xludf.DUMMYFUNCTION("IF(ISNA(VLOOKUP(D104,TRANSPOSE(SPLIT('▶️ Инструкция'!S$36,"", "",FALSE,TRUE)),1,FALSE)),FALSE,TRUE)"),TRUE)</f>
        <v>1</v>
      </c>
      <c r="C104" s="251" t="s">
        <v>7569</v>
      </c>
      <c r="D104" s="251" t="s">
        <v>205</v>
      </c>
      <c r="E104" s="252">
        <v>92.0</v>
      </c>
      <c r="F104" s="252">
        <v>28.0</v>
      </c>
      <c r="G104" s="252">
        <v>53.75</v>
      </c>
      <c r="H104" s="252"/>
      <c r="I104" s="2"/>
      <c r="J104" s="261"/>
      <c r="M104" s="262"/>
      <c r="N104" s="262"/>
      <c r="O104" s="262"/>
      <c r="P104" s="263"/>
      <c r="Q104" s="2"/>
    </row>
    <row r="105">
      <c r="A105" s="217"/>
      <c r="B105" s="231" t="b">
        <f>IFERROR(__xludf.DUMMYFUNCTION("IF(ISNA(VLOOKUP(D105,TRANSPOSE(SPLIT('▶️ Инструкция'!S$36,"", "",FALSE,TRUE)),1,FALSE)),FALSE,TRUE)"),FALSE)</f>
        <v>0</v>
      </c>
      <c r="C105" s="251" t="s">
        <v>7569</v>
      </c>
      <c r="D105" s="251" t="s">
        <v>7708</v>
      </c>
      <c r="E105" s="252">
        <v>78.2</v>
      </c>
      <c r="F105" s="252">
        <v>23.8</v>
      </c>
      <c r="G105" s="252">
        <v>42.5</v>
      </c>
      <c r="H105" s="252"/>
      <c r="I105" s="2"/>
      <c r="J105" s="261"/>
      <c r="M105" s="262"/>
      <c r="N105" s="262"/>
      <c r="O105" s="262"/>
      <c r="P105" s="263"/>
      <c r="Q105" s="2"/>
    </row>
    <row r="106">
      <c r="A106" s="217"/>
      <c r="B106" s="231" t="b">
        <f>IFERROR(__xludf.DUMMYFUNCTION("IF(ISNA(VLOOKUP(D106,TRANSPOSE(SPLIT('▶️ Инструкция'!S$36,"", "",FALSE,TRUE)),1,FALSE)),FALSE,TRUE)"),FALSE)</f>
        <v>0</v>
      </c>
      <c r="C106" s="251" t="s">
        <v>7569</v>
      </c>
      <c r="D106" s="251" t="s">
        <v>7581</v>
      </c>
      <c r="E106" s="252">
        <v>87.4</v>
      </c>
      <c r="F106" s="252">
        <v>26.6</v>
      </c>
      <c r="G106" s="252">
        <v>47.5</v>
      </c>
      <c r="H106" s="252"/>
      <c r="I106" s="2"/>
      <c r="J106" s="261"/>
      <c r="M106" s="262"/>
      <c r="N106" s="262"/>
      <c r="O106" s="262"/>
      <c r="P106" s="263"/>
      <c r="Q106" s="2"/>
    </row>
    <row r="107">
      <c r="A107" s="217"/>
      <c r="B107" s="231" t="b">
        <f>IFERROR(__xludf.DUMMYFUNCTION("IF(ISNA(VLOOKUP(D107,TRANSPOSE(SPLIT('▶️ Инструкция'!S$36,"", "",FALSE,TRUE)),1,FALSE)),FALSE,TRUE)"),FALSE)</f>
        <v>0</v>
      </c>
      <c r="C107" s="251" t="s">
        <v>7569</v>
      </c>
      <c r="D107" s="251" t="s">
        <v>7709</v>
      </c>
      <c r="E107" s="252">
        <v>62.1</v>
      </c>
      <c r="F107" s="252">
        <v>18.9</v>
      </c>
      <c r="G107" s="252">
        <v>33.75</v>
      </c>
      <c r="H107" s="252"/>
      <c r="I107" s="2"/>
      <c r="J107" s="261"/>
      <c r="M107" s="262"/>
      <c r="N107" s="262"/>
      <c r="O107" s="262"/>
      <c r="P107" s="263"/>
      <c r="Q107" s="2"/>
    </row>
    <row r="108">
      <c r="A108" s="217"/>
      <c r="B108" s="231" t="b">
        <f>IFERROR(__xludf.DUMMYFUNCTION("IF(ISNA(VLOOKUP(D108,TRANSPOSE(SPLIT('▶️ Инструкция'!S$36,"", "",FALSE,TRUE)),1,FALSE)),FALSE,TRUE)"),TRUE)</f>
        <v>1</v>
      </c>
      <c r="C108" s="251" t="s">
        <v>7569</v>
      </c>
      <c r="D108" s="251" t="s">
        <v>7585</v>
      </c>
      <c r="E108" s="252">
        <v>39.1</v>
      </c>
      <c r="F108" s="252">
        <v>11.9</v>
      </c>
      <c r="G108" s="252">
        <v>21.25</v>
      </c>
      <c r="H108" s="252"/>
      <c r="I108" s="2"/>
      <c r="J108" s="261"/>
      <c r="M108" s="262"/>
      <c r="N108" s="262"/>
      <c r="O108" s="262"/>
      <c r="P108" s="263"/>
      <c r="Q108" s="2"/>
    </row>
    <row r="109">
      <c r="A109" s="217"/>
      <c r="B109" s="231" t="b">
        <f>IFERROR(__xludf.DUMMYFUNCTION("IF(ISNA(VLOOKUP(D109,TRANSPOSE(SPLIT('▶️ Инструкция'!S$36,"", "",FALSE,TRUE)),1,FALSE)),FALSE,TRUE)"),FALSE)</f>
        <v>0</v>
      </c>
      <c r="C109" s="251" t="s">
        <v>7569</v>
      </c>
      <c r="D109" s="251" t="s">
        <v>7694</v>
      </c>
      <c r="E109" s="252">
        <v>78.2</v>
      </c>
      <c r="F109" s="252">
        <v>23.8</v>
      </c>
      <c r="G109" s="252">
        <v>41.25</v>
      </c>
      <c r="H109" s="252"/>
      <c r="I109" s="2"/>
      <c r="J109" s="261"/>
      <c r="M109" s="262"/>
      <c r="N109" s="262"/>
      <c r="O109" s="262"/>
      <c r="P109" s="263"/>
      <c r="Q109" s="2"/>
    </row>
    <row r="110">
      <c r="A110" s="217"/>
      <c r="B110" s="231" t="b">
        <f>IFERROR(__xludf.DUMMYFUNCTION("IF(ISNA(VLOOKUP(D110,TRANSPOSE(SPLIT('▶️ Инструкция'!S$36,"", "",FALSE,TRUE)),1,FALSE)),FALSE,TRUE)"),FALSE)</f>
        <v>0</v>
      </c>
      <c r="C110" s="251" t="s">
        <v>7569</v>
      </c>
      <c r="D110" s="251" t="s">
        <v>7631</v>
      </c>
      <c r="E110" s="252">
        <v>96.6</v>
      </c>
      <c r="F110" s="252">
        <v>29.4</v>
      </c>
      <c r="G110" s="252">
        <v>52.5</v>
      </c>
      <c r="H110" s="252"/>
      <c r="I110" s="2"/>
      <c r="J110" s="261"/>
      <c r="M110" s="262"/>
      <c r="N110" s="262"/>
      <c r="O110" s="262"/>
      <c r="P110" s="263"/>
      <c r="Q110" s="2"/>
    </row>
    <row r="111">
      <c r="A111" s="217"/>
      <c r="B111" s="231" t="b">
        <f>IFERROR(__xludf.DUMMYFUNCTION("IF(ISNA(VLOOKUP(D111,TRANSPOSE(SPLIT('▶️ Инструкция'!S$36,"", "",FALSE,TRUE)),1,FALSE)),FALSE,TRUE)"),FALSE)</f>
        <v>0</v>
      </c>
      <c r="C111" s="251" t="s">
        <v>7569</v>
      </c>
      <c r="D111" s="251" t="s">
        <v>7613</v>
      </c>
      <c r="E111" s="252">
        <v>32.2</v>
      </c>
      <c r="F111" s="252">
        <v>9.8</v>
      </c>
      <c r="G111" s="252">
        <v>17.5</v>
      </c>
      <c r="H111" s="252"/>
      <c r="I111" s="2"/>
      <c r="J111" s="261"/>
      <c r="M111" s="262"/>
      <c r="N111" s="262"/>
      <c r="O111" s="262"/>
      <c r="P111" s="263"/>
      <c r="Q111" s="2"/>
    </row>
    <row r="112">
      <c r="A112" s="217"/>
      <c r="B112" s="231" t="b">
        <f>IFERROR(__xludf.DUMMYFUNCTION("IF(ISNA(VLOOKUP(D112,TRANSPOSE(SPLIT('▶️ Инструкция'!S$36,"", "",FALSE,TRUE)),1,FALSE)),FALSE,TRUE)"),FALSE)</f>
        <v>0</v>
      </c>
      <c r="C112" s="251" t="s">
        <v>7569</v>
      </c>
      <c r="D112" s="251" t="s">
        <v>7621</v>
      </c>
      <c r="E112" s="252">
        <v>46.0</v>
      </c>
      <c r="F112" s="252">
        <v>14.0</v>
      </c>
      <c r="G112" s="252">
        <v>25.0</v>
      </c>
      <c r="H112" s="252"/>
      <c r="I112" s="2"/>
      <c r="J112" s="261"/>
      <c r="M112" s="262"/>
      <c r="N112" s="262"/>
      <c r="O112" s="262"/>
      <c r="P112" s="263"/>
      <c r="Q112" s="2"/>
    </row>
    <row r="113">
      <c r="A113" s="217"/>
      <c r="B113" s="231" t="b">
        <f>IFERROR(__xludf.DUMMYFUNCTION("IF(ISNA(VLOOKUP(D113,TRANSPOSE(SPLIT('▶️ Инструкция'!S$36,"", "",FALSE,TRUE)),1,FALSE)),FALSE,TRUE)"),FALSE)</f>
        <v>0</v>
      </c>
      <c r="C113" s="251" t="s">
        <v>7569</v>
      </c>
      <c r="D113" s="251" t="s">
        <v>7627</v>
      </c>
      <c r="E113" s="252">
        <v>103.5</v>
      </c>
      <c r="F113" s="252">
        <v>31.5</v>
      </c>
      <c r="G113" s="252">
        <v>56.25</v>
      </c>
      <c r="H113" s="252"/>
      <c r="I113" s="2"/>
      <c r="J113" s="261"/>
      <c r="M113" s="262"/>
      <c r="N113" s="262"/>
      <c r="O113" s="262"/>
      <c r="P113" s="263"/>
      <c r="Q113" s="2"/>
    </row>
    <row r="114">
      <c r="A114" s="217"/>
      <c r="B114" s="231" t="b">
        <f>IFERROR(__xludf.DUMMYFUNCTION("IF(ISNA(VLOOKUP(D114,TRANSPOSE(SPLIT('▶️ Инструкция'!S$36,"", "",FALSE,TRUE)),1,FALSE)),FALSE,TRUE)"),FALSE)</f>
        <v>0</v>
      </c>
      <c r="C114" s="251" t="s">
        <v>7569</v>
      </c>
      <c r="D114" s="251" t="s">
        <v>7609</v>
      </c>
      <c r="E114" s="252">
        <v>78.2</v>
      </c>
      <c r="F114" s="252">
        <v>23.8</v>
      </c>
      <c r="G114" s="252">
        <v>42.5</v>
      </c>
      <c r="H114" s="252"/>
      <c r="I114" s="2"/>
      <c r="J114" s="261"/>
      <c r="M114" s="262"/>
      <c r="N114" s="262"/>
      <c r="O114" s="262"/>
      <c r="P114" s="263"/>
      <c r="Q114" s="2"/>
    </row>
    <row r="115">
      <c r="A115" s="217"/>
      <c r="B115" s="231" t="b">
        <f>IFERROR(__xludf.DUMMYFUNCTION("IF(ISNA(VLOOKUP(D115,TRANSPOSE(SPLIT('▶️ Инструкция'!S$36,"", "",FALSE,TRUE)),1,FALSE)),FALSE,TRUE)"),FALSE)</f>
        <v>0</v>
      </c>
      <c r="C115" s="251" t="s">
        <v>7569</v>
      </c>
      <c r="D115" s="251" t="s">
        <v>7570</v>
      </c>
      <c r="E115" s="252">
        <v>57.5</v>
      </c>
      <c r="F115" s="252">
        <v>17.5</v>
      </c>
      <c r="G115" s="252">
        <v>31.25</v>
      </c>
      <c r="H115" s="252"/>
      <c r="I115" s="2"/>
      <c r="J115" s="261"/>
      <c r="M115" s="262"/>
      <c r="N115" s="262"/>
      <c r="O115" s="262"/>
      <c r="P115" s="263"/>
      <c r="Q115" s="2"/>
    </row>
    <row r="116">
      <c r="A116" s="217"/>
      <c r="B116" s="231" t="b">
        <f>IFERROR(__xludf.DUMMYFUNCTION("IF(ISNA(VLOOKUP(D116,TRANSPOSE(SPLIT('▶️ Инструкция'!S$36,"", "",FALSE,TRUE)),1,FALSE)),FALSE,TRUE)"),FALSE)</f>
        <v>0</v>
      </c>
      <c r="C116" s="251" t="s">
        <v>7569</v>
      </c>
      <c r="D116" s="251" t="s">
        <v>7629</v>
      </c>
      <c r="E116" s="252">
        <v>82.8</v>
      </c>
      <c r="F116" s="252">
        <v>25.2</v>
      </c>
      <c r="G116" s="252">
        <v>45.0</v>
      </c>
      <c r="H116" s="252"/>
      <c r="I116" s="2"/>
      <c r="J116" s="261"/>
      <c r="M116" s="262"/>
      <c r="N116" s="262"/>
      <c r="O116" s="262"/>
      <c r="P116" s="263"/>
      <c r="Q116" s="2"/>
    </row>
    <row r="117">
      <c r="A117" s="217"/>
      <c r="B117" s="231" t="b">
        <f>IFERROR(__xludf.DUMMYFUNCTION("IF(ISNA(VLOOKUP(D117,TRANSPOSE(SPLIT('▶️ Инструкция'!S$36,"", "",FALSE,TRUE)),1,FALSE)),FALSE,TRUE)"),FALSE)</f>
        <v>0</v>
      </c>
      <c r="C117" s="251" t="s">
        <v>7569</v>
      </c>
      <c r="D117" s="251" t="s">
        <v>7695</v>
      </c>
      <c r="E117" s="252">
        <v>138.0</v>
      </c>
      <c r="F117" s="252">
        <v>42.0</v>
      </c>
      <c r="G117" s="252">
        <v>75.0</v>
      </c>
      <c r="H117" s="252"/>
      <c r="I117" s="2"/>
      <c r="J117" s="261"/>
      <c r="M117" s="262"/>
      <c r="N117" s="262"/>
      <c r="O117" s="262"/>
      <c r="P117" s="263"/>
      <c r="Q117" s="2"/>
    </row>
    <row r="118">
      <c r="A118" s="217"/>
      <c r="B118" s="231" t="b">
        <f>IFERROR(__xludf.DUMMYFUNCTION("IF(ISNA(VLOOKUP(D118,TRANSPOSE(SPLIT('▶️ Инструкция'!S$36,"", "",FALSE,TRUE)),1,FALSE)),FALSE,TRUE)"),FALSE)</f>
        <v>0</v>
      </c>
      <c r="C118" s="251" t="s">
        <v>7569</v>
      </c>
      <c r="D118" s="251" t="s">
        <v>7633</v>
      </c>
      <c r="E118" s="252">
        <v>103.5</v>
      </c>
      <c r="F118" s="252">
        <v>31.5</v>
      </c>
      <c r="G118" s="252">
        <v>56.25</v>
      </c>
      <c r="H118" s="252"/>
      <c r="I118" s="2"/>
      <c r="J118" s="261"/>
      <c r="M118" s="262"/>
      <c r="N118" s="262"/>
      <c r="O118" s="262"/>
      <c r="P118" s="263"/>
      <c r="Q118" s="2"/>
    </row>
    <row r="119">
      <c r="A119" s="217"/>
      <c r="B119" s="231" t="b">
        <f>IFERROR(__xludf.DUMMYFUNCTION("IF(ISNA(VLOOKUP(D119,TRANSPOSE(SPLIT('▶️ Инструкция'!S$36,"", "",FALSE,TRUE)),1,FALSE)),FALSE,TRUE)"),TRUE)</f>
        <v>1</v>
      </c>
      <c r="C119" s="251" t="s">
        <v>7569</v>
      </c>
      <c r="D119" s="251" t="s">
        <v>7623</v>
      </c>
      <c r="E119" s="252">
        <v>75.9</v>
      </c>
      <c r="F119" s="252">
        <v>23.1</v>
      </c>
      <c r="G119" s="252">
        <v>41.25</v>
      </c>
      <c r="H119" s="252"/>
      <c r="I119" s="2"/>
      <c r="J119" s="261"/>
      <c r="M119" s="262"/>
      <c r="N119" s="262"/>
      <c r="O119" s="262"/>
      <c r="P119" s="263"/>
      <c r="Q119" s="2"/>
    </row>
    <row r="120">
      <c r="A120" s="217"/>
      <c r="B120" s="231" t="b">
        <f>IFERROR(__xludf.DUMMYFUNCTION("IF(ISNA(VLOOKUP(D120,TRANSPOSE(SPLIT('▶️ Инструкция'!S$36,"", "",FALSE,TRUE)),1,FALSE)),FALSE,TRUE)"),FALSE)</f>
        <v>0</v>
      </c>
      <c r="C120" s="251" t="s">
        <v>7569</v>
      </c>
      <c r="D120" s="251" t="s">
        <v>7710</v>
      </c>
      <c r="E120" s="252">
        <v>161.0</v>
      </c>
      <c r="F120" s="252">
        <v>49.0</v>
      </c>
      <c r="G120" s="252">
        <v>87.5</v>
      </c>
      <c r="H120" s="252"/>
      <c r="I120" s="2"/>
      <c r="J120" s="261"/>
      <c r="M120" s="262"/>
      <c r="N120" s="262"/>
      <c r="O120" s="262"/>
      <c r="P120" s="263"/>
      <c r="Q120" s="2"/>
    </row>
    <row r="121">
      <c r="A121" s="217"/>
      <c r="B121" s="231" t="b">
        <f>IFERROR(__xludf.DUMMYFUNCTION("IF(ISNA(VLOOKUP(D121,TRANSPOSE(SPLIT('▶️ Инструкция'!S$36,"", "",FALSE,TRUE)),1,FALSE)),FALSE,TRUE)"),FALSE)</f>
        <v>0</v>
      </c>
      <c r="C121" s="251" t="s">
        <v>7569</v>
      </c>
      <c r="D121" s="251" t="s">
        <v>7648</v>
      </c>
      <c r="E121" s="252">
        <v>46.0</v>
      </c>
      <c r="F121" s="252">
        <v>14.0</v>
      </c>
      <c r="G121" s="252">
        <v>45.0</v>
      </c>
      <c r="H121" s="252"/>
      <c r="I121" s="2"/>
      <c r="J121" s="261"/>
      <c r="M121" s="262"/>
      <c r="N121" s="262"/>
      <c r="O121" s="262"/>
      <c r="P121" s="263"/>
      <c r="Q121" s="2"/>
    </row>
    <row r="122">
      <c r="A122" s="217"/>
      <c r="B122" s="231" t="b">
        <f>IFERROR(__xludf.DUMMYFUNCTION("IF(ISNA(VLOOKUP(D122,TRANSPOSE(SPLIT('▶️ Инструкция'!S$36,"", "",FALSE,TRUE)),1,FALSE)),FALSE,TRUE)"),TRUE)</f>
        <v>1</v>
      </c>
      <c r="C122" s="251" t="s">
        <v>7569</v>
      </c>
      <c r="D122" s="251" t="s">
        <v>7672</v>
      </c>
      <c r="E122" s="252">
        <v>73.6</v>
      </c>
      <c r="F122" s="252">
        <v>22.4</v>
      </c>
      <c r="G122" s="252">
        <v>65.0</v>
      </c>
      <c r="H122" s="252"/>
      <c r="I122" s="2"/>
      <c r="J122" s="261"/>
      <c r="M122" s="262"/>
      <c r="N122" s="262"/>
      <c r="O122" s="262"/>
      <c r="P122" s="263"/>
      <c r="Q122" s="2"/>
    </row>
    <row r="123">
      <c r="A123" s="217"/>
      <c r="B123" s="231" t="b">
        <f>IFERROR(__xludf.DUMMYFUNCTION("IF(ISNA(VLOOKUP(D123,TRANSPOSE(SPLIT('▶️ Инструкция'!S$36,"", "",FALSE,TRUE)),1,FALSE)),FALSE,TRUE)"),FALSE)</f>
        <v>0</v>
      </c>
      <c r="C123" s="251" t="s">
        <v>7569</v>
      </c>
      <c r="D123" s="251" t="s">
        <v>7650</v>
      </c>
      <c r="E123" s="252">
        <v>92.0</v>
      </c>
      <c r="F123" s="252">
        <v>28.0</v>
      </c>
      <c r="G123" s="252">
        <v>50.0</v>
      </c>
      <c r="H123" s="252"/>
      <c r="I123" s="2"/>
      <c r="J123" s="261"/>
      <c r="M123" s="262"/>
      <c r="N123" s="262"/>
      <c r="O123" s="262"/>
      <c r="P123" s="263"/>
      <c r="Q123" s="2"/>
    </row>
    <row r="124">
      <c r="A124" s="217"/>
      <c r="B124" s="231" t="b">
        <f>IFERROR(__xludf.DUMMYFUNCTION("IF(ISNA(VLOOKUP(D124,TRANSPOSE(SPLIT('▶️ Инструкция'!S$36,"", "",FALSE,TRUE)),1,FALSE)),FALSE,TRUE)"),FALSE)</f>
        <v>0</v>
      </c>
      <c r="C124" s="251" t="s">
        <v>7569</v>
      </c>
      <c r="D124" s="251" t="s">
        <v>7652</v>
      </c>
      <c r="E124" s="252">
        <v>73.6</v>
      </c>
      <c r="F124" s="252">
        <v>22.4</v>
      </c>
      <c r="G124" s="252">
        <v>40.0</v>
      </c>
      <c r="H124" s="252"/>
      <c r="I124" s="2"/>
      <c r="J124" s="261"/>
      <c r="M124" s="262"/>
      <c r="N124" s="262"/>
      <c r="O124" s="262"/>
      <c r="P124" s="263"/>
      <c r="Q124" s="2"/>
    </row>
    <row r="125">
      <c r="A125" s="217"/>
      <c r="B125" s="231" t="b">
        <f>IFERROR(__xludf.DUMMYFUNCTION("IF(ISNA(VLOOKUP(D125,TRANSPOSE(SPLIT('▶️ Инструкция'!S$36,"", "",FALSE,TRUE)),1,FALSE)),FALSE,TRUE)"),FALSE)</f>
        <v>0</v>
      </c>
      <c r="C125" s="251" t="s">
        <v>7569</v>
      </c>
      <c r="D125" s="251" t="s">
        <v>7656</v>
      </c>
      <c r="E125" s="252">
        <v>71.3</v>
      </c>
      <c r="F125" s="252">
        <v>21.7</v>
      </c>
      <c r="G125" s="252">
        <v>48.75</v>
      </c>
      <c r="H125" s="252"/>
      <c r="I125" s="2"/>
      <c r="J125" s="261"/>
      <c r="M125" s="262"/>
      <c r="N125" s="262"/>
      <c r="O125" s="262"/>
      <c r="P125" s="263"/>
      <c r="Q125" s="2"/>
    </row>
    <row r="126">
      <c r="A126" s="217"/>
      <c r="B126" s="231" t="b">
        <f>IFERROR(__xludf.DUMMYFUNCTION("IF(ISNA(VLOOKUP(D126,TRANSPOSE(SPLIT('▶️ Инструкция'!S$36,"", "",FALSE,TRUE)),1,FALSE)),FALSE,TRUE)"),TRUE)</f>
        <v>1</v>
      </c>
      <c r="C126" s="251" t="s">
        <v>7569</v>
      </c>
      <c r="D126" s="251" t="s">
        <v>202</v>
      </c>
      <c r="E126" s="252">
        <v>78.2</v>
      </c>
      <c r="F126" s="252">
        <v>23.8</v>
      </c>
      <c r="G126" s="252">
        <v>41.25</v>
      </c>
      <c r="H126" s="252"/>
      <c r="I126" s="2"/>
      <c r="J126" s="261"/>
      <c r="M126" s="265"/>
      <c r="N126" s="262"/>
      <c r="O126" s="262"/>
      <c r="P126" s="263"/>
      <c r="Q126" s="2"/>
    </row>
    <row r="127">
      <c r="A127" s="217"/>
      <c r="B127" s="231" t="b">
        <f>IFERROR(__xludf.DUMMYFUNCTION("IF(ISNA(VLOOKUP(D127,TRANSPOSE(SPLIT('▶️ Инструкция'!S$36,"", "",FALSE,TRUE)),1,FALSE)),FALSE,TRUE)"),FALSE)</f>
        <v>0</v>
      </c>
      <c r="C127" s="251" t="s">
        <v>7569</v>
      </c>
      <c r="D127" s="251" t="s">
        <v>7662</v>
      </c>
      <c r="E127" s="252">
        <v>96.6</v>
      </c>
      <c r="F127" s="252">
        <v>29.4</v>
      </c>
      <c r="G127" s="252">
        <v>52.5</v>
      </c>
      <c r="H127" s="252"/>
      <c r="I127" s="2"/>
      <c r="J127" s="261"/>
      <c r="M127" s="265"/>
      <c r="N127" s="262"/>
      <c r="O127" s="262"/>
      <c r="P127" s="263"/>
      <c r="Q127" s="2"/>
    </row>
    <row r="128">
      <c r="A128" s="217"/>
      <c r="B128" s="231" t="b">
        <f>IFERROR(__xludf.DUMMYFUNCTION("IF(ISNA(VLOOKUP(D128,TRANSPOSE(SPLIT('▶️ Инструкция'!S$36,"", "",FALSE,TRUE)),1,FALSE)),FALSE,TRUE)"),FALSE)</f>
        <v>0</v>
      </c>
      <c r="C128" s="251" t="s">
        <v>7569</v>
      </c>
      <c r="D128" s="251" t="s">
        <v>7654</v>
      </c>
      <c r="E128" s="252">
        <v>32.2</v>
      </c>
      <c r="F128" s="252">
        <v>9.8</v>
      </c>
      <c r="G128" s="252">
        <v>17.5</v>
      </c>
      <c r="H128" s="252"/>
      <c r="I128" s="2"/>
      <c r="J128" s="261"/>
      <c r="M128" s="265"/>
      <c r="N128" s="262"/>
      <c r="O128" s="262"/>
      <c r="P128" s="263"/>
      <c r="Q128" s="2"/>
    </row>
    <row r="129">
      <c r="A129" s="217"/>
      <c r="B129" s="231" t="b">
        <f>IFERROR(__xludf.DUMMYFUNCTION("IF(ISNA(VLOOKUP(D129,TRANSPOSE(SPLIT('▶️ Инструкция'!S$36,"", "",FALSE,TRUE)),1,FALSE)),FALSE,TRUE)"),FALSE)</f>
        <v>0</v>
      </c>
      <c r="C129" s="251" t="s">
        <v>7569</v>
      </c>
      <c r="D129" s="251" t="s">
        <v>7664</v>
      </c>
      <c r="E129" s="252">
        <v>50.6</v>
      </c>
      <c r="F129" s="252">
        <v>15.4</v>
      </c>
      <c r="G129" s="252">
        <v>27.5</v>
      </c>
      <c r="H129" s="252"/>
      <c r="I129" s="2"/>
      <c r="J129" s="261"/>
      <c r="M129" s="265"/>
      <c r="N129" s="262"/>
      <c r="O129" s="262"/>
      <c r="P129" s="263"/>
      <c r="Q129" s="2"/>
    </row>
    <row r="130">
      <c r="A130" s="217"/>
      <c r="B130" s="231" t="b">
        <f>IFERROR(__xludf.DUMMYFUNCTION("IF(ISNA(VLOOKUP(D130,TRANSPOSE(SPLIT('▶️ Инструкция'!S$36,"", "",FALSE,TRUE)),1,FALSE)),FALSE,TRUE)"),FALSE)</f>
        <v>0</v>
      </c>
      <c r="C130" s="251" t="s">
        <v>7569</v>
      </c>
      <c r="D130" s="251" t="s">
        <v>7667</v>
      </c>
      <c r="E130" s="252">
        <v>96.6</v>
      </c>
      <c r="F130" s="252">
        <v>29.4</v>
      </c>
      <c r="G130" s="252">
        <v>52.5</v>
      </c>
      <c r="H130" s="252"/>
      <c r="I130" s="2"/>
      <c r="J130" s="261"/>
      <c r="M130" s="265"/>
      <c r="N130" s="262"/>
      <c r="O130" s="262"/>
      <c r="P130" s="263"/>
      <c r="Q130" s="2"/>
    </row>
    <row r="131">
      <c r="A131" s="217"/>
      <c r="B131" s="231" t="b">
        <f>IFERROR(__xludf.DUMMYFUNCTION("IF(ISNA(VLOOKUP(D131,TRANSPOSE(SPLIT('▶️ Инструкция'!S$36,"", "",FALSE,TRUE)),1,FALSE)),FALSE,TRUE)"),FALSE)</f>
        <v>0</v>
      </c>
      <c r="C131" s="251" t="s">
        <v>7569</v>
      </c>
      <c r="D131" s="251" t="s">
        <v>7668</v>
      </c>
      <c r="E131" s="252">
        <v>75.9</v>
      </c>
      <c r="F131" s="252">
        <v>23.1</v>
      </c>
      <c r="G131" s="252">
        <v>41.25</v>
      </c>
      <c r="H131" s="252"/>
      <c r="I131" s="2"/>
      <c r="J131" s="261"/>
      <c r="M131" s="265"/>
      <c r="N131" s="262"/>
      <c r="O131" s="262"/>
      <c r="P131" s="263"/>
      <c r="Q131" s="2"/>
    </row>
    <row r="132">
      <c r="A132" s="217"/>
      <c r="B132" s="231" t="b">
        <f>IFERROR(__xludf.DUMMYFUNCTION("IF(ISNA(VLOOKUP(D132,TRANSPOSE(SPLIT('▶️ Инструкция'!S$36,"", "",FALSE,TRUE)),1,FALSE)),FALSE,TRUE)"),FALSE)</f>
        <v>0</v>
      </c>
      <c r="C132" s="251" t="s">
        <v>7569</v>
      </c>
      <c r="D132" s="251" t="s">
        <v>7671</v>
      </c>
      <c r="E132" s="252">
        <v>96.6</v>
      </c>
      <c r="F132" s="252">
        <v>29.4</v>
      </c>
      <c r="G132" s="252">
        <v>52.5</v>
      </c>
      <c r="H132" s="252"/>
      <c r="I132" s="2"/>
      <c r="J132" s="261"/>
      <c r="M132" s="265"/>
      <c r="N132" s="262"/>
      <c r="O132" s="262"/>
      <c r="P132" s="263"/>
      <c r="Q132" s="2"/>
    </row>
    <row r="133">
      <c r="A133" s="217"/>
      <c r="B133" s="231" t="b">
        <f>IFERROR(__xludf.DUMMYFUNCTION("IF(ISNA(VLOOKUP(D133,TRANSPOSE(SPLIT('▶️ Инструкция'!S$36,"", "",FALSE,TRUE)),1,FALSE)),FALSE,TRUE)"),FALSE)</f>
        <v>0</v>
      </c>
      <c r="C133" s="251" t="s">
        <v>7569</v>
      </c>
      <c r="D133" s="251" t="s">
        <v>7635</v>
      </c>
      <c r="E133" s="252">
        <v>46.0</v>
      </c>
      <c r="F133" s="252">
        <v>14.0</v>
      </c>
      <c r="G133" s="252">
        <v>25.0</v>
      </c>
      <c r="H133" s="252"/>
      <c r="I133" s="2"/>
      <c r="J133" s="261"/>
      <c r="M133" s="265"/>
      <c r="N133" s="262"/>
      <c r="O133" s="262"/>
      <c r="P133" s="263"/>
      <c r="Q133" s="2"/>
    </row>
    <row r="134">
      <c r="A134" s="217"/>
      <c r="B134" s="231" t="b">
        <f>IFERROR(__xludf.DUMMYFUNCTION("IF(ISNA(VLOOKUP(D134,TRANSPOSE(SPLIT('▶️ Инструкция'!S$36,"", "",FALSE,TRUE)),1,FALSE)),FALSE,TRUE)"),FALSE)</f>
        <v>0</v>
      </c>
      <c r="C134" s="251" t="s">
        <v>7569</v>
      </c>
      <c r="D134" s="251" t="s">
        <v>7674</v>
      </c>
      <c r="E134" s="252">
        <v>89.7</v>
      </c>
      <c r="F134" s="252">
        <v>27.3</v>
      </c>
      <c r="G134" s="252">
        <v>48.75</v>
      </c>
      <c r="H134" s="252"/>
      <c r="I134" s="2"/>
      <c r="J134" s="261"/>
      <c r="M134" s="265"/>
      <c r="N134" s="262"/>
      <c r="O134" s="262"/>
      <c r="P134" s="263"/>
      <c r="Q134" s="2"/>
    </row>
    <row r="135">
      <c r="A135" s="217"/>
      <c r="B135" s="231" t="b">
        <f>IFERROR(__xludf.DUMMYFUNCTION("IF(ISNA(VLOOKUP(D135,TRANSPOSE(SPLIT('▶️ Инструкция'!S$36,"", "",FALSE,TRUE)),1,FALSE)),FALSE,TRUE)"),TRUE)</f>
        <v>1</v>
      </c>
      <c r="C135" s="251" t="s">
        <v>7569</v>
      </c>
      <c r="D135" s="251" t="s">
        <v>7684</v>
      </c>
      <c r="E135" s="252">
        <v>115.0</v>
      </c>
      <c r="F135" s="252">
        <v>35.0</v>
      </c>
      <c r="G135" s="252">
        <v>62.5</v>
      </c>
      <c r="H135" s="252"/>
      <c r="I135" s="2"/>
      <c r="J135" s="261"/>
      <c r="M135" s="265"/>
      <c r="N135" s="262"/>
      <c r="O135" s="262"/>
      <c r="P135" s="263"/>
      <c r="Q135" s="2"/>
    </row>
    <row r="136">
      <c r="A136" s="217"/>
      <c r="B136" s="231" t="b">
        <f>IFERROR(__xludf.DUMMYFUNCTION("IF(ISNA(VLOOKUP(D136,TRANSPOSE(SPLIT('▶️ Инструкция'!S$36,"", "",FALSE,TRUE)),1,FALSE)),FALSE,TRUE)"),FALSE)</f>
        <v>0</v>
      </c>
      <c r="C136" s="251" t="s">
        <v>7569</v>
      </c>
      <c r="D136" s="251" t="s">
        <v>7711</v>
      </c>
      <c r="E136" s="252">
        <v>105.8</v>
      </c>
      <c r="F136" s="252">
        <v>32.2</v>
      </c>
      <c r="G136" s="252">
        <v>57.5</v>
      </c>
      <c r="H136" s="252"/>
      <c r="I136" s="2"/>
      <c r="J136" s="261"/>
      <c r="M136" s="265"/>
      <c r="N136" s="262"/>
      <c r="O136" s="262"/>
      <c r="P136" s="263"/>
      <c r="Q136" s="2"/>
    </row>
    <row r="137">
      <c r="A137" s="217"/>
      <c r="B137" s="231" t="b">
        <f>IFERROR(__xludf.DUMMYFUNCTION("IF(ISNA(VLOOKUP(D137,TRANSPOSE(SPLIT('▶️ Инструкция'!S$36,"", "",FALSE,TRUE)),1,FALSE)),FALSE,TRUE)"),FALSE)</f>
        <v>0</v>
      </c>
      <c r="C137" s="251" t="s">
        <v>7569</v>
      </c>
      <c r="D137" s="251" t="s">
        <v>7680</v>
      </c>
      <c r="E137" s="252">
        <v>46.0</v>
      </c>
      <c r="F137" s="252">
        <v>14.0</v>
      </c>
      <c r="G137" s="252">
        <v>25.0</v>
      </c>
      <c r="H137" s="252"/>
      <c r="I137" s="2"/>
      <c r="J137" s="261"/>
      <c r="M137" s="265"/>
      <c r="N137" s="262"/>
      <c r="O137" s="262"/>
      <c r="P137" s="263"/>
      <c r="Q137" s="2"/>
    </row>
    <row r="138">
      <c r="A138" s="217"/>
      <c r="B138" s="231" t="b">
        <f>IFERROR(__xludf.DUMMYFUNCTION("IF(ISNA(VLOOKUP(D138,TRANSPOSE(SPLIT('▶️ Инструкция'!S$36,"", "",FALSE,TRUE)),1,FALSE)),FALSE,TRUE)"),FALSE)</f>
        <v>0</v>
      </c>
      <c r="C138" s="251" t="s">
        <v>7569</v>
      </c>
      <c r="D138" s="251" t="s">
        <v>7712</v>
      </c>
      <c r="E138" s="252">
        <v>78.2</v>
      </c>
      <c r="F138" s="252">
        <v>23.8</v>
      </c>
      <c r="G138" s="252">
        <v>42.5</v>
      </c>
      <c r="H138" s="252"/>
      <c r="I138" s="2"/>
      <c r="J138" s="261"/>
      <c r="M138" s="265"/>
      <c r="N138" s="262"/>
      <c r="O138" s="262"/>
      <c r="P138" s="263"/>
      <c r="Q138" s="2"/>
    </row>
    <row r="139">
      <c r="A139" s="217"/>
      <c r="B139" s="231" t="b">
        <f>IFERROR(__xludf.DUMMYFUNCTION("IF(ISNA(VLOOKUP(D139,TRANSPOSE(SPLIT('▶️ Инструкция'!S$36,"", "",FALSE,TRUE)),1,FALSE)),FALSE,TRUE)"),FALSE)</f>
        <v>0</v>
      </c>
      <c r="C139" s="251" t="s">
        <v>7569</v>
      </c>
      <c r="D139" s="251" t="s">
        <v>7682</v>
      </c>
      <c r="E139" s="252">
        <v>27.6</v>
      </c>
      <c r="F139" s="252">
        <v>8.4</v>
      </c>
      <c r="G139" s="252">
        <v>15.0</v>
      </c>
      <c r="H139" s="252"/>
      <c r="I139" s="2"/>
      <c r="J139" s="261"/>
      <c r="M139" s="265"/>
      <c r="N139" s="262"/>
      <c r="O139" s="262"/>
      <c r="P139" s="263"/>
      <c r="Q139" s="2"/>
    </row>
    <row r="140">
      <c r="A140" s="217"/>
      <c r="B140" s="231" t="b">
        <f>IFERROR(__xludf.DUMMYFUNCTION("IF(ISNA(VLOOKUP(D140,TRANSPOSE(SPLIT('▶️ Инструкция'!S$36,"", "",FALSE,TRUE)),1,FALSE)),FALSE,TRUE)"),FALSE)</f>
        <v>0</v>
      </c>
      <c r="C140" s="251" t="s">
        <v>7569</v>
      </c>
      <c r="D140" s="251" t="s">
        <v>7685</v>
      </c>
      <c r="E140" s="252">
        <v>46.0</v>
      </c>
      <c r="F140" s="252">
        <v>14.0</v>
      </c>
      <c r="G140" s="252">
        <v>25.0</v>
      </c>
      <c r="H140" s="252"/>
      <c r="I140" s="2"/>
      <c r="J140" s="261"/>
      <c r="M140" s="265"/>
      <c r="N140" s="262"/>
      <c r="O140" s="262"/>
      <c r="P140" s="263"/>
      <c r="Q140" s="2"/>
    </row>
    <row r="141">
      <c r="A141" s="217"/>
      <c r="B141" s="231" t="b">
        <f>IFERROR(__xludf.DUMMYFUNCTION("IF(ISNA(VLOOKUP(D141,TRANSPOSE(SPLIT('▶️ Инструкция'!S$36,"", "",FALSE,TRUE)),1,FALSE)),FALSE,TRUE)"),FALSE)</f>
        <v>0</v>
      </c>
      <c r="C141" s="251" t="s">
        <v>7569</v>
      </c>
      <c r="D141" s="251" t="s">
        <v>7713</v>
      </c>
      <c r="E141" s="252">
        <v>115.0</v>
      </c>
      <c r="F141" s="252">
        <v>35.0</v>
      </c>
      <c r="G141" s="252">
        <v>62.5</v>
      </c>
      <c r="H141" s="252"/>
      <c r="I141" s="2"/>
      <c r="J141" s="261"/>
      <c r="M141" s="265"/>
      <c r="N141" s="262"/>
      <c r="O141" s="262"/>
      <c r="P141" s="263"/>
      <c r="Q141" s="2"/>
    </row>
    <row r="142">
      <c r="A142" s="217"/>
      <c r="B142" s="231" t="b">
        <f>IFERROR(__xludf.DUMMYFUNCTION("IF(ISNA(VLOOKUP(D142,TRANSPOSE(SPLIT('▶️ Инструкция'!S$36,"", "",FALSE,TRUE)),1,FALSE)),FALSE,TRUE)"),FALSE)</f>
        <v>0</v>
      </c>
      <c r="C142" s="251" t="s">
        <v>7569</v>
      </c>
      <c r="D142" s="251" t="s">
        <v>7690</v>
      </c>
      <c r="E142" s="252">
        <v>41.4</v>
      </c>
      <c r="F142" s="252">
        <v>12.6</v>
      </c>
      <c r="G142" s="252">
        <v>22.5</v>
      </c>
      <c r="H142" s="252"/>
      <c r="I142" s="2"/>
      <c r="J142" s="261"/>
      <c r="M142" s="265"/>
      <c r="N142" s="262"/>
      <c r="O142" s="262"/>
      <c r="P142" s="263"/>
      <c r="Q142" s="2"/>
    </row>
    <row r="143">
      <c r="A143" s="217"/>
      <c r="B143" s="231" t="b">
        <f>IFERROR(__xludf.DUMMYFUNCTION("IF(ISNA(VLOOKUP(D143,TRANSPOSE(SPLIT('▶️ Инструкция'!S$36,"", "",FALSE,TRUE)),1,FALSE)),FALSE,TRUE)"),FALSE)</f>
        <v>0</v>
      </c>
      <c r="C143" s="251" t="s">
        <v>7569</v>
      </c>
      <c r="D143" s="251" t="s">
        <v>7714</v>
      </c>
      <c r="E143" s="252">
        <v>101.2</v>
      </c>
      <c r="F143" s="252">
        <v>30.8</v>
      </c>
      <c r="G143" s="252">
        <v>55.0</v>
      </c>
      <c r="H143" s="252"/>
      <c r="I143" s="2"/>
      <c r="J143" s="261"/>
      <c r="M143" s="265"/>
      <c r="N143" s="262"/>
      <c r="O143" s="262"/>
      <c r="P143" s="263"/>
      <c r="Q143" s="2"/>
    </row>
    <row r="144">
      <c r="A144" s="217"/>
      <c r="B144" s="231" t="b">
        <f>IFERROR(__xludf.DUMMYFUNCTION("IF(ISNA(VLOOKUP(D144,TRANSPOSE(SPLIT('▶️ Инструкция'!S$36,"", "",FALSE,TRUE)),1,FALSE)),FALSE,TRUE)"),FALSE)</f>
        <v>0</v>
      </c>
      <c r="C144" s="251" t="s">
        <v>7569</v>
      </c>
      <c r="D144" s="251" t="s">
        <v>7693</v>
      </c>
      <c r="E144" s="252">
        <v>98.9</v>
      </c>
      <c r="F144" s="252">
        <v>30.1</v>
      </c>
      <c r="G144" s="252">
        <v>53.75</v>
      </c>
      <c r="H144" s="252"/>
      <c r="I144" s="2"/>
      <c r="J144" s="261"/>
      <c r="M144" s="265"/>
      <c r="N144" s="262"/>
      <c r="O144" s="262"/>
      <c r="P144" s="263"/>
      <c r="Q144" s="2"/>
    </row>
    <row r="145">
      <c r="A145" s="217"/>
      <c r="B145" s="231" t="b">
        <f>IFERROR(__xludf.DUMMYFUNCTION("IF(ISNA(VLOOKUP(D145,TRANSPOSE(SPLIT('▶️ Инструкция'!S$36,"", "",FALSE,TRUE)),1,FALSE)),FALSE,TRUE)"),FALSE)</f>
        <v>0</v>
      </c>
      <c r="C145" s="251" t="s">
        <v>7569</v>
      </c>
      <c r="D145" s="251" t="s">
        <v>7698</v>
      </c>
      <c r="E145" s="252">
        <v>94.3</v>
      </c>
      <c r="F145" s="252">
        <v>28.7</v>
      </c>
      <c r="G145" s="252">
        <v>51.25</v>
      </c>
      <c r="H145" s="252"/>
      <c r="I145" s="2"/>
      <c r="J145" s="261"/>
      <c r="M145" s="265"/>
      <c r="N145" s="262"/>
      <c r="O145" s="262"/>
      <c r="P145" s="263"/>
      <c r="Q145" s="2"/>
    </row>
    <row r="146">
      <c r="A146" s="217"/>
      <c r="B146" s="231" t="b">
        <f>IFERROR(__xludf.DUMMYFUNCTION("IF(ISNA(VLOOKUP(D146,TRANSPOSE(SPLIT('▶️ Инструкция'!S$36,"", "",FALSE,TRUE)),1,FALSE)),FALSE,TRUE)"),FALSE)</f>
        <v>0</v>
      </c>
      <c r="C146" s="251" t="s">
        <v>7569</v>
      </c>
      <c r="D146" s="251" t="s">
        <v>7691</v>
      </c>
      <c r="E146" s="252">
        <v>94.3</v>
      </c>
      <c r="F146" s="252">
        <v>28.7</v>
      </c>
      <c r="G146" s="252">
        <v>51.25</v>
      </c>
      <c r="H146" s="252"/>
      <c r="I146" s="2"/>
      <c r="J146" s="261"/>
      <c r="M146" s="265"/>
      <c r="N146" s="262"/>
      <c r="O146" s="262"/>
      <c r="P146" s="263"/>
      <c r="Q146" s="2"/>
    </row>
    <row r="147">
      <c r="A147" s="217"/>
      <c r="B147" s="231" t="b">
        <f>IFERROR(__xludf.DUMMYFUNCTION("IF(ISNA(VLOOKUP(D147,TRANSPOSE(SPLIT('▶️ Инструкция'!S$36,"", "",FALSE,TRUE)),1,FALSE)),FALSE,TRUE)"),TRUE)</f>
        <v>1</v>
      </c>
      <c r="C147" s="251" t="s">
        <v>7569</v>
      </c>
      <c r="D147" s="251" t="s">
        <v>7678</v>
      </c>
      <c r="E147" s="252">
        <v>110.4</v>
      </c>
      <c r="F147" s="252">
        <v>33.6</v>
      </c>
      <c r="G147" s="252">
        <v>65.0</v>
      </c>
      <c r="H147" s="266"/>
      <c r="I147" s="2"/>
      <c r="J147" s="261"/>
      <c r="M147" s="265"/>
      <c r="N147" s="262"/>
      <c r="O147" s="262"/>
      <c r="P147" s="263"/>
      <c r="Q147" s="2"/>
    </row>
    <row r="148">
      <c r="A148" s="217"/>
      <c r="B148" s="231" t="b">
        <f>IFERROR(__xludf.DUMMYFUNCTION("IF(ISNA(VLOOKUP(D148,TRANSPOSE(SPLIT('▶️ Инструкция'!S$36,"", "",FALSE,TRUE)),1,FALSE)),FALSE,TRUE)"),FALSE)</f>
        <v>0</v>
      </c>
      <c r="C148" s="251" t="s">
        <v>7569</v>
      </c>
      <c r="D148" s="251" t="s">
        <v>7601</v>
      </c>
      <c r="E148" s="252">
        <v>46.0</v>
      </c>
      <c r="F148" s="252">
        <v>14.0</v>
      </c>
      <c r="G148" s="252">
        <v>25.0</v>
      </c>
      <c r="H148" s="252"/>
      <c r="I148" s="2"/>
      <c r="J148" s="261"/>
      <c r="M148" s="265"/>
      <c r="N148" s="262"/>
      <c r="O148" s="262"/>
      <c r="P148" s="263"/>
      <c r="Q148" s="2"/>
    </row>
    <row r="149">
      <c r="A149" s="217"/>
      <c r="B149" s="231" t="b">
        <f>IFERROR(__xludf.DUMMYFUNCTION("IF(ISNA(VLOOKUP(D149,TRANSPOSE(SPLIT('▶️ Инструкция'!S$36,"", "",FALSE,TRUE)),1,FALSE)),FALSE,TRUE)"),FALSE)</f>
        <v>0</v>
      </c>
      <c r="C149" s="251" t="s">
        <v>7569</v>
      </c>
      <c r="D149" s="251" t="s">
        <v>7715</v>
      </c>
      <c r="E149" s="252">
        <v>92.0</v>
      </c>
      <c r="F149" s="252">
        <v>28.0</v>
      </c>
      <c r="G149" s="252">
        <v>50.0</v>
      </c>
      <c r="H149" s="266"/>
      <c r="I149" s="2"/>
      <c r="J149" s="261"/>
      <c r="M149" s="265"/>
      <c r="N149" s="262"/>
      <c r="O149" s="262"/>
      <c r="P149" s="263"/>
      <c r="Q149" s="2"/>
    </row>
    <row r="150">
      <c r="A150" s="217"/>
      <c r="B150" s="231" t="b">
        <f>IFERROR(__xludf.DUMMYFUNCTION("IF(ISNA(VLOOKUP(D150,TRANSPOSE(SPLIT('▶️ Инструкция'!S$36,"", "",FALSE,TRUE)),1,FALSE)),FALSE,TRUE)"),FALSE)</f>
        <v>0</v>
      </c>
      <c r="C150" s="251" t="s">
        <v>7569</v>
      </c>
      <c r="D150" s="251" t="s">
        <v>7603</v>
      </c>
      <c r="E150" s="252">
        <v>46.0</v>
      </c>
      <c r="F150" s="252">
        <v>14.0</v>
      </c>
      <c r="G150" s="252">
        <v>25.0</v>
      </c>
      <c r="H150" s="252"/>
      <c r="I150" s="2"/>
      <c r="J150" s="261"/>
      <c r="M150" s="265"/>
      <c r="N150" s="262"/>
      <c r="O150" s="262"/>
      <c r="P150" s="263"/>
      <c r="Q150" s="2"/>
    </row>
    <row r="151">
      <c r="A151" s="217"/>
      <c r="B151" s="231" t="b">
        <f>IFERROR(__xludf.DUMMYFUNCTION("IF(ISNA(VLOOKUP(D151,TRANSPOSE(SPLIT('▶️ Инструкция'!S$36,"", "",FALSE,TRUE)),1,FALSE)),FALSE,TRUE)"),FALSE)</f>
        <v>0</v>
      </c>
      <c r="C151" s="251" t="s">
        <v>7569</v>
      </c>
      <c r="D151" s="251" t="s">
        <v>7599</v>
      </c>
      <c r="E151" s="252">
        <v>46.0</v>
      </c>
      <c r="F151" s="252">
        <v>14.0</v>
      </c>
      <c r="G151" s="252">
        <v>25.0</v>
      </c>
      <c r="H151" s="266"/>
      <c r="I151" s="2"/>
      <c r="J151" s="261"/>
      <c r="M151" s="265"/>
      <c r="N151" s="262"/>
      <c r="O151" s="262"/>
      <c r="P151" s="263"/>
      <c r="Q151" s="2"/>
    </row>
    <row r="152">
      <c r="A152" s="217"/>
      <c r="B152" s="231" t="b">
        <f>IFERROR(__xludf.DUMMYFUNCTION("IF(ISNA(VLOOKUP(D152,TRANSPOSE(SPLIT('▶️ Инструкция'!S$36,"", "",FALSE,TRUE)),1,FALSE)),FALSE,TRUE)"),FALSE)</f>
        <v>0</v>
      </c>
      <c r="C152" s="251" t="s">
        <v>7569</v>
      </c>
      <c r="D152" s="251" t="s">
        <v>7697</v>
      </c>
      <c r="E152" s="252">
        <v>46.0</v>
      </c>
      <c r="F152" s="252">
        <v>14.0</v>
      </c>
      <c r="G152" s="252">
        <v>25.0</v>
      </c>
      <c r="H152" s="266"/>
      <c r="I152" s="2"/>
      <c r="J152" s="261"/>
      <c r="M152" s="265"/>
      <c r="N152" s="262"/>
      <c r="O152" s="262"/>
      <c r="P152" s="263"/>
      <c r="Q152" s="2"/>
    </row>
    <row r="153">
      <c r="A153" s="217"/>
      <c r="B153" s="231" t="b">
        <f>IFERROR(__xludf.DUMMYFUNCTION("IF(ISNA(VLOOKUP(D153,TRANSPOSE(SPLIT('▶️ Инструкция'!S$36,"", "",FALSE,TRUE)),1,FALSE)),FALSE,TRUE)"),FALSE)</f>
        <v>0</v>
      </c>
      <c r="C153" s="251" t="s">
        <v>7569</v>
      </c>
      <c r="D153" s="251" t="s">
        <v>7702</v>
      </c>
      <c r="E153" s="252">
        <v>46.0</v>
      </c>
      <c r="F153" s="252">
        <v>14.0</v>
      </c>
      <c r="G153" s="252">
        <v>25.0</v>
      </c>
      <c r="H153" s="252"/>
      <c r="I153" s="2"/>
      <c r="J153" s="261"/>
      <c r="M153" s="265"/>
      <c r="N153" s="262"/>
      <c r="O153" s="262"/>
      <c r="P153" s="263"/>
      <c r="Q153" s="2"/>
    </row>
    <row r="154">
      <c r="A154" s="217"/>
      <c r="B154" s="231" t="b">
        <f>IFERROR(__xludf.DUMMYFUNCTION("IF(ISNA(VLOOKUP(D154,TRANSPOSE(SPLIT('▶️ Инструкция'!S$36,"", "",FALSE,TRUE)),1,FALSE)),FALSE,TRUE)"),FALSE)</f>
        <v>0</v>
      </c>
      <c r="C154" s="251" t="s">
        <v>7569</v>
      </c>
      <c r="D154" s="251" t="s">
        <v>7617</v>
      </c>
      <c r="E154" s="252">
        <v>46.0</v>
      </c>
      <c r="F154" s="252">
        <v>14.0</v>
      </c>
      <c r="G154" s="252">
        <v>25.0</v>
      </c>
      <c r="H154" s="252"/>
      <c r="I154" s="2"/>
      <c r="J154" s="261"/>
      <c r="M154" s="265"/>
      <c r="N154" s="262"/>
      <c r="O154" s="262"/>
      <c r="P154" s="263"/>
      <c r="Q154" s="2"/>
    </row>
    <row r="155">
      <c r="A155" s="217"/>
      <c r="B155" s="231" t="b">
        <f>IFERROR(__xludf.DUMMYFUNCTION("IF(ISNA(VLOOKUP(D155,TRANSPOSE(SPLIT('▶️ Инструкция'!S$36,"", "",FALSE,TRUE)),1,FALSE)),FALSE,TRUE)"),FALSE)</f>
        <v>0</v>
      </c>
      <c r="C155" s="251" t="s">
        <v>7569</v>
      </c>
      <c r="D155" s="251" t="s">
        <v>7716</v>
      </c>
      <c r="E155" s="252">
        <v>46.0</v>
      </c>
      <c r="F155" s="252">
        <v>14.0</v>
      </c>
      <c r="G155" s="252">
        <v>25.0</v>
      </c>
      <c r="H155" s="266"/>
      <c r="I155" s="2"/>
      <c r="J155" s="261"/>
      <c r="M155" s="265"/>
      <c r="N155" s="262"/>
      <c r="O155" s="262"/>
      <c r="P155" s="263"/>
      <c r="Q155" s="2"/>
    </row>
    <row r="156">
      <c r="A156" s="217"/>
      <c r="B156" s="231" t="b">
        <f>IFERROR(__xludf.DUMMYFUNCTION("IF(ISNA(VLOOKUP(D156,TRANSPOSE(SPLIT('▶️ Инструкция'!S$36,"", "",FALSE,TRUE)),1,FALSE)),FALSE,TRUE)"),FALSE)</f>
        <v>0</v>
      </c>
      <c r="C156" s="251" t="s">
        <v>7569</v>
      </c>
      <c r="D156" s="251" t="s">
        <v>7625</v>
      </c>
      <c r="E156" s="252">
        <v>46.0</v>
      </c>
      <c r="F156" s="252">
        <v>14.0</v>
      </c>
      <c r="G156" s="252">
        <v>25.0</v>
      </c>
      <c r="H156" s="266"/>
      <c r="I156" s="2"/>
      <c r="J156" s="261"/>
      <c r="M156" s="265"/>
      <c r="N156" s="262"/>
      <c r="O156" s="262"/>
      <c r="P156" s="263"/>
      <c r="Q156" s="2"/>
    </row>
    <row r="157">
      <c r="A157" s="217"/>
      <c r="B157" s="231" t="b">
        <f>IFERROR(__xludf.DUMMYFUNCTION("IF(ISNA(VLOOKUP(D157,TRANSPOSE(SPLIT('▶️ Инструкция'!S$36,"", "",FALSE,TRUE)),1,FALSE)),FALSE,TRUE)"),FALSE)</f>
        <v>0</v>
      </c>
      <c r="C157" s="251" t="s">
        <v>7569</v>
      </c>
      <c r="D157" s="251" t="s">
        <v>7717</v>
      </c>
      <c r="E157" s="252">
        <v>46.0</v>
      </c>
      <c r="F157" s="252">
        <v>14.0</v>
      </c>
      <c r="G157" s="252">
        <v>25.0</v>
      </c>
      <c r="H157" s="252"/>
      <c r="I157" s="2"/>
      <c r="J157" s="261"/>
      <c r="M157" s="265"/>
      <c r="N157" s="262"/>
      <c r="O157" s="262"/>
      <c r="P157" s="263"/>
      <c r="Q157" s="2"/>
    </row>
    <row r="158">
      <c r="A158" s="217"/>
      <c r="B158" s="231" t="b">
        <f>IFERROR(__xludf.DUMMYFUNCTION("IF(ISNA(VLOOKUP(D158,TRANSPOSE(SPLIT('▶️ Инструкция'!S$36,"", "",FALSE,TRUE)),1,FALSE)),FALSE,TRUE)"),FALSE)</f>
        <v>0</v>
      </c>
      <c r="C158" s="251" t="s">
        <v>7569</v>
      </c>
      <c r="D158" s="251" t="s">
        <v>7718</v>
      </c>
      <c r="E158" s="252">
        <v>92.0</v>
      </c>
      <c r="F158" s="252">
        <v>28.0</v>
      </c>
      <c r="G158" s="252">
        <v>53.75</v>
      </c>
      <c r="H158" s="252"/>
      <c r="I158" s="2"/>
      <c r="J158" s="261"/>
      <c r="M158" s="265"/>
      <c r="N158" s="262"/>
      <c r="O158" s="262"/>
      <c r="P158" s="263"/>
      <c r="Q158" s="2"/>
    </row>
    <row r="159">
      <c r="A159" s="217"/>
      <c r="B159" s="231" t="b">
        <f>IFERROR(__xludf.DUMMYFUNCTION("IF(ISNA(VLOOKUP(D159,TRANSPOSE(SPLIT('▶️ Инструкция'!S$36,"", "",FALSE,TRUE)),1,FALSE)),FALSE,TRUE)"),FALSE)</f>
        <v>0</v>
      </c>
      <c r="C159" s="251" t="s">
        <v>7569</v>
      </c>
      <c r="D159" s="251" t="s">
        <v>7704</v>
      </c>
      <c r="E159" s="252">
        <v>52.9</v>
      </c>
      <c r="F159" s="252">
        <v>16.1</v>
      </c>
      <c r="G159" s="252">
        <v>43.75</v>
      </c>
      <c r="H159" s="266"/>
      <c r="I159" s="2"/>
      <c r="J159" s="261"/>
      <c r="M159" s="265"/>
      <c r="N159" s="262"/>
      <c r="O159" s="262"/>
      <c r="P159" s="263"/>
      <c r="Q159" s="2"/>
    </row>
    <row r="160">
      <c r="A160" s="217"/>
      <c r="B160" s="231" t="b">
        <f>IFERROR(__xludf.DUMMYFUNCTION("IF(ISNA(VLOOKUP(D160,TRANSPOSE(SPLIT('▶️ Инструкция'!S$36,"", "",FALSE,TRUE)),1,FALSE)),FALSE,TRUE)"),FALSE)</f>
        <v>0</v>
      </c>
      <c r="C160" s="251" t="s">
        <v>7569</v>
      </c>
      <c r="D160" s="251" t="s">
        <v>7719</v>
      </c>
      <c r="E160" s="252">
        <v>46.0</v>
      </c>
      <c r="F160" s="252">
        <v>14.0</v>
      </c>
      <c r="G160" s="252">
        <v>25.0</v>
      </c>
      <c r="H160" s="252"/>
      <c r="I160" s="2"/>
      <c r="J160" s="261"/>
      <c r="M160" s="265"/>
      <c r="N160" s="262"/>
      <c r="O160" s="262"/>
      <c r="P160" s="263"/>
      <c r="Q160" s="2"/>
    </row>
    <row r="161">
      <c r="A161" s="217"/>
      <c r="B161" s="231" t="b">
        <f>IFERROR(__xludf.DUMMYFUNCTION("IF(ISNA(VLOOKUP(D161,TRANSPOSE(SPLIT('▶️ Инструкция'!S$36,"", "",FALSE,TRUE)),1,FALSE)),FALSE,TRUE)"),FALSE)</f>
        <v>0</v>
      </c>
      <c r="C161" s="251" t="s">
        <v>193</v>
      </c>
      <c r="D161" s="251" t="s">
        <v>7720</v>
      </c>
      <c r="E161" s="252">
        <v>89.7</v>
      </c>
      <c r="F161" s="252">
        <v>27.3</v>
      </c>
      <c r="G161" s="252"/>
      <c r="H161" s="266"/>
      <c r="I161" s="2"/>
      <c r="J161" s="261"/>
      <c r="M161" s="265"/>
      <c r="N161" s="262"/>
      <c r="O161" s="262"/>
      <c r="P161" s="263"/>
      <c r="Q161" s="2"/>
    </row>
    <row r="162">
      <c r="A162" s="217"/>
      <c r="B162" s="231" t="b">
        <f>IFERROR(__xludf.DUMMYFUNCTION("IF(ISNA(VLOOKUP(D162,TRANSPOSE(SPLIT('▶️ Инструкция'!S$36,"", "",FALSE,TRUE)),1,FALSE)),FALSE,TRUE)"),FALSE)</f>
        <v>0</v>
      </c>
      <c r="C162" s="251" t="s">
        <v>193</v>
      </c>
      <c r="D162" s="251" t="s">
        <v>7721</v>
      </c>
      <c r="E162" s="252">
        <v>89.7</v>
      </c>
      <c r="F162" s="252">
        <v>27.3</v>
      </c>
      <c r="G162" s="252"/>
      <c r="H162" s="266"/>
      <c r="I162" s="2"/>
      <c r="J162" s="261"/>
      <c r="M162" s="265"/>
      <c r="N162" s="262"/>
      <c r="O162" s="262"/>
      <c r="P162" s="263"/>
      <c r="Q162" s="2"/>
    </row>
    <row r="163">
      <c r="A163" s="217"/>
      <c r="B163" s="231" t="b">
        <f>IFERROR(__xludf.DUMMYFUNCTION("IF(ISNA(VLOOKUP(D163,TRANSPOSE(SPLIT('▶️ Инструкция'!S$36,"", "",FALSE,TRUE)),1,FALSE)),FALSE,TRUE)"),FALSE)</f>
        <v>0</v>
      </c>
      <c r="C163" s="251" t="s">
        <v>193</v>
      </c>
      <c r="D163" s="251" t="s">
        <v>7722</v>
      </c>
      <c r="E163" s="252">
        <v>73.6</v>
      </c>
      <c r="F163" s="252">
        <v>22.4</v>
      </c>
      <c r="G163" s="252"/>
      <c r="H163" s="266"/>
      <c r="I163" s="2"/>
      <c r="J163" s="261"/>
      <c r="M163" s="265"/>
      <c r="N163" s="262"/>
      <c r="O163" s="262"/>
      <c r="P163" s="263"/>
      <c r="Q163" s="2"/>
    </row>
    <row r="164">
      <c r="A164" s="217"/>
      <c r="B164" s="231" t="b">
        <f>IFERROR(__xludf.DUMMYFUNCTION("IF(ISNA(VLOOKUP(D164,TRANSPOSE(SPLIT('▶️ Инструкция'!S$36,"", "",FALSE,TRUE)),1,FALSE)),FALSE,TRUE)"),FALSE)</f>
        <v>0</v>
      </c>
      <c r="C164" s="251" t="s">
        <v>193</v>
      </c>
      <c r="D164" s="251" t="s">
        <v>7723</v>
      </c>
      <c r="E164" s="252">
        <v>69.0</v>
      </c>
      <c r="F164" s="252">
        <v>21.0</v>
      </c>
      <c r="G164" s="252"/>
      <c r="H164" s="266"/>
      <c r="I164" s="2"/>
      <c r="J164" s="261"/>
      <c r="M164" s="265"/>
      <c r="N164" s="262"/>
      <c r="O164" s="262"/>
      <c r="P164" s="263"/>
      <c r="Q164" s="2"/>
    </row>
    <row r="165">
      <c r="A165" s="217"/>
      <c r="B165" s="231" t="b">
        <f>IFERROR(__xludf.DUMMYFUNCTION("IF(ISNA(VLOOKUP(D165,TRANSPOSE(SPLIT('▶️ Инструкция'!S$36,"", "",FALSE,TRUE)),1,FALSE)),FALSE,TRUE)"),FALSE)</f>
        <v>0</v>
      </c>
      <c r="C165" s="251" t="s">
        <v>193</v>
      </c>
      <c r="D165" s="251" t="s">
        <v>7724</v>
      </c>
      <c r="E165" s="252">
        <v>89.7</v>
      </c>
      <c r="F165" s="252">
        <v>27.3</v>
      </c>
      <c r="G165" s="252"/>
      <c r="H165" s="266"/>
      <c r="I165" s="2"/>
      <c r="J165" s="261"/>
      <c r="M165" s="265"/>
      <c r="N165" s="262"/>
      <c r="O165" s="262"/>
      <c r="P165" s="263"/>
      <c r="Q165" s="2"/>
    </row>
    <row r="166">
      <c r="A166" s="217"/>
      <c r="B166" s="231" t="b">
        <f>IFERROR(__xludf.DUMMYFUNCTION("IF(ISNA(VLOOKUP(D166,TRANSPOSE(SPLIT('▶️ Инструкция'!S$36,"", "",FALSE,TRUE)),1,FALSE)),FALSE,TRUE)"),FALSE)</f>
        <v>0</v>
      </c>
      <c r="C166" s="251" t="s">
        <v>193</v>
      </c>
      <c r="D166" s="251" t="s">
        <v>7725</v>
      </c>
      <c r="E166" s="252">
        <v>89.7</v>
      </c>
      <c r="F166" s="252">
        <v>27.3</v>
      </c>
      <c r="G166" s="252"/>
      <c r="H166" s="266"/>
      <c r="I166" s="2"/>
      <c r="J166" s="261"/>
      <c r="M166" s="265"/>
      <c r="N166" s="262"/>
      <c r="O166" s="262"/>
      <c r="P166" s="263"/>
      <c r="Q166" s="2"/>
    </row>
    <row r="167">
      <c r="A167" s="217"/>
      <c r="B167" s="231" t="b">
        <f>IFERROR(__xludf.DUMMYFUNCTION("IF(ISNA(VLOOKUP(D167,TRANSPOSE(SPLIT('▶️ Инструкция'!S$36,"", "",FALSE,TRUE)),1,FALSE)),FALSE,TRUE)"),FALSE)</f>
        <v>0</v>
      </c>
      <c r="C167" s="251" t="s">
        <v>193</v>
      </c>
      <c r="D167" s="251" t="s">
        <v>7726</v>
      </c>
      <c r="E167" s="252">
        <v>89.7</v>
      </c>
      <c r="F167" s="252">
        <v>27.3</v>
      </c>
      <c r="G167" s="252"/>
      <c r="H167" s="266"/>
      <c r="I167" s="2"/>
      <c r="J167" s="261"/>
      <c r="M167" s="265"/>
      <c r="N167" s="262"/>
      <c r="O167" s="262"/>
      <c r="P167" s="263"/>
      <c r="Q167" s="2"/>
    </row>
    <row r="168">
      <c r="A168" s="217"/>
      <c r="B168" s="231" t="b">
        <f>IFERROR(__xludf.DUMMYFUNCTION("IF(ISNA(VLOOKUP(D168,TRANSPOSE(SPLIT('▶️ Инструкция'!S$36,"", "",FALSE,TRUE)),1,FALSE)),FALSE,TRUE)"),FALSE)</f>
        <v>0</v>
      </c>
      <c r="C168" s="251" t="s">
        <v>193</v>
      </c>
      <c r="D168" s="251" t="s">
        <v>7727</v>
      </c>
      <c r="E168" s="252">
        <v>73.6</v>
      </c>
      <c r="F168" s="252">
        <v>22.4</v>
      </c>
      <c r="G168" s="252"/>
      <c r="H168" s="266"/>
      <c r="I168" s="2"/>
      <c r="J168" s="261"/>
      <c r="M168" s="265"/>
      <c r="N168" s="262"/>
      <c r="O168" s="262"/>
      <c r="P168" s="263"/>
      <c r="Q168" s="2"/>
    </row>
    <row r="169">
      <c r="A169" s="217"/>
      <c r="B169" s="231" t="b">
        <f>IFERROR(__xludf.DUMMYFUNCTION("IF(ISNA(VLOOKUP(D169,TRANSPOSE(SPLIT('▶️ Инструкция'!S$36,"", "",FALSE,TRUE)),1,FALSE)),FALSE,TRUE)"),FALSE)</f>
        <v>0</v>
      </c>
      <c r="C169" s="251" t="s">
        <v>193</v>
      </c>
      <c r="D169" s="251" t="s">
        <v>7728</v>
      </c>
      <c r="E169" s="252">
        <v>43.7</v>
      </c>
      <c r="F169" s="252">
        <v>13.3</v>
      </c>
      <c r="G169" s="252"/>
      <c r="H169" s="266"/>
      <c r="I169" s="2"/>
      <c r="J169" s="261"/>
      <c r="M169" s="265"/>
      <c r="N169" s="262"/>
      <c r="O169" s="262"/>
      <c r="P169" s="263"/>
      <c r="Q169" s="2"/>
    </row>
    <row r="170">
      <c r="A170" s="217"/>
      <c r="B170" s="231" t="b">
        <f>IFERROR(__xludf.DUMMYFUNCTION("IF(ISNA(VLOOKUP(D170,TRANSPOSE(SPLIT('▶️ Инструкция'!S$36,"", "",FALSE,TRUE)),1,FALSE)),FALSE,TRUE)"),FALSE)</f>
        <v>0</v>
      </c>
      <c r="C170" s="251" t="s">
        <v>193</v>
      </c>
      <c r="D170" s="251" t="s">
        <v>7729</v>
      </c>
      <c r="E170" s="252">
        <v>55.2</v>
      </c>
      <c r="F170" s="252">
        <v>16.8</v>
      </c>
      <c r="G170" s="252"/>
      <c r="H170" s="266"/>
      <c r="I170" s="2"/>
      <c r="J170" s="261"/>
      <c r="M170" s="265"/>
      <c r="N170" s="262"/>
      <c r="O170" s="262"/>
      <c r="P170" s="263"/>
      <c r="Q170" s="2"/>
    </row>
    <row r="171">
      <c r="A171" s="217"/>
      <c r="B171" s="231" t="b">
        <f>IFERROR(__xludf.DUMMYFUNCTION("IF(ISNA(VLOOKUP(D171,TRANSPOSE(SPLIT('▶️ Инструкция'!S$36,"", "",FALSE,TRUE)),1,FALSE)),FALSE,TRUE)"),FALSE)</f>
        <v>0</v>
      </c>
      <c r="C171" s="251" t="s">
        <v>193</v>
      </c>
      <c r="D171" s="251" t="s">
        <v>7730</v>
      </c>
      <c r="E171" s="252">
        <v>69.0</v>
      </c>
      <c r="F171" s="252">
        <v>21.0</v>
      </c>
      <c r="G171" s="252"/>
      <c r="H171" s="266"/>
      <c r="I171" s="2"/>
      <c r="J171" s="261"/>
      <c r="M171" s="265"/>
      <c r="N171" s="262"/>
      <c r="O171" s="262"/>
      <c r="P171" s="263"/>
      <c r="Q171" s="2"/>
    </row>
    <row r="172">
      <c r="A172" s="217"/>
      <c r="B172" s="231" t="b">
        <f>IFERROR(__xludf.DUMMYFUNCTION("IF(ISNA(VLOOKUP(D172,TRANSPOSE(SPLIT('▶️ Инструкция'!S$36,"", "",FALSE,TRUE)),1,FALSE)),FALSE,TRUE)"),FALSE)</f>
        <v>0</v>
      </c>
      <c r="C172" s="251" t="s">
        <v>193</v>
      </c>
      <c r="D172" s="251" t="s">
        <v>7731</v>
      </c>
      <c r="E172" s="252">
        <v>34.5</v>
      </c>
      <c r="F172" s="252">
        <v>10.5</v>
      </c>
      <c r="G172" s="252"/>
      <c r="H172" s="266"/>
      <c r="I172" s="2"/>
      <c r="J172" s="261"/>
      <c r="M172" s="265"/>
      <c r="N172" s="262"/>
      <c r="O172" s="262"/>
      <c r="P172" s="263"/>
      <c r="Q172" s="2"/>
    </row>
    <row r="173">
      <c r="A173" s="217"/>
      <c r="B173" s="231" t="b">
        <f>IFERROR(__xludf.DUMMYFUNCTION("IF(ISNA(VLOOKUP(D173,TRANSPOSE(SPLIT('▶️ Инструкция'!S$36,"", "",FALSE,TRUE)),1,FALSE)),FALSE,TRUE)"),FALSE)</f>
        <v>0</v>
      </c>
      <c r="C173" s="251" t="s">
        <v>193</v>
      </c>
      <c r="D173" s="251" t="s">
        <v>7732</v>
      </c>
      <c r="E173" s="252">
        <v>34.5</v>
      </c>
      <c r="F173" s="252">
        <v>10.5</v>
      </c>
      <c r="G173" s="252"/>
      <c r="H173" s="266"/>
      <c r="I173" s="2"/>
      <c r="J173" s="261"/>
      <c r="M173" s="265"/>
      <c r="N173" s="262"/>
      <c r="O173" s="262"/>
      <c r="P173" s="263"/>
      <c r="Q173" s="2"/>
    </row>
    <row r="174">
      <c r="A174" s="217"/>
      <c r="B174" s="231" t="b">
        <f>IFERROR(__xludf.DUMMYFUNCTION("IF(ISNA(VLOOKUP(D174,TRANSPOSE(SPLIT('▶️ Инструкция'!S$36,"", "",FALSE,TRUE)),1,FALSE)),FALSE,TRUE)"),FALSE)</f>
        <v>0</v>
      </c>
      <c r="C174" s="251" t="s">
        <v>193</v>
      </c>
      <c r="D174" s="251" t="s">
        <v>7733</v>
      </c>
      <c r="E174" s="252">
        <v>34.5</v>
      </c>
      <c r="F174" s="252">
        <v>10.5</v>
      </c>
      <c r="G174" s="252"/>
      <c r="H174" s="266"/>
      <c r="I174" s="2"/>
      <c r="J174" s="261"/>
      <c r="M174" s="265"/>
      <c r="N174" s="262"/>
      <c r="O174" s="262"/>
      <c r="P174" s="263"/>
      <c r="Q174" s="2"/>
    </row>
    <row r="175">
      <c r="A175" s="217"/>
      <c r="B175" s="231" t="b">
        <f>IFERROR(__xludf.DUMMYFUNCTION("IF(ISNA(VLOOKUP(D175,TRANSPOSE(SPLIT('▶️ Инструкция'!S$36,"", "",FALSE,TRUE)),1,FALSE)),FALSE,TRUE)"),FALSE)</f>
        <v>0</v>
      </c>
      <c r="C175" s="251" t="s">
        <v>193</v>
      </c>
      <c r="D175" s="251" t="s">
        <v>7734</v>
      </c>
      <c r="E175" s="252">
        <v>75.9</v>
      </c>
      <c r="F175" s="252">
        <v>23.1</v>
      </c>
      <c r="G175" s="252"/>
      <c r="H175" s="266"/>
      <c r="I175" s="2"/>
      <c r="J175" s="261"/>
      <c r="M175" s="265"/>
      <c r="N175" s="262"/>
      <c r="O175" s="262"/>
      <c r="P175" s="263"/>
      <c r="Q175" s="2"/>
    </row>
    <row r="176">
      <c r="A176" s="217"/>
      <c r="B176" s="231" t="b">
        <f>IFERROR(__xludf.DUMMYFUNCTION("IF(ISNA(VLOOKUP(D176,TRANSPOSE(SPLIT('▶️ Инструкция'!S$36,"", "",FALSE,TRUE)),1,FALSE)),FALSE,TRUE)"),FALSE)</f>
        <v>0</v>
      </c>
      <c r="C176" s="251" t="s">
        <v>193</v>
      </c>
      <c r="D176" s="251" t="s">
        <v>7735</v>
      </c>
      <c r="E176" s="252">
        <v>64.4</v>
      </c>
      <c r="F176" s="252">
        <v>19.6</v>
      </c>
      <c r="G176" s="252"/>
      <c r="H176" s="266"/>
      <c r="I176" s="2"/>
      <c r="J176" s="261"/>
      <c r="M176" s="265"/>
      <c r="N176" s="262"/>
      <c r="O176" s="262"/>
      <c r="P176" s="263"/>
      <c r="Q176" s="2"/>
    </row>
    <row r="177">
      <c r="A177" s="217"/>
      <c r="B177" s="231" t="b">
        <f>IFERROR(__xludf.DUMMYFUNCTION("IF(ISNA(VLOOKUP(D177,TRANSPOSE(SPLIT('▶️ Инструкция'!S$36,"", "",FALSE,TRUE)),1,FALSE)),FALSE,TRUE)"),FALSE)</f>
        <v>0</v>
      </c>
      <c r="C177" s="251" t="s">
        <v>193</v>
      </c>
      <c r="D177" s="251" t="s">
        <v>7736</v>
      </c>
      <c r="E177" s="252">
        <v>43.7</v>
      </c>
      <c r="F177" s="252">
        <v>13.3</v>
      </c>
      <c r="G177" s="252"/>
      <c r="H177" s="266"/>
      <c r="I177" s="2"/>
      <c r="J177" s="261"/>
      <c r="M177" s="265"/>
      <c r="N177" s="262"/>
      <c r="O177" s="262"/>
      <c r="P177" s="263"/>
      <c r="Q177" s="2"/>
    </row>
    <row r="178">
      <c r="A178" s="217"/>
      <c r="B178" s="231" t="b">
        <f>IFERROR(__xludf.DUMMYFUNCTION("IF(ISNA(VLOOKUP(D178,TRANSPOSE(SPLIT('▶️ Инструкция'!S$36,"", "",FALSE,TRUE)),1,FALSE)),FALSE,TRUE)"),FALSE)</f>
        <v>0</v>
      </c>
      <c r="C178" s="251" t="s">
        <v>193</v>
      </c>
      <c r="D178" s="251" t="s">
        <v>7737</v>
      </c>
      <c r="E178" s="252">
        <v>46.0</v>
      </c>
      <c r="F178" s="252">
        <v>14.0</v>
      </c>
      <c r="G178" s="252"/>
      <c r="H178" s="266"/>
      <c r="I178" s="2"/>
      <c r="J178" s="261"/>
      <c r="M178" s="265"/>
      <c r="N178" s="262"/>
      <c r="O178" s="262"/>
      <c r="P178" s="263"/>
      <c r="Q178" s="2"/>
    </row>
    <row r="179">
      <c r="A179" s="217"/>
      <c r="B179" s="231" t="b">
        <f>IFERROR(__xludf.DUMMYFUNCTION("IF(ISNA(VLOOKUP(D179,TRANSPOSE(SPLIT('▶️ Инструкция'!S$36,"", "",FALSE,TRUE)),1,FALSE)),FALSE,TRUE)"),FALSE)</f>
        <v>0</v>
      </c>
      <c r="C179" s="251" t="s">
        <v>193</v>
      </c>
      <c r="D179" s="251" t="s">
        <v>7738</v>
      </c>
      <c r="E179" s="252">
        <v>73.6</v>
      </c>
      <c r="F179" s="252">
        <v>22.4</v>
      </c>
      <c r="G179" s="252"/>
      <c r="H179" s="266"/>
      <c r="I179" s="2"/>
      <c r="J179" s="261"/>
      <c r="M179" s="265"/>
      <c r="N179" s="262"/>
      <c r="O179" s="262"/>
      <c r="P179" s="263"/>
      <c r="Q179" s="2"/>
    </row>
    <row r="180">
      <c r="A180" s="217"/>
      <c r="B180" s="231" t="b">
        <f>IFERROR(__xludf.DUMMYFUNCTION("IF(ISNA(VLOOKUP(D180,TRANSPOSE(SPLIT('▶️ Инструкция'!S$36,"", "",FALSE,TRUE)),1,FALSE)),FALSE,TRUE)"),FALSE)</f>
        <v>0</v>
      </c>
      <c r="C180" s="251" t="s">
        <v>193</v>
      </c>
      <c r="D180" s="251" t="s">
        <v>7739</v>
      </c>
      <c r="E180" s="252">
        <v>43.7</v>
      </c>
      <c r="F180" s="252">
        <v>13.3</v>
      </c>
      <c r="G180" s="252"/>
      <c r="H180" s="266"/>
      <c r="I180" s="2"/>
      <c r="J180" s="261"/>
      <c r="M180" s="265"/>
      <c r="N180" s="262"/>
      <c r="O180" s="262"/>
      <c r="P180" s="263"/>
      <c r="Q180" s="2"/>
    </row>
    <row r="181">
      <c r="A181" s="217"/>
      <c r="B181" s="231" t="b">
        <f>IFERROR(__xludf.DUMMYFUNCTION("IF(ISNA(VLOOKUP(D181,TRANSPOSE(SPLIT('▶️ Инструкция'!S$36,"", "",FALSE,TRUE)),1,FALSE)),FALSE,TRUE)"),FALSE)</f>
        <v>0</v>
      </c>
      <c r="C181" s="251" t="s">
        <v>193</v>
      </c>
      <c r="D181" s="251" t="s">
        <v>7740</v>
      </c>
      <c r="E181" s="252">
        <v>101.2</v>
      </c>
      <c r="F181" s="252">
        <v>30.8</v>
      </c>
      <c r="G181" s="252"/>
      <c r="H181" s="266"/>
      <c r="I181" s="2"/>
      <c r="J181" s="261"/>
      <c r="M181" s="265"/>
      <c r="N181" s="262"/>
      <c r="O181" s="262"/>
      <c r="P181" s="263"/>
      <c r="Q181" s="2"/>
    </row>
    <row r="182">
      <c r="A182" s="217"/>
      <c r="B182" s="231" t="b">
        <f>IFERROR(__xludf.DUMMYFUNCTION("IF(ISNA(VLOOKUP(D182,TRANSPOSE(SPLIT('▶️ Инструкция'!S$36,"", "",FALSE,TRUE)),1,FALSE)),FALSE,TRUE)"),FALSE)</f>
        <v>0</v>
      </c>
      <c r="C182" s="251" t="s">
        <v>193</v>
      </c>
      <c r="D182" s="251" t="s">
        <v>7741</v>
      </c>
      <c r="E182" s="252">
        <v>48.3</v>
      </c>
      <c r="F182" s="252">
        <v>14.7</v>
      </c>
      <c r="G182" s="252"/>
      <c r="H182" s="266"/>
      <c r="I182" s="2"/>
      <c r="J182" s="261"/>
      <c r="M182" s="265"/>
      <c r="N182" s="262"/>
      <c r="O182" s="262"/>
      <c r="P182" s="263"/>
      <c r="Q182" s="2"/>
    </row>
    <row r="183">
      <c r="A183" s="217"/>
      <c r="B183" s="231" t="b">
        <f>IFERROR(__xludf.DUMMYFUNCTION("IF(ISNA(VLOOKUP(D183,TRANSPOSE(SPLIT('▶️ Инструкция'!S$36,"", "",FALSE,TRUE)),1,FALSE)),FALSE,TRUE)"),FALSE)</f>
        <v>0</v>
      </c>
      <c r="C183" s="251" t="s">
        <v>193</v>
      </c>
      <c r="D183" s="251" t="s">
        <v>7742</v>
      </c>
      <c r="E183" s="252">
        <v>92.0</v>
      </c>
      <c r="F183" s="252">
        <v>28.0</v>
      </c>
      <c r="G183" s="252"/>
      <c r="H183" s="266"/>
      <c r="I183" s="2"/>
      <c r="J183" s="261"/>
      <c r="M183" s="265"/>
      <c r="N183" s="262"/>
      <c r="O183" s="262"/>
      <c r="P183" s="263"/>
      <c r="Q183" s="2"/>
    </row>
    <row r="184">
      <c r="A184" s="217"/>
      <c r="B184" s="231" t="b">
        <f>IFERROR(__xludf.DUMMYFUNCTION("IF(ISNA(VLOOKUP(D184,TRANSPOSE(SPLIT('▶️ Инструкция'!S$36,"", "",FALSE,TRUE)),1,FALSE)),FALSE,TRUE)"),FALSE)</f>
        <v>0</v>
      </c>
      <c r="C184" s="251" t="s">
        <v>193</v>
      </c>
      <c r="D184" s="251" t="s">
        <v>7743</v>
      </c>
      <c r="E184" s="252">
        <v>48.3</v>
      </c>
      <c r="F184" s="252">
        <v>14.7</v>
      </c>
      <c r="G184" s="252"/>
      <c r="H184" s="266"/>
      <c r="I184" s="2"/>
      <c r="J184" s="261"/>
      <c r="M184" s="265"/>
      <c r="N184" s="262"/>
      <c r="O184" s="262"/>
      <c r="P184" s="263"/>
      <c r="Q184" s="2"/>
    </row>
    <row r="185">
      <c r="A185" s="217"/>
      <c r="B185" s="231" t="b">
        <f>IFERROR(__xludf.DUMMYFUNCTION("IF(ISNA(VLOOKUP(D185,TRANSPOSE(SPLIT('▶️ Инструкция'!S$36,"", "",FALSE,TRUE)),1,FALSE)),FALSE,TRUE)"),FALSE)</f>
        <v>0</v>
      </c>
      <c r="C185" s="251" t="s">
        <v>193</v>
      </c>
      <c r="D185" s="251" t="s">
        <v>7744</v>
      </c>
      <c r="E185" s="252">
        <v>73.6</v>
      </c>
      <c r="F185" s="252">
        <v>22.4</v>
      </c>
      <c r="G185" s="252"/>
      <c r="H185" s="266"/>
      <c r="I185" s="2"/>
      <c r="J185" s="261"/>
      <c r="M185" s="265"/>
      <c r="N185" s="262"/>
      <c r="O185" s="262"/>
      <c r="P185" s="263"/>
      <c r="Q185" s="2"/>
    </row>
    <row r="186">
      <c r="A186" s="217"/>
      <c r="B186" s="231" t="b">
        <f>IFERROR(__xludf.DUMMYFUNCTION("IF(ISNA(VLOOKUP(D186,TRANSPOSE(SPLIT('▶️ Инструкция'!S$36,"", "",FALSE,TRUE)),1,FALSE)),FALSE,TRUE)"),FALSE)</f>
        <v>0</v>
      </c>
      <c r="C186" s="251" t="s">
        <v>193</v>
      </c>
      <c r="D186" s="251" t="s">
        <v>7745</v>
      </c>
      <c r="E186" s="252">
        <v>50.6</v>
      </c>
      <c r="F186" s="252">
        <v>15.4</v>
      </c>
      <c r="G186" s="252"/>
      <c r="H186" s="266"/>
      <c r="I186" s="2"/>
      <c r="J186" s="261"/>
      <c r="M186" s="265"/>
      <c r="N186" s="262"/>
      <c r="O186" s="262"/>
      <c r="P186" s="263"/>
      <c r="Q186" s="2"/>
    </row>
    <row r="187">
      <c r="A187" s="217"/>
      <c r="B187" s="231" t="b">
        <f>IFERROR(__xludf.DUMMYFUNCTION("IF(ISNA(VLOOKUP(D187,TRANSPOSE(SPLIT('▶️ Инструкция'!S$36,"", "",FALSE,TRUE)),1,FALSE)),FALSE,TRUE)"),FALSE)</f>
        <v>0</v>
      </c>
      <c r="C187" s="251" t="s">
        <v>193</v>
      </c>
      <c r="D187" s="251" t="s">
        <v>7746</v>
      </c>
      <c r="E187" s="252">
        <v>46.0</v>
      </c>
      <c r="F187" s="252">
        <v>14.0</v>
      </c>
      <c r="G187" s="252"/>
      <c r="H187" s="266"/>
      <c r="I187" s="2"/>
      <c r="J187" s="261"/>
      <c r="M187" s="265"/>
      <c r="N187" s="262"/>
      <c r="O187" s="262"/>
      <c r="P187" s="263"/>
      <c r="Q187" s="2"/>
    </row>
    <row r="188">
      <c r="A188" s="217"/>
      <c r="B188" s="231" t="b">
        <f>IFERROR(__xludf.DUMMYFUNCTION("IF(ISNA(VLOOKUP(D188,TRANSPOSE(SPLIT('▶️ Инструкция'!S$36,"", "",FALSE,TRUE)),1,FALSE)),FALSE,TRUE)"),FALSE)</f>
        <v>0</v>
      </c>
      <c r="C188" s="251" t="s">
        <v>193</v>
      </c>
      <c r="D188" s="251" t="s">
        <v>7747</v>
      </c>
      <c r="E188" s="252">
        <v>73.6</v>
      </c>
      <c r="F188" s="252">
        <v>22.4</v>
      </c>
      <c r="G188" s="252"/>
      <c r="H188" s="266"/>
      <c r="I188" s="2"/>
      <c r="J188" s="261"/>
      <c r="M188" s="265"/>
      <c r="N188" s="262"/>
      <c r="O188" s="262"/>
      <c r="P188" s="263"/>
      <c r="Q188" s="2"/>
    </row>
    <row r="189">
      <c r="A189" s="217"/>
      <c r="B189" s="231" t="b">
        <f>IFERROR(__xludf.DUMMYFUNCTION("IF(ISNA(VLOOKUP(D189,TRANSPOSE(SPLIT('▶️ Инструкция'!S$36,"", "",FALSE,TRUE)),1,FALSE)),FALSE,TRUE)"),FALSE)</f>
        <v>0</v>
      </c>
      <c r="C189" s="251" t="s">
        <v>193</v>
      </c>
      <c r="D189" s="251" t="s">
        <v>7748</v>
      </c>
      <c r="E189" s="252">
        <v>59.8</v>
      </c>
      <c r="F189" s="252">
        <v>18.2</v>
      </c>
      <c r="G189" s="252"/>
      <c r="H189" s="266"/>
      <c r="I189" s="2"/>
      <c r="J189" s="261"/>
      <c r="M189" s="265"/>
      <c r="N189" s="262"/>
      <c r="O189" s="262"/>
      <c r="P189" s="263"/>
      <c r="Q189" s="2"/>
    </row>
    <row r="190">
      <c r="A190" s="217"/>
      <c r="B190" s="231" t="b">
        <f>IFERROR(__xludf.DUMMYFUNCTION("IF(ISNA(VLOOKUP(D190,TRANSPOSE(SPLIT('▶️ Инструкция'!S$36,"", "",FALSE,TRUE)),1,FALSE)),FALSE,TRUE)"),FALSE)</f>
        <v>0</v>
      </c>
      <c r="C190" s="251" t="s">
        <v>193</v>
      </c>
      <c r="D190" s="251" t="s">
        <v>7749</v>
      </c>
      <c r="E190" s="252">
        <v>46.0</v>
      </c>
      <c r="F190" s="252">
        <v>14.0</v>
      </c>
      <c r="G190" s="252"/>
      <c r="H190" s="266"/>
      <c r="I190" s="2"/>
      <c r="J190" s="261"/>
      <c r="M190" s="265"/>
      <c r="N190" s="262"/>
      <c r="O190" s="262"/>
      <c r="P190" s="263"/>
      <c r="Q190" s="2"/>
    </row>
    <row r="191">
      <c r="A191" s="217"/>
      <c r="B191" s="231" t="b">
        <f>IFERROR(__xludf.DUMMYFUNCTION("IF(ISNA(VLOOKUP(D191,TRANSPOSE(SPLIT('▶️ Инструкция'!S$36,"", "",FALSE,TRUE)),1,FALSE)),FALSE,TRUE)"),FALSE)</f>
        <v>0</v>
      </c>
      <c r="C191" s="251" t="s">
        <v>193</v>
      </c>
      <c r="D191" s="251" t="s">
        <v>7750</v>
      </c>
      <c r="E191" s="252">
        <v>59.8</v>
      </c>
      <c r="F191" s="252">
        <v>18.2</v>
      </c>
      <c r="G191" s="252"/>
      <c r="H191" s="266"/>
      <c r="I191" s="2"/>
      <c r="J191" s="261"/>
      <c r="M191" s="265"/>
      <c r="N191" s="262"/>
      <c r="O191" s="262"/>
      <c r="P191" s="263"/>
      <c r="Q191" s="2"/>
    </row>
    <row r="192">
      <c r="A192" s="217"/>
      <c r="B192" s="231" t="b">
        <f>IFERROR(__xludf.DUMMYFUNCTION("IF(ISNA(VLOOKUP(D192,TRANSPOSE(SPLIT('▶️ Инструкция'!S$36,"", "",FALSE,TRUE)),1,FALSE)),FALSE,TRUE)"),FALSE)</f>
        <v>0</v>
      </c>
      <c r="C192" s="251" t="s">
        <v>193</v>
      </c>
      <c r="D192" s="251" t="s">
        <v>7751</v>
      </c>
      <c r="E192" s="252">
        <v>101.2</v>
      </c>
      <c r="F192" s="252">
        <v>30.8</v>
      </c>
      <c r="G192" s="252"/>
      <c r="H192" s="266"/>
      <c r="I192" s="2"/>
      <c r="J192" s="261"/>
      <c r="M192" s="265"/>
      <c r="N192" s="262"/>
      <c r="O192" s="262"/>
      <c r="P192" s="263"/>
      <c r="Q192" s="2"/>
    </row>
    <row r="193">
      <c r="A193" s="217"/>
      <c r="B193" s="231" t="b">
        <f>IFERROR(__xludf.DUMMYFUNCTION("IF(ISNA(VLOOKUP(D193,TRANSPOSE(SPLIT('▶️ Инструкция'!S$36,"", "",FALSE,TRUE)),1,FALSE)),FALSE,TRUE)"),FALSE)</f>
        <v>0</v>
      </c>
      <c r="C193" s="251" t="s">
        <v>193</v>
      </c>
      <c r="D193" s="251" t="s">
        <v>7752</v>
      </c>
      <c r="E193" s="252">
        <v>92.0</v>
      </c>
      <c r="F193" s="252">
        <v>28.0</v>
      </c>
      <c r="G193" s="252"/>
      <c r="H193" s="266"/>
      <c r="I193" s="2"/>
      <c r="J193" s="261"/>
      <c r="M193" s="265"/>
      <c r="N193" s="262"/>
      <c r="O193" s="262"/>
      <c r="P193" s="263"/>
      <c r="Q193" s="2"/>
    </row>
    <row r="194">
      <c r="A194" s="217"/>
      <c r="B194" s="231" t="b">
        <f>IFERROR(__xludf.DUMMYFUNCTION("IF(ISNA(VLOOKUP(D194,TRANSPOSE(SPLIT('▶️ Инструкция'!S$36,"", "",FALSE,TRUE)),1,FALSE)),FALSE,TRUE)"),FALSE)</f>
        <v>0</v>
      </c>
      <c r="C194" s="251" t="s">
        <v>193</v>
      </c>
      <c r="D194" s="251" t="s">
        <v>7753</v>
      </c>
      <c r="E194" s="252">
        <v>46.0</v>
      </c>
      <c r="F194" s="252">
        <v>14.0</v>
      </c>
      <c r="G194" s="252"/>
      <c r="H194" s="266"/>
      <c r="I194" s="2"/>
      <c r="J194" s="261"/>
      <c r="M194" s="265"/>
      <c r="N194" s="262"/>
      <c r="O194" s="262"/>
      <c r="P194" s="263"/>
      <c r="Q194" s="2"/>
    </row>
    <row r="195">
      <c r="A195" s="217"/>
      <c r="B195" s="231" t="b">
        <f>IFERROR(__xludf.DUMMYFUNCTION("IF(ISNA(VLOOKUP(D195,TRANSPOSE(SPLIT('▶️ Инструкция'!S$36,"", "",FALSE,TRUE)),1,FALSE)),FALSE,TRUE)"),FALSE)</f>
        <v>0</v>
      </c>
      <c r="C195" s="251" t="s">
        <v>193</v>
      </c>
      <c r="D195" s="251" t="s">
        <v>7754</v>
      </c>
      <c r="E195" s="252">
        <v>92.0</v>
      </c>
      <c r="F195" s="252">
        <v>28.0</v>
      </c>
      <c r="G195" s="252"/>
      <c r="H195" s="266"/>
      <c r="I195" s="2"/>
      <c r="J195" s="261"/>
      <c r="M195" s="265"/>
      <c r="N195" s="262"/>
      <c r="O195" s="262"/>
      <c r="P195" s="263"/>
      <c r="Q195" s="2"/>
    </row>
    <row r="196">
      <c r="A196" s="217"/>
      <c r="B196" s="231" t="b">
        <f>IFERROR(__xludf.DUMMYFUNCTION("IF(ISNA(VLOOKUP(D196,TRANSPOSE(SPLIT('▶️ Инструкция'!S$36,"", "",FALSE,TRUE)),1,FALSE)),FALSE,TRUE)"),FALSE)</f>
        <v>0</v>
      </c>
      <c r="C196" s="251" t="s">
        <v>193</v>
      </c>
      <c r="D196" s="251" t="s">
        <v>7755</v>
      </c>
      <c r="E196" s="252">
        <v>96.6</v>
      </c>
      <c r="F196" s="252">
        <v>29.4</v>
      </c>
      <c r="G196" s="252"/>
      <c r="H196" s="266"/>
      <c r="I196" s="2"/>
      <c r="J196" s="261"/>
      <c r="M196" s="265"/>
      <c r="N196" s="262"/>
      <c r="O196" s="262"/>
      <c r="P196" s="263"/>
      <c r="Q196" s="2"/>
    </row>
    <row r="197">
      <c r="A197" s="217"/>
      <c r="B197" s="231" t="b">
        <f>IFERROR(__xludf.DUMMYFUNCTION("IF(ISNA(VLOOKUP(D197,TRANSPOSE(SPLIT('▶️ Инструкция'!S$36,"", "",FALSE,TRUE)),1,FALSE)),FALSE,TRUE)"),FALSE)</f>
        <v>0</v>
      </c>
      <c r="C197" s="251" t="s">
        <v>193</v>
      </c>
      <c r="D197" s="251" t="s">
        <v>7756</v>
      </c>
      <c r="E197" s="252">
        <v>46.0</v>
      </c>
      <c r="F197" s="252">
        <v>14.0</v>
      </c>
      <c r="G197" s="252"/>
      <c r="H197" s="266"/>
      <c r="I197" s="2"/>
      <c r="J197" s="261"/>
      <c r="M197" s="265"/>
      <c r="N197" s="262"/>
      <c r="O197" s="262"/>
      <c r="P197" s="263"/>
      <c r="Q197" s="2"/>
    </row>
    <row r="198">
      <c r="A198" s="217"/>
      <c r="B198" s="231" t="b">
        <f>IFERROR(__xludf.DUMMYFUNCTION("IF(ISNA(VLOOKUP(D198,TRANSPOSE(SPLIT('▶️ Инструкция'!S$36,"", "",FALSE,TRUE)),1,FALSE)),FALSE,TRUE)"),FALSE)</f>
        <v>0</v>
      </c>
      <c r="C198" s="251" t="s">
        <v>193</v>
      </c>
      <c r="D198" s="251" t="s">
        <v>7757</v>
      </c>
      <c r="E198" s="252">
        <v>101.2</v>
      </c>
      <c r="F198" s="252">
        <v>30.8</v>
      </c>
      <c r="G198" s="252"/>
      <c r="H198" s="266"/>
      <c r="I198" s="2"/>
      <c r="J198" s="261"/>
      <c r="M198" s="265"/>
      <c r="N198" s="262"/>
      <c r="O198" s="262"/>
      <c r="P198" s="263"/>
      <c r="Q198" s="2"/>
    </row>
    <row r="199">
      <c r="A199" s="217"/>
      <c r="B199" s="231" t="b">
        <f>IFERROR(__xludf.DUMMYFUNCTION("IF(ISNA(VLOOKUP(D199,TRANSPOSE(SPLIT('▶️ Инструкция'!S$36,"", "",FALSE,TRUE)),1,FALSE)),FALSE,TRUE)"),FALSE)</f>
        <v>0</v>
      </c>
      <c r="C199" s="251" t="s">
        <v>193</v>
      </c>
      <c r="D199" s="251" t="s">
        <v>7758</v>
      </c>
      <c r="E199" s="252">
        <v>103.5</v>
      </c>
      <c r="F199" s="252">
        <v>31.5</v>
      </c>
      <c r="G199" s="252"/>
      <c r="H199" s="266"/>
      <c r="I199" s="2"/>
      <c r="J199" s="261"/>
      <c r="M199" s="265"/>
      <c r="N199" s="262"/>
      <c r="O199" s="262"/>
      <c r="P199" s="263"/>
      <c r="Q199" s="2"/>
    </row>
    <row r="200">
      <c r="A200" s="217"/>
      <c r="B200" s="231" t="b">
        <f>IFERROR(__xludf.DUMMYFUNCTION("IF(ISNA(VLOOKUP(D200,TRANSPOSE(SPLIT('▶️ Инструкция'!S$36,"", "",FALSE,TRUE)),1,FALSE)),FALSE,TRUE)"),FALSE)</f>
        <v>0</v>
      </c>
      <c r="C200" s="251" t="s">
        <v>193</v>
      </c>
      <c r="D200" s="251" t="s">
        <v>196</v>
      </c>
      <c r="E200" s="252">
        <v>46.0</v>
      </c>
      <c r="F200" s="252">
        <v>14.0</v>
      </c>
      <c r="G200" s="252"/>
      <c r="H200" s="266"/>
      <c r="I200" s="2"/>
      <c r="J200" s="261"/>
      <c r="M200" s="265"/>
      <c r="N200" s="262"/>
      <c r="O200" s="262"/>
      <c r="P200" s="263"/>
      <c r="Q200" s="2"/>
    </row>
    <row r="201">
      <c r="A201" s="217"/>
      <c r="B201" s="231" t="b">
        <f>IFERROR(__xludf.DUMMYFUNCTION("IF(ISNA(VLOOKUP(D201,TRANSPOSE(SPLIT('▶️ Инструкция'!S$36,"", "",FALSE,TRUE)),1,FALSE)),FALSE,TRUE)"),FALSE)</f>
        <v>0</v>
      </c>
      <c r="C201" s="251" t="s">
        <v>193</v>
      </c>
      <c r="D201" s="251" t="s">
        <v>7759</v>
      </c>
      <c r="E201" s="252">
        <v>92.0</v>
      </c>
      <c r="F201" s="252">
        <v>28.0</v>
      </c>
      <c r="G201" s="252"/>
      <c r="H201" s="266"/>
      <c r="I201" s="2"/>
      <c r="J201" s="261"/>
      <c r="M201" s="265"/>
      <c r="N201" s="262"/>
      <c r="O201" s="262"/>
      <c r="P201" s="263"/>
      <c r="Q201" s="2"/>
    </row>
    <row r="202">
      <c r="A202" s="217"/>
      <c r="B202" s="231" t="b">
        <f>IFERROR(__xludf.DUMMYFUNCTION("IF(ISNA(VLOOKUP(D202,TRANSPOSE(SPLIT('▶️ Инструкция'!S$36,"", "",FALSE,TRUE)),1,FALSE)),FALSE,TRUE)"),FALSE)</f>
        <v>0</v>
      </c>
      <c r="C202" s="251" t="s">
        <v>193</v>
      </c>
      <c r="D202" s="251" t="s">
        <v>7760</v>
      </c>
      <c r="E202" s="252">
        <v>46.0</v>
      </c>
      <c r="F202" s="252">
        <v>14.0</v>
      </c>
      <c r="G202" s="252"/>
      <c r="H202" s="266"/>
      <c r="I202" s="2"/>
      <c r="J202" s="261"/>
      <c r="M202" s="265"/>
      <c r="N202" s="262"/>
      <c r="O202" s="262"/>
      <c r="P202" s="263"/>
      <c r="Q202" s="2"/>
    </row>
    <row r="203">
      <c r="A203" s="217"/>
      <c r="B203" s="231" t="b">
        <f>IFERROR(__xludf.DUMMYFUNCTION("IF(ISNA(VLOOKUP(D203,TRANSPOSE(SPLIT('▶️ Инструкция'!S$36,"", "",FALSE,TRUE)),1,FALSE)),FALSE,TRUE)"),FALSE)</f>
        <v>0</v>
      </c>
      <c r="C203" s="251" t="s">
        <v>193</v>
      </c>
      <c r="D203" s="251" t="s">
        <v>7761</v>
      </c>
      <c r="E203" s="252">
        <v>101.2</v>
      </c>
      <c r="F203" s="252">
        <v>30.8</v>
      </c>
      <c r="G203" s="252"/>
      <c r="H203" s="266"/>
      <c r="I203" s="2"/>
      <c r="J203" s="261"/>
      <c r="M203" s="265"/>
      <c r="N203" s="262"/>
      <c r="O203" s="262"/>
      <c r="P203" s="263"/>
      <c r="Q203" s="2"/>
    </row>
    <row r="204">
      <c r="A204" s="217"/>
      <c r="B204" s="231" t="b">
        <f>IFERROR(__xludf.DUMMYFUNCTION("IF(ISNA(VLOOKUP(D204,TRANSPOSE(SPLIT('▶️ Инструкция'!S$36,"", "",FALSE,TRUE)),1,FALSE)),FALSE,TRUE)"),FALSE)</f>
        <v>0</v>
      </c>
      <c r="C204" s="251" t="s">
        <v>193</v>
      </c>
      <c r="D204" s="251" t="s">
        <v>7762</v>
      </c>
      <c r="E204" s="252">
        <v>46.0</v>
      </c>
      <c r="F204" s="252">
        <v>14.0</v>
      </c>
      <c r="G204" s="252"/>
      <c r="H204" s="266"/>
      <c r="I204" s="2"/>
      <c r="J204" s="261"/>
      <c r="M204" s="265"/>
      <c r="N204" s="262"/>
      <c r="O204" s="262"/>
      <c r="P204" s="263"/>
      <c r="Q204" s="2"/>
    </row>
    <row r="205">
      <c r="A205" s="217"/>
      <c r="B205" s="231" t="b">
        <f>IFERROR(__xludf.DUMMYFUNCTION("IF(ISNA(VLOOKUP(D205,TRANSPOSE(SPLIT('▶️ Инструкция'!S$36,"", "",FALSE,TRUE)),1,FALSE)),FALSE,TRUE)"),FALSE)</f>
        <v>0</v>
      </c>
      <c r="C205" s="251" t="s">
        <v>193</v>
      </c>
      <c r="D205" s="251" t="s">
        <v>7763</v>
      </c>
      <c r="E205" s="252">
        <v>92.0</v>
      </c>
      <c r="F205" s="252">
        <v>28.0</v>
      </c>
      <c r="G205" s="252"/>
      <c r="H205" s="266"/>
      <c r="I205" s="2"/>
      <c r="J205" s="261"/>
      <c r="M205" s="265"/>
      <c r="N205" s="262"/>
      <c r="O205" s="262"/>
      <c r="P205" s="263"/>
      <c r="Q205" s="2"/>
    </row>
    <row r="206">
      <c r="A206" s="217"/>
      <c r="B206" s="231" t="b">
        <f>IFERROR(__xludf.DUMMYFUNCTION("IF(ISNA(VLOOKUP(D206,TRANSPOSE(SPLIT('▶️ Инструкция'!S$36,"", "",FALSE,TRUE)),1,FALSE)),FALSE,TRUE)"),FALSE)</f>
        <v>0</v>
      </c>
      <c r="C206" s="251" t="s">
        <v>193</v>
      </c>
      <c r="D206" s="251" t="s">
        <v>7764</v>
      </c>
      <c r="E206" s="252">
        <v>46.0</v>
      </c>
      <c r="F206" s="252">
        <v>14.0</v>
      </c>
      <c r="G206" s="252"/>
      <c r="H206" s="266"/>
      <c r="I206" s="2"/>
      <c r="J206" s="261"/>
      <c r="M206" s="265"/>
      <c r="N206" s="262"/>
      <c r="O206" s="262"/>
      <c r="P206" s="263"/>
      <c r="Q206" s="2"/>
    </row>
    <row r="207">
      <c r="A207" s="217"/>
      <c r="B207" s="231" t="b">
        <f>IFERROR(__xludf.DUMMYFUNCTION("IF(ISNA(VLOOKUP(D207,TRANSPOSE(SPLIT('▶️ Инструкция'!S$36,"", "",FALSE,TRUE)),1,FALSE)),FALSE,TRUE)"),FALSE)</f>
        <v>0</v>
      </c>
      <c r="C207" s="251" t="s">
        <v>193</v>
      </c>
      <c r="D207" s="251" t="s">
        <v>7765</v>
      </c>
      <c r="E207" s="252">
        <v>71.3</v>
      </c>
      <c r="F207" s="252">
        <v>21.7</v>
      </c>
      <c r="G207" s="252"/>
      <c r="H207" s="266"/>
      <c r="I207" s="2"/>
      <c r="J207" s="261"/>
      <c r="M207" s="265"/>
      <c r="N207" s="262"/>
      <c r="O207" s="262"/>
      <c r="P207" s="263"/>
      <c r="Q207" s="2"/>
    </row>
    <row r="208">
      <c r="A208" s="217"/>
      <c r="B208" s="231" t="b">
        <f>IFERROR(__xludf.DUMMYFUNCTION("IF(ISNA(VLOOKUP(D208,TRANSPOSE(SPLIT('▶️ Инструкция'!S$36,"", "",FALSE,TRUE)),1,FALSE)),FALSE,TRUE)"),FALSE)</f>
        <v>0</v>
      </c>
      <c r="C208" s="251" t="s">
        <v>193</v>
      </c>
      <c r="D208" s="251" t="s">
        <v>7766</v>
      </c>
      <c r="E208" s="252">
        <v>46.0</v>
      </c>
      <c r="F208" s="252">
        <v>14.0</v>
      </c>
      <c r="G208" s="252"/>
      <c r="H208" s="266"/>
      <c r="I208" s="2"/>
      <c r="J208" s="261"/>
      <c r="M208" s="265"/>
      <c r="N208" s="262"/>
      <c r="O208" s="262"/>
      <c r="P208" s="263"/>
      <c r="Q208" s="2"/>
    </row>
    <row r="209">
      <c r="A209" s="217"/>
      <c r="B209" s="231" t="b">
        <f>IFERROR(__xludf.DUMMYFUNCTION("IF(ISNA(VLOOKUP(D209,TRANSPOSE(SPLIT('▶️ Инструкция'!S$36,"", "",FALSE,TRUE)),1,FALSE)),FALSE,TRUE)"),FALSE)</f>
        <v>0</v>
      </c>
      <c r="C209" s="251" t="s">
        <v>193</v>
      </c>
      <c r="D209" s="251" t="s">
        <v>7767</v>
      </c>
      <c r="E209" s="252">
        <v>71.3</v>
      </c>
      <c r="F209" s="252">
        <v>21.7</v>
      </c>
      <c r="G209" s="252"/>
      <c r="H209" s="266"/>
      <c r="I209" s="2"/>
      <c r="J209" s="261"/>
      <c r="M209" s="265"/>
      <c r="N209" s="262"/>
      <c r="O209" s="262"/>
      <c r="P209" s="263"/>
      <c r="Q209" s="2"/>
    </row>
    <row r="210">
      <c r="A210" s="217"/>
      <c r="B210" s="231" t="b">
        <f>IFERROR(__xludf.DUMMYFUNCTION("IF(ISNA(VLOOKUP(D210,TRANSPOSE(SPLIT('▶️ Инструкция'!S$36,"", "",FALSE,TRUE)),1,FALSE)),FALSE,TRUE)"),FALSE)</f>
        <v>0</v>
      </c>
      <c r="C210" s="251" t="s">
        <v>193</v>
      </c>
      <c r="D210" s="251" t="s">
        <v>7768</v>
      </c>
      <c r="E210" s="252">
        <v>46.0</v>
      </c>
      <c r="F210" s="252">
        <v>14.0</v>
      </c>
      <c r="G210" s="252"/>
      <c r="H210" s="266"/>
      <c r="I210" s="2"/>
      <c r="J210" s="261"/>
      <c r="M210" s="265"/>
      <c r="N210" s="262"/>
      <c r="O210" s="262"/>
      <c r="P210" s="263"/>
      <c r="Q210" s="2"/>
    </row>
    <row r="211">
      <c r="A211" s="217"/>
      <c r="B211" s="231" t="b">
        <f>IFERROR(__xludf.DUMMYFUNCTION("IF(ISNA(VLOOKUP(D211,TRANSPOSE(SPLIT('▶️ Инструкция'!S$36,"", "",FALSE,TRUE)),1,FALSE)),FALSE,TRUE)"),FALSE)</f>
        <v>0</v>
      </c>
      <c r="C211" s="251" t="s">
        <v>193</v>
      </c>
      <c r="D211" s="251" t="s">
        <v>7769</v>
      </c>
      <c r="E211" s="252">
        <v>71.3</v>
      </c>
      <c r="F211" s="252">
        <v>21.7</v>
      </c>
      <c r="G211" s="252"/>
      <c r="H211" s="266"/>
      <c r="I211" s="2"/>
      <c r="J211" s="262"/>
      <c r="K211" s="262"/>
      <c r="L211" s="262"/>
      <c r="M211" s="265"/>
      <c r="N211" s="262"/>
      <c r="O211" s="262"/>
      <c r="P211" s="263"/>
      <c r="Q211" s="2"/>
    </row>
    <row r="212">
      <c r="A212" s="217"/>
      <c r="B212" s="231" t="b">
        <f>IFERROR(__xludf.DUMMYFUNCTION("IF(ISNA(VLOOKUP(D212,TRANSPOSE(SPLIT('▶️ Инструкция'!S$36,"", "",FALSE,TRUE)),1,FALSE)),FALSE,TRUE)"),FALSE)</f>
        <v>0</v>
      </c>
      <c r="C212" s="251" t="s">
        <v>193</v>
      </c>
      <c r="D212" s="251" t="s">
        <v>7770</v>
      </c>
      <c r="E212" s="252">
        <v>62.1</v>
      </c>
      <c r="F212" s="252">
        <v>18.9</v>
      </c>
      <c r="G212" s="252"/>
      <c r="H212" s="266"/>
      <c r="I212" s="2"/>
      <c r="J212" s="262"/>
      <c r="K212" s="262"/>
      <c r="L212" s="262"/>
      <c r="M212" s="265"/>
      <c r="N212" s="262"/>
      <c r="O212" s="262"/>
      <c r="P212" s="263"/>
      <c r="Q212" s="2"/>
    </row>
    <row r="213">
      <c r="A213" s="217"/>
      <c r="B213" s="231" t="b">
        <f>IFERROR(__xludf.DUMMYFUNCTION("IF(ISNA(VLOOKUP(D213,TRANSPOSE(SPLIT('▶️ Инструкция'!S$36,"", "",FALSE,TRUE)),1,FALSE)),FALSE,TRUE)"),FALSE)</f>
        <v>0</v>
      </c>
      <c r="C213" s="251" t="s">
        <v>193</v>
      </c>
      <c r="D213" s="251" t="s">
        <v>7771</v>
      </c>
      <c r="E213" s="252">
        <v>66.7</v>
      </c>
      <c r="F213" s="252">
        <v>20.3</v>
      </c>
      <c r="G213" s="252"/>
      <c r="H213" s="266"/>
      <c r="I213" s="2"/>
      <c r="J213" s="262"/>
      <c r="K213" s="262"/>
      <c r="L213" s="262"/>
      <c r="M213" s="265"/>
      <c r="N213" s="262"/>
      <c r="O213" s="262"/>
      <c r="P213" s="263"/>
      <c r="Q213" s="2"/>
    </row>
    <row r="214">
      <c r="A214" s="217"/>
      <c r="B214" s="231" t="b">
        <f>IFERROR(__xludf.DUMMYFUNCTION("IF(ISNA(VLOOKUP(D214,TRANSPOSE(SPLIT('▶️ Инструкция'!S$36,"", "",FALSE,TRUE)),1,FALSE)),FALSE,TRUE)"),FALSE)</f>
        <v>0</v>
      </c>
      <c r="C214" s="251" t="s">
        <v>193</v>
      </c>
      <c r="D214" s="251" t="s">
        <v>7772</v>
      </c>
      <c r="E214" s="252">
        <v>46.0</v>
      </c>
      <c r="F214" s="252">
        <v>14.0</v>
      </c>
      <c r="G214" s="252"/>
      <c r="H214" s="266"/>
      <c r="I214" s="2"/>
      <c r="J214" s="262"/>
      <c r="K214" s="262"/>
      <c r="L214" s="262"/>
      <c r="M214" s="265"/>
      <c r="N214" s="262"/>
      <c r="O214" s="262"/>
      <c r="P214" s="263"/>
      <c r="Q214" s="2"/>
    </row>
    <row r="215">
      <c r="A215" s="217"/>
      <c r="B215" s="231" t="b">
        <f>IFERROR(__xludf.DUMMYFUNCTION("IF(ISNA(VLOOKUP(D215,TRANSPOSE(SPLIT('▶️ Инструкция'!S$36,"", "",FALSE,TRUE)),1,FALSE)),FALSE,TRUE)"),FALSE)</f>
        <v>0</v>
      </c>
      <c r="C215" s="251" t="s">
        <v>193</v>
      </c>
      <c r="D215" s="251" t="s">
        <v>7773</v>
      </c>
      <c r="E215" s="252">
        <v>66.7</v>
      </c>
      <c r="F215" s="252">
        <v>20.3</v>
      </c>
      <c r="G215" s="252"/>
      <c r="H215" s="266"/>
      <c r="I215" s="2"/>
      <c r="J215" s="262"/>
      <c r="K215" s="262"/>
      <c r="L215" s="262"/>
      <c r="M215" s="265"/>
      <c r="N215" s="262"/>
      <c r="O215" s="262"/>
      <c r="P215" s="263"/>
      <c r="Q215" s="2"/>
    </row>
    <row r="216">
      <c r="A216" s="217"/>
      <c r="B216" s="231" t="b">
        <f>IFERROR(__xludf.DUMMYFUNCTION("IF(ISNA(VLOOKUP(D216,TRANSPOSE(SPLIT('▶️ Инструкция'!S$36,"", "",FALSE,TRUE)),1,FALSE)),FALSE,TRUE)"),FALSE)</f>
        <v>0</v>
      </c>
      <c r="C216" s="251" t="s">
        <v>193</v>
      </c>
      <c r="D216" s="251" t="s">
        <v>7774</v>
      </c>
      <c r="E216" s="252">
        <v>46.0</v>
      </c>
      <c r="F216" s="252">
        <v>14.0</v>
      </c>
      <c r="G216" s="252"/>
      <c r="H216" s="266"/>
      <c r="I216" s="2"/>
      <c r="J216" s="262"/>
      <c r="K216" s="262"/>
      <c r="L216" s="262"/>
      <c r="M216" s="265"/>
      <c r="N216" s="262"/>
      <c r="O216" s="262"/>
      <c r="P216" s="263"/>
      <c r="Q216" s="2"/>
    </row>
    <row r="217">
      <c r="A217" s="217"/>
      <c r="B217" s="231" t="b">
        <f>IFERROR(__xludf.DUMMYFUNCTION("IF(ISNA(VLOOKUP(D217,TRANSPOSE(SPLIT('▶️ Инструкция'!S$36,"", "",FALSE,TRUE)),1,FALSE)),FALSE,TRUE)"),FALSE)</f>
        <v>0</v>
      </c>
      <c r="C217" s="251" t="s">
        <v>193</v>
      </c>
      <c r="D217" s="251" t="s">
        <v>7775</v>
      </c>
      <c r="E217" s="252">
        <v>71.3</v>
      </c>
      <c r="F217" s="252">
        <v>21.7</v>
      </c>
      <c r="G217" s="252"/>
      <c r="H217" s="266"/>
      <c r="I217" s="2"/>
      <c r="J217" s="262"/>
      <c r="K217" s="262"/>
      <c r="L217" s="262"/>
      <c r="M217" s="265"/>
      <c r="N217" s="262"/>
      <c r="O217" s="262"/>
      <c r="P217" s="263"/>
      <c r="Q217" s="2"/>
    </row>
    <row r="218">
      <c r="A218" s="217"/>
      <c r="B218" s="231" t="b">
        <f>IFERROR(__xludf.DUMMYFUNCTION("IF(ISNA(VLOOKUP(D218,TRANSPOSE(SPLIT('▶️ Инструкция'!S$36,"", "",FALSE,TRUE)),1,FALSE)),FALSE,TRUE)"),FALSE)</f>
        <v>0</v>
      </c>
      <c r="C218" s="251" t="s">
        <v>193</v>
      </c>
      <c r="D218" s="251" t="s">
        <v>7776</v>
      </c>
      <c r="E218" s="252">
        <v>71.3</v>
      </c>
      <c r="F218" s="252">
        <v>21.7</v>
      </c>
      <c r="G218" s="252"/>
      <c r="H218" s="266"/>
      <c r="I218" s="2"/>
      <c r="J218" s="262"/>
      <c r="K218" s="262"/>
      <c r="L218" s="262"/>
      <c r="M218" s="265"/>
      <c r="N218" s="262"/>
      <c r="O218" s="262"/>
      <c r="P218" s="263"/>
      <c r="Q218" s="2"/>
    </row>
    <row r="219">
      <c r="A219" s="217"/>
      <c r="B219" s="231" t="b">
        <f>IFERROR(__xludf.DUMMYFUNCTION("IF(ISNA(VLOOKUP(D219,TRANSPOSE(SPLIT('▶️ Инструкция'!S$36,"", "",FALSE,TRUE)),1,FALSE)),FALSE,TRUE)"),FALSE)</f>
        <v>0</v>
      </c>
      <c r="C219" s="251" t="s">
        <v>193</v>
      </c>
      <c r="D219" s="251" t="s">
        <v>7777</v>
      </c>
      <c r="E219" s="252">
        <v>46.0</v>
      </c>
      <c r="F219" s="252">
        <v>14.0</v>
      </c>
      <c r="G219" s="252"/>
      <c r="H219" s="266"/>
      <c r="I219" s="2"/>
      <c r="J219" s="262"/>
      <c r="K219" s="262"/>
      <c r="L219" s="262"/>
      <c r="M219" s="265"/>
      <c r="N219" s="262"/>
      <c r="O219" s="262"/>
      <c r="P219" s="263"/>
      <c r="Q219" s="2"/>
    </row>
    <row r="220">
      <c r="A220" s="217"/>
      <c r="B220" s="231" t="b">
        <f>IFERROR(__xludf.DUMMYFUNCTION("IF(ISNA(VLOOKUP(D220,TRANSPOSE(SPLIT('▶️ Инструкция'!S$36,"", "",FALSE,TRUE)),1,FALSE)),FALSE,TRUE)"),FALSE)</f>
        <v>0</v>
      </c>
      <c r="C220" s="251" t="s">
        <v>193</v>
      </c>
      <c r="D220" s="251" t="s">
        <v>7778</v>
      </c>
      <c r="E220" s="252">
        <v>46.0</v>
      </c>
      <c r="F220" s="252">
        <v>14.0</v>
      </c>
      <c r="G220" s="252"/>
      <c r="H220" s="266"/>
      <c r="I220" s="2"/>
      <c r="J220" s="262"/>
      <c r="K220" s="262"/>
      <c r="L220" s="262"/>
      <c r="M220" s="265"/>
      <c r="N220" s="262"/>
      <c r="O220" s="262"/>
      <c r="P220" s="263"/>
      <c r="Q220" s="2"/>
    </row>
    <row r="221">
      <c r="A221" s="217"/>
      <c r="B221" s="231" t="b">
        <f>IFERROR(__xludf.DUMMYFUNCTION("IF(ISNA(VLOOKUP(D221,TRANSPOSE(SPLIT('▶️ Инструкция'!S$36,"", "",FALSE,TRUE)),1,FALSE)),FALSE,TRUE)"),FALSE)</f>
        <v>0</v>
      </c>
      <c r="C221" s="251" t="s">
        <v>193</v>
      </c>
      <c r="D221" s="251" t="s">
        <v>7779</v>
      </c>
      <c r="E221" s="252">
        <v>46.0</v>
      </c>
      <c r="F221" s="252">
        <v>14.0</v>
      </c>
      <c r="G221" s="252"/>
      <c r="H221" s="266"/>
      <c r="I221" s="2"/>
      <c r="J221" s="262"/>
      <c r="K221" s="262"/>
      <c r="L221" s="262"/>
      <c r="M221" s="265"/>
      <c r="N221" s="262"/>
      <c r="O221" s="262"/>
      <c r="P221" s="263"/>
      <c r="Q221" s="2"/>
    </row>
  </sheetData>
  <mergeCells count="208">
    <mergeCell ref="D1:P2"/>
    <mergeCell ref="B3:H4"/>
    <mergeCell ref="J3:P4"/>
    <mergeCell ref="D5:E5"/>
    <mergeCell ref="M5:N5"/>
    <mergeCell ref="D6:E6"/>
    <mergeCell ref="N6:O6"/>
    <mergeCell ref="B7:F7"/>
    <mergeCell ref="J7:P7"/>
    <mergeCell ref="J12:P13"/>
    <mergeCell ref="J14:L14"/>
    <mergeCell ref="O14:P14"/>
    <mergeCell ref="J15:L15"/>
    <mergeCell ref="J16:L16"/>
    <mergeCell ref="J17:L17"/>
    <mergeCell ref="J18:L18"/>
    <mergeCell ref="J19:L19"/>
    <mergeCell ref="J20:L20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J30:L30"/>
    <mergeCell ref="J31:L31"/>
    <mergeCell ref="J32:L32"/>
    <mergeCell ref="J33:L33"/>
    <mergeCell ref="J34:L34"/>
    <mergeCell ref="J35:L35"/>
    <mergeCell ref="J36:L36"/>
    <mergeCell ref="J37:L37"/>
    <mergeCell ref="J38:L38"/>
    <mergeCell ref="J39:L39"/>
    <mergeCell ref="J40:L40"/>
    <mergeCell ref="J41:L41"/>
    <mergeCell ref="J42:L42"/>
    <mergeCell ref="J43:L43"/>
    <mergeCell ref="J44:L44"/>
    <mergeCell ref="J45:L45"/>
    <mergeCell ref="J46:L46"/>
    <mergeCell ref="J47:L47"/>
    <mergeCell ref="J48:L48"/>
    <mergeCell ref="J49:L49"/>
    <mergeCell ref="J50:L50"/>
    <mergeCell ref="J51:L51"/>
    <mergeCell ref="J52:L52"/>
    <mergeCell ref="J53:L53"/>
    <mergeCell ref="J54:L54"/>
    <mergeCell ref="J55:L55"/>
    <mergeCell ref="J56:L56"/>
    <mergeCell ref="J57:L57"/>
    <mergeCell ref="J58:L58"/>
    <mergeCell ref="J59:L59"/>
    <mergeCell ref="J60:L60"/>
    <mergeCell ref="J61:L61"/>
    <mergeCell ref="J62:L62"/>
    <mergeCell ref="J63:L63"/>
    <mergeCell ref="J64:L64"/>
    <mergeCell ref="J65:L65"/>
    <mergeCell ref="J66:L66"/>
    <mergeCell ref="J67:L67"/>
    <mergeCell ref="J68:L68"/>
    <mergeCell ref="J69:L69"/>
    <mergeCell ref="J70:L70"/>
    <mergeCell ref="J71:L71"/>
    <mergeCell ref="J72:L72"/>
    <mergeCell ref="J73:L73"/>
    <mergeCell ref="J74:L74"/>
    <mergeCell ref="J75:L75"/>
    <mergeCell ref="J76:L76"/>
    <mergeCell ref="J77:L77"/>
    <mergeCell ref="J78:L78"/>
    <mergeCell ref="J79:L79"/>
    <mergeCell ref="J80:L80"/>
    <mergeCell ref="J81:L81"/>
    <mergeCell ref="J82:L82"/>
    <mergeCell ref="J83:L83"/>
    <mergeCell ref="J84:L84"/>
    <mergeCell ref="J85:L85"/>
    <mergeCell ref="J86:L86"/>
    <mergeCell ref="J87:L87"/>
    <mergeCell ref="J88:L88"/>
    <mergeCell ref="J89:L89"/>
    <mergeCell ref="J90:L90"/>
    <mergeCell ref="J91:L91"/>
    <mergeCell ref="J92:L92"/>
    <mergeCell ref="J93:L93"/>
    <mergeCell ref="J94:L94"/>
    <mergeCell ref="J95:L95"/>
    <mergeCell ref="J96:L96"/>
    <mergeCell ref="J97:L97"/>
    <mergeCell ref="J98:L98"/>
    <mergeCell ref="J99:L99"/>
    <mergeCell ref="J100:L100"/>
    <mergeCell ref="J101:L101"/>
    <mergeCell ref="J102:L102"/>
    <mergeCell ref="J103:L103"/>
    <mergeCell ref="J104:L104"/>
    <mergeCell ref="J105:L105"/>
    <mergeCell ref="J106:L106"/>
    <mergeCell ref="J107:L107"/>
    <mergeCell ref="J108:L108"/>
    <mergeCell ref="J109:L109"/>
    <mergeCell ref="J110:L110"/>
    <mergeCell ref="J111:L111"/>
    <mergeCell ref="J112:L112"/>
    <mergeCell ref="J113:L113"/>
    <mergeCell ref="J114:L114"/>
    <mergeCell ref="J115:L115"/>
    <mergeCell ref="J116:L116"/>
    <mergeCell ref="J117:L117"/>
    <mergeCell ref="J118:L118"/>
    <mergeCell ref="J119:L119"/>
    <mergeCell ref="J120:L120"/>
    <mergeCell ref="J121:L121"/>
    <mergeCell ref="J122:L122"/>
    <mergeCell ref="J123:L123"/>
    <mergeCell ref="J124:L124"/>
    <mergeCell ref="J125:L125"/>
    <mergeCell ref="J126:L126"/>
    <mergeCell ref="J127:L127"/>
    <mergeCell ref="J128:L128"/>
    <mergeCell ref="J129:L129"/>
    <mergeCell ref="J130:L130"/>
    <mergeCell ref="J131:L131"/>
    <mergeCell ref="J132:L132"/>
    <mergeCell ref="J133:L133"/>
    <mergeCell ref="J134:L134"/>
    <mergeCell ref="J135:L135"/>
    <mergeCell ref="J136:L136"/>
    <mergeCell ref="J137:L137"/>
    <mergeCell ref="J138:L138"/>
    <mergeCell ref="J139:L139"/>
    <mergeCell ref="J140:L140"/>
    <mergeCell ref="J141:L141"/>
    <mergeCell ref="J142:L142"/>
    <mergeCell ref="J143:L143"/>
    <mergeCell ref="J144:L144"/>
    <mergeCell ref="J145:L145"/>
    <mergeCell ref="J146:L146"/>
    <mergeCell ref="J147:L147"/>
    <mergeCell ref="J148:L148"/>
    <mergeCell ref="J149:L149"/>
    <mergeCell ref="J206:L206"/>
    <mergeCell ref="J207:L207"/>
    <mergeCell ref="J208:L208"/>
    <mergeCell ref="J209:L209"/>
    <mergeCell ref="J210:L210"/>
    <mergeCell ref="J199:L199"/>
    <mergeCell ref="J200:L200"/>
    <mergeCell ref="J201:L201"/>
    <mergeCell ref="J202:L202"/>
    <mergeCell ref="J203:L203"/>
    <mergeCell ref="J204:L204"/>
    <mergeCell ref="J205:L205"/>
    <mergeCell ref="J150:L150"/>
    <mergeCell ref="J151:L151"/>
    <mergeCell ref="J152:L152"/>
    <mergeCell ref="J153:L153"/>
    <mergeCell ref="J154:L154"/>
    <mergeCell ref="J155:L155"/>
    <mergeCell ref="J156:L156"/>
    <mergeCell ref="J157:L157"/>
    <mergeCell ref="J158:L158"/>
    <mergeCell ref="J159:L159"/>
    <mergeCell ref="J160:L160"/>
    <mergeCell ref="J161:L161"/>
    <mergeCell ref="J162:L162"/>
    <mergeCell ref="J163:L163"/>
    <mergeCell ref="J164:L164"/>
    <mergeCell ref="J165:L165"/>
    <mergeCell ref="J166:L166"/>
    <mergeCell ref="J167:L167"/>
    <mergeCell ref="J168:L168"/>
    <mergeCell ref="J169:L169"/>
    <mergeCell ref="J170:L170"/>
    <mergeCell ref="J171:L171"/>
    <mergeCell ref="J172:L172"/>
    <mergeCell ref="J173:L173"/>
    <mergeCell ref="J174:L174"/>
    <mergeCell ref="J175:L175"/>
    <mergeCell ref="J176:L176"/>
    <mergeCell ref="J177:L177"/>
    <mergeCell ref="J178:L178"/>
    <mergeCell ref="J179:L179"/>
    <mergeCell ref="J180:L180"/>
    <mergeCell ref="J181:L181"/>
    <mergeCell ref="J182:L182"/>
    <mergeCell ref="J183:L183"/>
    <mergeCell ref="J184:L184"/>
    <mergeCell ref="J185:L185"/>
    <mergeCell ref="J186:L186"/>
    <mergeCell ref="J187:L187"/>
    <mergeCell ref="J188:L188"/>
    <mergeCell ref="J189:L189"/>
    <mergeCell ref="J190:L190"/>
    <mergeCell ref="J191:L191"/>
    <mergeCell ref="J192:L192"/>
    <mergeCell ref="J193:L193"/>
    <mergeCell ref="J194:L194"/>
    <mergeCell ref="J195:L195"/>
    <mergeCell ref="J196:L196"/>
    <mergeCell ref="J197:L197"/>
    <mergeCell ref="J198:L198"/>
  </mergeCells>
  <conditionalFormatting sqref="B11:H222">
    <cfRule type="expression" dxfId="8" priority="1">
      <formula>$B11=TRUE</formula>
    </cfRule>
  </conditionalFormatting>
  <conditionalFormatting sqref="B12:B221">
    <cfRule type="expression" dxfId="9" priority="2">
      <formula>len($C12)=0</formula>
    </cfRule>
  </conditionalFormatting>
  <conditionalFormatting sqref="A12:I221 Q12:Q221 J15:P221">
    <cfRule type="notContainsBlanks" dxfId="2" priority="3">
      <formula>LEN(TRIM(A12))&gt;0</formula>
    </cfRule>
  </conditionalFormatting>
  <hyperlinks>
    <hyperlink r:id="rId1" ref="B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1.44"/>
    <col customWidth="1" min="2" max="2" width="27.56"/>
    <col customWidth="1" min="3" max="16" width="2.33"/>
    <col customWidth="1" min="17" max="17" width="31.44"/>
    <col customWidth="1" min="18" max="18" width="5.89"/>
    <col customWidth="1" min="19" max="19" width="21.44"/>
  </cols>
  <sheetData>
    <row r="1">
      <c r="A1" s="267" t="s">
        <v>7780</v>
      </c>
      <c r="B1" s="267" t="str">
        <f t="array" ref="B1:B164">SORT(UNIQUE('🔒 Доп. информация'!D12:D538),1,true)</f>
        <v>Алматы Атакент</v>
      </c>
      <c r="C1" s="267"/>
      <c r="D1" s="268"/>
      <c r="E1" s="267"/>
      <c r="F1" s="267"/>
      <c r="G1" s="269"/>
      <c r="H1" s="269"/>
      <c r="I1" s="267"/>
      <c r="J1" s="268"/>
      <c r="K1" s="267"/>
      <c r="L1" s="270"/>
      <c r="M1" s="270"/>
      <c r="N1" s="270"/>
      <c r="O1" s="270"/>
      <c r="P1" s="270"/>
      <c r="Q1" s="270" t="s">
        <v>7781</v>
      </c>
      <c r="R1" s="271">
        <v>0.0</v>
      </c>
      <c r="S1" s="271"/>
    </row>
    <row r="2">
      <c r="A2" s="267" t="s">
        <v>7782</v>
      </c>
      <c r="B2" s="267" t="s">
        <v>7690</v>
      </c>
      <c r="C2" s="267"/>
      <c r="D2" s="268"/>
      <c r="E2" s="267"/>
      <c r="F2" s="267"/>
      <c r="G2" s="269"/>
      <c r="H2" s="269"/>
      <c r="I2" s="267"/>
      <c r="J2" s="268"/>
      <c r="K2" s="267"/>
      <c r="L2" s="270"/>
      <c r="M2" s="270"/>
      <c r="N2" s="270"/>
      <c r="O2" s="270"/>
      <c r="P2" s="270"/>
      <c r="Q2" s="270" t="s">
        <v>7783</v>
      </c>
      <c r="R2" s="272">
        <v>0.032</v>
      </c>
      <c r="S2" s="272"/>
    </row>
    <row r="3">
      <c r="A3" s="273" t="s">
        <v>193</v>
      </c>
      <c r="B3" s="273" t="s">
        <v>7631</v>
      </c>
      <c r="D3" s="274"/>
      <c r="G3" s="275"/>
      <c r="H3" s="275"/>
      <c r="J3" s="274"/>
      <c r="L3" s="276"/>
      <c r="M3" s="276"/>
      <c r="N3" s="276"/>
      <c r="O3" s="276"/>
      <c r="P3" s="276"/>
      <c r="Q3" s="270" t="s">
        <v>7784</v>
      </c>
      <c r="R3" s="272">
        <v>0.044</v>
      </c>
      <c r="S3" s="272"/>
    </row>
    <row r="4">
      <c r="A4" s="277" t="s">
        <v>7569</v>
      </c>
      <c r="B4" s="277" t="s">
        <v>7662</v>
      </c>
      <c r="C4" s="277"/>
      <c r="D4" s="274"/>
      <c r="E4" s="277"/>
      <c r="F4" s="277"/>
      <c r="G4" s="275"/>
      <c r="H4" s="275"/>
      <c r="I4" s="277"/>
      <c r="J4" s="274"/>
      <c r="K4" s="277"/>
      <c r="L4" s="276"/>
      <c r="M4" s="276"/>
      <c r="N4" s="276"/>
      <c r="O4" s="276"/>
      <c r="P4" s="276"/>
      <c r="Q4" s="270" t="s">
        <v>7785</v>
      </c>
      <c r="R4" s="272">
        <v>0.045</v>
      </c>
      <c r="S4" s="276"/>
    </row>
    <row r="5">
      <c r="A5" s="267" t="s">
        <v>121</v>
      </c>
      <c r="B5" s="267" t="s">
        <v>7664</v>
      </c>
      <c r="C5" s="267"/>
      <c r="D5" s="268"/>
      <c r="E5" s="267"/>
      <c r="F5" s="267"/>
      <c r="G5" s="269"/>
      <c r="H5" s="269"/>
      <c r="I5" s="267"/>
      <c r="J5" s="268"/>
      <c r="K5" s="267"/>
      <c r="L5" s="270"/>
      <c r="M5" s="270"/>
      <c r="N5" s="270"/>
      <c r="O5" s="270"/>
      <c r="P5" s="270"/>
      <c r="Q5" s="270"/>
      <c r="R5" s="270"/>
      <c r="S5" s="270"/>
    </row>
    <row r="6">
      <c r="B6" s="267" t="s">
        <v>7652</v>
      </c>
      <c r="C6" s="267"/>
      <c r="D6" s="268"/>
      <c r="E6" s="267"/>
      <c r="F6" s="267"/>
      <c r="G6" s="269"/>
      <c r="H6" s="269"/>
      <c r="I6" s="267"/>
      <c r="J6" s="268"/>
      <c r="K6" s="267"/>
      <c r="L6" s="270"/>
      <c r="M6" s="270"/>
      <c r="N6" s="270"/>
      <c r="O6" s="270"/>
      <c r="P6" s="270"/>
      <c r="Q6" s="270"/>
      <c r="R6" s="270"/>
      <c r="S6" s="270"/>
    </row>
    <row r="7">
      <c r="B7" s="267" t="s">
        <v>7685</v>
      </c>
      <c r="C7" s="267"/>
      <c r="D7" s="268"/>
      <c r="E7" s="267"/>
      <c r="F7" s="267"/>
      <c r="G7" s="269"/>
      <c r="H7" s="269"/>
      <c r="I7" s="267"/>
      <c r="J7" s="268"/>
      <c r="K7" s="267"/>
      <c r="L7" s="270"/>
      <c r="M7" s="270"/>
      <c r="N7" s="270"/>
      <c r="O7" s="270"/>
      <c r="P7" s="270"/>
      <c r="Q7" s="270"/>
      <c r="R7" s="270"/>
      <c r="S7" s="270"/>
    </row>
    <row r="8">
      <c r="A8" s="267" t="s">
        <v>194</v>
      </c>
      <c r="B8" s="267" t="s">
        <v>7666</v>
      </c>
      <c r="C8" s="267"/>
      <c r="D8" s="268"/>
      <c r="E8" s="267"/>
      <c r="F8" s="267"/>
      <c r="G8" s="269"/>
      <c r="H8" s="269"/>
      <c r="I8" s="267"/>
      <c r="J8" s="268"/>
      <c r="K8" s="267"/>
      <c r="L8" s="270"/>
      <c r="M8" s="270"/>
      <c r="N8" s="270"/>
      <c r="O8" s="270"/>
      <c r="P8" s="270"/>
      <c r="Q8" s="270"/>
      <c r="R8" s="270"/>
      <c r="S8" s="270"/>
    </row>
    <row r="9">
      <c r="A9" s="267" t="s">
        <v>199</v>
      </c>
      <c r="B9" s="267" t="s">
        <v>7633</v>
      </c>
      <c r="C9" s="267"/>
      <c r="D9" s="268"/>
      <c r="E9" s="267"/>
      <c r="F9" s="267"/>
      <c r="G9" s="269"/>
      <c r="H9" s="269"/>
      <c r="I9" s="267"/>
      <c r="J9" s="268"/>
      <c r="K9" s="267"/>
      <c r="L9" s="270"/>
      <c r="M9" s="270"/>
      <c r="N9" s="270"/>
      <c r="O9" s="270"/>
      <c r="P9" s="270"/>
      <c r="Q9" s="270"/>
      <c r="R9" s="270"/>
      <c r="S9" s="270"/>
    </row>
    <row r="10">
      <c r="A10" s="278" t="s">
        <v>7786</v>
      </c>
      <c r="B10" s="273" t="s">
        <v>7678</v>
      </c>
      <c r="D10" s="274"/>
      <c r="G10" s="275"/>
      <c r="H10" s="275"/>
      <c r="J10" s="274"/>
      <c r="L10" s="276"/>
      <c r="M10" s="276"/>
      <c r="N10" s="276"/>
      <c r="O10" s="276"/>
      <c r="P10" s="276"/>
      <c r="Q10" s="276"/>
      <c r="R10" s="276"/>
      <c r="S10" s="276"/>
    </row>
    <row r="11">
      <c r="A11" s="278" t="s">
        <v>7787</v>
      </c>
      <c r="B11" s="273" t="s">
        <v>205</v>
      </c>
      <c r="D11" s="274"/>
      <c r="G11" s="275"/>
      <c r="H11" s="275"/>
      <c r="J11" s="274"/>
      <c r="L11" s="276"/>
      <c r="M11" s="276"/>
      <c r="N11" s="276"/>
      <c r="O11" s="276"/>
      <c r="P11" s="276"/>
      <c r="Q11" s="276"/>
      <c r="R11" s="276"/>
      <c r="S11" s="276"/>
    </row>
    <row r="12">
      <c r="B12" s="279" t="s">
        <v>7718</v>
      </c>
      <c r="C12" s="279"/>
      <c r="D12" s="274"/>
      <c r="E12" s="279"/>
      <c r="F12" s="279"/>
      <c r="G12" s="275"/>
      <c r="H12" s="275"/>
      <c r="I12" s="279"/>
      <c r="J12" s="274"/>
      <c r="K12" s="279"/>
      <c r="L12" s="276"/>
      <c r="M12" s="276"/>
      <c r="N12" s="276"/>
      <c r="O12" s="276"/>
      <c r="P12" s="276"/>
      <c r="Q12" s="276"/>
      <c r="R12" s="276"/>
      <c r="S12" s="276"/>
    </row>
    <row r="13">
      <c r="B13" s="279" t="s">
        <v>7656</v>
      </c>
      <c r="C13" s="279"/>
      <c r="D13" s="274"/>
      <c r="E13" s="279"/>
      <c r="F13" s="279"/>
      <c r="G13" s="275"/>
      <c r="H13" s="275"/>
      <c r="I13" s="279"/>
      <c r="J13" s="274"/>
      <c r="K13" s="279"/>
      <c r="L13" s="276"/>
      <c r="M13" s="276"/>
      <c r="N13" s="276"/>
      <c r="O13" s="276"/>
      <c r="P13" s="276"/>
      <c r="Q13" s="276"/>
      <c r="R13" s="276"/>
      <c r="S13" s="276"/>
    </row>
    <row r="14">
      <c r="B14" s="279" t="s">
        <v>7623</v>
      </c>
      <c r="C14" s="279"/>
      <c r="D14" s="274"/>
      <c r="E14" s="279"/>
      <c r="F14" s="279"/>
      <c r="G14" s="275"/>
      <c r="H14" s="275"/>
      <c r="I14" s="279"/>
      <c r="J14" s="274"/>
      <c r="K14" s="279"/>
      <c r="L14" s="276"/>
      <c r="M14" s="276"/>
      <c r="N14" s="276"/>
      <c r="O14" s="276"/>
      <c r="P14" s="276"/>
      <c r="Q14" s="276"/>
      <c r="R14" s="276"/>
      <c r="S14" s="276"/>
    </row>
    <row r="15">
      <c r="A15" s="267" t="s">
        <v>24</v>
      </c>
      <c r="B15" s="279" t="s">
        <v>7635</v>
      </c>
      <c r="C15" s="279"/>
      <c r="D15" s="274"/>
      <c r="E15" s="279"/>
      <c r="F15" s="279"/>
      <c r="G15" s="275"/>
      <c r="H15" s="275"/>
      <c r="I15" s="279"/>
      <c r="J15" s="274"/>
      <c r="K15" s="279"/>
      <c r="L15" s="276"/>
      <c r="M15" s="276"/>
      <c r="N15" s="276"/>
      <c r="O15" s="276"/>
      <c r="P15" s="276"/>
      <c r="Q15" s="276"/>
      <c r="R15" s="276"/>
      <c r="S15" s="276"/>
    </row>
    <row r="16">
      <c r="A16" s="279"/>
      <c r="B16" s="279" t="s">
        <v>7704</v>
      </c>
      <c r="C16" s="279"/>
      <c r="D16" s="274"/>
      <c r="E16" s="279"/>
      <c r="F16" s="279"/>
      <c r="G16" s="275"/>
      <c r="H16" s="275"/>
      <c r="I16" s="279"/>
      <c r="J16" s="274"/>
      <c r="K16" s="279"/>
      <c r="L16" s="276"/>
      <c r="M16" s="276"/>
      <c r="N16" s="276"/>
      <c r="O16" s="276"/>
      <c r="P16" s="276"/>
      <c r="Q16" s="276"/>
      <c r="R16" s="276"/>
      <c r="S16" s="276"/>
    </row>
    <row r="17">
      <c r="A17" s="279"/>
      <c r="B17" s="279" t="s">
        <v>7717</v>
      </c>
      <c r="C17" s="279"/>
      <c r="D17" s="274"/>
      <c r="E17" s="279"/>
      <c r="F17" s="279"/>
      <c r="G17" s="275"/>
      <c r="H17" s="275"/>
      <c r="I17" s="279"/>
      <c r="J17" s="274"/>
      <c r="K17" s="279"/>
      <c r="L17" s="276"/>
      <c r="M17" s="276"/>
      <c r="N17" s="276"/>
      <c r="O17" s="276"/>
      <c r="P17" s="276"/>
      <c r="Q17" s="276"/>
      <c r="R17" s="276"/>
      <c r="S17" s="276"/>
    </row>
    <row r="18">
      <c r="A18" s="279"/>
      <c r="B18" s="279" t="s">
        <v>7650</v>
      </c>
      <c r="C18" s="279"/>
      <c r="D18" s="274"/>
      <c r="E18" s="279"/>
      <c r="F18" s="279"/>
      <c r="G18" s="275"/>
      <c r="H18" s="275"/>
      <c r="I18" s="279"/>
      <c r="J18" s="274"/>
      <c r="K18" s="279"/>
      <c r="L18" s="276"/>
      <c r="M18" s="276"/>
      <c r="N18" s="276"/>
      <c r="O18" s="276"/>
      <c r="P18" s="276"/>
      <c r="Q18" s="276"/>
      <c r="R18" s="276"/>
      <c r="S18" s="276"/>
    </row>
    <row r="19">
      <c r="A19" s="279"/>
      <c r="B19" s="279" t="s">
        <v>7660</v>
      </c>
      <c r="C19" s="279"/>
      <c r="D19" s="274"/>
      <c r="E19" s="279"/>
      <c r="F19" s="279"/>
      <c r="G19" s="275"/>
      <c r="H19" s="275"/>
      <c r="I19" s="279"/>
      <c r="J19" s="274"/>
      <c r="K19" s="279"/>
      <c r="L19" s="276"/>
      <c r="M19" s="276"/>
      <c r="N19" s="276"/>
      <c r="O19" s="276"/>
      <c r="P19" s="276"/>
      <c r="Q19" s="276"/>
      <c r="R19" s="276"/>
      <c r="S19" s="276"/>
    </row>
    <row r="20">
      <c r="A20" s="279"/>
      <c r="B20" s="279" t="s">
        <v>7716</v>
      </c>
      <c r="C20" s="279"/>
      <c r="D20" s="274"/>
      <c r="E20" s="279"/>
      <c r="F20" s="279"/>
      <c r="G20" s="275"/>
      <c r="H20" s="275"/>
      <c r="I20" s="279"/>
      <c r="J20" s="274"/>
      <c r="K20" s="279"/>
      <c r="L20" s="276"/>
      <c r="M20" s="276"/>
      <c r="N20" s="276"/>
      <c r="O20" s="276"/>
      <c r="P20" s="276"/>
      <c r="Q20" s="276"/>
      <c r="R20" s="276"/>
      <c r="S20" s="276"/>
    </row>
    <row r="21">
      <c r="A21" s="279"/>
      <c r="B21" s="279" t="s">
        <v>7609</v>
      </c>
      <c r="C21" s="279"/>
      <c r="D21" s="274"/>
      <c r="E21" s="279"/>
      <c r="F21" s="279"/>
      <c r="G21" s="275"/>
      <c r="H21" s="275"/>
      <c r="I21" s="279"/>
      <c r="J21" s="274"/>
      <c r="K21" s="279"/>
      <c r="L21" s="276"/>
      <c r="M21" s="276"/>
      <c r="N21" s="276"/>
      <c r="O21" s="276"/>
      <c r="P21" s="276"/>
      <c r="Q21" s="276"/>
      <c r="R21" s="276"/>
      <c r="S21" s="276"/>
    </row>
    <row r="22">
      <c r="A22" s="279"/>
      <c r="B22" s="279" t="s">
        <v>7680</v>
      </c>
      <c r="C22" s="279"/>
      <c r="D22" s="274"/>
      <c r="E22" s="279"/>
      <c r="F22" s="279"/>
      <c r="G22" s="275"/>
      <c r="H22" s="275"/>
      <c r="I22" s="279"/>
      <c r="J22" s="274"/>
      <c r="K22" s="279"/>
      <c r="L22" s="276"/>
      <c r="M22" s="276"/>
      <c r="N22" s="276"/>
      <c r="O22" s="276"/>
      <c r="P22" s="276"/>
      <c r="Q22" s="276"/>
      <c r="R22" s="276"/>
      <c r="S22" s="276"/>
    </row>
    <row r="23">
      <c r="A23" s="279"/>
      <c r="B23" s="279" t="s">
        <v>7697</v>
      </c>
      <c r="C23" s="279"/>
      <c r="D23" s="274"/>
      <c r="E23" s="279"/>
      <c r="F23" s="279"/>
      <c r="G23" s="275"/>
      <c r="H23" s="275"/>
      <c r="I23" s="279"/>
      <c r="J23" s="274"/>
      <c r="K23" s="279"/>
      <c r="L23" s="276"/>
      <c r="M23" s="276"/>
      <c r="N23" s="276"/>
      <c r="O23" s="276"/>
      <c r="P23" s="276"/>
      <c r="Q23" s="276"/>
      <c r="R23" s="276"/>
      <c r="S23" s="276"/>
    </row>
    <row r="24">
      <c r="A24" s="279"/>
      <c r="B24" s="279" t="s">
        <v>7719</v>
      </c>
      <c r="C24" s="279"/>
      <c r="D24" s="274"/>
      <c r="E24" s="279"/>
      <c r="F24" s="279"/>
      <c r="G24" s="275"/>
      <c r="H24" s="275"/>
      <c r="I24" s="279"/>
      <c r="J24" s="274"/>
      <c r="K24" s="279"/>
      <c r="L24" s="276"/>
      <c r="M24" s="276"/>
      <c r="N24" s="276"/>
      <c r="O24" s="276"/>
      <c r="P24" s="276"/>
      <c r="Q24" s="276"/>
      <c r="R24" s="276"/>
      <c r="S24" s="276"/>
    </row>
    <row r="25">
      <c r="A25" s="279"/>
      <c r="B25" s="279" t="s">
        <v>7707</v>
      </c>
      <c r="C25" s="279"/>
      <c r="D25" s="274"/>
      <c r="E25" s="279"/>
      <c r="F25" s="279"/>
      <c r="G25" s="275"/>
      <c r="H25" s="275"/>
      <c r="I25" s="279"/>
      <c r="J25" s="274"/>
      <c r="K25" s="279"/>
      <c r="L25" s="276"/>
      <c r="M25" s="276"/>
      <c r="N25" s="276"/>
      <c r="O25" s="276"/>
      <c r="P25" s="276"/>
      <c r="Q25" s="276"/>
      <c r="R25" s="276"/>
      <c r="S25" s="276"/>
    </row>
    <row r="26">
      <c r="A26" s="279"/>
      <c r="B26" s="279" t="s">
        <v>7708</v>
      </c>
      <c r="C26" s="279"/>
      <c r="D26" s="274"/>
      <c r="E26" s="279"/>
      <c r="F26" s="279"/>
      <c r="G26" s="275"/>
      <c r="H26" s="275"/>
      <c r="I26" s="279"/>
      <c r="J26" s="274"/>
      <c r="K26" s="279"/>
      <c r="L26" s="276"/>
      <c r="M26" s="276"/>
      <c r="N26" s="276"/>
      <c r="O26" s="276"/>
      <c r="P26" s="276"/>
      <c r="Q26" s="276"/>
      <c r="R26" s="276"/>
      <c r="S26" s="276"/>
    </row>
    <row r="27">
      <c r="A27" s="279"/>
      <c r="B27" s="279" t="s">
        <v>7710</v>
      </c>
      <c r="C27" s="279"/>
      <c r="D27" s="274"/>
      <c r="E27" s="279"/>
      <c r="F27" s="279"/>
      <c r="G27" s="275"/>
      <c r="H27" s="275"/>
      <c r="I27" s="279"/>
      <c r="J27" s="274"/>
      <c r="K27" s="279"/>
      <c r="L27" s="276"/>
      <c r="M27" s="276"/>
      <c r="N27" s="276"/>
      <c r="O27" s="276"/>
      <c r="P27" s="276"/>
      <c r="Q27" s="276"/>
      <c r="R27" s="276"/>
      <c r="S27" s="276"/>
    </row>
    <row r="28">
      <c r="A28" s="279"/>
      <c r="B28" s="279" t="s">
        <v>7621</v>
      </c>
      <c r="C28" s="279"/>
      <c r="D28" s="274"/>
      <c r="E28" s="279"/>
      <c r="F28" s="279"/>
      <c r="G28" s="275"/>
      <c r="H28" s="275"/>
      <c r="I28" s="279"/>
      <c r="J28" s="274"/>
      <c r="K28" s="279"/>
      <c r="L28" s="276"/>
      <c r="M28" s="276"/>
      <c r="N28" s="276"/>
      <c r="O28" s="276"/>
      <c r="P28" s="276"/>
      <c r="Q28" s="276"/>
      <c r="R28" s="276"/>
      <c r="S28" s="276"/>
    </row>
    <row r="29">
      <c r="A29" s="279"/>
      <c r="B29" s="279" t="s">
        <v>7648</v>
      </c>
      <c r="C29" s="279"/>
      <c r="D29" s="274"/>
      <c r="E29" s="279"/>
      <c r="F29" s="279"/>
      <c r="G29" s="275"/>
      <c r="H29" s="275"/>
      <c r="I29" s="279"/>
      <c r="J29" s="274"/>
      <c r="K29" s="279"/>
      <c r="L29" s="276"/>
      <c r="M29" s="276"/>
      <c r="N29" s="276"/>
      <c r="O29" s="276"/>
      <c r="P29" s="276"/>
      <c r="Q29" s="276"/>
      <c r="R29" s="276"/>
      <c r="S29" s="276"/>
    </row>
    <row r="30">
      <c r="A30" s="279"/>
      <c r="B30" s="279" t="s">
        <v>7684</v>
      </c>
      <c r="C30" s="279"/>
      <c r="D30" s="274"/>
      <c r="E30" s="279"/>
      <c r="F30" s="279"/>
      <c r="G30" s="275"/>
      <c r="H30" s="275"/>
      <c r="I30" s="279"/>
      <c r="J30" s="274"/>
      <c r="K30" s="279"/>
      <c r="L30" s="276"/>
      <c r="M30" s="276"/>
      <c r="N30" s="276"/>
      <c r="O30" s="276"/>
      <c r="P30" s="276"/>
      <c r="Q30" s="276"/>
      <c r="R30" s="276"/>
      <c r="S30" s="276"/>
    </row>
    <row r="31">
      <c r="A31" s="279"/>
      <c r="B31" s="279" t="s">
        <v>7599</v>
      </c>
      <c r="C31" s="279"/>
      <c r="D31" s="274"/>
      <c r="E31" s="279"/>
      <c r="F31" s="279"/>
      <c r="G31" s="275"/>
      <c r="H31" s="275"/>
      <c r="I31" s="279"/>
      <c r="J31" s="274"/>
      <c r="K31" s="279"/>
      <c r="L31" s="276"/>
      <c r="M31" s="276"/>
      <c r="N31" s="276"/>
      <c r="O31" s="276"/>
      <c r="P31" s="276"/>
      <c r="Q31" s="276"/>
      <c r="R31" s="276"/>
      <c r="S31" s="276"/>
    </row>
    <row r="32">
      <c r="A32" s="279"/>
      <c r="B32" s="279" t="s">
        <v>7667</v>
      </c>
      <c r="C32" s="279"/>
      <c r="D32" s="274"/>
      <c r="E32" s="279"/>
      <c r="F32" s="279"/>
      <c r="G32" s="275"/>
      <c r="H32" s="275"/>
      <c r="I32" s="279"/>
      <c r="J32" s="274"/>
      <c r="K32" s="279"/>
      <c r="L32" s="276"/>
      <c r="M32" s="276"/>
      <c r="N32" s="276"/>
      <c r="O32" s="276"/>
      <c r="P32" s="276"/>
      <c r="Q32" s="276"/>
      <c r="R32" s="276"/>
      <c r="S32" s="276"/>
    </row>
    <row r="33">
      <c r="A33" s="279"/>
      <c r="B33" s="279" t="s">
        <v>7714</v>
      </c>
      <c r="C33" s="279"/>
      <c r="D33" s="274"/>
      <c r="E33" s="279"/>
      <c r="F33" s="279"/>
      <c r="G33" s="275"/>
      <c r="H33" s="275"/>
      <c r="I33" s="279"/>
      <c r="J33" s="274"/>
      <c r="K33" s="279"/>
      <c r="L33" s="276"/>
      <c r="M33" s="276"/>
      <c r="N33" s="276"/>
      <c r="O33" s="276"/>
      <c r="P33" s="276"/>
      <c r="Q33" s="276"/>
      <c r="R33" s="276"/>
      <c r="S33" s="276"/>
    </row>
    <row r="34">
      <c r="A34" s="279"/>
      <c r="B34" s="279" t="s">
        <v>7715</v>
      </c>
      <c r="C34" s="279"/>
      <c r="D34" s="274"/>
      <c r="E34" s="279"/>
      <c r="F34" s="279"/>
      <c r="G34" s="275"/>
      <c r="H34" s="275"/>
      <c r="I34" s="279"/>
      <c r="J34" s="274"/>
      <c r="K34" s="279"/>
      <c r="L34" s="276"/>
      <c r="M34" s="276"/>
      <c r="N34" s="276"/>
      <c r="O34" s="276"/>
      <c r="P34" s="276"/>
      <c r="Q34" s="276"/>
      <c r="R34" s="276"/>
      <c r="S34" s="276"/>
    </row>
    <row r="35">
      <c r="A35" s="279"/>
      <c r="B35" s="279" t="s">
        <v>7695</v>
      </c>
      <c r="C35" s="279"/>
      <c r="D35" s="274"/>
      <c r="E35" s="279"/>
      <c r="F35" s="279"/>
      <c r="G35" s="275"/>
      <c r="H35" s="275"/>
      <c r="I35" s="279"/>
      <c r="J35" s="274"/>
      <c r="K35" s="279"/>
      <c r="L35" s="276"/>
      <c r="M35" s="276"/>
      <c r="N35" s="276"/>
      <c r="O35" s="276"/>
      <c r="P35" s="276"/>
      <c r="Q35" s="276"/>
      <c r="R35" s="276"/>
      <c r="S35" s="276"/>
    </row>
    <row r="36">
      <c r="A36" s="279"/>
      <c r="B36" s="279" t="s">
        <v>7617</v>
      </c>
      <c r="C36" s="279"/>
      <c r="D36" s="274"/>
      <c r="E36" s="279"/>
      <c r="F36" s="279"/>
      <c r="G36" s="275"/>
      <c r="H36" s="275"/>
      <c r="I36" s="279"/>
      <c r="J36" s="274"/>
      <c r="K36" s="279"/>
      <c r="L36" s="276"/>
      <c r="M36" s="276"/>
      <c r="N36" s="276"/>
      <c r="O36" s="276"/>
      <c r="P36" s="276"/>
      <c r="Q36" s="276"/>
      <c r="R36" s="276"/>
      <c r="S36" s="276"/>
    </row>
    <row r="37">
      <c r="A37" s="279"/>
      <c r="B37" s="279" t="s">
        <v>7702</v>
      </c>
      <c r="C37" s="279"/>
      <c r="D37" s="274"/>
      <c r="E37" s="279"/>
      <c r="F37" s="279"/>
      <c r="G37" s="275"/>
      <c r="H37" s="275"/>
      <c r="I37" s="279"/>
      <c r="J37" s="274"/>
      <c r="K37" s="279"/>
      <c r="L37" s="276"/>
      <c r="M37" s="276"/>
      <c r="N37" s="276"/>
      <c r="O37" s="276"/>
      <c r="P37" s="276"/>
      <c r="Q37" s="276"/>
      <c r="R37" s="276"/>
      <c r="S37" s="276"/>
    </row>
    <row r="38">
      <c r="A38" s="279"/>
      <c r="B38" s="279" t="s">
        <v>7640</v>
      </c>
      <c r="C38" s="279"/>
      <c r="D38" s="274"/>
      <c r="E38" s="279"/>
      <c r="F38" s="279"/>
      <c r="G38" s="275"/>
      <c r="H38" s="275"/>
      <c r="I38" s="279"/>
      <c r="J38" s="274"/>
      <c r="K38" s="279"/>
      <c r="L38" s="276"/>
      <c r="M38" s="276"/>
      <c r="N38" s="276"/>
      <c r="O38" s="276"/>
      <c r="P38" s="276"/>
      <c r="Q38" s="276"/>
      <c r="R38" s="276"/>
      <c r="S38" s="276"/>
    </row>
    <row r="39">
      <c r="A39" s="279"/>
      <c r="B39" s="279" t="s">
        <v>7682</v>
      </c>
      <c r="C39" s="279"/>
      <c r="D39" s="274"/>
      <c r="E39" s="279"/>
      <c r="F39" s="279"/>
      <c r="G39" s="275"/>
      <c r="H39" s="275"/>
      <c r="I39" s="279"/>
      <c r="J39" s="274"/>
      <c r="K39" s="279"/>
      <c r="L39" s="276"/>
      <c r="M39" s="276"/>
      <c r="N39" s="276"/>
      <c r="O39" s="276"/>
      <c r="P39" s="276"/>
      <c r="Q39" s="276"/>
      <c r="R39" s="276"/>
      <c r="S39" s="276"/>
    </row>
    <row r="40">
      <c r="A40" s="279"/>
      <c r="B40" s="279" t="s">
        <v>7673</v>
      </c>
      <c r="C40" s="279"/>
      <c r="D40" s="274"/>
      <c r="E40" s="279"/>
      <c r="F40" s="279"/>
      <c r="G40" s="275"/>
      <c r="H40" s="275"/>
      <c r="I40" s="279"/>
      <c r="J40" s="274"/>
      <c r="K40" s="279"/>
      <c r="L40" s="276"/>
      <c r="M40" s="276"/>
      <c r="N40" s="276"/>
      <c r="O40" s="276"/>
      <c r="P40" s="276"/>
      <c r="Q40" s="276"/>
      <c r="R40" s="276"/>
      <c r="S40" s="276"/>
    </row>
    <row r="41">
      <c r="A41" s="279"/>
      <c r="B41" s="279" t="s">
        <v>7587</v>
      </c>
      <c r="C41" s="279"/>
      <c r="D41" s="274"/>
      <c r="E41" s="279"/>
      <c r="F41" s="279"/>
      <c r="G41" s="275"/>
      <c r="H41" s="275"/>
      <c r="I41" s="279"/>
      <c r="J41" s="274"/>
      <c r="K41" s="279"/>
      <c r="L41" s="276"/>
      <c r="M41" s="276"/>
      <c r="N41" s="276"/>
      <c r="O41" s="276"/>
      <c r="P41" s="276"/>
      <c r="Q41" s="276"/>
      <c r="R41" s="276"/>
      <c r="S41" s="276"/>
    </row>
    <row r="42">
      <c r="A42" s="279"/>
      <c r="B42" s="279" t="s">
        <v>7675</v>
      </c>
      <c r="C42" s="279"/>
      <c r="D42" s="274"/>
      <c r="E42" s="279"/>
      <c r="F42" s="279"/>
      <c r="G42" s="275"/>
      <c r="H42" s="275"/>
      <c r="I42" s="279"/>
      <c r="J42" s="274"/>
      <c r="K42" s="279"/>
      <c r="L42" s="276"/>
      <c r="M42" s="276"/>
      <c r="N42" s="276"/>
      <c r="O42" s="276"/>
      <c r="P42" s="276"/>
      <c r="Q42" s="276"/>
      <c r="R42" s="276"/>
      <c r="S42" s="276"/>
    </row>
    <row r="43">
      <c r="A43" s="279"/>
      <c r="B43" s="279" t="s">
        <v>7654</v>
      </c>
      <c r="C43" s="279"/>
      <c r="D43" s="274"/>
      <c r="E43" s="279"/>
      <c r="F43" s="279"/>
      <c r="G43" s="275"/>
      <c r="H43" s="275"/>
      <c r="I43" s="279"/>
      <c r="J43" s="274"/>
      <c r="K43" s="279"/>
      <c r="L43" s="276"/>
      <c r="M43" s="276"/>
      <c r="N43" s="276"/>
      <c r="O43" s="276"/>
      <c r="P43" s="276"/>
      <c r="Q43" s="276"/>
      <c r="R43" s="276"/>
      <c r="S43" s="276"/>
    </row>
    <row r="44">
      <c r="A44" s="279"/>
      <c r="B44" s="279" t="s">
        <v>7671</v>
      </c>
      <c r="C44" s="279"/>
      <c r="D44" s="274"/>
      <c r="E44" s="279"/>
      <c r="F44" s="279"/>
      <c r="G44" s="275"/>
      <c r="H44" s="275"/>
      <c r="I44" s="279"/>
      <c r="J44" s="274"/>
      <c r="K44" s="279"/>
      <c r="L44" s="276"/>
      <c r="M44" s="276"/>
      <c r="N44" s="276"/>
      <c r="O44" s="276"/>
      <c r="P44" s="276"/>
      <c r="Q44" s="276"/>
      <c r="R44" s="276"/>
      <c r="S44" s="276"/>
    </row>
    <row r="45">
      <c r="A45" s="279"/>
      <c r="B45" s="279" t="s">
        <v>7570</v>
      </c>
      <c r="C45" s="279"/>
      <c r="D45" s="274"/>
      <c r="E45" s="279"/>
      <c r="F45" s="279"/>
      <c r="G45" s="275"/>
      <c r="H45" s="275"/>
      <c r="I45" s="279"/>
      <c r="J45" s="274"/>
      <c r="K45" s="279"/>
      <c r="L45" s="276"/>
      <c r="M45" s="276"/>
      <c r="N45" s="276"/>
      <c r="O45" s="276"/>
      <c r="P45" s="276"/>
      <c r="Q45" s="276"/>
      <c r="R45" s="276"/>
      <c r="S45" s="276"/>
    </row>
    <row r="46">
      <c r="A46" s="279"/>
      <c r="B46" s="279" t="s">
        <v>7683</v>
      </c>
      <c r="C46" s="279"/>
      <c r="D46" s="274"/>
      <c r="E46" s="279"/>
      <c r="F46" s="279"/>
      <c r="G46" s="275"/>
      <c r="H46" s="275"/>
      <c r="I46" s="279"/>
      <c r="J46" s="274"/>
      <c r="K46" s="279"/>
      <c r="L46" s="276"/>
      <c r="M46" s="276"/>
      <c r="N46" s="276"/>
      <c r="O46" s="276"/>
      <c r="P46" s="276"/>
      <c r="Q46" s="276"/>
      <c r="R46" s="276"/>
      <c r="S46" s="276"/>
    </row>
    <row r="47">
      <c r="A47" s="279"/>
      <c r="B47" s="279" t="s">
        <v>7637</v>
      </c>
      <c r="C47" s="279"/>
      <c r="D47" s="274"/>
      <c r="E47" s="279"/>
      <c r="F47" s="279"/>
      <c r="G47" s="275"/>
      <c r="H47" s="275"/>
      <c r="I47" s="279"/>
      <c r="J47" s="274"/>
      <c r="K47" s="279"/>
      <c r="L47" s="276"/>
      <c r="M47" s="276"/>
      <c r="N47" s="276"/>
      <c r="O47" s="276"/>
      <c r="P47" s="276"/>
      <c r="Q47" s="276"/>
      <c r="R47" s="276"/>
      <c r="S47" s="276"/>
    </row>
    <row r="48">
      <c r="A48" s="279"/>
      <c r="B48" s="279" t="s">
        <v>7573</v>
      </c>
      <c r="C48" s="279"/>
      <c r="D48" s="274"/>
      <c r="E48" s="279"/>
      <c r="F48" s="279"/>
      <c r="G48" s="275"/>
      <c r="H48" s="275"/>
      <c r="I48" s="279"/>
      <c r="J48" s="274"/>
      <c r="K48" s="279"/>
      <c r="L48" s="276"/>
      <c r="M48" s="276"/>
      <c r="N48" s="276"/>
      <c r="O48" s="276"/>
      <c r="P48" s="276"/>
      <c r="Q48" s="276"/>
      <c r="R48" s="276"/>
      <c r="S48" s="276"/>
    </row>
    <row r="49">
      <c r="A49" s="279"/>
      <c r="B49" s="279" t="s">
        <v>7689</v>
      </c>
      <c r="C49" s="279"/>
      <c r="D49" s="274"/>
      <c r="E49" s="279"/>
      <c r="F49" s="279"/>
      <c r="G49" s="275"/>
      <c r="H49" s="275"/>
      <c r="I49" s="279"/>
      <c r="J49" s="274"/>
      <c r="K49" s="279"/>
      <c r="L49" s="276"/>
      <c r="M49" s="276"/>
      <c r="N49" s="276"/>
      <c r="O49" s="276"/>
      <c r="P49" s="276"/>
      <c r="Q49" s="276"/>
      <c r="R49" s="276"/>
      <c r="S49" s="276"/>
    </row>
    <row r="50">
      <c r="A50" s="279"/>
      <c r="B50" s="279" t="s">
        <v>7629</v>
      </c>
      <c r="C50" s="279"/>
      <c r="D50" s="274"/>
      <c r="E50" s="279"/>
      <c r="F50" s="279"/>
      <c r="G50" s="275"/>
      <c r="H50" s="275"/>
      <c r="I50" s="279"/>
      <c r="J50" s="274"/>
      <c r="K50" s="279"/>
      <c r="L50" s="276"/>
      <c r="M50" s="276"/>
      <c r="N50" s="276"/>
      <c r="O50" s="276"/>
      <c r="P50" s="276"/>
      <c r="Q50" s="276"/>
      <c r="R50" s="276"/>
      <c r="S50" s="276"/>
    </row>
    <row r="51">
      <c r="A51" s="279"/>
      <c r="B51" s="279" t="s">
        <v>7681</v>
      </c>
      <c r="C51" s="279"/>
      <c r="D51" s="274"/>
      <c r="E51" s="279"/>
      <c r="F51" s="279"/>
      <c r="G51" s="275"/>
      <c r="H51" s="275"/>
      <c r="I51" s="279"/>
      <c r="J51" s="274"/>
      <c r="K51" s="279"/>
      <c r="L51" s="276"/>
      <c r="M51" s="276"/>
      <c r="N51" s="276"/>
      <c r="O51" s="276"/>
      <c r="P51" s="276"/>
      <c r="Q51" s="276"/>
      <c r="R51" s="276"/>
      <c r="S51" s="276"/>
    </row>
    <row r="52">
      <c r="A52" s="279"/>
      <c r="B52" s="279" t="s">
        <v>7670</v>
      </c>
      <c r="C52" s="279"/>
      <c r="D52" s="274"/>
      <c r="E52" s="279"/>
      <c r="F52" s="279"/>
      <c r="G52" s="275"/>
      <c r="H52" s="275"/>
      <c r="I52" s="279"/>
      <c r="J52" s="274"/>
      <c r="K52" s="279"/>
      <c r="L52" s="276"/>
      <c r="M52" s="276"/>
      <c r="N52" s="276"/>
      <c r="O52" s="276"/>
      <c r="P52" s="276"/>
      <c r="Q52" s="276"/>
      <c r="R52" s="276"/>
      <c r="S52" s="276"/>
    </row>
    <row r="53">
      <c r="A53" s="279"/>
      <c r="B53" s="279" t="s">
        <v>7709</v>
      </c>
      <c r="C53" s="279"/>
      <c r="D53" s="274"/>
      <c r="E53" s="279"/>
      <c r="F53" s="279"/>
      <c r="G53" s="275"/>
      <c r="H53" s="275"/>
      <c r="I53" s="279"/>
      <c r="J53" s="274"/>
      <c r="K53" s="279"/>
      <c r="L53" s="276"/>
      <c r="M53" s="276"/>
      <c r="N53" s="276"/>
      <c r="O53" s="276"/>
      <c r="P53" s="276"/>
      <c r="Q53" s="276"/>
      <c r="R53" s="276"/>
      <c r="S53" s="276"/>
    </row>
    <row r="54">
      <c r="A54" s="279"/>
      <c r="B54" s="279" t="s">
        <v>7581</v>
      </c>
      <c r="C54" s="279"/>
      <c r="D54" s="274"/>
      <c r="E54" s="279"/>
      <c r="F54" s="279"/>
      <c r="G54" s="275"/>
      <c r="H54" s="275"/>
      <c r="I54" s="279"/>
      <c r="J54" s="274"/>
      <c r="K54" s="279"/>
      <c r="L54" s="276"/>
      <c r="M54" s="276"/>
      <c r="N54" s="276"/>
      <c r="O54" s="276"/>
      <c r="P54" s="276"/>
      <c r="Q54" s="276"/>
      <c r="R54" s="276"/>
      <c r="S54" s="276"/>
    </row>
    <row r="55">
      <c r="A55" s="279"/>
      <c r="B55" s="279" t="s">
        <v>7615</v>
      </c>
      <c r="C55" s="279"/>
      <c r="D55" s="274"/>
      <c r="E55" s="279"/>
      <c r="F55" s="279"/>
      <c r="G55" s="275"/>
      <c r="H55" s="275"/>
      <c r="I55" s="279"/>
      <c r="J55" s="274"/>
      <c r="K55" s="279"/>
      <c r="L55" s="276"/>
      <c r="M55" s="276"/>
      <c r="N55" s="276"/>
      <c r="O55" s="276"/>
      <c r="P55" s="276"/>
      <c r="Q55" s="276"/>
      <c r="R55" s="276"/>
      <c r="S55" s="276"/>
    </row>
    <row r="56">
      <c r="A56" s="279"/>
      <c r="B56" s="279" t="s">
        <v>7699</v>
      </c>
      <c r="C56" s="279"/>
      <c r="D56" s="274"/>
      <c r="E56" s="279"/>
      <c r="F56" s="279"/>
      <c r="G56" s="275"/>
      <c r="H56" s="275"/>
      <c r="I56" s="279"/>
      <c r="J56" s="274"/>
      <c r="K56" s="279"/>
      <c r="L56" s="276"/>
      <c r="M56" s="276"/>
      <c r="N56" s="276"/>
      <c r="O56" s="276"/>
      <c r="P56" s="276"/>
      <c r="Q56" s="276"/>
      <c r="R56" s="276"/>
      <c r="S56" s="276"/>
    </row>
    <row r="57">
      <c r="A57" s="279"/>
      <c r="B57" s="279" t="s">
        <v>7669</v>
      </c>
      <c r="C57" s="279"/>
      <c r="D57" s="274"/>
      <c r="E57" s="279"/>
      <c r="F57" s="279"/>
      <c r="G57" s="275"/>
      <c r="H57" s="275"/>
      <c r="I57" s="279"/>
      <c r="J57" s="274"/>
      <c r="K57" s="279"/>
      <c r="L57" s="276"/>
      <c r="M57" s="276"/>
      <c r="N57" s="276"/>
      <c r="O57" s="276"/>
      <c r="P57" s="276"/>
      <c r="Q57" s="276"/>
      <c r="R57" s="276"/>
      <c r="S57" s="276"/>
    </row>
    <row r="58">
      <c r="A58" s="279"/>
      <c r="B58" s="279" t="s">
        <v>7676</v>
      </c>
      <c r="C58" s="279"/>
      <c r="D58" s="274"/>
      <c r="E58" s="279"/>
      <c r="F58" s="279"/>
      <c r="G58" s="275"/>
      <c r="H58" s="275"/>
      <c r="I58" s="279"/>
      <c r="J58" s="274"/>
      <c r="K58" s="279"/>
      <c r="L58" s="276"/>
      <c r="M58" s="276"/>
      <c r="N58" s="276"/>
      <c r="O58" s="276"/>
      <c r="P58" s="276"/>
      <c r="Q58" s="276"/>
      <c r="R58" s="276"/>
      <c r="S58" s="276"/>
    </row>
    <row r="59">
      <c r="A59" s="279"/>
      <c r="B59" s="279" t="s">
        <v>7627</v>
      </c>
      <c r="C59" s="279"/>
      <c r="D59" s="274"/>
      <c r="E59" s="279"/>
      <c r="F59" s="279"/>
      <c r="G59" s="275"/>
      <c r="H59" s="275"/>
      <c r="I59" s="279"/>
      <c r="J59" s="274"/>
      <c r="K59" s="279"/>
      <c r="L59" s="276"/>
      <c r="M59" s="276"/>
      <c r="N59" s="276"/>
      <c r="O59" s="276"/>
      <c r="P59" s="276"/>
      <c r="Q59" s="276"/>
      <c r="R59" s="276"/>
      <c r="S59" s="276"/>
    </row>
    <row r="60">
      <c r="A60" s="279"/>
      <c r="B60" s="279" t="s">
        <v>7668</v>
      </c>
      <c r="C60" s="279"/>
      <c r="D60" s="274"/>
      <c r="E60" s="279"/>
      <c r="F60" s="279"/>
      <c r="G60" s="275"/>
      <c r="H60" s="275"/>
      <c r="I60" s="279"/>
      <c r="J60" s="274"/>
      <c r="K60" s="279"/>
      <c r="L60" s="276"/>
      <c r="M60" s="276"/>
      <c r="N60" s="276"/>
      <c r="O60" s="276"/>
      <c r="P60" s="276"/>
      <c r="Q60" s="276"/>
      <c r="R60" s="276"/>
      <c r="S60" s="276"/>
    </row>
    <row r="61">
      <c r="A61" s="279"/>
      <c r="B61" s="279" t="s">
        <v>7611</v>
      </c>
      <c r="C61" s="279"/>
      <c r="D61" s="274"/>
      <c r="E61" s="279"/>
      <c r="F61" s="279"/>
      <c r="G61" s="275"/>
      <c r="H61" s="275"/>
      <c r="I61" s="279"/>
      <c r="J61" s="274"/>
      <c r="K61" s="279"/>
      <c r="L61" s="276"/>
      <c r="M61" s="276"/>
      <c r="N61" s="276"/>
      <c r="O61" s="276"/>
      <c r="P61" s="276"/>
      <c r="Q61" s="276"/>
      <c r="R61" s="276"/>
      <c r="S61" s="276"/>
    </row>
    <row r="62">
      <c r="A62" s="279"/>
      <c r="B62" s="279" t="s">
        <v>7576</v>
      </c>
      <c r="C62" s="279"/>
      <c r="D62" s="274"/>
      <c r="E62" s="279"/>
      <c r="F62" s="279"/>
      <c r="G62" s="275"/>
      <c r="H62" s="275"/>
      <c r="I62" s="279"/>
      <c r="J62" s="274"/>
      <c r="K62" s="279"/>
      <c r="L62" s="276"/>
      <c r="M62" s="276"/>
      <c r="N62" s="276"/>
      <c r="O62" s="276"/>
      <c r="P62" s="276"/>
      <c r="Q62" s="276"/>
      <c r="R62" s="276"/>
      <c r="S62" s="276"/>
    </row>
    <row r="63">
      <c r="A63" s="279"/>
      <c r="B63" s="279" t="s">
        <v>7674</v>
      </c>
      <c r="C63" s="279"/>
      <c r="D63" s="274"/>
      <c r="E63" s="279"/>
      <c r="F63" s="279"/>
      <c r="G63" s="275"/>
      <c r="H63" s="275"/>
      <c r="I63" s="279"/>
      <c r="J63" s="274"/>
      <c r="K63" s="279"/>
      <c r="L63" s="276"/>
      <c r="M63" s="276"/>
      <c r="N63" s="276"/>
      <c r="O63" s="276"/>
      <c r="P63" s="276"/>
      <c r="Q63" s="276"/>
      <c r="R63" s="276"/>
      <c r="S63" s="276"/>
    </row>
    <row r="64">
      <c r="A64" s="279"/>
      <c r="B64" s="279" t="s">
        <v>7619</v>
      </c>
      <c r="C64" s="279"/>
      <c r="D64" s="274"/>
      <c r="E64" s="279"/>
      <c r="F64" s="279"/>
      <c r="G64" s="275"/>
      <c r="H64" s="275"/>
      <c r="I64" s="279"/>
      <c r="J64" s="274"/>
      <c r="K64" s="279"/>
      <c r="L64" s="276"/>
      <c r="M64" s="276"/>
      <c r="N64" s="276"/>
      <c r="O64" s="276"/>
      <c r="P64" s="276"/>
      <c r="Q64" s="276"/>
      <c r="R64" s="276"/>
      <c r="S64" s="276"/>
    </row>
    <row r="65">
      <c r="A65" s="279"/>
      <c r="B65" s="279" t="s">
        <v>7679</v>
      </c>
      <c r="C65" s="279"/>
      <c r="D65" s="274"/>
      <c r="E65" s="279"/>
      <c r="F65" s="279"/>
      <c r="G65" s="275"/>
      <c r="H65" s="275"/>
      <c r="I65" s="279"/>
      <c r="J65" s="274"/>
      <c r="K65" s="279"/>
      <c r="L65" s="276"/>
      <c r="M65" s="276"/>
      <c r="N65" s="276"/>
      <c r="O65" s="276"/>
      <c r="P65" s="276"/>
      <c r="Q65" s="276"/>
      <c r="R65" s="276"/>
      <c r="S65" s="276"/>
    </row>
    <row r="66">
      <c r="A66" s="279"/>
      <c r="B66" s="279" t="s">
        <v>7687</v>
      </c>
      <c r="C66" s="279"/>
      <c r="D66" s="274"/>
      <c r="E66" s="279"/>
      <c r="F66" s="279"/>
      <c r="G66" s="275"/>
      <c r="H66" s="275"/>
      <c r="I66" s="279"/>
      <c r="J66" s="274"/>
      <c r="K66" s="279"/>
      <c r="L66" s="276"/>
      <c r="M66" s="276"/>
      <c r="N66" s="276"/>
      <c r="O66" s="276"/>
      <c r="P66" s="276"/>
      <c r="Q66" s="276"/>
      <c r="R66" s="276"/>
      <c r="S66" s="276"/>
    </row>
    <row r="67">
      <c r="A67" s="279"/>
      <c r="B67" s="279" t="s">
        <v>7579</v>
      </c>
      <c r="C67" s="279"/>
      <c r="D67" s="274"/>
      <c r="E67" s="279"/>
      <c r="F67" s="279"/>
      <c r="G67" s="275"/>
      <c r="H67" s="275"/>
      <c r="I67" s="279"/>
      <c r="J67" s="274"/>
      <c r="K67" s="279"/>
      <c r="L67" s="276"/>
      <c r="M67" s="276"/>
      <c r="N67" s="276"/>
      <c r="O67" s="276"/>
      <c r="P67" s="276"/>
      <c r="Q67" s="276"/>
      <c r="R67" s="276"/>
      <c r="S67" s="276"/>
    </row>
    <row r="68">
      <c r="A68" s="279"/>
      <c r="B68" s="279" t="s">
        <v>7712</v>
      </c>
      <c r="C68" s="279"/>
      <c r="D68" s="274"/>
      <c r="E68" s="279"/>
      <c r="F68" s="279"/>
      <c r="G68" s="275"/>
      <c r="H68" s="275"/>
      <c r="I68" s="279"/>
      <c r="J68" s="274"/>
      <c r="K68" s="279"/>
      <c r="L68" s="276"/>
      <c r="M68" s="276"/>
      <c r="N68" s="276"/>
      <c r="O68" s="276"/>
      <c r="P68" s="276"/>
      <c r="Q68" s="276"/>
      <c r="R68" s="276"/>
      <c r="S68" s="276"/>
    </row>
    <row r="69">
      <c r="A69" s="279"/>
      <c r="B69" s="279" t="s">
        <v>7583</v>
      </c>
      <c r="C69" s="279"/>
      <c r="D69" s="274"/>
      <c r="E69" s="279"/>
      <c r="F69" s="279"/>
      <c r="G69" s="275"/>
      <c r="H69" s="275"/>
      <c r="I69" s="279"/>
      <c r="J69" s="274"/>
      <c r="K69" s="279"/>
      <c r="L69" s="276"/>
      <c r="M69" s="276"/>
      <c r="N69" s="276"/>
      <c r="O69" s="276"/>
      <c r="P69" s="276"/>
      <c r="Q69" s="276"/>
      <c r="R69" s="276"/>
      <c r="S69" s="276"/>
    </row>
    <row r="70">
      <c r="A70" s="279"/>
      <c r="B70" s="279" t="s">
        <v>198</v>
      </c>
      <c r="C70" s="279"/>
      <c r="D70" s="274"/>
      <c r="E70" s="279"/>
      <c r="F70" s="279"/>
      <c r="G70" s="275"/>
      <c r="H70" s="275"/>
      <c r="I70" s="279"/>
      <c r="J70" s="274"/>
      <c r="K70" s="279"/>
      <c r="L70" s="276"/>
      <c r="M70" s="276"/>
      <c r="N70" s="276"/>
      <c r="O70" s="276"/>
      <c r="P70" s="276"/>
      <c r="Q70" s="276"/>
      <c r="R70" s="276"/>
      <c r="S70" s="276"/>
    </row>
    <row r="71">
      <c r="A71" s="279"/>
      <c r="B71" s="279" t="s">
        <v>7645</v>
      </c>
      <c r="C71" s="279"/>
      <c r="D71" s="274"/>
      <c r="E71" s="279"/>
      <c r="F71" s="279"/>
      <c r="G71" s="275"/>
      <c r="H71" s="275"/>
      <c r="I71" s="279"/>
      <c r="J71" s="274"/>
      <c r="K71" s="279"/>
      <c r="L71" s="276"/>
      <c r="M71" s="276"/>
      <c r="N71" s="276"/>
      <c r="O71" s="276"/>
      <c r="P71" s="276"/>
      <c r="Q71" s="276"/>
      <c r="R71" s="276"/>
      <c r="S71" s="276"/>
    </row>
    <row r="72">
      <c r="A72" s="279"/>
      <c r="B72" s="279" t="s">
        <v>7696</v>
      </c>
      <c r="C72" s="279"/>
      <c r="D72" s="274"/>
      <c r="E72" s="279"/>
      <c r="F72" s="279"/>
      <c r="G72" s="275"/>
      <c r="H72" s="275"/>
      <c r="I72" s="279"/>
      <c r="J72" s="274"/>
      <c r="K72" s="279"/>
      <c r="L72" s="276"/>
      <c r="M72" s="276"/>
      <c r="N72" s="276"/>
      <c r="O72" s="276"/>
      <c r="P72" s="276"/>
      <c r="Q72" s="276"/>
      <c r="R72" s="276"/>
      <c r="S72" s="276"/>
    </row>
    <row r="73">
      <c r="A73" s="279"/>
      <c r="B73" s="279" t="s">
        <v>7705</v>
      </c>
      <c r="C73" s="279"/>
      <c r="D73" s="274"/>
      <c r="E73" s="279"/>
      <c r="F73" s="279"/>
      <c r="G73" s="275"/>
      <c r="H73" s="275"/>
      <c r="I73" s="279"/>
      <c r="J73" s="274"/>
      <c r="K73" s="279"/>
      <c r="L73" s="276"/>
      <c r="M73" s="276"/>
      <c r="N73" s="276"/>
      <c r="O73" s="276"/>
      <c r="P73" s="276"/>
      <c r="Q73" s="276"/>
      <c r="R73" s="276"/>
      <c r="S73" s="276"/>
    </row>
    <row r="74">
      <c r="A74" s="279"/>
      <c r="B74" s="279" t="s">
        <v>7658</v>
      </c>
      <c r="C74" s="279"/>
      <c r="D74" s="274"/>
      <c r="E74" s="279"/>
      <c r="F74" s="279"/>
      <c r="G74" s="275"/>
      <c r="H74" s="275"/>
      <c r="I74" s="279"/>
      <c r="J74" s="274"/>
      <c r="K74" s="279"/>
      <c r="L74" s="276"/>
      <c r="M74" s="276"/>
      <c r="N74" s="276"/>
      <c r="O74" s="276"/>
      <c r="P74" s="276"/>
      <c r="Q74" s="276"/>
      <c r="R74" s="276"/>
      <c r="S74" s="276"/>
    </row>
    <row r="75">
      <c r="A75" s="279"/>
      <c r="B75" s="279" t="s">
        <v>7572</v>
      </c>
      <c r="C75" s="279"/>
      <c r="D75" s="274"/>
      <c r="E75" s="279"/>
      <c r="F75" s="279"/>
      <c r="G75" s="275"/>
      <c r="H75" s="275"/>
      <c r="I75" s="279"/>
      <c r="J75" s="274"/>
      <c r="K75" s="279"/>
      <c r="L75" s="276"/>
      <c r="M75" s="276"/>
      <c r="N75" s="276"/>
      <c r="O75" s="276"/>
      <c r="P75" s="276"/>
      <c r="Q75" s="276"/>
      <c r="R75" s="276"/>
      <c r="S75" s="276"/>
    </row>
    <row r="76">
      <c r="A76" s="279"/>
      <c r="B76" s="279" t="s">
        <v>7688</v>
      </c>
      <c r="C76" s="279"/>
      <c r="D76" s="274"/>
      <c r="E76" s="279"/>
      <c r="F76" s="279"/>
      <c r="G76" s="275"/>
      <c r="H76" s="275"/>
      <c r="I76" s="279"/>
      <c r="J76" s="274"/>
      <c r="K76" s="279"/>
      <c r="L76" s="276"/>
      <c r="M76" s="276"/>
      <c r="N76" s="276"/>
      <c r="O76" s="276"/>
      <c r="P76" s="276"/>
      <c r="Q76" s="276"/>
      <c r="R76" s="276"/>
      <c r="S76" s="276"/>
    </row>
    <row r="77">
      <c r="A77" s="279"/>
      <c r="B77" s="279" t="s">
        <v>7692</v>
      </c>
      <c r="C77" s="279"/>
      <c r="D77" s="274"/>
      <c r="E77" s="279"/>
      <c r="F77" s="279"/>
      <c r="G77" s="275"/>
      <c r="H77" s="275"/>
      <c r="I77" s="279"/>
      <c r="J77" s="274"/>
      <c r="K77" s="279"/>
      <c r="L77" s="276"/>
      <c r="M77" s="276"/>
      <c r="N77" s="276"/>
      <c r="O77" s="276"/>
      <c r="P77" s="276"/>
      <c r="Q77" s="276"/>
      <c r="R77" s="276"/>
      <c r="S77" s="276"/>
    </row>
    <row r="78">
      <c r="A78" s="279"/>
      <c r="B78" s="279" t="s">
        <v>7643</v>
      </c>
      <c r="C78" s="279"/>
      <c r="D78" s="274"/>
      <c r="E78" s="279"/>
      <c r="F78" s="279"/>
      <c r="G78" s="275"/>
      <c r="H78" s="275"/>
      <c r="I78" s="279"/>
      <c r="J78" s="274"/>
      <c r="K78" s="279"/>
      <c r="L78" s="276"/>
      <c r="M78" s="276"/>
      <c r="N78" s="276"/>
      <c r="O78" s="276"/>
      <c r="P78" s="276"/>
      <c r="Q78" s="276"/>
      <c r="R78" s="276"/>
      <c r="S78" s="276"/>
    </row>
    <row r="79">
      <c r="A79" s="279"/>
      <c r="B79" s="279" t="s">
        <v>7686</v>
      </c>
      <c r="C79" s="279"/>
      <c r="D79" s="274"/>
      <c r="E79" s="279"/>
      <c r="F79" s="279"/>
      <c r="G79" s="275"/>
      <c r="H79" s="275"/>
      <c r="I79" s="279"/>
      <c r="J79" s="274"/>
      <c r="K79" s="279"/>
      <c r="L79" s="276"/>
      <c r="M79" s="276"/>
      <c r="N79" s="276"/>
      <c r="O79" s="276"/>
      <c r="P79" s="276"/>
      <c r="Q79" s="276"/>
      <c r="R79" s="276"/>
      <c r="S79" s="276"/>
    </row>
    <row r="80">
      <c r="A80" s="279"/>
      <c r="B80" s="279" t="s">
        <v>7700</v>
      </c>
      <c r="C80" s="279"/>
      <c r="D80" s="274"/>
      <c r="E80" s="279"/>
      <c r="F80" s="279"/>
      <c r="G80" s="275"/>
      <c r="H80" s="275"/>
      <c r="I80" s="279"/>
      <c r="J80" s="274"/>
      <c r="K80" s="279"/>
      <c r="L80" s="276"/>
      <c r="M80" s="276"/>
      <c r="N80" s="276"/>
      <c r="O80" s="276"/>
      <c r="P80" s="276"/>
      <c r="Q80" s="276"/>
      <c r="R80" s="276"/>
      <c r="S80" s="276"/>
    </row>
    <row r="81">
      <c r="A81" s="279"/>
      <c r="B81" s="279" t="s">
        <v>7701</v>
      </c>
      <c r="C81" s="279"/>
      <c r="D81" s="274"/>
      <c r="E81" s="279"/>
      <c r="F81" s="279"/>
      <c r="G81" s="275"/>
      <c r="H81" s="275"/>
      <c r="I81" s="279"/>
      <c r="J81" s="274"/>
      <c r="K81" s="279"/>
      <c r="L81" s="276"/>
      <c r="M81" s="276"/>
      <c r="N81" s="276"/>
      <c r="O81" s="276"/>
      <c r="P81" s="276"/>
      <c r="Q81" s="276"/>
      <c r="R81" s="276"/>
      <c r="S81" s="276"/>
    </row>
    <row r="82">
      <c r="A82" s="279"/>
      <c r="B82" s="279" t="s">
        <v>7595</v>
      </c>
      <c r="C82" s="279"/>
      <c r="D82" s="274"/>
      <c r="E82" s="279"/>
      <c r="F82" s="279"/>
      <c r="G82" s="275"/>
      <c r="H82" s="275"/>
      <c r="I82" s="279"/>
      <c r="J82" s="274"/>
      <c r="K82" s="279"/>
      <c r="L82" s="276"/>
      <c r="M82" s="276"/>
      <c r="N82" s="276"/>
      <c r="O82" s="276"/>
      <c r="P82" s="276"/>
      <c r="Q82" s="276"/>
      <c r="R82" s="276"/>
      <c r="S82" s="276"/>
    </row>
    <row r="83">
      <c r="A83" s="279"/>
      <c r="B83" s="279" t="s">
        <v>7706</v>
      </c>
      <c r="C83" s="279"/>
      <c r="D83" s="274"/>
      <c r="E83" s="279"/>
      <c r="F83" s="279"/>
      <c r="G83" s="275"/>
      <c r="H83" s="275"/>
      <c r="I83" s="279"/>
      <c r="J83" s="274"/>
      <c r="K83" s="279"/>
      <c r="L83" s="276"/>
      <c r="M83" s="276"/>
      <c r="N83" s="276"/>
      <c r="O83" s="276"/>
      <c r="P83" s="276"/>
      <c r="Q83" s="276"/>
      <c r="R83" s="276"/>
      <c r="S83" s="276"/>
    </row>
    <row r="84">
      <c r="A84" s="279"/>
      <c r="B84" s="279" t="s">
        <v>7607</v>
      </c>
      <c r="C84" s="279"/>
      <c r="D84" s="274"/>
      <c r="E84" s="279"/>
      <c r="F84" s="279"/>
      <c r="G84" s="275"/>
      <c r="H84" s="275"/>
      <c r="I84" s="279"/>
      <c r="J84" s="274"/>
      <c r="K84" s="279"/>
      <c r="L84" s="276"/>
      <c r="M84" s="276"/>
      <c r="N84" s="276"/>
      <c r="O84" s="276"/>
      <c r="P84" s="276"/>
      <c r="Q84" s="276"/>
      <c r="R84" s="276"/>
      <c r="S84" s="276"/>
    </row>
    <row r="85">
      <c r="A85" s="279"/>
      <c r="B85" s="279" t="s">
        <v>7591</v>
      </c>
      <c r="C85" s="279"/>
      <c r="D85" s="274"/>
      <c r="E85" s="279"/>
      <c r="F85" s="279"/>
      <c r="G85" s="275"/>
      <c r="H85" s="275"/>
      <c r="I85" s="279"/>
      <c r="J85" s="274"/>
      <c r="K85" s="279"/>
      <c r="L85" s="276"/>
      <c r="M85" s="276"/>
      <c r="N85" s="276"/>
      <c r="O85" s="276"/>
      <c r="P85" s="276"/>
      <c r="Q85" s="276"/>
      <c r="R85" s="276"/>
      <c r="S85" s="276"/>
    </row>
    <row r="86">
      <c r="A86" s="279"/>
      <c r="B86" s="279" t="s">
        <v>7585</v>
      </c>
      <c r="C86" s="279"/>
      <c r="D86" s="274"/>
      <c r="E86" s="279"/>
      <c r="F86" s="279"/>
      <c r="G86" s="275"/>
      <c r="H86" s="275"/>
      <c r="I86" s="279"/>
      <c r="J86" s="274"/>
      <c r="K86" s="279"/>
      <c r="L86" s="276"/>
      <c r="M86" s="276"/>
      <c r="N86" s="276"/>
      <c r="O86" s="276"/>
      <c r="P86" s="276"/>
      <c r="Q86" s="276"/>
      <c r="R86" s="276"/>
      <c r="S86" s="276"/>
    </row>
    <row r="87">
      <c r="A87" s="279"/>
      <c r="B87" s="279" t="s">
        <v>7605</v>
      </c>
      <c r="C87" s="279"/>
      <c r="D87" s="274"/>
      <c r="E87" s="279"/>
      <c r="F87" s="279"/>
      <c r="G87" s="275"/>
      <c r="H87" s="275"/>
      <c r="I87" s="279"/>
      <c r="J87" s="274"/>
      <c r="K87" s="279"/>
      <c r="L87" s="276"/>
      <c r="M87" s="276"/>
      <c r="N87" s="276"/>
      <c r="O87" s="276"/>
      <c r="P87" s="276"/>
      <c r="Q87" s="276"/>
      <c r="R87" s="276"/>
      <c r="S87" s="276"/>
    </row>
    <row r="88">
      <c r="A88" s="279"/>
      <c r="B88" s="279" t="s">
        <v>7597</v>
      </c>
      <c r="C88" s="279"/>
      <c r="D88" s="274"/>
      <c r="E88" s="279"/>
      <c r="F88" s="279"/>
      <c r="G88" s="275"/>
      <c r="H88" s="275"/>
      <c r="I88" s="279"/>
      <c r="J88" s="274"/>
      <c r="K88" s="279"/>
      <c r="L88" s="276"/>
      <c r="M88" s="276"/>
      <c r="N88" s="276"/>
      <c r="O88" s="276"/>
      <c r="P88" s="276"/>
      <c r="Q88" s="276"/>
      <c r="R88" s="276"/>
      <c r="S88" s="276"/>
    </row>
    <row r="89">
      <c r="A89" s="279"/>
      <c r="B89" s="279" t="s">
        <v>7677</v>
      </c>
      <c r="C89" s="279"/>
      <c r="D89" s="274"/>
      <c r="E89" s="279"/>
      <c r="F89" s="279"/>
      <c r="G89" s="275"/>
      <c r="H89" s="275"/>
      <c r="I89" s="279"/>
      <c r="J89" s="274"/>
      <c r="K89" s="279"/>
      <c r="L89" s="276"/>
      <c r="M89" s="276"/>
      <c r="N89" s="276"/>
      <c r="O89" s="276"/>
      <c r="P89" s="276"/>
      <c r="Q89" s="276"/>
      <c r="R89" s="276"/>
      <c r="S89" s="276"/>
    </row>
    <row r="90">
      <c r="A90" s="279"/>
      <c r="B90" s="279" t="s">
        <v>7589</v>
      </c>
      <c r="C90" s="279"/>
      <c r="D90" s="274"/>
      <c r="E90" s="279"/>
      <c r="F90" s="279"/>
      <c r="G90" s="275"/>
      <c r="H90" s="275"/>
      <c r="I90" s="279"/>
      <c r="J90" s="274"/>
      <c r="K90" s="279"/>
      <c r="L90" s="276"/>
      <c r="M90" s="276"/>
      <c r="N90" s="276"/>
      <c r="O90" s="276"/>
      <c r="P90" s="276"/>
      <c r="Q90" s="276"/>
      <c r="R90" s="276"/>
      <c r="S90" s="276"/>
    </row>
    <row r="91">
      <c r="A91" s="279"/>
      <c r="B91" s="279" t="s">
        <v>7711</v>
      </c>
      <c r="C91" s="279"/>
      <c r="D91" s="274"/>
      <c r="E91" s="279"/>
      <c r="F91" s="279"/>
      <c r="G91" s="275"/>
      <c r="H91" s="275"/>
      <c r="I91" s="279"/>
      <c r="J91" s="274"/>
      <c r="K91" s="279"/>
      <c r="L91" s="276"/>
      <c r="M91" s="276"/>
      <c r="N91" s="276"/>
      <c r="O91" s="276"/>
      <c r="P91" s="276"/>
      <c r="Q91" s="276"/>
      <c r="R91" s="276"/>
      <c r="S91" s="276"/>
    </row>
    <row r="92">
      <c r="A92" s="279"/>
      <c r="B92" s="279" t="s">
        <v>7593</v>
      </c>
      <c r="C92" s="279"/>
      <c r="D92" s="274"/>
      <c r="E92" s="279"/>
      <c r="F92" s="279"/>
      <c r="G92" s="275"/>
      <c r="H92" s="275"/>
      <c r="I92" s="279"/>
      <c r="J92" s="274"/>
      <c r="K92" s="279"/>
      <c r="L92" s="276"/>
      <c r="M92" s="276"/>
      <c r="N92" s="276"/>
      <c r="O92" s="276"/>
      <c r="P92" s="276"/>
      <c r="Q92" s="276"/>
      <c r="R92" s="276"/>
      <c r="S92" s="276"/>
    </row>
    <row r="93">
      <c r="A93" s="279"/>
      <c r="B93" s="279" t="s">
        <v>7703</v>
      </c>
      <c r="C93" s="279"/>
      <c r="D93" s="274"/>
      <c r="E93" s="279"/>
      <c r="F93" s="279"/>
      <c r="G93" s="275"/>
      <c r="H93" s="275"/>
      <c r="I93" s="279"/>
      <c r="J93" s="274"/>
      <c r="K93" s="279"/>
      <c r="L93" s="276"/>
      <c r="M93" s="276"/>
      <c r="N93" s="276"/>
      <c r="O93" s="276"/>
      <c r="P93" s="276"/>
      <c r="Q93" s="276"/>
      <c r="R93" s="276"/>
      <c r="S93" s="276"/>
    </row>
    <row r="94">
      <c r="A94" s="279"/>
      <c r="B94" s="279" t="s">
        <v>7694</v>
      </c>
      <c r="C94" s="279"/>
      <c r="D94" s="274"/>
      <c r="E94" s="279"/>
      <c r="F94" s="279"/>
      <c r="G94" s="275"/>
      <c r="H94" s="275"/>
      <c r="I94" s="279"/>
      <c r="J94" s="274"/>
      <c r="K94" s="279"/>
      <c r="L94" s="276"/>
      <c r="M94" s="276"/>
      <c r="N94" s="276"/>
      <c r="O94" s="276"/>
      <c r="P94" s="276"/>
      <c r="Q94" s="276"/>
      <c r="R94" s="276"/>
      <c r="S94" s="276"/>
    </row>
    <row r="95">
      <c r="A95" s="279"/>
      <c r="B95" s="279" t="s">
        <v>7603</v>
      </c>
      <c r="C95" s="279"/>
      <c r="D95" s="274"/>
      <c r="E95" s="279"/>
      <c r="F95" s="279"/>
      <c r="G95" s="275"/>
      <c r="H95" s="275"/>
      <c r="I95" s="279"/>
      <c r="J95" s="274"/>
      <c r="K95" s="279"/>
      <c r="L95" s="276"/>
      <c r="M95" s="276"/>
      <c r="N95" s="276"/>
      <c r="O95" s="276"/>
      <c r="P95" s="276"/>
      <c r="Q95" s="276"/>
      <c r="R95" s="276"/>
      <c r="S95" s="276"/>
    </row>
    <row r="96">
      <c r="A96" s="279"/>
      <c r="B96" s="279" t="s">
        <v>7672</v>
      </c>
      <c r="C96" s="279"/>
      <c r="D96" s="274"/>
      <c r="E96" s="279"/>
      <c r="F96" s="279"/>
      <c r="G96" s="275"/>
      <c r="H96" s="275"/>
      <c r="I96" s="279"/>
      <c r="J96" s="274"/>
      <c r="K96" s="279"/>
      <c r="L96" s="276"/>
      <c r="M96" s="276"/>
      <c r="N96" s="276"/>
      <c r="O96" s="276"/>
      <c r="P96" s="276"/>
      <c r="Q96" s="276"/>
      <c r="R96" s="276"/>
      <c r="S96" s="276"/>
    </row>
    <row r="97">
      <c r="A97" s="279"/>
      <c r="B97" s="279" t="s">
        <v>7713</v>
      </c>
      <c r="C97" s="279"/>
      <c r="D97" s="274"/>
      <c r="E97" s="279"/>
      <c r="F97" s="279"/>
      <c r="G97" s="275"/>
      <c r="H97" s="275"/>
      <c r="I97" s="279"/>
      <c r="J97" s="274"/>
      <c r="K97" s="279"/>
      <c r="L97" s="276"/>
      <c r="M97" s="276"/>
      <c r="N97" s="276"/>
      <c r="O97" s="276"/>
      <c r="P97" s="276"/>
      <c r="Q97" s="276"/>
      <c r="R97" s="276"/>
      <c r="S97" s="276"/>
    </row>
    <row r="98">
      <c r="A98" s="279"/>
      <c r="B98" s="279" t="s">
        <v>7625</v>
      </c>
      <c r="C98" s="279"/>
      <c r="D98" s="274"/>
      <c r="E98" s="279"/>
      <c r="F98" s="279"/>
      <c r="G98" s="275"/>
      <c r="H98" s="275"/>
      <c r="I98" s="279"/>
      <c r="J98" s="274"/>
      <c r="K98" s="279"/>
      <c r="L98" s="276"/>
      <c r="M98" s="276"/>
      <c r="N98" s="276"/>
      <c r="O98" s="276"/>
      <c r="P98" s="276"/>
      <c r="Q98" s="276"/>
      <c r="R98" s="276"/>
      <c r="S98" s="276"/>
    </row>
    <row r="99">
      <c r="A99" s="279"/>
      <c r="B99" s="279" t="s">
        <v>7698</v>
      </c>
      <c r="C99" s="279"/>
      <c r="D99" s="274"/>
      <c r="E99" s="279"/>
      <c r="F99" s="279"/>
      <c r="G99" s="275"/>
      <c r="H99" s="275"/>
      <c r="I99" s="279"/>
      <c r="J99" s="274"/>
      <c r="K99" s="279"/>
      <c r="L99" s="276"/>
      <c r="M99" s="276"/>
      <c r="N99" s="276"/>
      <c r="O99" s="276"/>
      <c r="P99" s="276"/>
      <c r="Q99" s="276"/>
      <c r="R99" s="276"/>
      <c r="S99" s="276"/>
    </row>
    <row r="100">
      <c r="A100" s="279"/>
      <c r="B100" s="279" t="s">
        <v>7691</v>
      </c>
      <c r="C100" s="279"/>
      <c r="D100" s="274"/>
      <c r="E100" s="279"/>
      <c r="F100" s="279"/>
      <c r="G100" s="275"/>
      <c r="H100" s="275"/>
      <c r="I100" s="279"/>
      <c r="J100" s="274"/>
      <c r="K100" s="279"/>
      <c r="L100" s="276"/>
      <c r="M100" s="276"/>
      <c r="N100" s="276"/>
      <c r="O100" s="276"/>
      <c r="P100" s="276"/>
      <c r="Q100" s="276"/>
      <c r="R100" s="276"/>
      <c r="S100" s="276"/>
    </row>
    <row r="101">
      <c r="A101" s="279"/>
      <c r="B101" s="279" t="s">
        <v>7693</v>
      </c>
      <c r="C101" s="279"/>
      <c r="D101" s="274"/>
      <c r="E101" s="279"/>
      <c r="F101" s="279"/>
      <c r="G101" s="275"/>
      <c r="H101" s="275"/>
      <c r="I101" s="279"/>
      <c r="J101" s="274"/>
      <c r="K101" s="279"/>
      <c r="L101" s="276"/>
      <c r="M101" s="276"/>
      <c r="N101" s="276"/>
      <c r="O101" s="276"/>
      <c r="P101" s="276"/>
      <c r="Q101" s="276"/>
      <c r="R101" s="276"/>
      <c r="S101" s="276"/>
    </row>
    <row r="102">
      <c r="A102" s="279"/>
      <c r="B102" s="279" t="s">
        <v>202</v>
      </c>
      <c r="C102" s="279"/>
      <c r="D102" s="274"/>
      <c r="E102" s="279"/>
      <c r="F102" s="279"/>
      <c r="G102" s="275"/>
      <c r="H102" s="275"/>
      <c r="I102" s="279"/>
      <c r="J102" s="274"/>
      <c r="K102" s="279"/>
      <c r="L102" s="276"/>
      <c r="M102" s="276"/>
      <c r="N102" s="276"/>
      <c r="O102" s="276"/>
      <c r="P102" s="276"/>
      <c r="Q102" s="276"/>
      <c r="R102" s="276"/>
      <c r="S102" s="276"/>
    </row>
    <row r="103">
      <c r="A103" s="279"/>
      <c r="B103" s="279" t="s">
        <v>7601</v>
      </c>
      <c r="C103" s="279"/>
      <c r="D103" s="274"/>
      <c r="E103" s="279"/>
      <c r="F103" s="279"/>
      <c r="G103" s="275"/>
      <c r="H103" s="275"/>
      <c r="I103" s="279"/>
      <c r="J103" s="274"/>
      <c r="K103" s="279"/>
      <c r="L103" s="276"/>
      <c r="M103" s="276"/>
      <c r="N103" s="276"/>
      <c r="O103" s="276"/>
      <c r="P103" s="276"/>
      <c r="Q103" s="276"/>
      <c r="R103" s="276"/>
      <c r="S103" s="276"/>
    </row>
    <row r="104">
      <c r="A104" s="279"/>
      <c r="B104" s="279" t="s">
        <v>7771</v>
      </c>
      <c r="C104" s="279"/>
      <c r="D104" s="274"/>
      <c r="E104" s="279"/>
      <c r="F104" s="279"/>
      <c r="G104" s="275"/>
      <c r="H104" s="275"/>
      <c r="I104" s="279"/>
      <c r="J104" s="274"/>
      <c r="K104" s="279"/>
      <c r="L104" s="276"/>
      <c r="M104" s="276"/>
      <c r="N104" s="276"/>
      <c r="O104" s="276"/>
      <c r="P104" s="276"/>
      <c r="Q104" s="276"/>
      <c r="R104" s="276"/>
      <c r="S104" s="276"/>
    </row>
    <row r="105">
      <c r="A105" s="279"/>
      <c r="B105" s="279" t="s">
        <v>7770</v>
      </c>
      <c r="C105" s="279"/>
      <c r="D105" s="274"/>
      <c r="E105" s="279"/>
      <c r="F105" s="279"/>
      <c r="G105" s="275"/>
      <c r="H105" s="275"/>
      <c r="I105" s="279"/>
      <c r="J105" s="274"/>
      <c r="K105" s="279"/>
      <c r="L105" s="276"/>
      <c r="M105" s="276"/>
      <c r="N105" s="276"/>
      <c r="O105" s="276"/>
      <c r="P105" s="276"/>
      <c r="Q105" s="276"/>
      <c r="R105" s="276"/>
      <c r="S105" s="276"/>
    </row>
    <row r="106">
      <c r="A106" s="279"/>
      <c r="B106" s="279" t="s">
        <v>7725</v>
      </c>
      <c r="C106" s="279"/>
      <c r="D106" s="274"/>
      <c r="E106" s="279"/>
      <c r="F106" s="279"/>
      <c r="G106" s="275"/>
      <c r="H106" s="275"/>
      <c r="I106" s="279"/>
      <c r="J106" s="274"/>
      <c r="K106" s="279"/>
      <c r="L106" s="276"/>
      <c r="M106" s="276"/>
      <c r="N106" s="276"/>
      <c r="O106" s="276"/>
      <c r="P106" s="276"/>
      <c r="Q106" s="276"/>
      <c r="R106" s="276"/>
      <c r="S106" s="276"/>
    </row>
    <row r="107">
      <c r="A107" s="279"/>
      <c r="B107" s="279" t="s">
        <v>7726</v>
      </c>
      <c r="C107" s="279"/>
      <c r="D107" s="274"/>
      <c r="E107" s="279"/>
      <c r="F107" s="279"/>
      <c r="G107" s="275"/>
      <c r="H107" s="275"/>
      <c r="I107" s="279"/>
      <c r="J107" s="274"/>
      <c r="K107" s="279"/>
      <c r="L107" s="276"/>
      <c r="M107" s="276"/>
      <c r="N107" s="276"/>
      <c r="O107" s="276"/>
      <c r="P107" s="276"/>
      <c r="Q107" s="276"/>
      <c r="R107" s="276"/>
      <c r="S107" s="276"/>
    </row>
    <row r="108">
      <c r="A108" s="279"/>
      <c r="B108" s="279" t="s">
        <v>7735</v>
      </c>
      <c r="C108" s="279"/>
      <c r="D108" s="274"/>
      <c r="E108" s="279"/>
      <c r="F108" s="279"/>
      <c r="G108" s="275"/>
      <c r="H108" s="275"/>
      <c r="I108" s="279"/>
      <c r="J108" s="274"/>
      <c r="K108" s="279"/>
      <c r="L108" s="276"/>
      <c r="M108" s="276"/>
      <c r="N108" s="276"/>
      <c r="O108" s="276"/>
      <c r="P108" s="276"/>
      <c r="Q108" s="276"/>
      <c r="R108" s="276"/>
      <c r="S108" s="276"/>
    </row>
    <row r="109">
      <c r="A109" s="279"/>
      <c r="B109" s="279" t="s">
        <v>7745</v>
      </c>
      <c r="C109" s="279"/>
      <c r="D109" s="274"/>
      <c r="E109" s="279"/>
      <c r="F109" s="279"/>
      <c r="G109" s="275"/>
      <c r="H109" s="275"/>
      <c r="I109" s="279"/>
      <c r="J109" s="274"/>
      <c r="K109" s="279"/>
      <c r="L109" s="276"/>
      <c r="M109" s="276"/>
      <c r="N109" s="276"/>
      <c r="O109" s="276"/>
      <c r="P109" s="276"/>
      <c r="Q109" s="276"/>
      <c r="R109" s="276"/>
      <c r="S109" s="276"/>
    </row>
    <row r="110">
      <c r="A110" s="279"/>
      <c r="B110" s="279" t="s">
        <v>7738</v>
      </c>
      <c r="C110" s="279"/>
      <c r="D110" s="274"/>
      <c r="E110" s="279"/>
      <c r="F110" s="279"/>
      <c r="G110" s="275"/>
      <c r="H110" s="275"/>
      <c r="I110" s="279"/>
      <c r="J110" s="274"/>
      <c r="K110" s="279"/>
      <c r="L110" s="276"/>
      <c r="M110" s="276"/>
      <c r="N110" s="276"/>
      <c r="O110" s="276"/>
      <c r="P110" s="276"/>
      <c r="Q110" s="276"/>
      <c r="R110" s="276"/>
      <c r="S110" s="276"/>
    </row>
    <row r="111">
      <c r="A111" s="279"/>
      <c r="B111" s="279" t="s">
        <v>7732</v>
      </c>
      <c r="C111" s="279"/>
      <c r="D111" s="274"/>
      <c r="E111" s="279"/>
      <c r="F111" s="279"/>
      <c r="G111" s="275"/>
      <c r="H111" s="275"/>
      <c r="I111" s="279"/>
      <c r="J111" s="274"/>
      <c r="K111" s="279"/>
      <c r="L111" s="276"/>
      <c r="M111" s="276"/>
      <c r="N111" s="276"/>
      <c r="O111" s="276"/>
      <c r="P111" s="276"/>
      <c r="Q111" s="276"/>
      <c r="R111" s="276"/>
      <c r="S111" s="276"/>
    </row>
    <row r="112">
      <c r="A112" s="279"/>
      <c r="B112" s="279" t="s">
        <v>7757</v>
      </c>
      <c r="C112" s="279"/>
      <c r="D112" s="274"/>
      <c r="E112" s="279"/>
      <c r="F112" s="279"/>
      <c r="G112" s="275"/>
      <c r="H112" s="275"/>
      <c r="I112" s="279"/>
      <c r="J112" s="274"/>
      <c r="K112" s="279"/>
      <c r="L112" s="276"/>
      <c r="M112" s="276"/>
      <c r="N112" s="276"/>
      <c r="O112" s="276"/>
      <c r="P112" s="276"/>
      <c r="Q112" s="276"/>
      <c r="R112" s="276"/>
      <c r="S112" s="276"/>
    </row>
    <row r="113">
      <c r="A113" s="279"/>
      <c r="B113" s="279" t="s">
        <v>7758</v>
      </c>
      <c r="C113" s="279"/>
      <c r="D113" s="274"/>
      <c r="E113" s="279"/>
      <c r="F113" s="279"/>
      <c r="G113" s="275"/>
      <c r="H113" s="275"/>
      <c r="I113" s="279"/>
      <c r="J113" s="274"/>
      <c r="K113" s="279"/>
      <c r="L113" s="276"/>
      <c r="M113" s="276"/>
      <c r="N113" s="276"/>
      <c r="O113" s="276"/>
      <c r="P113" s="276"/>
      <c r="Q113" s="276"/>
      <c r="R113" s="276"/>
      <c r="S113" s="276"/>
    </row>
    <row r="114">
      <c r="A114" s="279"/>
      <c r="B114" s="279" t="s">
        <v>7751</v>
      </c>
      <c r="C114" s="279"/>
      <c r="D114" s="274"/>
      <c r="E114" s="279"/>
      <c r="F114" s="279"/>
      <c r="G114" s="275"/>
      <c r="H114" s="275"/>
      <c r="I114" s="279"/>
      <c r="J114" s="274"/>
      <c r="K114" s="279"/>
      <c r="L114" s="276"/>
      <c r="M114" s="276"/>
      <c r="N114" s="276"/>
      <c r="O114" s="276"/>
      <c r="P114" s="276"/>
      <c r="Q114" s="276"/>
      <c r="R114" s="276"/>
      <c r="S114" s="276"/>
    </row>
    <row r="115">
      <c r="A115" s="279"/>
      <c r="B115" s="279" t="s">
        <v>7720</v>
      </c>
      <c r="C115" s="279"/>
      <c r="D115" s="274"/>
      <c r="E115" s="279"/>
      <c r="F115" s="279"/>
      <c r="G115" s="275"/>
      <c r="H115" s="275"/>
      <c r="I115" s="279"/>
      <c r="J115" s="274"/>
      <c r="K115" s="279"/>
      <c r="L115" s="276"/>
      <c r="M115" s="276"/>
      <c r="N115" s="276"/>
      <c r="O115" s="276"/>
      <c r="P115" s="276"/>
      <c r="Q115" s="276"/>
      <c r="R115" s="276"/>
      <c r="S115" s="276"/>
    </row>
    <row r="116">
      <c r="A116" s="279"/>
      <c r="B116" s="279" t="s">
        <v>7730</v>
      </c>
      <c r="C116" s="279"/>
      <c r="D116" s="274"/>
      <c r="E116" s="279"/>
      <c r="F116" s="279"/>
      <c r="G116" s="275"/>
      <c r="H116" s="275"/>
      <c r="I116" s="279"/>
      <c r="J116" s="274"/>
      <c r="K116" s="279"/>
      <c r="L116" s="276"/>
      <c r="M116" s="276"/>
      <c r="N116" s="276"/>
      <c r="O116" s="276"/>
      <c r="P116" s="276"/>
      <c r="Q116" s="276"/>
      <c r="R116" s="276"/>
      <c r="S116" s="276"/>
    </row>
    <row r="117">
      <c r="A117" s="279"/>
      <c r="B117" s="279" t="s">
        <v>7744</v>
      </c>
      <c r="C117" s="279"/>
      <c r="D117" s="274"/>
      <c r="E117" s="279"/>
      <c r="F117" s="279"/>
      <c r="G117" s="275"/>
      <c r="H117" s="275"/>
      <c r="I117" s="279"/>
      <c r="J117" s="274"/>
      <c r="K117" s="279"/>
      <c r="L117" s="276"/>
      <c r="M117" s="276"/>
      <c r="N117" s="276"/>
      <c r="O117" s="276"/>
      <c r="P117" s="276"/>
      <c r="Q117" s="276"/>
      <c r="R117" s="276"/>
      <c r="S117" s="276"/>
    </row>
    <row r="118">
      <c r="A118" s="279"/>
      <c r="B118" s="279" t="s">
        <v>7756</v>
      </c>
      <c r="C118" s="279"/>
      <c r="D118" s="274"/>
      <c r="E118" s="279"/>
      <c r="F118" s="279"/>
      <c r="G118" s="275"/>
      <c r="H118" s="275"/>
      <c r="I118" s="279"/>
      <c r="J118" s="274"/>
      <c r="K118" s="279"/>
      <c r="L118" s="276"/>
      <c r="M118" s="276"/>
      <c r="N118" s="276"/>
      <c r="O118" s="276"/>
      <c r="P118" s="276"/>
      <c r="Q118" s="276"/>
      <c r="R118" s="276"/>
      <c r="S118" s="276"/>
    </row>
    <row r="119">
      <c r="A119" s="279"/>
      <c r="B119" s="279" t="s">
        <v>7766</v>
      </c>
      <c r="C119" s="279"/>
      <c r="D119" s="274"/>
      <c r="E119" s="279"/>
      <c r="F119" s="279"/>
      <c r="G119" s="275"/>
      <c r="H119" s="275"/>
      <c r="I119" s="279"/>
      <c r="J119" s="274"/>
      <c r="K119" s="279"/>
      <c r="L119" s="276"/>
      <c r="M119" s="276"/>
      <c r="N119" s="276"/>
      <c r="O119" s="276"/>
      <c r="P119" s="276"/>
      <c r="Q119" s="276"/>
      <c r="R119" s="276"/>
      <c r="S119" s="276"/>
    </row>
    <row r="120">
      <c r="A120" s="279"/>
      <c r="B120" s="279" t="s">
        <v>7769</v>
      </c>
      <c r="C120" s="279"/>
      <c r="D120" s="274"/>
      <c r="E120" s="279"/>
      <c r="F120" s="279"/>
      <c r="G120" s="275"/>
      <c r="H120" s="275"/>
      <c r="I120" s="279"/>
      <c r="J120" s="274"/>
      <c r="K120" s="279"/>
      <c r="L120" s="276"/>
      <c r="M120" s="276"/>
      <c r="N120" s="276"/>
      <c r="O120" s="276"/>
      <c r="P120" s="276"/>
      <c r="Q120" s="276"/>
      <c r="R120" s="276"/>
      <c r="S120" s="276"/>
    </row>
    <row r="121">
      <c r="A121" s="279"/>
      <c r="B121" s="279" t="s">
        <v>7768</v>
      </c>
      <c r="C121" s="279"/>
      <c r="D121" s="274"/>
      <c r="E121" s="279"/>
      <c r="F121" s="279"/>
      <c r="G121" s="275"/>
      <c r="H121" s="275"/>
      <c r="I121" s="279"/>
      <c r="J121" s="274"/>
      <c r="K121" s="279"/>
      <c r="L121" s="276"/>
      <c r="M121" s="276"/>
      <c r="N121" s="276"/>
      <c r="O121" s="276"/>
      <c r="P121" s="276"/>
      <c r="Q121" s="276"/>
      <c r="R121" s="276"/>
      <c r="S121" s="276"/>
    </row>
    <row r="122">
      <c r="A122" s="279"/>
      <c r="B122" s="279" t="s">
        <v>7778</v>
      </c>
      <c r="C122" s="279"/>
      <c r="D122" s="274"/>
      <c r="E122" s="279"/>
      <c r="F122" s="279"/>
      <c r="G122" s="275"/>
      <c r="H122" s="275"/>
      <c r="I122" s="279"/>
      <c r="J122" s="274"/>
      <c r="K122" s="279"/>
      <c r="L122" s="276"/>
      <c r="M122" s="276"/>
      <c r="N122" s="276"/>
      <c r="O122" s="276"/>
      <c r="P122" s="276"/>
      <c r="Q122" s="276"/>
      <c r="R122" s="276"/>
      <c r="S122" s="276"/>
    </row>
    <row r="123">
      <c r="A123" s="279"/>
      <c r="B123" s="279" t="s">
        <v>7779</v>
      </c>
      <c r="C123" s="279"/>
      <c r="D123" s="274"/>
      <c r="E123" s="279"/>
      <c r="F123" s="279"/>
      <c r="G123" s="275"/>
      <c r="H123" s="275"/>
      <c r="I123" s="279"/>
      <c r="J123" s="274"/>
      <c r="K123" s="279"/>
      <c r="L123" s="276"/>
      <c r="M123" s="276"/>
      <c r="N123" s="276"/>
      <c r="O123" s="276"/>
      <c r="P123" s="276"/>
      <c r="Q123" s="276"/>
      <c r="R123" s="276"/>
      <c r="S123" s="276"/>
    </row>
    <row r="124">
      <c r="A124" s="279"/>
      <c r="B124" s="279" t="s">
        <v>7765</v>
      </c>
      <c r="C124" s="279"/>
      <c r="D124" s="274"/>
      <c r="E124" s="279"/>
      <c r="F124" s="279"/>
      <c r="G124" s="275"/>
      <c r="H124" s="275"/>
      <c r="I124" s="279"/>
      <c r="J124" s="274"/>
      <c r="K124" s="279"/>
      <c r="L124" s="276"/>
      <c r="M124" s="276"/>
      <c r="N124" s="276"/>
      <c r="O124" s="276"/>
      <c r="P124" s="276"/>
      <c r="Q124" s="276"/>
      <c r="R124" s="276"/>
      <c r="S124" s="276"/>
    </row>
    <row r="125">
      <c r="A125" s="279"/>
      <c r="B125" s="279" t="s">
        <v>7764</v>
      </c>
      <c r="C125" s="279"/>
      <c r="D125" s="274"/>
      <c r="E125" s="279"/>
      <c r="F125" s="279"/>
      <c r="G125" s="275"/>
      <c r="H125" s="275"/>
      <c r="I125" s="279"/>
      <c r="J125" s="274"/>
      <c r="K125" s="279"/>
      <c r="L125" s="276"/>
      <c r="M125" s="276"/>
      <c r="N125" s="276"/>
      <c r="O125" s="276"/>
      <c r="P125" s="276"/>
      <c r="Q125" s="276"/>
      <c r="R125" s="276"/>
      <c r="S125" s="276"/>
    </row>
    <row r="126">
      <c r="A126" s="279"/>
      <c r="B126" s="279" t="s">
        <v>7773</v>
      </c>
      <c r="C126" s="279"/>
      <c r="D126" s="274"/>
      <c r="E126" s="279"/>
      <c r="F126" s="279"/>
      <c r="G126" s="275"/>
      <c r="H126" s="275"/>
      <c r="I126" s="279"/>
      <c r="J126" s="274"/>
      <c r="K126" s="279"/>
      <c r="L126" s="276"/>
      <c r="M126" s="276"/>
      <c r="N126" s="276"/>
      <c r="O126" s="276"/>
      <c r="P126" s="276"/>
      <c r="Q126" s="276"/>
      <c r="R126" s="276"/>
      <c r="S126" s="276"/>
    </row>
    <row r="127">
      <c r="A127" s="279"/>
      <c r="B127" s="279" t="s">
        <v>7772</v>
      </c>
      <c r="C127" s="279"/>
      <c r="D127" s="274"/>
      <c r="E127" s="279"/>
      <c r="F127" s="279"/>
      <c r="G127" s="275"/>
      <c r="H127" s="275"/>
      <c r="I127" s="279"/>
      <c r="J127" s="274"/>
      <c r="K127" s="279"/>
      <c r="L127" s="276"/>
      <c r="M127" s="276"/>
      <c r="N127" s="276"/>
      <c r="O127" s="276"/>
      <c r="P127" s="276"/>
      <c r="Q127" s="276"/>
      <c r="R127" s="276"/>
      <c r="S127" s="276"/>
    </row>
    <row r="128">
      <c r="A128" s="279"/>
      <c r="B128" s="279" t="s">
        <v>7775</v>
      </c>
      <c r="C128" s="279"/>
      <c r="D128" s="274"/>
      <c r="E128" s="279"/>
      <c r="F128" s="279"/>
      <c r="G128" s="275"/>
      <c r="H128" s="275"/>
      <c r="I128" s="279"/>
      <c r="J128" s="274"/>
      <c r="K128" s="279"/>
      <c r="L128" s="276"/>
      <c r="M128" s="276"/>
      <c r="N128" s="276"/>
      <c r="O128" s="276"/>
      <c r="P128" s="276"/>
      <c r="Q128" s="276"/>
      <c r="R128" s="276"/>
      <c r="S128" s="276"/>
    </row>
    <row r="129">
      <c r="A129" s="279"/>
      <c r="B129" s="279" t="s">
        <v>7774</v>
      </c>
      <c r="C129" s="279"/>
      <c r="D129" s="274"/>
      <c r="E129" s="279"/>
      <c r="F129" s="279"/>
      <c r="G129" s="275"/>
      <c r="H129" s="275"/>
      <c r="I129" s="279"/>
      <c r="J129" s="274"/>
      <c r="K129" s="279"/>
      <c r="L129" s="276"/>
      <c r="M129" s="276"/>
      <c r="N129" s="276"/>
      <c r="O129" s="276"/>
      <c r="P129" s="276"/>
      <c r="Q129" s="276"/>
      <c r="R129" s="276"/>
      <c r="S129" s="276"/>
    </row>
    <row r="130">
      <c r="A130" s="279"/>
      <c r="B130" s="279" t="s">
        <v>7754</v>
      </c>
      <c r="C130" s="279"/>
      <c r="D130" s="274"/>
      <c r="E130" s="279"/>
      <c r="F130" s="279"/>
      <c r="G130" s="275"/>
      <c r="H130" s="275"/>
      <c r="I130" s="279"/>
      <c r="J130" s="274"/>
      <c r="K130" s="279"/>
      <c r="L130" s="276"/>
      <c r="M130" s="276"/>
      <c r="N130" s="276"/>
      <c r="O130" s="276"/>
      <c r="P130" s="276"/>
      <c r="Q130" s="276"/>
      <c r="R130" s="276"/>
      <c r="S130" s="276"/>
    </row>
    <row r="131">
      <c r="A131" s="279"/>
      <c r="B131" s="279" t="s">
        <v>7753</v>
      </c>
      <c r="C131" s="279"/>
      <c r="D131" s="274"/>
      <c r="E131" s="279"/>
      <c r="F131" s="279"/>
      <c r="G131" s="275"/>
      <c r="H131" s="275"/>
      <c r="I131" s="279"/>
      <c r="J131" s="274"/>
      <c r="K131" s="279"/>
      <c r="L131" s="276"/>
      <c r="M131" s="276"/>
      <c r="N131" s="276"/>
      <c r="O131" s="276"/>
      <c r="P131" s="276"/>
      <c r="Q131" s="276"/>
      <c r="R131" s="276"/>
      <c r="S131" s="276"/>
    </row>
    <row r="132">
      <c r="A132" s="279"/>
      <c r="B132" s="279" t="s">
        <v>7742</v>
      </c>
      <c r="C132" s="279"/>
      <c r="D132" s="274"/>
      <c r="E132" s="279"/>
      <c r="F132" s="279"/>
      <c r="G132" s="275"/>
      <c r="H132" s="275"/>
      <c r="I132" s="279"/>
      <c r="J132" s="274"/>
      <c r="K132" s="279"/>
      <c r="L132" s="276"/>
      <c r="M132" s="276"/>
      <c r="N132" s="276"/>
      <c r="O132" s="276"/>
      <c r="P132" s="276"/>
      <c r="Q132" s="276"/>
      <c r="R132" s="276"/>
      <c r="S132" s="276"/>
    </row>
    <row r="133">
      <c r="A133" s="279"/>
      <c r="B133" s="279" t="s">
        <v>7741</v>
      </c>
      <c r="C133" s="279"/>
      <c r="D133" s="274"/>
      <c r="E133" s="279"/>
      <c r="F133" s="279"/>
      <c r="G133" s="275"/>
      <c r="H133" s="275"/>
      <c r="I133" s="279"/>
      <c r="J133" s="274"/>
      <c r="K133" s="279"/>
      <c r="L133" s="276"/>
      <c r="M133" s="276"/>
      <c r="N133" s="276"/>
      <c r="O133" s="276"/>
      <c r="P133" s="276"/>
      <c r="Q133" s="276"/>
      <c r="R133" s="276"/>
      <c r="S133" s="276"/>
    </row>
    <row r="134">
      <c r="A134" s="279"/>
      <c r="B134" s="279" t="s">
        <v>7750</v>
      </c>
      <c r="C134" s="279"/>
      <c r="D134" s="274"/>
      <c r="E134" s="279"/>
      <c r="F134" s="279"/>
      <c r="G134" s="275"/>
      <c r="H134" s="275"/>
      <c r="I134" s="279"/>
      <c r="J134" s="274"/>
      <c r="K134" s="279"/>
      <c r="L134" s="276"/>
      <c r="M134" s="276"/>
      <c r="N134" s="276"/>
      <c r="O134" s="276"/>
      <c r="P134" s="276"/>
      <c r="Q134" s="276"/>
      <c r="R134" s="276"/>
      <c r="S134" s="276"/>
    </row>
    <row r="135">
      <c r="A135" s="279"/>
      <c r="B135" s="279" t="s">
        <v>7749</v>
      </c>
      <c r="C135" s="279"/>
      <c r="D135" s="274"/>
      <c r="E135" s="279"/>
      <c r="F135" s="279"/>
      <c r="G135" s="275"/>
      <c r="H135" s="275"/>
      <c r="I135" s="279"/>
      <c r="J135" s="274"/>
      <c r="K135" s="279"/>
      <c r="L135" s="276"/>
      <c r="M135" s="276"/>
      <c r="N135" s="276"/>
      <c r="O135" s="276"/>
      <c r="P135" s="276"/>
      <c r="Q135" s="276"/>
      <c r="R135" s="276"/>
      <c r="S135" s="276"/>
    </row>
    <row r="136">
      <c r="A136" s="279"/>
      <c r="B136" s="279" t="s">
        <v>7763</v>
      </c>
      <c r="C136" s="279"/>
      <c r="D136" s="274"/>
      <c r="E136" s="279"/>
      <c r="F136" s="279"/>
      <c r="G136" s="275"/>
      <c r="H136" s="275"/>
      <c r="I136" s="279"/>
      <c r="J136" s="274"/>
      <c r="K136" s="279"/>
      <c r="L136" s="276"/>
      <c r="M136" s="276"/>
      <c r="N136" s="276"/>
      <c r="O136" s="276"/>
      <c r="P136" s="276"/>
      <c r="Q136" s="276"/>
      <c r="R136" s="276"/>
      <c r="S136" s="276"/>
    </row>
    <row r="137">
      <c r="A137" s="279"/>
      <c r="B137" s="279" t="s">
        <v>7762</v>
      </c>
      <c r="C137" s="279"/>
      <c r="D137" s="274"/>
      <c r="E137" s="279"/>
      <c r="F137" s="279"/>
      <c r="G137" s="275"/>
      <c r="H137" s="275"/>
      <c r="I137" s="279"/>
      <c r="J137" s="274"/>
      <c r="K137" s="279"/>
      <c r="L137" s="276"/>
      <c r="M137" s="276"/>
      <c r="N137" s="276"/>
      <c r="O137" s="276"/>
      <c r="P137" s="276"/>
      <c r="Q137" s="276"/>
      <c r="R137" s="276"/>
      <c r="S137" s="276"/>
    </row>
    <row r="138">
      <c r="A138" s="279"/>
      <c r="B138" s="279" t="s">
        <v>7776</v>
      </c>
      <c r="C138" s="279"/>
      <c r="D138" s="274"/>
      <c r="E138" s="279"/>
      <c r="F138" s="279"/>
      <c r="G138" s="275"/>
      <c r="H138" s="275"/>
      <c r="I138" s="279"/>
      <c r="J138" s="274"/>
      <c r="K138" s="279"/>
      <c r="L138" s="276"/>
      <c r="M138" s="276"/>
      <c r="N138" s="276"/>
      <c r="O138" s="276"/>
      <c r="P138" s="276"/>
      <c r="Q138" s="276"/>
      <c r="R138" s="276"/>
      <c r="S138" s="276"/>
    </row>
    <row r="139">
      <c r="A139" s="279"/>
      <c r="B139" s="279" t="s">
        <v>7759</v>
      </c>
      <c r="C139" s="279"/>
      <c r="D139" s="274"/>
      <c r="E139" s="279"/>
      <c r="F139" s="279"/>
      <c r="G139" s="275"/>
      <c r="H139" s="275"/>
      <c r="I139" s="279"/>
      <c r="J139" s="274"/>
      <c r="K139" s="279"/>
      <c r="L139" s="276"/>
      <c r="M139" s="276"/>
      <c r="N139" s="276"/>
      <c r="O139" s="276"/>
      <c r="P139" s="276"/>
      <c r="Q139" s="276"/>
      <c r="R139" s="276"/>
      <c r="S139" s="276"/>
    </row>
    <row r="140">
      <c r="A140" s="279"/>
      <c r="B140" s="279" t="s">
        <v>196</v>
      </c>
      <c r="C140" s="279"/>
      <c r="D140" s="274"/>
      <c r="E140" s="279"/>
      <c r="F140" s="279"/>
      <c r="G140" s="275"/>
      <c r="H140" s="275"/>
      <c r="I140" s="279"/>
      <c r="J140" s="274"/>
      <c r="K140" s="279"/>
      <c r="L140" s="276"/>
      <c r="M140" s="276"/>
      <c r="N140" s="276"/>
      <c r="O140" s="276"/>
      <c r="P140" s="276"/>
      <c r="Q140" s="276"/>
      <c r="R140" s="276"/>
      <c r="S140" s="276"/>
    </row>
    <row r="141">
      <c r="A141" s="279"/>
      <c r="B141" s="279" t="s">
        <v>7734</v>
      </c>
      <c r="C141" s="279"/>
      <c r="D141" s="274"/>
      <c r="E141" s="279"/>
      <c r="F141" s="279"/>
      <c r="G141" s="275"/>
      <c r="H141" s="275"/>
      <c r="I141" s="279"/>
      <c r="J141" s="274"/>
      <c r="K141" s="279"/>
      <c r="L141" s="276"/>
      <c r="M141" s="276"/>
      <c r="N141" s="276"/>
      <c r="O141" s="276"/>
      <c r="P141" s="276"/>
      <c r="Q141" s="276"/>
      <c r="R141" s="276"/>
      <c r="S141" s="276"/>
    </row>
    <row r="142">
      <c r="A142" s="279"/>
      <c r="B142" s="279" t="s">
        <v>7733</v>
      </c>
      <c r="C142" s="279"/>
      <c r="D142" s="274"/>
      <c r="E142" s="279"/>
      <c r="F142" s="279"/>
      <c r="G142" s="275"/>
      <c r="H142" s="275"/>
      <c r="I142" s="279"/>
      <c r="J142" s="274"/>
      <c r="K142" s="279"/>
      <c r="L142" s="276"/>
      <c r="M142" s="276"/>
      <c r="N142" s="276"/>
      <c r="O142" s="276"/>
      <c r="P142" s="276"/>
      <c r="Q142" s="276"/>
      <c r="R142" s="276"/>
      <c r="S142" s="276"/>
    </row>
    <row r="143">
      <c r="A143" s="279"/>
      <c r="B143" s="279" t="s">
        <v>7747</v>
      </c>
      <c r="C143" s="279"/>
      <c r="D143" s="274"/>
      <c r="E143" s="279"/>
      <c r="F143" s="279"/>
      <c r="G143" s="275"/>
      <c r="H143" s="275"/>
      <c r="I143" s="279"/>
      <c r="J143" s="274"/>
      <c r="K143" s="279"/>
      <c r="L143" s="276"/>
      <c r="M143" s="276"/>
      <c r="N143" s="276"/>
      <c r="O143" s="276"/>
      <c r="P143" s="276"/>
      <c r="Q143" s="276"/>
      <c r="R143" s="276"/>
      <c r="S143" s="276"/>
    </row>
    <row r="144">
      <c r="A144" s="279"/>
      <c r="B144" s="279" t="s">
        <v>7746</v>
      </c>
      <c r="C144" s="279"/>
      <c r="D144" s="274"/>
      <c r="E144" s="279"/>
      <c r="F144" s="279"/>
      <c r="G144" s="275"/>
      <c r="H144" s="275"/>
      <c r="I144" s="279"/>
      <c r="J144" s="274"/>
      <c r="K144" s="279"/>
      <c r="L144" s="276"/>
      <c r="M144" s="276"/>
      <c r="N144" s="276"/>
      <c r="O144" s="276"/>
      <c r="P144" s="276"/>
      <c r="Q144" s="276"/>
      <c r="R144" s="276"/>
      <c r="S144" s="276"/>
    </row>
    <row r="145">
      <c r="A145" s="279"/>
      <c r="B145" s="279" t="s">
        <v>7748</v>
      </c>
      <c r="C145" s="279"/>
      <c r="D145" s="274"/>
      <c r="E145" s="279"/>
      <c r="F145" s="279"/>
      <c r="G145" s="275"/>
      <c r="H145" s="275"/>
      <c r="I145" s="279"/>
      <c r="J145" s="274"/>
      <c r="K145" s="279"/>
      <c r="L145" s="276"/>
      <c r="M145" s="276"/>
      <c r="N145" s="276"/>
      <c r="O145" s="276"/>
      <c r="P145" s="276"/>
      <c r="Q145" s="276"/>
      <c r="R145" s="276"/>
      <c r="S145" s="276"/>
    </row>
    <row r="146">
      <c r="A146" s="279"/>
      <c r="B146" s="279" t="s">
        <v>7761</v>
      </c>
      <c r="C146" s="279"/>
      <c r="D146" s="274"/>
      <c r="E146" s="279"/>
      <c r="F146" s="279"/>
      <c r="G146" s="275"/>
      <c r="H146" s="275"/>
      <c r="I146" s="279"/>
      <c r="J146" s="274"/>
      <c r="K146" s="279"/>
      <c r="L146" s="276"/>
      <c r="M146" s="276"/>
      <c r="N146" s="276"/>
      <c r="O146" s="276"/>
      <c r="P146" s="276"/>
      <c r="Q146" s="276"/>
      <c r="R146" s="276"/>
      <c r="S146" s="276"/>
    </row>
    <row r="147">
      <c r="A147" s="279"/>
      <c r="B147" s="279" t="s">
        <v>7727</v>
      </c>
      <c r="C147" s="279"/>
      <c r="D147" s="274"/>
      <c r="E147" s="279"/>
      <c r="F147" s="279"/>
      <c r="G147" s="275"/>
      <c r="H147" s="275"/>
      <c r="I147" s="279"/>
      <c r="J147" s="274"/>
      <c r="K147" s="279"/>
      <c r="L147" s="276"/>
      <c r="M147" s="276"/>
      <c r="N147" s="276"/>
      <c r="O147" s="276"/>
      <c r="P147" s="276"/>
      <c r="Q147" s="276"/>
      <c r="R147" s="276"/>
      <c r="S147" s="276"/>
    </row>
    <row r="148">
      <c r="A148" s="279"/>
      <c r="B148" s="279" t="s">
        <v>7731</v>
      </c>
      <c r="C148" s="279"/>
      <c r="D148" s="274"/>
      <c r="E148" s="279"/>
      <c r="F148" s="279"/>
      <c r="G148" s="275"/>
      <c r="H148" s="275"/>
      <c r="I148" s="279"/>
      <c r="J148" s="274"/>
      <c r="K148" s="279"/>
      <c r="L148" s="276"/>
      <c r="M148" s="276"/>
      <c r="N148" s="276"/>
      <c r="O148" s="276"/>
      <c r="P148" s="276"/>
      <c r="Q148" s="276"/>
      <c r="R148" s="276"/>
      <c r="S148" s="276"/>
    </row>
    <row r="149">
      <c r="A149" s="279"/>
      <c r="B149" s="279" t="s">
        <v>7721</v>
      </c>
      <c r="C149" s="279"/>
      <c r="D149" s="274"/>
      <c r="E149" s="279"/>
      <c r="F149" s="279"/>
      <c r="G149" s="275"/>
      <c r="H149" s="275"/>
      <c r="I149" s="279"/>
      <c r="J149" s="274"/>
      <c r="K149" s="279"/>
      <c r="L149" s="276"/>
      <c r="M149" s="276"/>
      <c r="N149" s="276"/>
      <c r="O149" s="276"/>
      <c r="P149" s="276"/>
      <c r="Q149" s="276"/>
      <c r="R149" s="276"/>
      <c r="S149" s="276"/>
    </row>
    <row r="150">
      <c r="A150" s="279"/>
      <c r="B150" s="279" t="s">
        <v>7728</v>
      </c>
      <c r="C150" s="279"/>
      <c r="D150" s="274"/>
      <c r="E150" s="279"/>
      <c r="F150" s="279"/>
      <c r="G150" s="275"/>
      <c r="H150" s="275"/>
      <c r="I150" s="279"/>
      <c r="J150" s="274"/>
      <c r="K150" s="279"/>
      <c r="L150" s="276"/>
      <c r="M150" s="276"/>
      <c r="N150" s="276"/>
      <c r="O150" s="276"/>
      <c r="P150" s="276"/>
      <c r="Q150" s="276"/>
      <c r="R150" s="276"/>
      <c r="S150" s="276"/>
    </row>
    <row r="151">
      <c r="A151" s="279"/>
      <c r="B151" s="279" t="s">
        <v>7729</v>
      </c>
      <c r="C151" s="279"/>
      <c r="D151" s="274"/>
      <c r="E151" s="279"/>
      <c r="F151" s="279"/>
      <c r="G151" s="275"/>
      <c r="H151" s="275"/>
      <c r="I151" s="279"/>
      <c r="J151" s="274"/>
      <c r="K151" s="279"/>
      <c r="L151" s="276"/>
      <c r="M151" s="276"/>
      <c r="N151" s="276"/>
      <c r="O151" s="276"/>
      <c r="P151" s="276"/>
      <c r="Q151" s="276"/>
      <c r="R151" s="276"/>
      <c r="S151" s="276"/>
    </row>
    <row r="152">
      <c r="A152" s="279"/>
      <c r="B152" s="279" t="s">
        <v>7752</v>
      </c>
      <c r="C152" s="279"/>
      <c r="D152" s="274"/>
      <c r="E152" s="279"/>
      <c r="F152" s="279"/>
      <c r="G152" s="275"/>
      <c r="H152" s="275"/>
      <c r="I152" s="279"/>
      <c r="J152" s="274"/>
      <c r="K152" s="279"/>
      <c r="L152" s="276"/>
      <c r="M152" s="276"/>
      <c r="N152" s="276"/>
      <c r="O152" s="276"/>
      <c r="P152" s="276"/>
      <c r="Q152" s="276"/>
      <c r="R152" s="276"/>
      <c r="S152" s="276"/>
    </row>
    <row r="153">
      <c r="A153" s="279"/>
      <c r="B153" s="279" t="s">
        <v>7743</v>
      </c>
      <c r="C153" s="279"/>
      <c r="D153" s="274"/>
      <c r="E153" s="279"/>
      <c r="F153" s="279"/>
      <c r="G153" s="275"/>
      <c r="H153" s="275"/>
      <c r="I153" s="279"/>
      <c r="J153" s="274"/>
      <c r="K153" s="279"/>
      <c r="L153" s="276"/>
      <c r="M153" s="276"/>
      <c r="N153" s="276"/>
      <c r="O153" s="276"/>
      <c r="P153" s="276"/>
      <c r="Q153" s="276"/>
      <c r="R153" s="276"/>
      <c r="S153" s="276"/>
    </row>
    <row r="154">
      <c r="A154" s="279"/>
      <c r="B154" s="279" t="s">
        <v>7740</v>
      </c>
      <c r="C154" s="279"/>
      <c r="D154" s="274"/>
      <c r="E154" s="279"/>
      <c r="F154" s="279"/>
      <c r="G154" s="275"/>
      <c r="H154" s="275"/>
      <c r="I154" s="279"/>
      <c r="J154" s="274"/>
      <c r="K154" s="279"/>
      <c r="L154" s="276"/>
      <c r="M154" s="276"/>
      <c r="N154" s="276"/>
      <c r="O154" s="276"/>
      <c r="P154" s="276"/>
      <c r="Q154" s="276"/>
      <c r="R154" s="276"/>
      <c r="S154" s="276"/>
    </row>
    <row r="155">
      <c r="A155" s="279"/>
      <c r="B155" s="279" t="s">
        <v>7755</v>
      </c>
      <c r="C155" s="279"/>
      <c r="D155" s="274"/>
      <c r="E155" s="279"/>
      <c r="F155" s="279"/>
      <c r="G155" s="275"/>
      <c r="H155" s="275"/>
      <c r="I155" s="279"/>
      <c r="J155" s="274"/>
      <c r="K155" s="279"/>
      <c r="L155" s="276"/>
      <c r="M155" s="276"/>
      <c r="N155" s="276"/>
      <c r="O155" s="276"/>
      <c r="P155" s="276"/>
      <c r="Q155" s="276"/>
      <c r="R155" s="276"/>
      <c r="S155" s="276"/>
    </row>
    <row r="156">
      <c r="A156" s="279"/>
      <c r="B156" s="279" t="s">
        <v>7736</v>
      </c>
      <c r="C156" s="279"/>
      <c r="D156" s="274"/>
      <c r="E156" s="279"/>
      <c r="F156" s="279"/>
      <c r="G156" s="275"/>
      <c r="H156" s="275"/>
      <c r="I156" s="279"/>
      <c r="J156" s="274"/>
      <c r="K156" s="279"/>
      <c r="L156" s="276"/>
      <c r="M156" s="276"/>
      <c r="N156" s="276"/>
      <c r="O156" s="276"/>
      <c r="P156" s="276"/>
      <c r="Q156" s="276"/>
      <c r="R156" s="276"/>
      <c r="S156" s="276"/>
    </row>
    <row r="157">
      <c r="A157" s="279"/>
      <c r="B157" s="279" t="s">
        <v>7739</v>
      </c>
      <c r="C157" s="279"/>
      <c r="D157" s="274"/>
      <c r="E157" s="279"/>
      <c r="F157" s="279"/>
      <c r="G157" s="275"/>
      <c r="H157" s="275"/>
      <c r="I157" s="279"/>
      <c r="J157" s="274"/>
      <c r="K157" s="279"/>
      <c r="L157" s="276"/>
      <c r="M157" s="276"/>
      <c r="N157" s="276"/>
      <c r="O157" s="276"/>
      <c r="P157" s="276"/>
      <c r="Q157" s="276"/>
      <c r="R157" s="276"/>
      <c r="S157" s="276"/>
    </row>
    <row r="158">
      <c r="A158" s="279"/>
      <c r="B158" s="279" t="s">
        <v>7767</v>
      </c>
      <c r="C158" s="279"/>
      <c r="D158" s="274"/>
      <c r="E158" s="279"/>
      <c r="F158" s="279"/>
      <c r="G158" s="275"/>
      <c r="H158" s="275"/>
      <c r="I158" s="279"/>
      <c r="J158" s="274"/>
      <c r="K158" s="279"/>
      <c r="L158" s="276"/>
      <c r="M158" s="276"/>
      <c r="N158" s="276"/>
      <c r="O158" s="276"/>
      <c r="P158" s="276"/>
      <c r="Q158" s="276"/>
      <c r="R158" s="276"/>
      <c r="S158" s="276"/>
    </row>
    <row r="159">
      <c r="A159" s="279"/>
      <c r="B159" s="279" t="s">
        <v>7777</v>
      </c>
      <c r="C159" s="279"/>
      <c r="D159" s="274"/>
      <c r="E159" s="279"/>
      <c r="F159" s="279"/>
      <c r="G159" s="275"/>
      <c r="H159" s="275"/>
      <c r="I159" s="279"/>
      <c r="J159" s="274"/>
      <c r="K159" s="279"/>
      <c r="L159" s="276"/>
      <c r="M159" s="276"/>
      <c r="N159" s="276"/>
      <c r="O159" s="276"/>
      <c r="P159" s="276"/>
      <c r="Q159" s="276"/>
      <c r="R159" s="276"/>
      <c r="S159" s="276"/>
    </row>
    <row r="160">
      <c r="A160" s="279"/>
      <c r="B160" s="279" t="s">
        <v>7723</v>
      </c>
      <c r="C160" s="279"/>
      <c r="D160" s="274"/>
      <c r="E160" s="279"/>
      <c r="F160" s="279"/>
      <c r="G160" s="275"/>
      <c r="H160" s="275"/>
      <c r="I160" s="279"/>
      <c r="J160" s="274"/>
      <c r="K160" s="279"/>
      <c r="L160" s="276"/>
      <c r="M160" s="276"/>
      <c r="N160" s="276"/>
      <c r="O160" s="276"/>
      <c r="P160" s="276"/>
      <c r="Q160" s="276"/>
      <c r="R160" s="276"/>
      <c r="S160" s="276"/>
    </row>
    <row r="161">
      <c r="A161" s="279"/>
      <c r="B161" s="279" t="s">
        <v>7760</v>
      </c>
      <c r="C161" s="279"/>
      <c r="D161" s="274"/>
      <c r="E161" s="279"/>
      <c r="F161" s="279"/>
      <c r="G161" s="275"/>
      <c r="H161" s="275"/>
      <c r="I161" s="279"/>
      <c r="J161" s="274"/>
      <c r="K161" s="279"/>
      <c r="L161" s="276"/>
      <c r="M161" s="276"/>
      <c r="N161" s="276"/>
      <c r="O161" s="276"/>
      <c r="P161" s="276"/>
      <c r="Q161" s="276"/>
      <c r="R161" s="276"/>
      <c r="S161" s="276"/>
    </row>
    <row r="162">
      <c r="A162" s="279"/>
      <c r="B162" s="279" t="s">
        <v>7724</v>
      </c>
      <c r="C162" s="279"/>
      <c r="D162" s="274"/>
      <c r="E162" s="279"/>
      <c r="F162" s="279"/>
      <c r="G162" s="275"/>
      <c r="H162" s="275"/>
      <c r="I162" s="279"/>
      <c r="J162" s="274"/>
      <c r="K162" s="279"/>
      <c r="L162" s="276"/>
      <c r="M162" s="276"/>
      <c r="N162" s="276"/>
      <c r="O162" s="276"/>
      <c r="P162" s="276"/>
      <c r="Q162" s="276"/>
      <c r="R162" s="276"/>
      <c r="S162" s="276"/>
    </row>
    <row r="163">
      <c r="A163" s="279"/>
      <c r="B163" s="279" t="s">
        <v>7722</v>
      </c>
      <c r="C163" s="279"/>
      <c r="D163" s="274"/>
      <c r="E163" s="279"/>
      <c r="F163" s="279"/>
      <c r="G163" s="275"/>
      <c r="H163" s="275"/>
      <c r="I163" s="279"/>
      <c r="J163" s="274"/>
      <c r="K163" s="279"/>
      <c r="L163" s="276"/>
      <c r="M163" s="276"/>
      <c r="N163" s="276"/>
      <c r="O163" s="276"/>
      <c r="P163" s="276"/>
      <c r="Q163" s="276"/>
      <c r="R163" s="276"/>
      <c r="S163" s="276"/>
    </row>
    <row r="164">
      <c r="A164" s="279"/>
      <c r="B164" s="279" t="s">
        <v>7737</v>
      </c>
      <c r="C164" s="279"/>
      <c r="D164" s="274"/>
      <c r="E164" s="279"/>
      <c r="F164" s="279"/>
      <c r="G164" s="275"/>
      <c r="H164" s="275"/>
      <c r="I164" s="279"/>
      <c r="J164" s="274"/>
      <c r="K164" s="279"/>
      <c r="L164" s="276"/>
      <c r="M164" s="276"/>
      <c r="N164" s="276"/>
      <c r="O164" s="276"/>
      <c r="P164" s="276"/>
      <c r="Q164" s="276"/>
      <c r="R164" s="276"/>
      <c r="S164" s="276"/>
    </row>
    <row r="165">
      <c r="A165" s="279"/>
      <c r="B165" s="279"/>
      <c r="C165" s="279"/>
      <c r="D165" s="274"/>
      <c r="E165" s="279"/>
      <c r="F165" s="279"/>
      <c r="G165" s="275"/>
      <c r="H165" s="275"/>
      <c r="I165" s="279"/>
      <c r="J165" s="274"/>
      <c r="K165" s="279"/>
      <c r="L165" s="276"/>
      <c r="M165" s="276"/>
      <c r="N165" s="276"/>
      <c r="O165" s="276"/>
      <c r="P165" s="276"/>
      <c r="Q165" s="276"/>
      <c r="R165" s="276"/>
      <c r="S165" s="276"/>
    </row>
    <row r="166">
      <c r="A166" s="279"/>
      <c r="B166" s="279"/>
      <c r="C166" s="279"/>
      <c r="D166" s="274"/>
      <c r="E166" s="279"/>
      <c r="F166" s="279"/>
      <c r="G166" s="275"/>
      <c r="H166" s="275"/>
      <c r="I166" s="279"/>
      <c r="J166" s="274"/>
      <c r="K166" s="279"/>
      <c r="L166" s="276"/>
      <c r="M166" s="276"/>
      <c r="N166" s="276"/>
      <c r="O166" s="276"/>
      <c r="P166" s="276"/>
      <c r="Q166" s="276"/>
      <c r="R166" s="276"/>
      <c r="S166" s="276"/>
    </row>
    <row r="167">
      <c r="A167" s="279"/>
      <c r="B167" s="279"/>
      <c r="C167" s="279"/>
      <c r="D167" s="274"/>
      <c r="E167" s="279"/>
      <c r="F167" s="279"/>
      <c r="G167" s="275"/>
      <c r="H167" s="275"/>
      <c r="I167" s="279"/>
      <c r="J167" s="274"/>
      <c r="K167" s="279"/>
      <c r="L167" s="276"/>
      <c r="M167" s="276"/>
      <c r="N167" s="276"/>
      <c r="O167" s="276"/>
      <c r="P167" s="276"/>
      <c r="Q167" s="276"/>
      <c r="R167" s="276"/>
      <c r="S167" s="276"/>
    </row>
    <row r="168">
      <c r="A168" s="279"/>
      <c r="B168" s="279"/>
      <c r="C168" s="279"/>
      <c r="D168" s="274"/>
      <c r="E168" s="279"/>
      <c r="F168" s="279"/>
      <c r="G168" s="275"/>
      <c r="H168" s="275"/>
      <c r="I168" s="279"/>
      <c r="J168" s="274"/>
      <c r="K168" s="279"/>
      <c r="L168" s="276"/>
      <c r="M168" s="276"/>
      <c r="N168" s="276"/>
      <c r="O168" s="276"/>
      <c r="P168" s="276"/>
      <c r="Q168" s="276"/>
      <c r="R168" s="276"/>
      <c r="S168" s="276"/>
    </row>
    <row r="169">
      <c r="A169" s="279"/>
      <c r="B169" s="279"/>
      <c r="C169" s="279"/>
      <c r="D169" s="274"/>
      <c r="E169" s="279"/>
      <c r="F169" s="279"/>
      <c r="G169" s="275"/>
      <c r="H169" s="275"/>
      <c r="I169" s="279"/>
      <c r="J169" s="274"/>
      <c r="K169" s="279"/>
      <c r="L169" s="276"/>
      <c r="M169" s="276"/>
      <c r="N169" s="276"/>
      <c r="O169" s="276"/>
      <c r="P169" s="276"/>
      <c r="Q169" s="276"/>
      <c r="R169" s="276"/>
      <c r="S169" s="276"/>
    </row>
    <row r="170">
      <c r="A170" s="279"/>
      <c r="B170" s="279"/>
      <c r="C170" s="279"/>
      <c r="D170" s="274"/>
      <c r="E170" s="279"/>
      <c r="F170" s="279"/>
      <c r="G170" s="275"/>
      <c r="H170" s="275"/>
      <c r="I170" s="279"/>
      <c r="J170" s="274"/>
      <c r="K170" s="279"/>
      <c r="L170" s="276"/>
      <c r="M170" s="276"/>
      <c r="N170" s="276"/>
      <c r="O170" s="276"/>
      <c r="P170" s="276"/>
      <c r="Q170" s="276"/>
      <c r="R170" s="276"/>
      <c r="S170" s="276"/>
    </row>
    <row r="171">
      <c r="A171" s="279"/>
      <c r="B171" s="279"/>
      <c r="C171" s="279"/>
      <c r="D171" s="274"/>
      <c r="E171" s="279"/>
      <c r="F171" s="279"/>
      <c r="G171" s="275"/>
      <c r="H171" s="275"/>
      <c r="I171" s="279"/>
      <c r="J171" s="274"/>
      <c r="K171" s="279"/>
      <c r="L171" s="276"/>
      <c r="M171" s="276"/>
      <c r="N171" s="276"/>
      <c r="O171" s="276"/>
      <c r="P171" s="276"/>
      <c r="Q171" s="276"/>
      <c r="R171" s="276"/>
      <c r="S171" s="276"/>
    </row>
    <row r="172">
      <c r="A172" s="279"/>
      <c r="B172" s="279"/>
      <c r="C172" s="279"/>
      <c r="D172" s="274"/>
      <c r="E172" s="279"/>
      <c r="F172" s="279"/>
      <c r="G172" s="275"/>
      <c r="H172" s="275"/>
      <c r="I172" s="279"/>
      <c r="J172" s="274"/>
      <c r="K172" s="279"/>
      <c r="L172" s="276"/>
      <c r="M172" s="276"/>
      <c r="N172" s="276"/>
      <c r="O172" s="276"/>
      <c r="P172" s="276"/>
      <c r="Q172" s="276"/>
      <c r="R172" s="276"/>
      <c r="S172" s="276"/>
    </row>
    <row r="173">
      <c r="A173" s="279"/>
      <c r="B173" s="279"/>
      <c r="C173" s="279"/>
      <c r="D173" s="274"/>
      <c r="E173" s="279"/>
      <c r="F173" s="279"/>
      <c r="G173" s="275"/>
      <c r="H173" s="275"/>
      <c r="I173" s="279"/>
      <c r="J173" s="274"/>
      <c r="K173" s="279"/>
      <c r="L173" s="276"/>
      <c r="M173" s="276"/>
      <c r="N173" s="276"/>
      <c r="O173" s="276"/>
      <c r="P173" s="276"/>
      <c r="Q173" s="276"/>
      <c r="R173" s="276"/>
      <c r="S173" s="276"/>
    </row>
    <row r="174">
      <c r="A174" s="279"/>
      <c r="B174" s="279"/>
      <c r="C174" s="279"/>
      <c r="D174" s="274"/>
      <c r="E174" s="279"/>
      <c r="F174" s="279"/>
      <c r="G174" s="275"/>
      <c r="H174" s="275"/>
      <c r="I174" s="279"/>
      <c r="J174" s="274"/>
      <c r="K174" s="279"/>
      <c r="L174" s="276"/>
      <c r="M174" s="276"/>
      <c r="N174" s="276"/>
      <c r="O174" s="276"/>
      <c r="P174" s="276"/>
      <c r="Q174" s="276"/>
      <c r="R174" s="276"/>
      <c r="S174" s="276"/>
    </row>
    <row r="175">
      <c r="A175" s="279"/>
      <c r="B175" s="279"/>
      <c r="C175" s="279"/>
      <c r="D175" s="274"/>
      <c r="E175" s="279"/>
      <c r="F175" s="279"/>
      <c r="G175" s="275"/>
      <c r="H175" s="275"/>
      <c r="I175" s="279"/>
      <c r="J175" s="274"/>
      <c r="K175" s="279"/>
      <c r="L175" s="276"/>
      <c r="M175" s="276"/>
      <c r="N175" s="276"/>
      <c r="O175" s="276"/>
      <c r="P175" s="276"/>
      <c r="Q175" s="276"/>
      <c r="R175" s="276"/>
      <c r="S175" s="276"/>
    </row>
    <row r="176">
      <c r="A176" s="279"/>
      <c r="B176" s="279"/>
      <c r="C176" s="279"/>
      <c r="D176" s="274"/>
      <c r="E176" s="279"/>
      <c r="F176" s="279"/>
      <c r="G176" s="275"/>
      <c r="H176" s="275"/>
      <c r="I176" s="279"/>
      <c r="J176" s="274"/>
      <c r="K176" s="279"/>
      <c r="L176" s="276"/>
      <c r="M176" s="276"/>
      <c r="N176" s="276"/>
      <c r="O176" s="276"/>
      <c r="P176" s="276"/>
      <c r="Q176" s="276"/>
      <c r="R176" s="276"/>
      <c r="S176" s="276"/>
    </row>
    <row r="177">
      <c r="A177" s="279"/>
      <c r="B177" s="279"/>
      <c r="C177" s="279"/>
      <c r="D177" s="274"/>
      <c r="E177" s="279"/>
      <c r="F177" s="279"/>
      <c r="G177" s="275"/>
      <c r="H177" s="275"/>
      <c r="I177" s="279"/>
      <c r="J177" s="274"/>
      <c r="K177" s="279"/>
      <c r="L177" s="276"/>
      <c r="M177" s="276"/>
      <c r="N177" s="276"/>
      <c r="O177" s="276"/>
      <c r="P177" s="276"/>
      <c r="Q177" s="276"/>
      <c r="R177" s="276"/>
      <c r="S177" s="276"/>
    </row>
    <row r="178">
      <c r="A178" s="279"/>
      <c r="B178" s="279"/>
      <c r="C178" s="279"/>
      <c r="D178" s="274"/>
      <c r="E178" s="279"/>
      <c r="F178" s="279"/>
      <c r="G178" s="275"/>
      <c r="H178" s="275"/>
      <c r="I178" s="279"/>
      <c r="J178" s="274"/>
      <c r="K178" s="279"/>
      <c r="L178" s="276"/>
      <c r="M178" s="276"/>
      <c r="N178" s="276"/>
      <c r="O178" s="276"/>
      <c r="P178" s="276"/>
      <c r="Q178" s="276"/>
      <c r="R178" s="276"/>
      <c r="S178" s="276"/>
    </row>
    <row r="179">
      <c r="A179" s="279"/>
      <c r="B179" s="279"/>
      <c r="C179" s="279"/>
      <c r="D179" s="274"/>
      <c r="E179" s="279"/>
      <c r="F179" s="279"/>
      <c r="G179" s="275"/>
      <c r="H179" s="275"/>
      <c r="I179" s="279"/>
      <c r="J179" s="274"/>
      <c r="K179" s="279"/>
      <c r="L179" s="276"/>
      <c r="M179" s="276"/>
      <c r="N179" s="276"/>
      <c r="O179" s="276"/>
      <c r="P179" s="276"/>
      <c r="Q179" s="276"/>
      <c r="R179" s="276"/>
      <c r="S179" s="276"/>
    </row>
    <row r="180">
      <c r="A180" s="279"/>
      <c r="B180" s="279"/>
      <c r="C180" s="279"/>
      <c r="D180" s="274"/>
      <c r="E180" s="279"/>
      <c r="F180" s="279"/>
      <c r="G180" s="275"/>
      <c r="H180" s="275"/>
      <c r="I180" s="279"/>
      <c r="J180" s="274"/>
      <c r="K180" s="279"/>
      <c r="L180" s="276"/>
      <c r="M180" s="276"/>
      <c r="N180" s="276"/>
      <c r="O180" s="276"/>
      <c r="P180" s="276"/>
      <c r="Q180" s="276"/>
      <c r="R180" s="276"/>
      <c r="S180" s="276"/>
    </row>
    <row r="181">
      <c r="A181" s="279"/>
      <c r="B181" s="279"/>
      <c r="C181" s="279"/>
      <c r="D181" s="274"/>
      <c r="E181" s="279"/>
      <c r="F181" s="279"/>
      <c r="G181" s="275"/>
      <c r="H181" s="275"/>
      <c r="I181" s="279"/>
      <c r="J181" s="274"/>
      <c r="K181" s="279"/>
      <c r="L181" s="276"/>
      <c r="M181" s="276"/>
      <c r="N181" s="276"/>
      <c r="O181" s="276"/>
      <c r="P181" s="276"/>
      <c r="Q181" s="276"/>
      <c r="R181" s="276"/>
      <c r="S181" s="276"/>
    </row>
    <row r="182">
      <c r="A182" s="279"/>
      <c r="B182" s="279"/>
      <c r="C182" s="279"/>
      <c r="D182" s="274"/>
      <c r="E182" s="279"/>
      <c r="F182" s="279"/>
      <c r="G182" s="275"/>
      <c r="H182" s="275"/>
      <c r="I182" s="279"/>
      <c r="J182" s="274"/>
      <c r="K182" s="279"/>
      <c r="L182" s="276"/>
      <c r="M182" s="276"/>
      <c r="N182" s="276"/>
      <c r="O182" s="276"/>
      <c r="P182" s="276"/>
      <c r="Q182" s="276"/>
      <c r="R182" s="276"/>
      <c r="S182" s="276"/>
    </row>
    <row r="183">
      <c r="A183" s="279"/>
      <c r="B183" s="279"/>
      <c r="C183" s="279"/>
      <c r="D183" s="274"/>
      <c r="E183" s="279"/>
      <c r="F183" s="279"/>
      <c r="G183" s="275"/>
      <c r="H183" s="275"/>
      <c r="I183" s="279"/>
      <c r="J183" s="274"/>
      <c r="K183" s="279"/>
      <c r="L183" s="276"/>
      <c r="M183" s="276"/>
      <c r="N183" s="276"/>
      <c r="O183" s="276"/>
      <c r="P183" s="276"/>
      <c r="Q183" s="276"/>
      <c r="R183" s="276"/>
      <c r="S183" s="276"/>
    </row>
    <row r="184">
      <c r="A184" s="279"/>
      <c r="B184" s="279"/>
      <c r="C184" s="279"/>
      <c r="D184" s="274"/>
      <c r="E184" s="279"/>
      <c r="F184" s="279"/>
      <c r="G184" s="275"/>
      <c r="H184" s="275"/>
      <c r="I184" s="279"/>
      <c r="J184" s="274"/>
      <c r="K184" s="279"/>
      <c r="L184" s="276"/>
      <c r="M184" s="276"/>
      <c r="N184" s="276"/>
      <c r="O184" s="276"/>
      <c r="P184" s="276"/>
      <c r="Q184" s="276"/>
      <c r="R184" s="276"/>
      <c r="S184" s="276"/>
    </row>
    <row r="185">
      <c r="A185" s="279"/>
      <c r="B185" s="279"/>
      <c r="C185" s="279"/>
      <c r="D185" s="274"/>
      <c r="E185" s="279"/>
      <c r="F185" s="279"/>
      <c r="G185" s="275"/>
      <c r="H185" s="275"/>
      <c r="I185" s="279"/>
      <c r="J185" s="274"/>
      <c r="K185" s="279"/>
      <c r="L185" s="276"/>
      <c r="M185" s="276"/>
      <c r="N185" s="276"/>
      <c r="O185" s="276"/>
      <c r="P185" s="276"/>
      <c r="Q185" s="276"/>
      <c r="R185" s="276"/>
      <c r="S185" s="276"/>
    </row>
    <row r="186">
      <c r="A186" s="279"/>
      <c r="B186" s="279"/>
      <c r="C186" s="279"/>
      <c r="D186" s="274"/>
      <c r="E186" s="279"/>
      <c r="F186" s="279"/>
      <c r="G186" s="275"/>
      <c r="H186" s="275"/>
      <c r="I186" s="279"/>
      <c r="J186" s="274"/>
      <c r="K186" s="279"/>
      <c r="L186" s="276"/>
      <c r="M186" s="276"/>
      <c r="N186" s="276"/>
      <c r="O186" s="276"/>
      <c r="P186" s="276"/>
      <c r="Q186" s="276"/>
      <c r="R186" s="276"/>
      <c r="S186" s="276"/>
    </row>
    <row r="187">
      <c r="A187" s="279"/>
      <c r="B187" s="279"/>
      <c r="C187" s="279"/>
      <c r="D187" s="274"/>
      <c r="E187" s="279"/>
      <c r="F187" s="279"/>
      <c r="G187" s="275"/>
      <c r="H187" s="275"/>
      <c r="I187" s="279"/>
      <c r="J187" s="274"/>
      <c r="K187" s="279"/>
      <c r="L187" s="276"/>
      <c r="M187" s="276"/>
      <c r="N187" s="276"/>
      <c r="O187" s="276"/>
      <c r="P187" s="276"/>
      <c r="Q187" s="276"/>
      <c r="R187" s="276"/>
      <c r="S187" s="276"/>
    </row>
    <row r="188">
      <c r="A188" s="279"/>
      <c r="B188" s="279"/>
      <c r="C188" s="279"/>
      <c r="D188" s="274"/>
      <c r="E188" s="279"/>
      <c r="F188" s="279"/>
      <c r="G188" s="275"/>
      <c r="H188" s="275"/>
      <c r="I188" s="279"/>
      <c r="J188" s="274"/>
      <c r="K188" s="279"/>
      <c r="L188" s="276"/>
      <c r="M188" s="276"/>
      <c r="N188" s="276"/>
      <c r="O188" s="276"/>
      <c r="P188" s="276"/>
      <c r="Q188" s="276"/>
      <c r="R188" s="276"/>
      <c r="S188" s="276"/>
    </row>
    <row r="189">
      <c r="A189" s="279"/>
      <c r="B189" s="279"/>
      <c r="C189" s="279"/>
      <c r="D189" s="274"/>
      <c r="E189" s="279"/>
      <c r="F189" s="279"/>
      <c r="G189" s="275"/>
      <c r="H189" s="275"/>
      <c r="I189" s="279"/>
      <c r="J189" s="274"/>
      <c r="K189" s="279"/>
      <c r="L189" s="276"/>
      <c r="M189" s="276"/>
      <c r="N189" s="276"/>
      <c r="O189" s="276"/>
      <c r="P189" s="276"/>
      <c r="Q189" s="276"/>
      <c r="R189" s="276"/>
      <c r="S189" s="276"/>
    </row>
    <row r="190">
      <c r="A190" s="279"/>
      <c r="B190" s="279"/>
      <c r="C190" s="279"/>
      <c r="D190" s="274"/>
      <c r="E190" s="279"/>
      <c r="F190" s="279"/>
      <c r="G190" s="275"/>
      <c r="H190" s="275"/>
      <c r="I190" s="279"/>
      <c r="J190" s="274"/>
      <c r="K190" s="279"/>
      <c r="L190" s="276"/>
      <c r="M190" s="276"/>
      <c r="N190" s="276"/>
      <c r="O190" s="276"/>
      <c r="P190" s="276"/>
      <c r="Q190" s="276"/>
      <c r="R190" s="276"/>
      <c r="S190" s="276"/>
    </row>
    <row r="191">
      <c r="A191" s="279"/>
      <c r="B191" s="279"/>
      <c r="C191" s="279"/>
      <c r="D191" s="274"/>
      <c r="E191" s="279"/>
      <c r="F191" s="279"/>
      <c r="G191" s="275"/>
      <c r="H191" s="275"/>
      <c r="I191" s="279"/>
      <c r="J191" s="274"/>
      <c r="K191" s="279"/>
      <c r="L191" s="276"/>
      <c r="M191" s="276"/>
      <c r="N191" s="276"/>
      <c r="O191" s="276"/>
      <c r="P191" s="276"/>
      <c r="Q191" s="276"/>
      <c r="R191" s="276"/>
      <c r="S191" s="276"/>
    </row>
    <row r="192">
      <c r="A192" s="279"/>
      <c r="B192" s="279"/>
      <c r="C192" s="279"/>
      <c r="D192" s="274"/>
      <c r="E192" s="279"/>
      <c r="F192" s="279"/>
      <c r="G192" s="275"/>
      <c r="H192" s="275"/>
      <c r="I192" s="279"/>
      <c r="J192" s="274"/>
      <c r="K192" s="279"/>
      <c r="L192" s="276"/>
      <c r="M192" s="276"/>
      <c r="N192" s="276"/>
      <c r="O192" s="276"/>
      <c r="P192" s="276"/>
      <c r="Q192" s="276"/>
      <c r="R192" s="276"/>
      <c r="S192" s="276"/>
    </row>
    <row r="193">
      <c r="A193" s="279"/>
      <c r="B193" s="279"/>
      <c r="C193" s="279"/>
      <c r="D193" s="274"/>
      <c r="E193" s="279"/>
      <c r="F193" s="279"/>
      <c r="G193" s="275"/>
      <c r="H193" s="275"/>
      <c r="I193" s="279"/>
      <c r="J193" s="274"/>
      <c r="K193" s="279"/>
      <c r="L193" s="276"/>
      <c r="M193" s="276"/>
      <c r="N193" s="276"/>
      <c r="O193" s="276"/>
      <c r="P193" s="276"/>
      <c r="Q193" s="276"/>
      <c r="R193" s="276"/>
      <c r="S193" s="276"/>
    </row>
    <row r="194">
      <c r="A194" s="279"/>
      <c r="B194" s="279"/>
      <c r="C194" s="279"/>
      <c r="D194" s="274"/>
      <c r="E194" s="279"/>
      <c r="F194" s="279"/>
      <c r="G194" s="275"/>
      <c r="H194" s="275"/>
      <c r="I194" s="279"/>
      <c r="J194" s="274"/>
      <c r="K194" s="279"/>
      <c r="L194" s="276"/>
      <c r="M194" s="276"/>
      <c r="N194" s="276"/>
      <c r="O194" s="276"/>
      <c r="P194" s="276"/>
      <c r="Q194" s="276"/>
      <c r="R194" s="276"/>
      <c r="S194" s="276"/>
    </row>
    <row r="195">
      <c r="A195" s="279"/>
      <c r="B195" s="279"/>
      <c r="C195" s="279"/>
      <c r="D195" s="274"/>
      <c r="E195" s="279"/>
      <c r="F195" s="279"/>
      <c r="G195" s="275"/>
      <c r="H195" s="275"/>
      <c r="I195" s="279"/>
      <c r="J195" s="274"/>
      <c r="K195" s="279"/>
      <c r="L195" s="276"/>
      <c r="M195" s="276"/>
      <c r="N195" s="276"/>
      <c r="O195" s="276"/>
      <c r="P195" s="276"/>
      <c r="Q195" s="276"/>
      <c r="R195" s="276"/>
      <c r="S195" s="276"/>
    </row>
    <row r="196">
      <c r="A196" s="279"/>
      <c r="B196" s="279"/>
      <c r="C196" s="279"/>
      <c r="D196" s="274"/>
      <c r="E196" s="279"/>
      <c r="F196" s="279"/>
      <c r="G196" s="275"/>
      <c r="H196" s="275"/>
      <c r="I196" s="279"/>
      <c r="J196" s="274"/>
      <c r="K196" s="279"/>
      <c r="L196" s="276"/>
      <c r="M196" s="276"/>
      <c r="N196" s="276"/>
      <c r="O196" s="276"/>
      <c r="P196" s="276"/>
      <c r="Q196" s="276"/>
      <c r="R196" s="276"/>
      <c r="S196" s="276"/>
    </row>
    <row r="197">
      <c r="A197" s="279"/>
      <c r="B197" s="279"/>
      <c r="C197" s="279"/>
      <c r="D197" s="274"/>
      <c r="E197" s="279"/>
      <c r="F197" s="279"/>
      <c r="G197" s="275"/>
      <c r="H197" s="275"/>
      <c r="I197" s="279"/>
      <c r="J197" s="274"/>
      <c r="K197" s="279"/>
      <c r="L197" s="276"/>
      <c r="M197" s="276"/>
      <c r="N197" s="276"/>
      <c r="O197" s="276"/>
      <c r="P197" s="276"/>
      <c r="Q197" s="276"/>
      <c r="R197" s="276"/>
      <c r="S197" s="276"/>
    </row>
    <row r="198">
      <c r="A198" s="279"/>
      <c r="B198" s="279"/>
      <c r="C198" s="279"/>
      <c r="D198" s="274"/>
      <c r="E198" s="279"/>
      <c r="F198" s="279"/>
      <c r="G198" s="275"/>
      <c r="H198" s="275"/>
      <c r="I198" s="279"/>
      <c r="J198" s="274"/>
      <c r="K198" s="279"/>
      <c r="L198" s="276"/>
      <c r="M198" s="276"/>
      <c r="N198" s="276"/>
      <c r="O198" s="276"/>
      <c r="P198" s="276"/>
      <c r="Q198" s="276"/>
      <c r="R198" s="276"/>
      <c r="S198" s="276"/>
    </row>
    <row r="199">
      <c r="A199" s="279"/>
      <c r="B199" s="279"/>
      <c r="C199" s="279"/>
      <c r="D199" s="274"/>
      <c r="E199" s="279"/>
      <c r="F199" s="279"/>
      <c r="G199" s="275"/>
      <c r="H199" s="275"/>
      <c r="I199" s="279"/>
      <c r="J199" s="274"/>
      <c r="K199" s="279"/>
      <c r="L199" s="276"/>
      <c r="M199" s="276"/>
      <c r="N199" s="276"/>
      <c r="O199" s="276"/>
      <c r="P199" s="276"/>
      <c r="Q199" s="276"/>
      <c r="R199" s="276"/>
      <c r="S199" s="276"/>
    </row>
    <row r="200">
      <c r="A200" s="279"/>
      <c r="B200" s="279"/>
      <c r="C200" s="279"/>
      <c r="D200" s="274"/>
      <c r="E200" s="279"/>
      <c r="F200" s="279"/>
      <c r="G200" s="275"/>
      <c r="H200" s="275"/>
      <c r="I200" s="279"/>
      <c r="J200" s="274"/>
      <c r="K200" s="279"/>
      <c r="L200" s="276"/>
      <c r="M200" s="276"/>
      <c r="N200" s="276"/>
      <c r="O200" s="276"/>
      <c r="P200" s="276"/>
      <c r="Q200" s="276"/>
      <c r="R200" s="276"/>
      <c r="S200" s="276"/>
    </row>
    <row r="201">
      <c r="A201" s="279"/>
      <c r="B201" s="279"/>
      <c r="C201" s="279"/>
      <c r="D201" s="274"/>
      <c r="E201" s="279"/>
      <c r="F201" s="279"/>
      <c r="G201" s="275"/>
      <c r="H201" s="275"/>
      <c r="I201" s="279"/>
      <c r="J201" s="274"/>
      <c r="K201" s="279"/>
      <c r="L201" s="276"/>
      <c r="M201" s="276"/>
      <c r="N201" s="276"/>
      <c r="O201" s="276"/>
      <c r="P201" s="276"/>
      <c r="Q201" s="276"/>
      <c r="R201" s="276"/>
      <c r="S201" s="276"/>
    </row>
    <row r="202">
      <c r="A202" s="279"/>
      <c r="B202" s="279"/>
      <c r="C202" s="279"/>
      <c r="D202" s="274"/>
      <c r="E202" s="279"/>
      <c r="F202" s="279"/>
      <c r="G202" s="275"/>
      <c r="H202" s="275"/>
      <c r="I202" s="279"/>
      <c r="J202" s="274"/>
      <c r="K202" s="279"/>
      <c r="L202" s="276"/>
      <c r="M202" s="276"/>
      <c r="N202" s="276"/>
      <c r="O202" s="276"/>
      <c r="P202" s="276"/>
      <c r="Q202" s="276"/>
      <c r="R202" s="276"/>
      <c r="S202" s="276"/>
    </row>
    <row r="203">
      <c r="A203" s="279"/>
      <c r="B203" s="279"/>
      <c r="C203" s="279"/>
      <c r="D203" s="274"/>
      <c r="E203" s="279"/>
      <c r="F203" s="279"/>
      <c r="G203" s="275"/>
      <c r="H203" s="275"/>
      <c r="I203" s="279"/>
      <c r="J203" s="274"/>
      <c r="K203" s="279"/>
      <c r="L203" s="276"/>
      <c r="M203" s="276"/>
      <c r="N203" s="276"/>
      <c r="O203" s="276"/>
      <c r="P203" s="276"/>
      <c r="Q203" s="276"/>
      <c r="R203" s="276"/>
      <c r="S203" s="276"/>
    </row>
    <row r="204">
      <c r="A204" s="279"/>
      <c r="B204" s="279"/>
      <c r="C204" s="279"/>
      <c r="D204" s="274"/>
      <c r="E204" s="279"/>
      <c r="F204" s="279"/>
      <c r="G204" s="275"/>
      <c r="H204" s="275"/>
      <c r="I204" s="279"/>
      <c r="J204" s="274"/>
      <c r="K204" s="279"/>
      <c r="L204" s="276"/>
      <c r="M204" s="276"/>
      <c r="N204" s="276"/>
      <c r="O204" s="276"/>
      <c r="P204" s="276"/>
      <c r="Q204" s="276"/>
      <c r="R204" s="276"/>
      <c r="S204" s="276"/>
    </row>
    <row r="205">
      <c r="A205" s="279"/>
      <c r="B205" s="279"/>
      <c r="C205" s="279"/>
      <c r="D205" s="274"/>
      <c r="E205" s="279"/>
      <c r="F205" s="279"/>
      <c r="G205" s="275"/>
      <c r="H205" s="275"/>
      <c r="I205" s="279"/>
      <c r="J205" s="274"/>
      <c r="K205" s="279"/>
      <c r="L205" s="276"/>
      <c r="M205" s="276"/>
      <c r="N205" s="276"/>
      <c r="O205" s="276"/>
      <c r="P205" s="276"/>
      <c r="Q205" s="276"/>
      <c r="R205" s="276"/>
      <c r="S205" s="276"/>
    </row>
    <row r="206">
      <c r="A206" s="279"/>
      <c r="B206" s="279"/>
      <c r="C206" s="279"/>
      <c r="D206" s="274"/>
      <c r="E206" s="279"/>
      <c r="F206" s="279"/>
      <c r="G206" s="275"/>
      <c r="H206" s="275"/>
      <c r="I206" s="279"/>
      <c r="J206" s="274"/>
      <c r="K206" s="279"/>
      <c r="L206" s="276"/>
      <c r="M206" s="276"/>
      <c r="N206" s="276"/>
      <c r="O206" s="276"/>
      <c r="P206" s="276"/>
      <c r="Q206" s="276"/>
      <c r="R206" s="276"/>
      <c r="S206" s="276"/>
    </row>
    <row r="207">
      <c r="A207" s="279"/>
      <c r="B207" s="279"/>
      <c r="C207" s="279"/>
      <c r="D207" s="274"/>
      <c r="E207" s="279"/>
      <c r="F207" s="279"/>
      <c r="G207" s="275"/>
      <c r="H207" s="275"/>
      <c r="I207" s="279"/>
      <c r="J207" s="274"/>
      <c r="K207" s="279"/>
      <c r="L207" s="276"/>
      <c r="M207" s="276"/>
      <c r="N207" s="276"/>
      <c r="O207" s="276"/>
      <c r="P207" s="276"/>
      <c r="Q207" s="276"/>
      <c r="R207" s="276"/>
      <c r="S207" s="276"/>
    </row>
    <row r="208">
      <c r="A208" s="279"/>
      <c r="B208" s="279"/>
      <c r="C208" s="279"/>
      <c r="D208" s="274"/>
      <c r="E208" s="279"/>
      <c r="F208" s="279"/>
      <c r="G208" s="275"/>
      <c r="H208" s="275"/>
      <c r="I208" s="279"/>
      <c r="J208" s="274"/>
      <c r="K208" s="279"/>
      <c r="L208" s="276"/>
      <c r="M208" s="276"/>
      <c r="N208" s="276"/>
      <c r="O208" s="276"/>
      <c r="P208" s="276"/>
      <c r="Q208" s="276"/>
      <c r="R208" s="276"/>
      <c r="S208" s="276"/>
    </row>
    <row r="209">
      <c r="A209" s="279"/>
      <c r="B209" s="279"/>
      <c r="C209" s="279"/>
      <c r="D209" s="274"/>
      <c r="E209" s="279"/>
      <c r="F209" s="279"/>
      <c r="G209" s="275"/>
      <c r="H209" s="275"/>
      <c r="I209" s="279"/>
      <c r="J209" s="274"/>
      <c r="K209" s="279"/>
      <c r="L209" s="276"/>
      <c r="M209" s="276"/>
      <c r="N209" s="276"/>
      <c r="O209" s="276"/>
      <c r="P209" s="276"/>
      <c r="Q209" s="276"/>
      <c r="R209" s="276"/>
      <c r="S209" s="276"/>
    </row>
    <row r="210">
      <c r="A210" s="279"/>
      <c r="B210" s="279"/>
      <c r="C210" s="279"/>
      <c r="D210" s="274"/>
      <c r="E210" s="279"/>
      <c r="F210" s="279"/>
      <c r="G210" s="275"/>
      <c r="H210" s="275"/>
      <c r="I210" s="279"/>
      <c r="J210" s="274"/>
      <c r="K210" s="279"/>
      <c r="L210" s="276"/>
      <c r="M210" s="276"/>
      <c r="N210" s="276"/>
      <c r="O210" s="276"/>
      <c r="P210" s="276"/>
      <c r="Q210" s="276"/>
      <c r="R210" s="276"/>
      <c r="S210" s="276"/>
    </row>
    <row r="211">
      <c r="A211" s="279"/>
      <c r="B211" s="279"/>
      <c r="C211" s="279"/>
      <c r="D211" s="274"/>
      <c r="E211" s="279"/>
      <c r="F211" s="279"/>
      <c r="G211" s="275"/>
      <c r="H211" s="275"/>
      <c r="I211" s="279"/>
      <c r="J211" s="274"/>
      <c r="K211" s="279"/>
      <c r="L211" s="276"/>
      <c r="M211" s="276"/>
      <c r="N211" s="276"/>
      <c r="O211" s="276"/>
      <c r="P211" s="276"/>
      <c r="Q211" s="276"/>
      <c r="R211" s="276"/>
      <c r="S211" s="276"/>
    </row>
    <row r="212">
      <c r="A212" s="279"/>
      <c r="B212" s="279"/>
      <c r="C212" s="279"/>
      <c r="D212" s="274"/>
      <c r="E212" s="279"/>
      <c r="F212" s="279"/>
      <c r="G212" s="275"/>
      <c r="H212" s="275"/>
      <c r="I212" s="279"/>
      <c r="J212" s="274"/>
      <c r="K212" s="279"/>
      <c r="L212" s="276"/>
      <c r="M212" s="276"/>
      <c r="N212" s="276"/>
      <c r="O212" s="276"/>
      <c r="P212" s="276"/>
      <c r="Q212" s="276"/>
      <c r="R212" s="276"/>
      <c r="S212" s="276"/>
    </row>
    <row r="213">
      <c r="A213" s="279"/>
      <c r="B213" s="279"/>
      <c r="C213" s="279"/>
      <c r="D213" s="274"/>
      <c r="E213" s="279"/>
      <c r="F213" s="279"/>
      <c r="G213" s="275"/>
      <c r="H213" s="275"/>
      <c r="I213" s="279"/>
      <c r="J213" s="274"/>
      <c r="K213" s="279"/>
      <c r="L213" s="276"/>
      <c r="M213" s="276"/>
      <c r="N213" s="276"/>
      <c r="O213" s="276"/>
      <c r="P213" s="276"/>
      <c r="Q213" s="276"/>
      <c r="R213" s="276"/>
      <c r="S213" s="276"/>
    </row>
    <row r="214">
      <c r="A214" s="279"/>
      <c r="B214" s="279"/>
      <c r="C214" s="279"/>
      <c r="D214" s="274"/>
      <c r="E214" s="279"/>
      <c r="F214" s="279"/>
      <c r="G214" s="275"/>
      <c r="H214" s="275"/>
      <c r="I214" s="279"/>
      <c r="J214" s="274"/>
      <c r="K214" s="279"/>
      <c r="L214" s="276"/>
      <c r="M214" s="276"/>
      <c r="N214" s="276"/>
      <c r="O214" s="276"/>
      <c r="P214" s="276"/>
      <c r="Q214" s="276"/>
      <c r="R214" s="276"/>
      <c r="S214" s="276"/>
    </row>
    <row r="215">
      <c r="A215" s="279"/>
      <c r="B215" s="279"/>
      <c r="C215" s="279"/>
      <c r="D215" s="274"/>
      <c r="E215" s="279"/>
      <c r="F215" s="279"/>
      <c r="G215" s="275"/>
      <c r="H215" s="275"/>
      <c r="I215" s="279"/>
      <c r="J215" s="274"/>
      <c r="K215" s="279"/>
      <c r="L215" s="276"/>
      <c r="M215" s="276"/>
      <c r="N215" s="276"/>
      <c r="O215" s="276"/>
      <c r="P215" s="276"/>
      <c r="Q215" s="276"/>
      <c r="R215" s="276"/>
      <c r="S215" s="276"/>
    </row>
    <row r="216">
      <c r="A216" s="279"/>
      <c r="B216" s="279"/>
      <c r="C216" s="279"/>
      <c r="D216" s="274"/>
      <c r="E216" s="279"/>
      <c r="F216" s="279"/>
      <c r="G216" s="275"/>
      <c r="H216" s="275"/>
      <c r="I216" s="279"/>
      <c r="J216" s="274"/>
      <c r="K216" s="279"/>
      <c r="L216" s="276"/>
      <c r="M216" s="276"/>
      <c r="N216" s="276"/>
      <c r="O216" s="276"/>
      <c r="P216" s="276"/>
      <c r="Q216" s="276"/>
      <c r="R216" s="276"/>
      <c r="S216" s="276"/>
    </row>
    <row r="217">
      <c r="A217" s="279"/>
      <c r="B217" s="279"/>
      <c r="C217" s="279"/>
      <c r="D217" s="274"/>
      <c r="E217" s="279"/>
      <c r="F217" s="279"/>
      <c r="G217" s="275"/>
      <c r="H217" s="275"/>
      <c r="I217" s="279"/>
      <c r="J217" s="274"/>
      <c r="K217" s="279"/>
      <c r="L217" s="276"/>
      <c r="M217" s="276"/>
      <c r="N217" s="276"/>
      <c r="O217" s="276"/>
      <c r="P217" s="276"/>
      <c r="Q217" s="276"/>
      <c r="R217" s="276"/>
      <c r="S217" s="276"/>
    </row>
    <row r="218">
      <c r="A218" s="279"/>
      <c r="B218" s="279"/>
      <c r="C218" s="279"/>
      <c r="D218" s="274"/>
      <c r="E218" s="279"/>
      <c r="F218" s="279"/>
      <c r="G218" s="275"/>
      <c r="H218" s="275"/>
      <c r="I218" s="279"/>
      <c r="J218" s="274"/>
      <c r="K218" s="279"/>
      <c r="L218" s="276"/>
      <c r="M218" s="276"/>
      <c r="N218" s="276"/>
      <c r="O218" s="276"/>
      <c r="P218" s="276"/>
      <c r="Q218" s="276"/>
      <c r="R218" s="276"/>
      <c r="S218" s="276"/>
    </row>
    <row r="219">
      <c r="A219" s="279"/>
      <c r="B219" s="279"/>
      <c r="C219" s="279"/>
      <c r="D219" s="274"/>
      <c r="E219" s="279"/>
      <c r="F219" s="279"/>
      <c r="G219" s="275"/>
      <c r="H219" s="275"/>
      <c r="I219" s="279"/>
      <c r="J219" s="274"/>
      <c r="K219" s="279"/>
      <c r="L219" s="276"/>
      <c r="M219" s="276"/>
      <c r="N219" s="276"/>
      <c r="O219" s="276"/>
      <c r="P219" s="276"/>
      <c r="Q219" s="276"/>
      <c r="R219" s="276"/>
      <c r="S219" s="276"/>
    </row>
    <row r="220">
      <c r="A220" s="279"/>
      <c r="B220" s="279"/>
      <c r="C220" s="279"/>
      <c r="D220" s="274"/>
      <c r="E220" s="279"/>
      <c r="F220" s="279"/>
      <c r="G220" s="275"/>
      <c r="H220" s="275"/>
      <c r="I220" s="279"/>
      <c r="J220" s="274"/>
      <c r="K220" s="279"/>
      <c r="L220" s="276"/>
      <c r="M220" s="276"/>
      <c r="N220" s="276"/>
      <c r="O220" s="276"/>
      <c r="P220" s="276"/>
      <c r="Q220" s="276"/>
      <c r="R220" s="276"/>
      <c r="S220" s="276"/>
    </row>
    <row r="221">
      <c r="A221" s="279"/>
      <c r="B221" s="279"/>
      <c r="C221" s="279"/>
      <c r="D221" s="274"/>
      <c r="E221" s="279"/>
      <c r="F221" s="279"/>
      <c r="G221" s="275"/>
      <c r="H221" s="275"/>
      <c r="I221" s="279"/>
      <c r="J221" s="274"/>
      <c r="K221" s="279"/>
      <c r="L221" s="276"/>
      <c r="M221" s="276"/>
      <c r="N221" s="276"/>
      <c r="O221" s="276"/>
      <c r="P221" s="276"/>
      <c r="Q221" s="276"/>
      <c r="R221" s="276"/>
      <c r="S221" s="276"/>
    </row>
    <row r="222">
      <c r="A222" s="279"/>
      <c r="B222" s="279"/>
      <c r="C222" s="279"/>
      <c r="D222" s="274"/>
      <c r="E222" s="279"/>
      <c r="F222" s="279"/>
      <c r="G222" s="275"/>
      <c r="H222" s="275"/>
      <c r="I222" s="279"/>
      <c r="J222" s="274"/>
      <c r="K222" s="279"/>
      <c r="L222" s="276"/>
      <c r="M222" s="276"/>
      <c r="N222" s="276"/>
      <c r="O222" s="276"/>
      <c r="P222" s="276"/>
      <c r="Q222" s="276"/>
      <c r="R222" s="276"/>
      <c r="S222" s="276"/>
    </row>
    <row r="223">
      <c r="A223" s="279"/>
      <c r="B223" s="279"/>
      <c r="C223" s="279"/>
      <c r="D223" s="274"/>
      <c r="E223" s="279"/>
      <c r="F223" s="279"/>
      <c r="G223" s="275"/>
      <c r="H223" s="275"/>
      <c r="I223" s="279"/>
      <c r="J223" s="274"/>
      <c r="K223" s="279"/>
      <c r="L223" s="276"/>
      <c r="M223" s="276"/>
      <c r="N223" s="276"/>
      <c r="O223" s="276"/>
      <c r="P223" s="276"/>
      <c r="Q223" s="276"/>
      <c r="R223" s="276"/>
      <c r="S223" s="276"/>
    </row>
    <row r="224">
      <c r="A224" s="279"/>
      <c r="B224" s="279"/>
      <c r="C224" s="279"/>
      <c r="D224" s="274"/>
      <c r="E224" s="279"/>
      <c r="F224" s="279"/>
      <c r="G224" s="275"/>
      <c r="H224" s="275"/>
      <c r="I224" s="279"/>
      <c r="J224" s="274"/>
      <c r="K224" s="279"/>
      <c r="L224" s="276"/>
      <c r="M224" s="276"/>
      <c r="N224" s="276"/>
      <c r="O224" s="276"/>
      <c r="P224" s="276"/>
      <c r="Q224" s="276"/>
      <c r="R224" s="276"/>
      <c r="S224" s="276"/>
    </row>
    <row r="225">
      <c r="A225" s="279"/>
      <c r="B225" s="279"/>
      <c r="C225" s="279"/>
      <c r="D225" s="274"/>
      <c r="E225" s="279"/>
      <c r="F225" s="279"/>
      <c r="G225" s="275"/>
      <c r="H225" s="275"/>
      <c r="I225" s="279"/>
      <c r="J225" s="274"/>
      <c r="K225" s="279"/>
      <c r="L225" s="276"/>
      <c r="M225" s="276"/>
      <c r="N225" s="276"/>
      <c r="O225" s="276"/>
      <c r="P225" s="276"/>
      <c r="Q225" s="276"/>
      <c r="R225" s="276"/>
      <c r="S225" s="276"/>
    </row>
    <row r="226">
      <c r="A226" s="279"/>
      <c r="B226" s="279"/>
      <c r="C226" s="279"/>
      <c r="D226" s="274"/>
      <c r="E226" s="279"/>
      <c r="F226" s="279"/>
      <c r="G226" s="275"/>
      <c r="H226" s="275"/>
      <c r="I226" s="279"/>
      <c r="J226" s="274"/>
      <c r="K226" s="279"/>
      <c r="L226" s="276"/>
      <c r="M226" s="276"/>
      <c r="N226" s="276"/>
      <c r="O226" s="276"/>
      <c r="P226" s="276"/>
      <c r="Q226" s="276"/>
      <c r="R226" s="276"/>
      <c r="S226" s="276"/>
    </row>
    <row r="227">
      <c r="A227" s="279"/>
      <c r="B227" s="279"/>
      <c r="C227" s="279"/>
      <c r="D227" s="274"/>
      <c r="E227" s="279"/>
      <c r="F227" s="279"/>
      <c r="G227" s="275"/>
      <c r="H227" s="275"/>
      <c r="I227" s="279"/>
      <c r="J227" s="274"/>
      <c r="K227" s="279"/>
      <c r="L227" s="276"/>
      <c r="M227" s="276"/>
      <c r="N227" s="276"/>
      <c r="O227" s="276"/>
      <c r="P227" s="276"/>
      <c r="Q227" s="276"/>
      <c r="R227" s="276"/>
      <c r="S227" s="276"/>
    </row>
    <row r="228">
      <c r="A228" s="279"/>
      <c r="B228" s="279"/>
      <c r="C228" s="279"/>
      <c r="D228" s="274"/>
      <c r="E228" s="279"/>
      <c r="F228" s="279"/>
      <c r="G228" s="275"/>
      <c r="H228" s="275"/>
      <c r="I228" s="279"/>
      <c r="J228" s="274"/>
      <c r="K228" s="279"/>
      <c r="L228" s="276"/>
      <c r="M228" s="276"/>
      <c r="N228" s="276"/>
      <c r="O228" s="276"/>
      <c r="P228" s="276"/>
      <c r="Q228" s="276"/>
      <c r="R228" s="276"/>
      <c r="S228" s="276"/>
    </row>
    <row r="229">
      <c r="A229" s="279"/>
      <c r="B229" s="279"/>
      <c r="C229" s="279"/>
      <c r="D229" s="274"/>
      <c r="E229" s="279"/>
      <c r="F229" s="279"/>
      <c r="G229" s="275"/>
      <c r="H229" s="275"/>
      <c r="I229" s="279"/>
      <c r="J229" s="274"/>
      <c r="K229" s="279"/>
      <c r="L229" s="276"/>
      <c r="M229" s="276"/>
      <c r="N229" s="276"/>
      <c r="O229" s="276"/>
      <c r="P229" s="276"/>
      <c r="Q229" s="276"/>
      <c r="R229" s="276"/>
      <c r="S229" s="276"/>
    </row>
    <row r="230">
      <c r="A230" s="279"/>
      <c r="B230" s="279"/>
      <c r="C230" s="279"/>
      <c r="D230" s="274"/>
      <c r="E230" s="279"/>
      <c r="F230" s="279"/>
      <c r="G230" s="275"/>
      <c r="H230" s="275"/>
      <c r="I230" s="279"/>
      <c r="J230" s="274"/>
      <c r="K230" s="279"/>
      <c r="L230" s="276"/>
      <c r="M230" s="276"/>
      <c r="N230" s="276"/>
      <c r="O230" s="276"/>
      <c r="P230" s="276"/>
      <c r="Q230" s="276"/>
      <c r="R230" s="276"/>
      <c r="S230" s="276"/>
    </row>
    <row r="231">
      <c r="A231" s="279"/>
      <c r="B231" s="279"/>
      <c r="C231" s="279"/>
      <c r="D231" s="274"/>
      <c r="E231" s="279"/>
      <c r="F231" s="279"/>
      <c r="G231" s="275"/>
      <c r="H231" s="275"/>
      <c r="I231" s="279"/>
      <c r="J231" s="274"/>
      <c r="K231" s="279"/>
      <c r="L231" s="276"/>
      <c r="M231" s="276"/>
      <c r="N231" s="276"/>
      <c r="O231" s="276"/>
      <c r="P231" s="276"/>
      <c r="Q231" s="276"/>
      <c r="R231" s="276"/>
      <c r="S231" s="276"/>
    </row>
    <row r="232">
      <c r="A232" s="279"/>
      <c r="B232" s="279"/>
      <c r="C232" s="279"/>
      <c r="D232" s="274"/>
      <c r="E232" s="279"/>
      <c r="F232" s="279"/>
      <c r="G232" s="275"/>
      <c r="H232" s="275"/>
      <c r="I232" s="279"/>
      <c r="J232" s="274"/>
      <c r="K232" s="279"/>
      <c r="L232" s="276"/>
      <c r="M232" s="276"/>
      <c r="N232" s="276"/>
      <c r="O232" s="276"/>
      <c r="P232" s="276"/>
      <c r="Q232" s="276"/>
      <c r="R232" s="276"/>
      <c r="S232" s="276"/>
    </row>
    <row r="233">
      <c r="A233" s="279"/>
      <c r="B233" s="279"/>
      <c r="C233" s="279"/>
      <c r="D233" s="274"/>
      <c r="E233" s="279"/>
      <c r="F233" s="279"/>
      <c r="G233" s="275"/>
      <c r="H233" s="275"/>
      <c r="I233" s="279"/>
      <c r="J233" s="274"/>
      <c r="K233" s="279"/>
      <c r="L233" s="276"/>
      <c r="M233" s="276"/>
      <c r="N233" s="276"/>
      <c r="O233" s="276"/>
      <c r="P233" s="276"/>
      <c r="Q233" s="276"/>
      <c r="R233" s="276"/>
      <c r="S233" s="276"/>
    </row>
    <row r="234">
      <c r="A234" s="279"/>
      <c r="B234" s="279"/>
      <c r="C234" s="279"/>
      <c r="D234" s="274"/>
      <c r="E234" s="279"/>
      <c r="F234" s="279"/>
      <c r="G234" s="275"/>
      <c r="H234" s="275"/>
      <c r="I234" s="279"/>
      <c r="J234" s="274"/>
      <c r="K234" s="279"/>
      <c r="L234" s="276"/>
      <c r="M234" s="276"/>
      <c r="N234" s="276"/>
      <c r="O234" s="276"/>
      <c r="P234" s="276"/>
      <c r="Q234" s="276"/>
      <c r="R234" s="276"/>
      <c r="S234" s="276"/>
    </row>
    <row r="235">
      <c r="A235" s="279"/>
      <c r="B235" s="279"/>
      <c r="C235" s="279"/>
      <c r="D235" s="274"/>
      <c r="E235" s="279"/>
      <c r="F235" s="279"/>
      <c r="G235" s="275"/>
      <c r="H235" s="275"/>
      <c r="I235" s="279"/>
      <c r="J235" s="274"/>
      <c r="K235" s="279"/>
      <c r="L235" s="276"/>
      <c r="M235" s="276"/>
      <c r="N235" s="276"/>
      <c r="O235" s="276"/>
      <c r="P235" s="276"/>
      <c r="Q235" s="276"/>
      <c r="R235" s="276"/>
      <c r="S235" s="276"/>
    </row>
    <row r="236">
      <c r="A236" s="279"/>
      <c r="B236" s="279"/>
      <c r="C236" s="279"/>
      <c r="D236" s="274"/>
      <c r="E236" s="279"/>
      <c r="F236" s="279"/>
      <c r="G236" s="275"/>
      <c r="H236" s="275"/>
      <c r="I236" s="279"/>
      <c r="J236" s="274"/>
      <c r="K236" s="279"/>
      <c r="L236" s="276"/>
      <c r="M236" s="276"/>
      <c r="N236" s="276"/>
      <c r="O236" s="276"/>
      <c r="P236" s="276"/>
      <c r="Q236" s="276"/>
      <c r="R236" s="276"/>
      <c r="S236" s="276"/>
    </row>
    <row r="237">
      <c r="A237" s="279"/>
      <c r="B237" s="279"/>
      <c r="C237" s="279"/>
      <c r="D237" s="274"/>
      <c r="E237" s="279"/>
      <c r="F237" s="279"/>
      <c r="G237" s="275"/>
      <c r="H237" s="275"/>
      <c r="I237" s="279"/>
      <c r="J237" s="274"/>
      <c r="K237" s="279"/>
      <c r="L237" s="276"/>
      <c r="M237" s="276"/>
      <c r="N237" s="276"/>
      <c r="O237" s="276"/>
      <c r="P237" s="276"/>
      <c r="Q237" s="276"/>
      <c r="R237" s="276"/>
      <c r="S237" s="276"/>
    </row>
    <row r="238">
      <c r="A238" s="279"/>
      <c r="B238" s="279"/>
      <c r="C238" s="279"/>
      <c r="D238" s="274"/>
      <c r="E238" s="279"/>
      <c r="F238" s="279"/>
      <c r="G238" s="275"/>
      <c r="H238" s="275"/>
      <c r="I238" s="279"/>
      <c r="J238" s="274"/>
      <c r="K238" s="279"/>
      <c r="L238" s="276"/>
      <c r="M238" s="276"/>
      <c r="N238" s="276"/>
      <c r="O238" s="276"/>
      <c r="P238" s="276"/>
      <c r="Q238" s="276"/>
      <c r="R238" s="276"/>
      <c r="S238" s="276"/>
    </row>
    <row r="239">
      <c r="A239" s="279"/>
      <c r="B239" s="279"/>
      <c r="C239" s="279"/>
      <c r="D239" s="274"/>
      <c r="E239" s="279"/>
      <c r="F239" s="279"/>
      <c r="G239" s="275"/>
      <c r="H239" s="275"/>
      <c r="I239" s="279"/>
      <c r="J239" s="274"/>
      <c r="K239" s="279"/>
      <c r="L239" s="276"/>
      <c r="M239" s="276"/>
      <c r="N239" s="276"/>
      <c r="O239" s="276"/>
      <c r="P239" s="276"/>
      <c r="Q239" s="276"/>
      <c r="R239" s="276"/>
      <c r="S239" s="276"/>
    </row>
    <row r="240">
      <c r="A240" s="279"/>
      <c r="B240" s="279"/>
      <c r="C240" s="279"/>
      <c r="D240" s="274"/>
      <c r="E240" s="279"/>
      <c r="F240" s="279"/>
      <c r="G240" s="275"/>
      <c r="H240" s="275"/>
      <c r="I240" s="279"/>
      <c r="J240" s="274"/>
      <c r="K240" s="279"/>
      <c r="L240" s="276"/>
      <c r="M240" s="276"/>
      <c r="N240" s="276"/>
      <c r="O240" s="276"/>
      <c r="P240" s="276"/>
      <c r="Q240" s="276"/>
      <c r="R240" s="276"/>
      <c r="S240" s="276"/>
    </row>
    <row r="241">
      <c r="A241" s="279"/>
      <c r="B241" s="279"/>
      <c r="C241" s="279"/>
      <c r="D241" s="274"/>
      <c r="E241" s="279"/>
      <c r="F241" s="279"/>
      <c r="G241" s="275"/>
      <c r="H241" s="275"/>
      <c r="I241" s="279"/>
      <c r="J241" s="274"/>
      <c r="K241" s="279"/>
      <c r="L241" s="276"/>
      <c r="M241" s="276"/>
      <c r="N241" s="276"/>
      <c r="O241" s="276"/>
      <c r="P241" s="276"/>
      <c r="Q241" s="276"/>
      <c r="R241" s="276"/>
      <c r="S241" s="276"/>
    </row>
    <row r="242">
      <c r="A242" s="279"/>
      <c r="B242" s="279"/>
      <c r="C242" s="279"/>
      <c r="D242" s="274"/>
      <c r="E242" s="279"/>
      <c r="F242" s="279"/>
      <c r="G242" s="275"/>
      <c r="H242" s="275"/>
      <c r="I242" s="279"/>
      <c r="J242" s="274"/>
      <c r="K242" s="279"/>
      <c r="L242" s="276"/>
      <c r="M242" s="276"/>
      <c r="N242" s="276"/>
      <c r="O242" s="276"/>
      <c r="P242" s="276"/>
      <c r="Q242" s="276"/>
      <c r="R242" s="276"/>
      <c r="S242" s="276"/>
    </row>
    <row r="243">
      <c r="A243" s="279"/>
      <c r="B243" s="279"/>
      <c r="C243" s="279"/>
      <c r="D243" s="274"/>
      <c r="E243" s="279"/>
      <c r="F243" s="279"/>
      <c r="G243" s="275"/>
      <c r="H243" s="275"/>
      <c r="I243" s="279"/>
      <c r="J243" s="274"/>
      <c r="K243" s="279"/>
      <c r="L243" s="276"/>
      <c r="M243" s="276"/>
      <c r="N243" s="276"/>
      <c r="O243" s="276"/>
      <c r="P243" s="276"/>
      <c r="Q243" s="276"/>
      <c r="R243" s="276"/>
      <c r="S243" s="276"/>
    </row>
    <row r="244">
      <c r="A244" s="279"/>
      <c r="B244" s="279"/>
      <c r="C244" s="279"/>
      <c r="D244" s="274"/>
      <c r="E244" s="279"/>
      <c r="F244" s="279"/>
      <c r="G244" s="275"/>
      <c r="H244" s="275"/>
      <c r="I244" s="279"/>
      <c r="J244" s="274"/>
      <c r="K244" s="279"/>
      <c r="L244" s="276"/>
      <c r="M244" s="276"/>
      <c r="N244" s="276"/>
      <c r="O244" s="276"/>
      <c r="P244" s="276"/>
      <c r="Q244" s="276"/>
      <c r="R244" s="276"/>
      <c r="S244" s="276"/>
    </row>
    <row r="245">
      <c r="A245" s="279"/>
      <c r="B245" s="279"/>
      <c r="C245" s="279"/>
      <c r="D245" s="274"/>
      <c r="E245" s="279"/>
      <c r="F245" s="279"/>
      <c r="G245" s="275"/>
      <c r="H245" s="275"/>
      <c r="I245" s="279"/>
      <c r="J245" s="274"/>
      <c r="K245" s="279"/>
      <c r="L245" s="276"/>
      <c r="M245" s="276"/>
      <c r="N245" s="276"/>
      <c r="O245" s="276"/>
      <c r="P245" s="276"/>
      <c r="Q245" s="276"/>
      <c r="R245" s="276"/>
      <c r="S245" s="276"/>
    </row>
    <row r="246">
      <c r="A246" s="279"/>
      <c r="B246" s="279"/>
      <c r="C246" s="279"/>
      <c r="D246" s="274"/>
      <c r="E246" s="279"/>
      <c r="F246" s="279"/>
      <c r="G246" s="275"/>
      <c r="H246" s="275"/>
      <c r="I246" s="279"/>
      <c r="J246" s="274"/>
      <c r="K246" s="279"/>
      <c r="L246" s="276"/>
      <c r="M246" s="276"/>
      <c r="N246" s="276"/>
      <c r="O246" s="276"/>
      <c r="P246" s="276"/>
      <c r="Q246" s="276"/>
      <c r="R246" s="276"/>
      <c r="S246" s="276"/>
    </row>
    <row r="247">
      <c r="A247" s="279"/>
      <c r="B247" s="279"/>
      <c r="C247" s="279"/>
      <c r="D247" s="274"/>
      <c r="E247" s="279"/>
      <c r="F247" s="279"/>
      <c r="G247" s="275"/>
      <c r="H247" s="275"/>
      <c r="I247" s="279"/>
      <c r="J247" s="274"/>
      <c r="K247" s="279"/>
      <c r="L247" s="276"/>
      <c r="M247" s="276"/>
      <c r="N247" s="276"/>
      <c r="O247" s="276"/>
      <c r="P247" s="276"/>
      <c r="Q247" s="276"/>
      <c r="R247" s="276"/>
      <c r="S247" s="276"/>
    </row>
    <row r="248">
      <c r="A248" s="279"/>
      <c r="B248" s="279"/>
      <c r="C248" s="279"/>
      <c r="D248" s="274"/>
      <c r="E248" s="279"/>
      <c r="F248" s="279"/>
      <c r="G248" s="275"/>
      <c r="H248" s="275"/>
      <c r="I248" s="279"/>
      <c r="J248" s="274"/>
      <c r="K248" s="279"/>
      <c r="L248" s="276"/>
      <c r="M248" s="276"/>
      <c r="N248" s="276"/>
      <c r="O248" s="276"/>
      <c r="P248" s="276"/>
      <c r="Q248" s="276"/>
      <c r="R248" s="276"/>
      <c r="S248" s="276"/>
    </row>
    <row r="249">
      <c r="A249" s="279"/>
      <c r="B249" s="279"/>
      <c r="C249" s="279"/>
      <c r="D249" s="274"/>
      <c r="E249" s="279"/>
      <c r="F249" s="279"/>
      <c r="G249" s="275"/>
      <c r="H249" s="275"/>
      <c r="I249" s="279"/>
      <c r="J249" s="274"/>
      <c r="K249" s="279"/>
      <c r="L249" s="276"/>
      <c r="M249" s="276"/>
      <c r="N249" s="276"/>
      <c r="O249" s="276"/>
      <c r="P249" s="276"/>
      <c r="Q249" s="276"/>
      <c r="R249" s="276"/>
      <c r="S249" s="276"/>
    </row>
    <row r="250">
      <c r="A250" s="279"/>
      <c r="B250" s="279"/>
      <c r="C250" s="279"/>
      <c r="D250" s="274"/>
      <c r="E250" s="279"/>
      <c r="F250" s="279"/>
      <c r="G250" s="275"/>
      <c r="H250" s="275"/>
      <c r="I250" s="279"/>
      <c r="J250" s="274"/>
      <c r="K250" s="279"/>
      <c r="L250" s="276"/>
      <c r="M250" s="276"/>
      <c r="N250" s="276"/>
      <c r="O250" s="276"/>
      <c r="P250" s="276"/>
      <c r="Q250" s="276"/>
      <c r="R250" s="276"/>
      <c r="S250" s="276"/>
    </row>
    <row r="251">
      <c r="A251" s="279"/>
      <c r="B251" s="279"/>
      <c r="C251" s="279"/>
      <c r="D251" s="274"/>
      <c r="E251" s="279"/>
      <c r="F251" s="279"/>
      <c r="G251" s="275"/>
      <c r="H251" s="275"/>
      <c r="I251" s="279"/>
      <c r="J251" s="274"/>
      <c r="K251" s="279"/>
      <c r="L251" s="276"/>
      <c r="M251" s="276"/>
      <c r="N251" s="276"/>
      <c r="O251" s="276"/>
      <c r="P251" s="276"/>
      <c r="Q251" s="276"/>
      <c r="R251" s="276"/>
      <c r="S251" s="276"/>
    </row>
    <row r="252">
      <c r="A252" s="279"/>
      <c r="B252" s="279"/>
      <c r="C252" s="279"/>
      <c r="D252" s="274"/>
      <c r="E252" s="279"/>
      <c r="F252" s="279"/>
      <c r="G252" s="275"/>
      <c r="H252" s="275"/>
      <c r="I252" s="279"/>
      <c r="J252" s="274"/>
      <c r="K252" s="279"/>
      <c r="L252" s="276"/>
      <c r="M252" s="276"/>
      <c r="N252" s="276"/>
      <c r="O252" s="276"/>
      <c r="P252" s="276"/>
      <c r="Q252" s="276"/>
      <c r="R252" s="276"/>
      <c r="S252" s="276"/>
    </row>
    <row r="253">
      <c r="A253" s="279"/>
      <c r="B253" s="279"/>
      <c r="C253" s="279"/>
      <c r="D253" s="274"/>
      <c r="E253" s="279"/>
      <c r="F253" s="279"/>
      <c r="G253" s="275"/>
      <c r="H253" s="275"/>
      <c r="I253" s="279"/>
      <c r="J253" s="274"/>
      <c r="K253" s="279"/>
      <c r="L253" s="276"/>
      <c r="M253" s="276"/>
      <c r="N253" s="276"/>
      <c r="O253" s="276"/>
      <c r="P253" s="276"/>
      <c r="Q253" s="276"/>
      <c r="R253" s="276"/>
      <c r="S253" s="276"/>
    </row>
    <row r="254">
      <c r="A254" s="279"/>
      <c r="B254" s="279"/>
      <c r="C254" s="279"/>
      <c r="D254" s="274"/>
      <c r="E254" s="279"/>
      <c r="F254" s="279"/>
      <c r="G254" s="275"/>
      <c r="H254" s="275"/>
      <c r="I254" s="279"/>
      <c r="J254" s="274"/>
      <c r="K254" s="279"/>
      <c r="L254" s="276"/>
      <c r="M254" s="276"/>
      <c r="N254" s="276"/>
      <c r="O254" s="276"/>
      <c r="P254" s="276"/>
      <c r="Q254" s="276"/>
      <c r="R254" s="276"/>
      <c r="S254" s="276"/>
    </row>
    <row r="255">
      <c r="A255" s="279"/>
      <c r="B255" s="279"/>
      <c r="C255" s="279"/>
      <c r="D255" s="274"/>
      <c r="E255" s="279"/>
      <c r="F255" s="279"/>
      <c r="G255" s="275"/>
      <c r="H255" s="275"/>
      <c r="I255" s="279"/>
      <c r="J255" s="274"/>
      <c r="K255" s="279"/>
      <c r="L255" s="276"/>
      <c r="M255" s="276"/>
      <c r="N255" s="276"/>
      <c r="O255" s="276"/>
      <c r="P255" s="276"/>
      <c r="Q255" s="276"/>
      <c r="R255" s="276"/>
      <c r="S255" s="276"/>
    </row>
    <row r="256">
      <c r="A256" s="279"/>
      <c r="B256" s="279"/>
      <c r="C256" s="279"/>
      <c r="D256" s="274"/>
      <c r="E256" s="279"/>
      <c r="F256" s="279"/>
      <c r="G256" s="275"/>
      <c r="H256" s="275"/>
      <c r="I256" s="279"/>
      <c r="J256" s="274"/>
      <c r="K256" s="279"/>
      <c r="L256" s="276"/>
      <c r="M256" s="276"/>
      <c r="N256" s="276"/>
      <c r="O256" s="276"/>
      <c r="P256" s="276"/>
      <c r="Q256" s="276"/>
      <c r="R256" s="276"/>
      <c r="S256" s="276"/>
    </row>
    <row r="257">
      <c r="A257" s="279"/>
      <c r="B257" s="279"/>
      <c r="C257" s="279"/>
      <c r="D257" s="274"/>
      <c r="E257" s="279"/>
      <c r="F257" s="279"/>
      <c r="G257" s="275"/>
      <c r="H257" s="275"/>
      <c r="I257" s="279"/>
      <c r="J257" s="274"/>
      <c r="K257" s="279"/>
      <c r="L257" s="276"/>
      <c r="M257" s="276"/>
      <c r="N257" s="276"/>
      <c r="O257" s="276"/>
      <c r="P257" s="276"/>
      <c r="Q257" s="276"/>
      <c r="R257" s="276"/>
      <c r="S257" s="276"/>
    </row>
    <row r="258">
      <c r="A258" s="279"/>
      <c r="B258" s="279"/>
      <c r="C258" s="279"/>
      <c r="D258" s="274"/>
      <c r="E258" s="279"/>
      <c r="F258" s="279"/>
      <c r="G258" s="275"/>
      <c r="H258" s="275"/>
      <c r="I258" s="279"/>
      <c r="J258" s="274"/>
      <c r="K258" s="279"/>
      <c r="L258" s="276"/>
      <c r="M258" s="276"/>
      <c r="N258" s="276"/>
      <c r="O258" s="276"/>
      <c r="P258" s="276"/>
      <c r="Q258" s="276"/>
      <c r="R258" s="276"/>
      <c r="S258" s="276"/>
    </row>
    <row r="259">
      <c r="A259" s="279"/>
      <c r="B259" s="279"/>
      <c r="C259" s="279"/>
      <c r="D259" s="274"/>
      <c r="E259" s="279"/>
      <c r="F259" s="279"/>
      <c r="G259" s="275"/>
      <c r="H259" s="275"/>
      <c r="I259" s="279"/>
      <c r="J259" s="274"/>
      <c r="K259" s="279"/>
      <c r="L259" s="276"/>
      <c r="M259" s="276"/>
      <c r="N259" s="276"/>
      <c r="O259" s="276"/>
      <c r="P259" s="276"/>
      <c r="Q259" s="276"/>
      <c r="R259" s="276"/>
      <c r="S259" s="276"/>
    </row>
    <row r="260">
      <c r="A260" s="279"/>
      <c r="B260" s="279"/>
      <c r="C260" s="279"/>
      <c r="D260" s="274"/>
      <c r="E260" s="279"/>
      <c r="F260" s="279"/>
      <c r="G260" s="275"/>
      <c r="H260" s="275"/>
      <c r="I260" s="279"/>
      <c r="J260" s="274"/>
      <c r="K260" s="279"/>
      <c r="L260" s="276"/>
      <c r="M260" s="276"/>
      <c r="N260" s="276"/>
      <c r="O260" s="276"/>
      <c r="P260" s="276"/>
      <c r="Q260" s="276"/>
      <c r="R260" s="276"/>
      <c r="S260" s="276"/>
    </row>
    <row r="261">
      <c r="A261" s="279"/>
      <c r="B261" s="279"/>
      <c r="C261" s="279"/>
      <c r="D261" s="274"/>
      <c r="E261" s="279"/>
      <c r="F261" s="279"/>
      <c r="G261" s="275"/>
      <c r="H261" s="275"/>
      <c r="I261" s="279"/>
      <c r="J261" s="274"/>
      <c r="K261" s="279"/>
      <c r="L261" s="276"/>
      <c r="M261" s="276"/>
      <c r="N261" s="276"/>
      <c r="O261" s="276"/>
      <c r="P261" s="276"/>
      <c r="Q261" s="276"/>
      <c r="R261" s="276"/>
      <c r="S261" s="276"/>
    </row>
    <row r="262">
      <c r="A262" s="279"/>
      <c r="B262" s="279"/>
      <c r="C262" s="279"/>
      <c r="D262" s="274"/>
      <c r="E262" s="279"/>
      <c r="F262" s="279"/>
      <c r="G262" s="275"/>
      <c r="H262" s="275"/>
      <c r="I262" s="279"/>
      <c r="J262" s="274"/>
      <c r="K262" s="279"/>
      <c r="L262" s="276"/>
      <c r="M262" s="276"/>
      <c r="N262" s="276"/>
      <c r="O262" s="276"/>
      <c r="P262" s="276"/>
      <c r="Q262" s="276"/>
      <c r="R262" s="276"/>
      <c r="S262" s="276"/>
    </row>
    <row r="263">
      <c r="A263" s="279"/>
      <c r="B263" s="279"/>
      <c r="C263" s="279"/>
      <c r="D263" s="274"/>
      <c r="E263" s="279"/>
      <c r="F263" s="279"/>
      <c r="G263" s="275"/>
      <c r="H263" s="275"/>
      <c r="I263" s="279"/>
      <c r="J263" s="274"/>
      <c r="K263" s="279"/>
      <c r="L263" s="276"/>
      <c r="M263" s="276"/>
      <c r="N263" s="276"/>
      <c r="O263" s="276"/>
      <c r="P263" s="276"/>
      <c r="Q263" s="276"/>
      <c r="R263" s="276"/>
      <c r="S263" s="276"/>
    </row>
    <row r="264">
      <c r="A264" s="279"/>
      <c r="B264" s="279"/>
      <c r="C264" s="279"/>
      <c r="D264" s="274"/>
      <c r="E264" s="279"/>
      <c r="F264" s="279"/>
      <c r="G264" s="275"/>
      <c r="H264" s="275"/>
      <c r="I264" s="279"/>
      <c r="J264" s="274"/>
      <c r="K264" s="279"/>
      <c r="L264" s="276"/>
      <c r="M264" s="276"/>
      <c r="N264" s="276"/>
      <c r="O264" s="276"/>
      <c r="P264" s="276"/>
      <c r="Q264" s="276"/>
      <c r="R264" s="276"/>
      <c r="S264" s="276"/>
    </row>
    <row r="265">
      <c r="A265" s="279"/>
      <c r="B265" s="279"/>
      <c r="C265" s="279"/>
      <c r="D265" s="274"/>
      <c r="E265" s="279"/>
      <c r="F265" s="279"/>
      <c r="G265" s="275"/>
      <c r="H265" s="275"/>
      <c r="I265" s="279"/>
      <c r="J265" s="274"/>
      <c r="K265" s="279"/>
      <c r="L265" s="276"/>
      <c r="M265" s="276"/>
      <c r="N265" s="276"/>
      <c r="O265" s="276"/>
      <c r="P265" s="276"/>
      <c r="Q265" s="276"/>
      <c r="R265" s="276"/>
      <c r="S265" s="276"/>
    </row>
    <row r="266">
      <c r="A266" s="279"/>
      <c r="B266" s="279"/>
      <c r="C266" s="279"/>
      <c r="D266" s="274"/>
      <c r="E266" s="279"/>
      <c r="F266" s="279"/>
      <c r="G266" s="275"/>
      <c r="H266" s="275"/>
      <c r="I266" s="279"/>
      <c r="J266" s="274"/>
      <c r="K266" s="279"/>
      <c r="L266" s="276"/>
      <c r="M266" s="276"/>
      <c r="N266" s="276"/>
      <c r="O266" s="276"/>
      <c r="P266" s="276"/>
      <c r="Q266" s="276"/>
      <c r="R266" s="276"/>
      <c r="S266" s="276"/>
    </row>
    <row r="267">
      <c r="A267" s="279"/>
      <c r="B267" s="279"/>
      <c r="C267" s="279"/>
      <c r="D267" s="274"/>
      <c r="E267" s="279"/>
      <c r="F267" s="279"/>
      <c r="G267" s="275"/>
      <c r="H267" s="275"/>
      <c r="I267" s="279"/>
      <c r="J267" s="274"/>
      <c r="K267" s="279"/>
      <c r="L267" s="276"/>
      <c r="M267" s="276"/>
      <c r="N267" s="276"/>
      <c r="O267" s="276"/>
      <c r="P267" s="276"/>
      <c r="Q267" s="276"/>
      <c r="R267" s="276"/>
      <c r="S267" s="276"/>
    </row>
    <row r="268">
      <c r="A268" s="279"/>
      <c r="B268" s="279"/>
      <c r="C268" s="279"/>
      <c r="D268" s="274"/>
      <c r="E268" s="279"/>
      <c r="F268" s="279"/>
      <c r="G268" s="275"/>
      <c r="H268" s="275"/>
      <c r="I268" s="279"/>
      <c r="J268" s="274"/>
      <c r="K268" s="279"/>
      <c r="L268" s="276"/>
      <c r="M268" s="276"/>
      <c r="N268" s="276"/>
      <c r="O268" s="276"/>
      <c r="P268" s="276"/>
      <c r="Q268" s="276"/>
      <c r="R268" s="276"/>
      <c r="S268" s="276"/>
    </row>
    <row r="269">
      <c r="A269" s="279"/>
      <c r="B269" s="279"/>
      <c r="C269" s="279"/>
      <c r="D269" s="274"/>
      <c r="E269" s="279"/>
      <c r="F269" s="279"/>
      <c r="G269" s="275"/>
      <c r="H269" s="275"/>
      <c r="I269" s="279"/>
      <c r="J269" s="274"/>
      <c r="K269" s="279"/>
      <c r="L269" s="276"/>
      <c r="M269" s="276"/>
      <c r="N269" s="276"/>
      <c r="O269" s="276"/>
      <c r="P269" s="276"/>
      <c r="Q269" s="276"/>
      <c r="R269" s="276"/>
      <c r="S269" s="276"/>
    </row>
    <row r="270">
      <c r="A270" s="279"/>
      <c r="B270" s="279"/>
      <c r="C270" s="279"/>
      <c r="D270" s="274"/>
      <c r="E270" s="279"/>
      <c r="F270" s="279"/>
      <c r="G270" s="275"/>
      <c r="H270" s="275"/>
      <c r="I270" s="279"/>
      <c r="J270" s="274"/>
      <c r="K270" s="279"/>
      <c r="L270" s="276"/>
      <c r="M270" s="276"/>
      <c r="N270" s="276"/>
      <c r="O270" s="276"/>
      <c r="P270" s="276"/>
      <c r="Q270" s="276"/>
      <c r="R270" s="276"/>
      <c r="S270" s="276"/>
    </row>
    <row r="271">
      <c r="A271" s="279"/>
      <c r="B271" s="279"/>
      <c r="C271" s="279"/>
      <c r="D271" s="274"/>
      <c r="E271" s="279"/>
      <c r="F271" s="279"/>
      <c r="G271" s="275"/>
      <c r="H271" s="275"/>
      <c r="I271" s="279"/>
      <c r="J271" s="274"/>
      <c r="K271" s="279"/>
      <c r="L271" s="276"/>
      <c r="M271" s="276"/>
      <c r="N271" s="276"/>
      <c r="O271" s="276"/>
      <c r="P271" s="276"/>
      <c r="Q271" s="276"/>
      <c r="R271" s="276"/>
      <c r="S271" s="276"/>
    </row>
    <row r="272">
      <c r="A272" s="279"/>
      <c r="B272" s="279"/>
      <c r="C272" s="279"/>
      <c r="D272" s="274"/>
      <c r="E272" s="279"/>
      <c r="F272" s="279"/>
      <c r="G272" s="275"/>
      <c r="H272" s="275"/>
      <c r="I272" s="279"/>
      <c r="J272" s="274"/>
      <c r="K272" s="279"/>
      <c r="L272" s="276"/>
      <c r="M272" s="276"/>
      <c r="N272" s="276"/>
      <c r="O272" s="276"/>
      <c r="P272" s="276"/>
      <c r="Q272" s="276"/>
      <c r="R272" s="276"/>
      <c r="S272" s="276"/>
    </row>
    <row r="273">
      <c r="A273" s="279"/>
      <c r="B273" s="279"/>
      <c r="C273" s="279"/>
      <c r="D273" s="274"/>
      <c r="E273" s="279"/>
      <c r="F273" s="279"/>
      <c r="G273" s="275"/>
      <c r="H273" s="275"/>
      <c r="I273" s="279"/>
      <c r="J273" s="274"/>
      <c r="K273" s="279"/>
      <c r="L273" s="276"/>
      <c r="M273" s="276"/>
      <c r="N273" s="276"/>
      <c r="O273" s="276"/>
      <c r="P273" s="276"/>
      <c r="Q273" s="276"/>
      <c r="R273" s="276"/>
      <c r="S273" s="276"/>
    </row>
    <row r="274">
      <c r="A274" s="279"/>
      <c r="B274" s="279"/>
      <c r="C274" s="279"/>
      <c r="D274" s="274"/>
      <c r="E274" s="279"/>
      <c r="F274" s="279"/>
      <c r="G274" s="275"/>
      <c r="H274" s="275"/>
      <c r="I274" s="279"/>
      <c r="J274" s="274"/>
      <c r="K274" s="279"/>
      <c r="L274" s="276"/>
      <c r="M274" s="276"/>
      <c r="N274" s="276"/>
      <c r="O274" s="276"/>
      <c r="P274" s="276"/>
      <c r="Q274" s="276"/>
      <c r="R274" s="276"/>
      <c r="S274" s="276"/>
    </row>
    <row r="275">
      <c r="A275" s="279"/>
      <c r="B275" s="279"/>
      <c r="C275" s="279"/>
      <c r="D275" s="274"/>
      <c r="E275" s="279"/>
      <c r="F275" s="279"/>
      <c r="G275" s="275"/>
      <c r="H275" s="275"/>
      <c r="I275" s="279"/>
      <c r="J275" s="274"/>
      <c r="K275" s="279"/>
      <c r="L275" s="276"/>
      <c r="M275" s="276"/>
      <c r="N275" s="276"/>
      <c r="O275" s="276"/>
      <c r="P275" s="276"/>
      <c r="Q275" s="276"/>
      <c r="R275" s="276"/>
      <c r="S275" s="276"/>
    </row>
    <row r="276">
      <c r="A276" s="279"/>
      <c r="B276" s="279"/>
      <c r="C276" s="279"/>
      <c r="D276" s="274"/>
      <c r="E276" s="279"/>
      <c r="F276" s="279"/>
      <c r="G276" s="275"/>
      <c r="H276" s="275"/>
      <c r="I276" s="279"/>
      <c r="J276" s="274"/>
      <c r="K276" s="279"/>
      <c r="L276" s="276"/>
      <c r="M276" s="276"/>
      <c r="N276" s="276"/>
      <c r="O276" s="276"/>
      <c r="P276" s="276"/>
      <c r="Q276" s="276"/>
      <c r="R276" s="276"/>
      <c r="S276" s="276"/>
    </row>
    <row r="277">
      <c r="A277" s="279"/>
      <c r="B277" s="279"/>
      <c r="C277" s="279"/>
      <c r="D277" s="274"/>
      <c r="E277" s="279"/>
      <c r="F277" s="279"/>
      <c r="G277" s="275"/>
      <c r="H277" s="275"/>
      <c r="I277" s="279"/>
      <c r="J277" s="274"/>
      <c r="K277" s="279"/>
      <c r="L277" s="276"/>
      <c r="M277" s="276"/>
      <c r="N277" s="276"/>
      <c r="O277" s="276"/>
      <c r="P277" s="276"/>
      <c r="Q277" s="276"/>
      <c r="R277" s="276"/>
      <c r="S277" s="276"/>
    </row>
    <row r="278">
      <c r="A278" s="279"/>
      <c r="B278" s="279"/>
      <c r="C278" s="279"/>
      <c r="D278" s="274"/>
      <c r="E278" s="279"/>
      <c r="F278" s="279"/>
      <c r="G278" s="275"/>
      <c r="H278" s="275"/>
      <c r="I278" s="279"/>
      <c r="J278" s="274"/>
      <c r="K278" s="279"/>
      <c r="L278" s="276"/>
      <c r="M278" s="276"/>
      <c r="N278" s="276"/>
      <c r="O278" s="276"/>
      <c r="P278" s="276"/>
      <c r="Q278" s="276"/>
      <c r="R278" s="276"/>
      <c r="S278" s="276"/>
    </row>
    <row r="279">
      <c r="A279" s="279"/>
      <c r="B279" s="279"/>
      <c r="C279" s="279"/>
      <c r="D279" s="274"/>
      <c r="E279" s="279"/>
      <c r="F279" s="279"/>
      <c r="G279" s="275"/>
      <c r="H279" s="275"/>
      <c r="I279" s="279"/>
      <c r="J279" s="274"/>
      <c r="K279" s="279"/>
      <c r="L279" s="276"/>
      <c r="M279" s="276"/>
      <c r="N279" s="276"/>
      <c r="O279" s="276"/>
      <c r="P279" s="276"/>
      <c r="Q279" s="276"/>
      <c r="R279" s="276"/>
      <c r="S279" s="276"/>
    </row>
    <row r="280">
      <c r="A280" s="279"/>
      <c r="B280" s="279"/>
      <c r="C280" s="279"/>
      <c r="D280" s="274"/>
      <c r="E280" s="279"/>
      <c r="F280" s="279"/>
      <c r="G280" s="275"/>
      <c r="H280" s="275"/>
      <c r="I280" s="279"/>
      <c r="J280" s="274"/>
      <c r="K280" s="279"/>
      <c r="L280" s="276"/>
      <c r="M280" s="276"/>
      <c r="N280" s="276"/>
      <c r="O280" s="276"/>
      <c r="P280" s="276"/>
      <c r="Q280" s="276"/>
      <c r="R280" s="276"/>
      <c r="S280" s="276"/>
    </row>
    <row r="281">
      <c r="A281" s="279"/>
      <c r="B281" s="279"/>
      <c r="C281" s="279"/>
      <c r="D281" s="274"/>
      <c r="E281" s="279"/>
      <c r="F281" s="279"/>
      <c r="G281" s="275"/>
      <c r="H281" s="275"/>
      <c r="I281" s="279"/>
      <c r="J281" s="274"/>
      <c r="K281" s="279"/>
      <c r="L281" s="276"/>
      <c r="M281" s="276"/>
      <c r="N281" s="276"/>
      <c r="O281" s="276"/>
      <c r="P281" s="276"/>
      <c r="Q281" s="276"/>
      <c r="R281" s="276"/>
      <c r="S281" s="276"/>
    </row>
    <row r="282">
      <c r="A282" s="279"/>
      <c r="B282" s="279"/>
      <c r="C282" s="279"/>
      <c r="D282" s="274"/>
      <c r="E282" s="279"/>
      <c r="F282" s="279"/>
      <c r="G282" s="275"/>
      <c r="H282" s="275"/>
      <c r="I282" s="279"/>
      <c r="J282" s="274"/>
      <c r="K282" s="279"/>
      <c r="L282" s="276"/>
      <c r="M282" s="276"/>
      <c r="N282" s="276"/>
      <c r="O282" s="276"/>
      <c r="P282" s="276"/>
      <c r="Q282" s="276"/>
      <c r="R282" s="276"/>
      <c r="S282" s="276"/>
    </row>
    <row r="283">
      <c r="A283" s="279"/>
      <c r="B283" s="279"/>
      <c r="C283" s="279"/>
      <c r="D283" s="274"/>
      <c r="E283" s="279"/>
      <c r="F283" s="279"/>
      <c r="G283" s="275"/>
      <c r="H283" s="275"/>
      <c r="I283" s="279"/>
      <c r="J283" s="274"/>
      <c r="K283" s="279"/>
      <c r="L283" s="276"/>
      <c r="M283" s="276"/>
      <c r="N283" s="276"/>
      <c r="O283" s="276"/>
      <c r="P283" s="276"/>
      <c r="Q283" s="276"/>
      <c r="R283" s="276"/>
      <c r="S283" s="276"/>
    </row>
    <row r="284">
      <c r="A284" s="279"/>
      <c r="B284" s="279"/>
      <c r="C284" s="279"/>
      <c r="D284" s="274"/>
      <c r="E284" s="279"/>
      <c r="F284" s="279"/>
      <c r="G284" s="275"/>
      <c r="H284" s="275"/>
      <c r="I284" s="279"/>
      <c r="J284" s="274"/>
      <c r="K284" s="279"/>
      <c r="L284" s="276"/>
      <c r="M284" s="276"/>
      <c r="N284" s="276"/>
      <c r="O284" s="276"/>
      <c r="P284" s="276"/>
      <c r="Q284" s="276"/>
      <c r="R284" s="276"/>
      <c r="S284" s="276"/>
    </row>
    <row r="285">
      <c r="A285" s="279"/>
      <c r="B285" s="279"/>
      <c r="C285" s="279"/>
      <c r="D285" s="274"/>
      <c r="E285" s="279"/>
      <c r="F285" s="279"/>
      <c r="G285" s="275"/>
      <c r="H285" s="275"/>
      <c r="I285" s="279"/>
      <c r="J285" s="274"/>
      <c r="K285" s="279"/>
      <c r="L285" s="276"/>
      <c r="M285" s="276"/>
      <c r="N285" s="276"/>
      <c r="O285" s="276"/>
      <c r="P285" s="276"/>
      <c r="Q285" s="276"/>
      <c r="R285" s="276"/>
      <c r="S285" s="276"/>
    </row>
    <row r="286">
      <c r="A286" s="279"/>
      <c r="B286" s="279"/>
      <c r="C286" s="279"/>
      <c r="D286" s="274"/>
      <c r="E286" s="279"/>
      <c r="F286" s="279"/>
      <c r="G286" s="275"/>
      <c r="H286" s="275"/>
      <c r="I286" s="279"/>
      <c r="J286" s="274"/>
      <c r="K286" s="279"/>
      <c r="L286" s="276"/>
      <c r="M286" s="276"/>
      <c r="N286" s="276"/>
      <c r="O286" s="276"/>
      <c r="P286" s="276"/>
      <c r="Q286" s="276"/>
      <c r="R286" s="276"/>
      <c r="S286" s="276"/>
    </row>
    <row r="287">
      <c r="A287" s="279"/>
      <c r="B287" s="279"/>
      <c r="C287" s="279"/>
      <c r="D287" s="274"/>
      <c r="E287" s="279"/>
      <c r="F287" s="279"/>
      <c r="G287" s="275"/>
      <c r="H287" s="275"/>
      <c r="I287" s="279"/>
      <c r="J287" s="274"/>
      <c r="K287" s="279"/>
      <c r="L287" s="276"/>
      <c r="M287" s="276"/>
      <c r="N287" s="276"/>
      <c r="O287" s="276"/>
      <c r="P287" s="276"/>
      <c r="Q287" s="276"/>
      <c r="R287" s="276"/>
      <c r="S287" s="276"/>
    </row>
    <row r="288">
      <c r="A288" s="279"/>
      <c r="B288" s="279"/>
      <c r="C288" s="279"/>
      <c r="D288" s="274"/>
      <c r="E288" s="279"/>
      <c r="F288" s="279"/>
      <c r="G288" s="275"/>
      <c r="H288" s="275"/>
      <c r="I288" s="279"/>
      <c r="J288" s="274"/>
      <c r="K288" s="279"/>
      <c r="L288" s="276"/>
      <c r="M288" s="276"/>
      <c r="N288" s="276"/>
      <c r="O288" s="276"/>
      <c r="P288" s="276"/>
      <c r="Q288" s="276"/>
      <c r="R288" s="276"/>
      <c r="S288" s="276"/>
    </row>
    <row r="289">
      <c r="A289" s="279"/>
      <c r="B289" s="279"/>
      <c r="C289" s="279"/>
      <c r="D289" s="274"/>
      <c r="E289" s="279"/>
      <c r="F289" s="279"/>
      <c r="G289" s="275"/>
      <c r="H289" s="275"/>
      <c r="I289" s="279"/>
      <c r="J289" s="274"/>
      <c r="K289" s="279"/>
      <c r="L289" s="276"/>
      <c r="M289" s="276"/>
      <c r="N289" s="276"/>
      <c r="O289" s="276"/>
      <c r="P289" s="276"/>
      <c r="Q289" s="276"/>
      <c r="R289" s="276"/>
      <c r="S289" s="276"/>
    </row>
    <row r="290">
      <c r="A290" s="279"/>
      <c r="B290" s="279"/>
      <c r="C290" s="279"/>
      <c r="D290" s="274"/>
      <c r="E290" s="279"/>
      <c r="F290" s="279"/>
      <c r="G290" s="275"/>
      <c r="H290" s="275"/>
      <c r="I290" s="279"/>
      <c r="J290" s="274"/>
      <c r="K290" s="279"/>
      <c r="L290" s="276"/>
      <c r="M290" s="276"/>
      <c r="N290" s="276"/>
      <c r="O290" s="276"/>
      <c r="P290" s="276"/>
      <c r="Q290" s="276"/>
      <c r="R290" s="276"/>
      <c r="S290" s="276"/>
    </row>
    <row r="291">
      <c r="A291" s="279"/>
      <c r="B291" s="279"/>
      <c r="C291" s="279"/>
      <c r="D291" s="274"/>
      <c r="E291" s="279"/>
      <c r="F291" s="279"/>
      <c r="G291" s="275"/>
      <c r="H291" s="275"/>
      <c r="I291" s="279"/>
      <c r="J291" s="274"/>
      <c r="K291" s="279"/>
      <c r="L291" s="276"/>
      <c r="M291" s="276"/>
      <c r="N291" s="276"/>
      <c r="O291" s="276"/>
      <c r="P291" s="276"/>
      <c r="Q291" s="276"/>
      <c r="R291" s="276"/>
      <c r="S291" s="276"/>
    </row>
    <row r="292">
      <c r="A292" s="279"/>
      <c r="B292" s="279"/>
      <c r="C292" s="279"/>
      <c r="D292" s="274"/>
      <c r="E292" s="279"/>
      <c r="F292" s="279"/>
      <c r="G292" s="275"/>
      <c r="H292" s="275"/>
      <c r="I292" s="279"/>
      <c r="J292" s="274"/>
      <c r="K292" s="279"/>
      <c r="L292" s="276"/>
      <c r="M292" s="276"/>
      <c r="N292" s="276"/>
      <c r="O292" s="276"/>
      <c r="P292" s="276"/>
      <c r="Q292" s="276"/>
      <c r="R292" s="276"/>
      <c r="S292" s="276"/>
    </row>
    <row r="293">
      <c r="A293" s="279"/>
      <c r="B293" s="279"/>
      <c r="C293" s="279"/>
      <c r="D293" s="274"/>
      <c r="E293" s="279"/>
      <c r="F293" s="279"/>
      <c r="G293" s="275"/>
      <c r="H293" s="275"/>
      <c r="I293" s="279"/>
      <c r="J293" s="274"/>
      <c r="K293" s="279"/>
      <c r="L293" s="276"/>
      <c r="M293" s="276"/>
      <c r="N293" s="276"/>
      <c r="O293" s="276"/>
      <c r="P293" s="276"/>
      <c r="Q293" s="276"/>
      <c r="R293" s="276"/>
      <c r="S293" s="276"/>
    </row>
    <row r="294">
      <c r="A294" s="279"/>
      <c r="B294" s="279"/>
      <c r="C294" s="279"/>
      <c r="D294" s="274"/>
      <c r="E294" s="279"/>
      <c r="F294" s="279"/>
      <c r="G294" s="275"/>
      <c r="H294" s="275"/>
      <c r="I294" s="279"/>
      <c r="J294" s="274"/>
      <c r="K294" s="279"/>
      <c r="L294" s="276"/>
      <c r="M294" s="276"/>
      <c r="N294" s="276"/>
      <c r="O294" s="276"/>
      <c r="P294" s="276"/>
      <c r="Q294" s="276"/>
      <c r="R294" s="276"/>
      <c r="S294" s="276"/>
    </row>
    <row r="295">
      <c r="A295" s="279"/>
      <c r="B295" s="279"/>
      <c r="C295" s="279"/>
      <c r="D295" s="274"/>
      <c r="E295" s="279"/>
      <c r="F295" s="279"/>
      <c r="G295" s="275"/>
      <c r="H295" s="275"/>
      <c r="I295" s="279"/>
      <c r="J295" s="274"/>
      <c r="K295" s="279"/>
      <c r="L295" s="276"/>
      <c r="M295" s="276"/>
      <c r="N295" s="276"/>
      <c r="O295" s="276"/>
      <c r="P295" s="276"/>
      <c r="Q295" s="276"/>
      <c r="R295" s="276"/>
      <c r="S295" s="276"/>
    </row>
    <row r="296">
      <c r="A296" s="279"/>
      <c r="B296" s="279"/>
      <c r="C296" s="279"/>
      <c r="D296" s="274"/>
      <c r="E296" s="279"/>
      <c r="F296" s="279"/>
      <c r="G296" s="275"/>
      <c r="H296" s="275"/>
      <c r="I296" s="279"/>
      <c r="J296" s="274"/>
      <c r="K296" s="279"/>
      <c r="L296" s="276"/>
      <c r="M296" s="276"/>
      <c r="N296" s="276"/>
      <c r="O296" s="276"/>
      <c r="P296" s="276"/>
      <c r="Q296" s="276"/>
      <c r="R296" s="276"/>
      <c r="S296" s="276"/>
    </row>
    <row r="297">
      <c r="A297" s="279"/>
      <c r="B297" s="279"/>
      <c r="C297" s="279"/>
      <c r="D297" s="274"/>
      <c r="E297" s="279"/>
      <c r="F297" s="279"/>
      <c r="G297" s="275"/>
      <c r="H297" s="275"/>
      <c r="I297" s="279"/>
      <c r="J297" s="274"/>
      <c r="K297" s="279"/>
      <c r="L297" s="276"/>
      <c r="M297" s="276"/>
      <c r="N297" s="276"/>
      <c r="O297" s="276"/>
      <c r="P297" s="276"/>
      <c r="Q297" s="276"/>
      <c r="R297" s="276"/>
      <c r="S297" s="276"/>
    </row>
    <row r="298">
      <c r="A298" s="279"/>
      <c r="B298" s="279"/>
      <c r="C298" s="279"/>
      <c r="D298" s="274"/>
      <c r="E298" s="279"/>
      <c r="F298" s="279"/>
      <c r="G298" s="275"/>
      <c r="H298" s="275"/>
      <c r="I298" s="279"/>
      <c r="J298" s="274"/>
      <c r="K298" s="279"/>
      <c r="L298" s="276"/>
      <c r="M298" s="276"/>
      <c r="N298" s="276"/>
      <c r="O298" s="276"/>
      <c r="P298" s="276"/>
      <c r="Q298" s="276"/>
      <c r="R298" s="276"/>
      <c r="S298" s="276"/>
    </row>
    <row r="299">
      <c r="A299" s="279"/>
      <c r="B299" s="279"/>
      <c r="C299" s="279"/>
      <c r="D299" s="274"/>
      <c r="E299" s="279"/>
      <c r="F299" s="279"/>
      <c r="G299" s="275"/>
      <c r="H299" s="275"/>
      <c r="I299" s="279"/>
      <c r="J299" s="274"/>
      <c r="K299" s="279"/>
      <c r="L299" s="276"/>
      <c r="M299" s="276"/>
      <c r="N299" s="276"/>
      <c r="O299" s="276"/>
      <c r="P299" s="276"/>
      <c r="Q299" s="276"/>
      <c r="R299" s="276"/>
      <c r="S299" s="276"/>
    </row>
    <row r="300">
      <c r="A300" s="279"/>
      <c r="B300" s="279"/>
      <c r="C300" s="279"/>
      <c r="D300" s="274"/>
      <c r="E300" s="279"/>
      <c r="F300" s="279"/>
      <c r="G300" s="275"/>
      <c r="H300" s="275"/>
      <c r="I300" s="279"/>
      <c r="J300" s="274"/>
      <c r="K300" s="279"/>
      <c r="L300" s="276"/>
      <c r="M300" s="276"/>
      <c r="N300" s="276"/>
      <c r="O300" s="276"/>
      <c r="P300" s="276"/>
      <c r="Q300" s="276"/>
      <c r="R300" s="276"/>
      <c r="S300" s="276"/>
    </row>
    <row r="301">
      <c r="A301" s="279"/>
      <c r="B301" s="279"/>
      <c r="C301" s="279"/>
      <c r="D301" s="274"/>
      <c r="E301" s="279"/>
      <c r="F301" s="279"/>
      <c r="G301" s="275"/>
      <c r="H301" s="275"/>
      <c r="I301" s="279"/>
      <c r="J301" s="274"/>
      <c r="K301" s="279"/>
      <c r="L301" s="276"/>
      <c r="M301" s="276"/>
      <c r="N301" s="276"/>
      <c r="O301" s="276"/>
      <c r="P301" s="276"/>
      <c r="Q301" s="276"/>
      <c r="R301" s="276"/>
      <c r="S301" s="276"/>
    </row>
    <row r="302">
      <c r="A302" s="279"/>
      <c r="B302" s="279"/>
      <c r="C302" s="279"/>
      <c r="D302" s="274"/>
      <c r="E302" s="279"/>
      <c r="F302" s="279"/>
      <c r="G302" s="275"/>
      <c r="H302" s="275"/>
      <c r="I302" s="279"/>
      <c r="J302" s="274"/>
      <c r="K302" s="279"/>
      <c r="L302" s="276"/>
      <c r="M302" s="276"/>
      <c r="N302" s="276"/>
      <c r="O302" s="276"/>
      <c r="P302" s="276"/>
      <c r="Q302" s="276"/>
      <c r="R302" s="276"/>
      <c r="S302" s="276"/>
    </row>
    <row r="303">
      <c r="A303" s="279"/>
      <c r="B303" s="279"/>
      <c r="C303" s="279"/>
      <c r="D303" s="274"/>
      <c r="E303" s="279"/>
      <c r="F303" s="279"/>
      <c r="G303" s="275"/>
      <c r="H303" s="275"/>
      <c r="I303" s="279"/>
      <c r="J303" s="274"/>
      <c r="K303" s="279"/>
      <c r="L303" s="276"/>
      <c r="M303" s="276"/>
      <c r="N303" s="276"/>
      <c r="O303" s="276"/>
      <c r="P303" s="276"/>
      <c r="Q303" s="276"/>
      <c r="R303" s="276"/>
      <c r="S303" s="276"/>
    </row>
    <row r="304">
      <c r="A304" s="279"/>
      <c r="B304" s="279"/>
      <c r="C304" s="279"/>
      <c r="D304" s="274"/>
      <c r="E304" s="279"/>
      <c r="F304" s="279"/>
      <c r="G304" s="275"/>
      <c r="H304" s="275"/>
      <c r="I304" s="279"/>
      <c r="J304" s="274"/>
      <c r="K304" s="279"/>
      <c r="L304" s="276"/>
      <c r="M304" s="276"/>
      <c r="N304" s="276"/>
      <c r="O304" s="276"/>
      <c r="P304" s="276"/>
      <c r="Q304" s="276"/>
      <c r="R304" s="276"/>
      <c r="S304" s="276"/>
    </row>
    <row r="305">
      <c r="A305" s="279"/>
      <c r="B305" s="279"/>
      <c r="C305" s="279"/>
      <c r="D305" s="274"/>
      <c r="E305" s="279"/>
      <c r="F305" s="279"/>
      <c r="G305" s="275"/>
      <c r="H305" s="275"/>
      <c r="I305" s="279"/>
      <c r="J305" s="274"/>
      <c r="K305" s="279"/>
      <c r="L305" s="276"/>
      <c r="M305" s="276"/>
      <c r="N305" s="276"/>
      <c r="O305" s="276"/>
      <c r="P305" s="276"/>
      <c r="Q305" s="276"/>
      <c r="R305" s="276"/>
      <c r="S305" s="276"/>
    </row>
    <row r="306">
      <c r="A306" s="279"/>
      <c r="B306" s="279"/>
      <c r="C306" s="279"/>
      <c r="D306" s="274"/>
      <c r="E306" s="279"/>
      <c r="F306" s="279"/>
      <c r="G306" s="275"/>
      <c r="H306" s="275"/>
      <c r="I306" s="279"/>
      <c r="J306" s="274"/>
      <c r="K306" s="279"/>
      <c r="L306" s="276"/>
      <c r="M306" s="276"/>
      <c r="N306" s="276"/>
      <c r="O306" s="276"/>
      <c r="P306" s="276"/>
      <c r="Q306" s="276"/>
      <c r="R306" s="276"/>
      <c r="S306" s="276"/>
    </row>
    <row r="307">
      <c r="A307" s="279"/>
      <c r="B307" s="279"/>
      <c r="C307" s="279"/>
      <c r="D307" s="274"/>
      <c r="E307" s="279"/>
      <c r="F307" s="279"/>
      <c r="G307" s="275"/>
      <c r="H307" s="275"/>
      <c r="I307" s="279"/>
      <c r="J307" s="274"/>
      <c r="K307" s="279"/>
      <c r="L307" s="276"/>
      <c r="M307" s="276"/>
      <c r="N307" s="276"/>
      <c r="O307" s="276"/>
      <c r="P307" s="276"/>
      <c r="Q307" s="276"/>
      <c r="R307" s="276"/>
      <c r="S307" s="276"/>
    </row>
    <row r="308">
      <c r="A308" s="279"/>
      <c r="B308" s="279"/>
      <c r="C308" s="279"/>
      <c r="D308" s="274"/>
      <c r="E308" s="279"/>
      <c r="F308" s="279"/>
      <c r="G308" s="275"/>
      <c r="H308" s="275"/>
      <c r="I308" s="279"/>
      <c r="J308" s="274"/>
      <c r="K308" s="279"/>
      <c r="L308" s="276"/>
      <c r="M308" s="276"/>
      <c r="N308" s="276"/>
      <c r="O308" s="276"/>
      <c r="P308" s="276"/>
      <c r="Q308" s="276"/>
      <c r="R308" s="276"/>
      <c r="S308" s="276"/>
    </row>
    <row r="309">
      <c r="A309" s="279"/>
      <c r="B309" s="279"/>
      <c r="C309" s="279"/>
      <c r="D309" s="274"/>
      <c r="E309" s="279"/>
      <c r="F309" s="279"/>
      <c r="G309" s="275"/>
      <c r="H309" s="275"/>
      <c r="I309" s="279"/>
      <c r="J309" s="274"/>
      <c r="K309" s="279"/>
      <c r="L309" s="276"/>
      <c r="M309" s="276"/>
      <c r="N309" s="276"/>
      <c r="O309" s="276"/>
      <c r="P309" s="276"/>
      <c r="Q309" s="276"/>
      <c r="R309" s="276"/>
      <c r="S309" s="276"/>
    </row>
    <row r="310">
      <c r="A310" s="279"/>
      <c r="B310" s="279"/>
      <c r="C310" s="279"/>
      <c r="D310" s="274"/>
      <c r="E310" s="279"/>
      <c r="F310" s="279"/>
      <c r="G310" s="275"/>
      <c r="H310" s="275"/>
      <c r="I310" s="279"/>
      <c r="J310" s="274"/>
      <c r="K310" s="279"/>
      <c r="L310" s="276"/>
      <c r="M310" s="276"/>
      <c r="N310" s="276"/>
      <c r="O310" s="276"/>
      <c r="P310" s="276"/>
      <c r="Q310" s="276"/>
      <c r="R310" s="276"/>
      <c r="S310" s="276"/>
    </row>
    <row r="311">
      <c r="A311" s="279"/>
      <c r="B311" s="279"/>
      <c r="C311" s="279"/>
      <c r="D311" s="274"/>
      <c r="E311" s="279"/>
      <c r="F311" s="279"/>
      <c r="G311" s="275"/>
      <c r="H311" s="275"/>
      <c r="I311" s="279"/>
      <c r="J311" s="274"/>
      <c r="K311" s="279"/>
      <c r="L311" s="276"/>
      <c r="M311" s="276"/>
      <c r="N311" s="276"/>
      <c r="O311" s="276"/>
      <c r="P311" s="276"/>
      <c r="Q311" s="276"/>
      <c r="R311" s="276"/>
      <c r="S311" s="276"/>
    </row>
    <row r="312">
      <c r="A312" s="279"/>
      <c r="B312" s="279"/>
      <c r="C312" s="279"/>
      <c r="D312" s="274"/>
      <c r="E312" s="279"/>
      <c r="F312" s="279"/>
      <c r="G312" s="275"/>
      <c r="H312" s="275"/>
      <c r="I312" s="279"/>
      <c r="J312" s="274"/>
      <c r="K312" s="279"/>
      <c r="L312" s="276"/>
      <c r="M312" s="276"/>
      <c r="N312" s="276"/>
      <c r="O312" s="276"/>
      <c r="P312" s="276"/>
      <c r="Q312" s="276"/>
      <c r="R312" s="276"/>
      <c r="S312" s="276"/>
    </row>
    <row r="313">
      <c r="A313" s="279"/>
      <c r="B313" s="279"/>
      <c r="C313" s="279"/>
      <c r="D313" s="274"/>
      <c r="E313" s="279"/>
      <c r="F313" s="279"/>
      <c r="G313" s="275"/>
      <c r="H313" s="275"/>
      <c r="I313" s="279"/>
      <c r="J313" s="274"/>
      <c r="K313" s="279"/>
      <c r="L313" s="276"/>
      <c r="M313" s="276"/>
      <c r="N313" s="276"/>
      <c r="O313" s="276"/>
      <c r="P313" s="276"/>
      <c r="Q313" s="276"/>
      <c r="R313" s="276"/>
      <c r="S313" s="276"/>
    </row>
    <row r="314">
      <c r="A314" s="279"/>
      <c r="B314" s="279"/>
      <c r="C314" s="279"/>
      <c r="D314" s="274"/>
      <c r="E314" s="279"/>
      <c r="F314" s="279"/>
      <c r="G314" s="275"/>
      <c r="H314" s="275"/>
      <c r="I314" s="279"/>
      <c r="J314" s="274"/>
      <c r="K314" s="279"/>
      <c r="L314" s="276"/>
      <c r="M314" s="276"/>
      <c r="N314" s="276"/>
      <c r="O314" s="276"/>
      <c r="P314" s="276"/>
      <c r="Q314" s="276"/>
      <c r="R314" s="276"/>
      <c r="S314" s="276"/>
    </row>
    <row r="315">
      <c r="A315" s="279"/>
      <c r="B315" s="279"/>
      <c r="C315" s="279"/>
      <c r="D315" s="274"/>
      <c r="E315" s="279"/>
      <c r="F315" s="279"/>
      <c r="G315" s="275"/>
      <c r="H315" s="275"/>
      <c r="I315" s="279"/>
      <c r="J315" s="274"/>
      <c r="K315" s="279"/>
      <c r="L315" s="276"/>
      <c r="M315" s="276"/>
      <c r="N315" s="276"/>
      <c r="O315" s="276"/>
      <c r="P315" s="276"/>
      <c r="Q315" s="276"/>
      <c r="R315" s="276"/>
      <c r="S315" s="276"/>
    </row>
    <row r="316">
      <c r="A316" s="279"/>
      <c r="B316" s="279"/>
      <c r="C316" s="279"/>
      <c r="D316" s="274"/>
      <c r="E316" s="279"/>
      <c r="F316" s="279"/>
      <c r="G316" s="275"/>
      <c r="H316" s="275"/>
      <c r="I316" s="279"/>
      <c r="J316" s="274"/>
      <c r="K316" s="279"/>
      <c r="L316" s="276"/>
      <c r="M316" s="276"/>
      <c r="N316" s="276"/>
      <c r="O316" s="276"/>
      <c r="P316" s="276"/>
      <c r="Q316" s="276"/>
      <c r="R316" s="276"/>
      <c r="S316" s="276"/>
    </row>
    <row r="317">
      <c r="A317" s="279"/>
      <c r="B317" s="279"/>
      <c r="C317" s="279"/>
      <c r="D317" s="274"/>
      <c r="E317" s="279"/>
      <c r="F317" s="279"/>
      <c r="G317" s="275"/>
      <c r="H317" s="275"/>
      <c r="I317" s="279"/>
      <c r="J317" s="274"/>
      <c r="K317" s="279"/>
      <c r="L317" s="276"/>
      <c r="M317" s="276"/>
      <c r="N317" s="276"/>
      <c r="O317" s="276"/>
      <c r="P317" s="276"/>
      <c r="Q317" s="276"/>
      <c r="R317" s="276"/>
      <c r="S317" s="276"/>
    </row>
    <row r="318">
      <c r="A318" s="279"/>
      <c r="B318" s="279"/>
      <c r="C318" s="279"/>
      <c r="D318" s="274"/>
      <c r="E318" s="279"/>
      <c r="F318" s="279"/>
      <c r="G318" s="275"/>
      <c r="H318" s="275"/>
      <c r="I318" s="279"/>
      <c r="J318" s="274"/>
      <c r="K318" s="279"/>
      <c r="L318" s="276"/>
      <c r="M318" s="276"/>
      <c r="N318" s="276"/>
      <c r="O318" s="276"/>
      <c r="P318" s="276"/>
      <c r="Q318" s="276"/>
      <c r="R318" s="276"/>
      <c r="S318" s="276"/>
    </row>
    <row r="319">
      <c r="A319" s="279"/>
      <c r="B319" s="279"/>
      <c r="C319" s="279"/>
      <c r="D319" s="274"/>
      <c r="E319" s="279"/>
      <c r="F319" s="279"/>
      <c r="G319" s="275"/>
      <c r="H319" s="275"/>
      <c r="I319" s="279"/>
      <c r="J319" s="274"/>
      <c r="K319" s="279"/>
      <c r="L319" s="276"/>
      <c r="M319" s="276"/>
      <c r="N319" s="276"/>
      <c r="O319" s="276"/>
      <c r="P319" s="276"/>
      <c r="Q319" s="276"/>
      <c r="R319" s="276"/>
      <c r="S319" s="276"/>
    </row>
    <row r="320">
      <c r="A320" s="279"/>
      <c r="B320" s="279"/>
      <c r="C320" s="279"/>
      <c r="D320" s="274"/>
      <c r="E320" s="279"/>
      <c r="F320" s="279"/>
      <c r="G320" s="275"/>
      <c r="H320" s="275"/>
      <c r="I320" s="279"/>
      <c r="J320" s="274"/>
      <c r="K320" s="279"/>
      <c r="L320" s="276"/>
      <c r="M320" s="276"/>
      <c r="N320" s="276"/>
      <c r="O320" s="276"/>
      <c r="P320" s="276"/>
      <c r="Q320" s="276"/>
      <c r="R320" s="276"/>
      <c r="S320" s="276"/>
    </row>
    <row r="321">
      <c r="A321" s="279"/>
      <c r="B321" s="279"/>
      <c r="C321" s="279"/>
      <c r="D321" s="274"/>
      <c r="E321" s="279"/>
      <c r="F321" s="279"/>
      <c r="G321" s="275"/>
      <c r="H321" s="275"/>
      <c r="I321" s="279"/>
      <c r="J321" s="274"/>
      <c r="K321" s="279"/>
      <c r="L321" s="276"/>
      <c r="M321" s="276"/>
      <c r="N321" s="276"/>
      <c r="O321" s="276"/>
      <c r="P321" s="276"/>
      <c r="Q321" s="276"/>
      <c r="R321" s="276"/>
      <c r="S321" s="276"/>
    </row>
    <row r="322">
      <c r="A322" s="279"/>
      <c r="B322" s="279"/>
      <c r="C322" s="279"/>
      <c r="D322" s="274"/>
      <c r="E322" s="279"/>
      <c r="F322" s="279"/>
      <c r="G322" s="275"/>
      <c r="H322" s="275"/>
      <c r="I322" s="279"/>
      <c r="J322" s="274"/>
      <c r="K322" s="279"/>
      <c r="L322" s="276"/>
      <c r="M322" s="276"/>
      <c r="N322" s="276"/>
      <c r="O322" s="276"/>
      <c r="P322" s="276"/>
      <c r="Q322" s="276"/>
      <c r="R322" s="276"/>
      <c r="S322" s="276"/>
    </row>
    <row r="323">
      <c r="A323" s="279"/>
      <c r="B323" s="279"/>
      <c r="C323" s="279"/>
      <c r="D323" s="274"/>
      <c r="E323" s="279"/>
      <c r="F323" s="279"/>
      <c r="G323" s="275"/>
      <c r="H323" s="275"/>
      <c r="I323" s="279"/>
      <c r="J323" s="274"/>
      <c r="K323" s="279"/>
      <c r="L323" s="276"/>
      <c r="M323" s="276"/>
      <c r="N323" s="276"/>
      <c r="O323" s="276"/>
      <c r="P323" s="276"/>
      <c r="Q323" s="276"/>
      <c r="R323" s="276"/>
      <c r="S323" s="276"/>
    </row>
    <row r="324">
      <c r="A324" s="279"/>
      <c r="B324" s="279"/>
      <c r="C324" s="279"/>
      <c r="D324" s="274"/>
      <c r="E324" s="279"/>
      <c r="F324" s="279"/>
      <c r="G324" s="275"/>
      <c r="H324" s="275"/>
      <c r="I324" s="279"/>
      <c r="J324" s="274"/>
      <c r="K324" s="279"/>
      <c r="L324" s="276"/>
      <c r="M324" s="276"/>
      <c r="N324" s="276"/>
      <c r="O324" s="276"/>
      <c r="P324" s="276"/>
      <c r="Q324" s="276"/>
      <c r="R324" s="276"/>
      <c r="S324" s="276"/>
    </row>
    <row r="325">
      <c r="A325" s="279"/>
      <c r="B325" s="279"/>
      <c r="C325" s="279"/>
      <c r="D325" s="274"/>
      <c r="E325" s="279"/>
      <c r="F325" s="279"/>
      <c r="G325" s="275"/>
      <c r="H325" s="275"/>
      <c r="I325" s="279"/>
      <c r="J325" s="274"/>
      <c r="K325" s="279"/>
      <c r="L325" s="276"/>
      <c r="M325" s="276"/>
      <c r="N325" s="276"/>
      <c r="O325" s="276"/>
      <c r="P325" s="276"/>
      <c r="Q325" s="276"/>
      <c r="R325" s="276"/>
      <c r="S325" s="276"/>
    </row>
    <row r="326">
      <c r="A326" s="279"/>
      <c r="B326" s="279"/>
      <c r="C326" s="279"/>
      <c r="D326" s="274"/>
      <c r="E326" s="279"/>
      <c r="F326" s="279"/>
      <c r="G326" s="275"/>
      <c r="H326" s="275"/>
      <c r="I326" s="279"/>
      <c r="J326" s="274"/>
      <c r="K326" s="279"/>
      <c r="L326" s="276"/>
      <c r="M326" s="276"/>
      <c r="N326" s="276"/>
      <c r="O326" s="276"/>
      <c r="P326" s="276"/>
      <c r="Q326" s="276"/>
      <c r="R326" s="276"/>
      <c r="S326" s="276"/>
    </row>
    <row r="327">
      <c r="A327" s="279"/>
      <c r="B327" s="279"/>
      <c r="C327" s="279"/>
      <c r="D327" s="274"/>
      <c r="E327" s="279"/>
      <c r="F327" s="279"/>
      <c r="G327" s="275"/>
      <c r="H327" s="275"/>
      <c r="I327" s="279"/>
      <c r="J327" s="274"/>
      <c r="K327" s="279"/>
      <c r="L327" s="276"/>
      <c r="M327" s="276"/>
      <c r="N327" s="276"/>
      <c r="O327" s="276"/>
      <c r="P327" s="276"/>
      <c r="Q327" s="276"/>
      <c r="R327" s="276"/>
      <c r="S327" s="276"/>
    </row>
    <row r="328">
      <c r="A328" s="279"/>
      <c r="B328" s="279"/>
      <c r="C328" s="279"/>
      <c r="D328" s="274"/>
      <c r="E328" s="279"/>
      <c r="F328" s="279"/>
      <c r="G328" s="275"/>
      <c r="H328" s="275"/>
      <c r="I328" s="279"/>
      <c r="J328" s="274"/>
      <c r="K328" s="279"/>
      <c r="L328" s="276"/>
      <c r="M328" s="276"/>
      <c r="N328" s="276"/>
      <c r="O328" s="276"/>
      <c r="P328" s="276"/>
      <c r="Q328" s="276"/>
      <c r="R328" s="276"/>
      <c r="S328" s="276"/>
    </row>
    <row r="329">
      <c r="A329" s="279"/>
      <c r="B329" s="279"/>
      <c r="C329" s="279"/>
      <c r="D329" s="274"/>
      <c r="E329" s="279"/>
      <c r="F329" s="279"/>
      <c r="G329" s="275"/>
      <c r="H329" s="275"/>
      <c r="I329" s="279"/>
      <c r="J329" s="274"/>
      <c r="K329" s="279"/>
      <c r="L329" s="276"/>
      <c r="M329" s="276"/>
      <c r="N329" s="276"/>
      <c r="O329" s="276"/>
      <c r="P329" s="276"/>
      <c r="Q329" s="276"/>
      <c r="R329" s="276"/>
      <c r="S329" s="276"/>
    </row>
    <row r="330">
      <c r="A330" s="279"/>
      <c r="B330" s="279"/>
      <c r="C330" s="279"/>
      <c r="D330" s="274"/>
      <c r="E330" s="279"/>
      <c r="F330" s="279"/>
      <c r="G330" s="275"/>
      <c r="H330" s="275"/>
      <c r="I330" s="279"/>
      <c r="J330" s="274"/>
      <c r="K330" s="279"/>
      <c r="L330" s="276"/>
      <c r="M330" s="276"/>
      <c r="N330" s="276"/>
      <c r="O330" s="276"/>
      <c r="P330" s="276"/>
      <c r="Q330" s="276"/>
      <c r="R330" s="276"/>
      <c r="S330" s="276"/>
    </row>
    <row r="331">
      <c r="A331" s="279"/>
      <c r="B331" s="279"/>
      <c r="C331" s="279"/>
      <c r="D331" s="274"/>
      <c r="E331" s="279"/>
      <c r="F331" s="279"/>
      <c r="G331" s="275"/>
      <c r="H331" s="275"/>
      <c r="I331" s="279"/>
      <c r="J331" s="274"/>
      <c r="K331" s="279"/>
      <c r="L331" s="276"/>
      <c r="M331" s="276"/>
      <c r="N331" s="276"/>
      <c r="O331" s="276"/>
      <c r="P331" s="276"/>
      <c r="Q331" s="276"/>
      <c r="R331" s="276"/>
      <c r="S331" s="276"/>
    </row>
    <row r="332">
      <c r="A332" s="279"/>
      <c r="B332" s="279"/>
      <c r="C332" s="279"/>
      <c r="D332" s="274"/>
      <c r="E332" s="279"/>
      <c r="F332" s="279"/>
      <c r="G332" s="275"/>
      <c r="H332" s="275"/>
      <c r="I332" s="279"/>
      <c r="J332" s="274"/>
      <c r="K332" s="279"/>
      <c r="L332" s="276"/>
      <c r="M332" s="276"/>
      <c r="N332" s="276"/>
      <c r="O332" s="276"/>
      <c r="P332" s="276"/>
      <c r="Q332" s="276"/>
      <c r="R332" s="276"/>
      <c r="S332" s="276"/>
    </row>
    <row r="333">
      <c r="A333" s="279"/>
      <c r="B333" s="279"/>
      <c r="C333" s="279"/>
      <c r="D333" s="274"/>
      <c r="E333" s="279"/>
      <c r="F333" s="279"/>
      <c r="G333" s="275"/>
      <c r="H333" s="275"/>
      <c r="I333" s="279"/>
      <c r="J333" s="274"/>
      <c r="K333" s="279"/>
      <c r="L333" s="276"/>
      <c r="M333" s="276"/>
      <c r="N333" s="276"/>
      <c r="O333" s="276"/>
      <c r="P333" s="276"/>
      <c r="Q333" s="276"/>
      <c r="R333" s="276"/>
      <c r="S333" s="276"/>
    </row>
    <row r="334">
      <c r="A334" s="279"/>
      <c r="B334" s="279"/>
      <c r="C334" s="279"/>
      <c r="D334" s="274"/>
      <c r="E334" s="279"/>
      <c r="F334" s="279"/>
      <c r="G334" s="275"/>
      <c r="H334" s="275"/>
      <c r="I334" s="279"/>
      <c r="J334" s="274"/>
      <c r="K334" s="279"/>
      <c r="L334" s="276"/>
      <c r="M334" s="276"/>
      <c r="N334" s="276"/>
      <c r="O334" s="276"/>
      <c r="P334" s="276"/>
      <c r="Q334" s="276"/>
      <c r="R334" s="276"/>
      <c r="S334" s="276"/>
    </row>
    <row r="335">
      <c r="A335" s="279"/>
      <c r="B335" s="279"/>
      <c r="C335" s="279"/>
      <c r="D335" s="274"/>
      <c r="E335" s="279"/>
      <c r="F335" s="279"/>
      <c r="G335" s="275"/>
      <c r="H335" s="275"/>
      <c r="I335" s="279"/>
      <c r="J335" s="274"/>
      <c r="K335" s="279"/>
      <c r="L335" s="276"/>
      <c r="M335" s="276"/>
      <c r="N335" s="276"/>
      <c r="O335" s="276"/>
      <c r="P335" s="276"/>
      <c r="Q335" s="276"/>
      <c r="R335" s="276"/>
      <c r="S335" s="276"/>
    </row>
    <row r="336">
      <c r="A336" s="279"/>
      <c r="B336" s="279"/>
      <c r="C336" s="279"/>
      <c r="D336" s="274"/>
      <c r="E336" s="279"/>
      <c r="F336" s="279"/>
      <c r="G336" s="275"/>
      <c r="H336" s="275"/>
      <c r="I336" s="279"/>
      <c r="J336" s="274"/>
      <c r="K336" s="279"/>
      <c r="L336" s="276"/>
      <c r="M336" s="276"/>
      <c r="N336" s="276"/>
      <c r="O336" s="276"/>
      <c r="P336" s="276"/>
      <c r="Q336" s="276"/>
      <c r="R336" s="276"/>
      <c r="S336" s="276"/>
    </row>
    <row r="337">
      <c r="A337" s="279"/>
      <c r="B337" s="279"/>
      <c r="C337" s="279"/>
      <c r="D337" s="274"/>
      <c r="E337" s="279"/>
      <c r="F337" s="279"/>
      <c r="G337" s="275"/>
      <c r="H337" s="275"/>
      <c r="I337" s="279"/>
      <c r="J337" s="274"/>
      <c r="K337" s="279"/>
      <c r="L337" s="276"/>
      <c r="M337" s="276"/>
      <c r="N337" s="276"/>
      <c r="O337" s="276"/>
      <c r="P337" s="276"/>
      <c r="Q337" s="276"/>
      <c r="R337" s="276"/>
      <c r="S337" s="276"/>
    </row>
    <row r="338">
      <c r="A338" s="279"/>
      <c r="B338" s="279"/>
      <c r="C338" s="279"/>
      <c r="D338" s="274"/>
      <c r="E338" s="279"/>
      <c r="F338" s="279"/>
      <c r="G338" s="275"/>
      <c r="H338" s="275"/>
      <c r="I338" s="279"/>
      <c r="J338" s="274"/>
      <c r="K338" s="279"/>
      <c r="L338" s="276"/>
      <c r="M338" s="276"/>
      <c r="N338" s="276"/>
      <c r="O338" s="276"/>
      <c r="P338" s="276"/>
      <c r="Q338" s="276"/>
      <c r="R338" s="276"/>
      <c r="S338" s="276"/>
    </row>
    <row r="339">
      <c r="A339" s="279"/>
      <c r="B339" s="279"/>
      <c r="C339" s="279"/>
      <c r="D339" s="274"/>
      <c r="E339" s="279"/>
      <c r="F339" s="279"/>
      <c r="G339" s="275"/>
      <c r="H339" s="275"/>
      <c r="I339" s="279"/>
      <c r="J339" s="274"/>
      <c r="K339" s="279"/>
      <c r="L339" s="276"/>
      <c r="M339" s="276"/>
      <c r="N339" s="276"/>
      <c r="O339" s="276"/>
      <c r="P339" s="276"/>
      <c r="Q339" s="276"/>
      <c r="R339" s="276"/>
      <c r="S339" s="276"/>
    </row>
    <row r="340">
      <c r="A340" s="279"/>
      <c r="B340" s="279"/>
      <c r="C340" s="279"/>
      <c r="D340" s="274"/>
      <c r="E340" s="279"/>
      <c r="F340" s="279"/>
      <c r="G340" s="275"/>
      <c r="H340" s="275"/>
      <c r="I340" s="279"/>
      <c r="J340" s="274"/>
      <c r="K340" s="279"/>
      <c r="L340" s="276"/>
      <c r="M340" s="276"/>
      <c r="N340" s="276"/>
      <c r="O340" s="276"/>
      <c r="P340" s="276"/>
      <c r="Q340" s="276"/>
      <c r="R340" s="276"/>
      <c r="S340" s="276"/>
    </row>
    <row r="341">
      <c r="A341" s="279"/>
      <c r="B341" s="279"/>
      <c r="C341" s="279"/>
      <c r="D341" s="274"/>
      <c r="E341" s="279"/>
      <c r="F341" s="279"/>
      <c r="G341" s="275"/>
      <c r="H341" s="275"/>
      <c r="I341" s="279"/>
      <c r="J341" s="274"/>
      <c r="K341" s="279"/>
      <c r="L341" s="276"/>
      <c r="M341" s="276"/>
      <c r="N341" s="276"/>
      <c r="O341" s="276"/>
      <c r="P341" s="276"/>
      <c r="Q341" s="276"/>
      <c r="R341" s="276"/>
      <c r="S341" s="276"/>
    </row>
    <row r="342">
      <c r="A342" s="279"/>
      <c r="B342" s="279"/>
      <c r="C342" s="279"/>
      <c r="D342" s="274"/>
      <c r="E342" s="279"/>
      <c r="F342" s="279"/>
      <c r="G342" s="275"/>
      <c r="H342" s="275"/>
      <c r="I342" s="279"/>
      <c r="J342" s="274"/>
      <c r="K342" s="279"/>
      <c r="L342" s="276"/>
      <c r="M342" s="276"/>
      <c r="N342" s="276"/>
      <c r="O342" s="276"/>
      <c r="P342" s="276"/>
      <c r="Q342" s="276"/>
      <c r="R342" s="276"/>
      <c r="S342" s="276"/>
    </row>
    <row r="343">
      <c r="A343" s="279"/>
      <c r="B343" s="279"/>
      <c r="C343" s="279"/>
      <c r="D343" s="274"/>
      <c r="E343" s="279"/>
      <c r="F343" s="279"/>
      <c r="G343" s="275"/>
      <c r="H343" s="275"/>
      <c r="I343" s="279"/>
      <c r="J343" s="274"/>
      <c r="K343" s="279"/>
      <c r="L343" s="276"/>
      <c r="M343" s="276"/>
      <c r="N343" s="276"/>
      <c r="O343" s="276"/>
      <c r="P343" s="276"/>
      <c r="Q343" s="276"/>
      <c r="R343" s="276"/>
      <c r="S343" s="276"/>
    </row>
    <row r="344">
      <c r="A344" s="279"/>
      <c r="B344" s="279"/>
      <c r="C344" s="279"/>
      <c r="D344" s="274"/>
      <c r="E344" s="279"/>
      <c r="F344" s="279"/>
      <c r="G344" s="275"/>
      <c r="H344" s="275"/>
      <c r="I344" s="279"/>
      <c r="J344" s="274"/>
      <c r="K344" s="279"/>
      <c r="L344" s="276"/>
      <c r="M344" s="276"/>
      <c r="N344" s="276"/>
      <c r="O344" s="276"/>
      <c r="P344" s="276"/>
      <c r="Q344" s="276"/>
      <c r="R344" s="276"/>
      <c r="S344" s="276"/>
    </row>
    <row r="345">
      <c r="A345" s="279"/>
      <c r="B345" s="279"/>
      <c r="C345" s="279"/>
      <c r="D345" s="274"/>
      <c r="E345" s="279"/>
      <c r="F345" s="279"/>
      <c r="G345" s="275"/>
      <c r="H345" s="275"/>
      <c r="I345" s="279"/>
      <c r="J345" s="274"/>
      <c r="K345" s="279"/>
      <c r="L345" s="276"/>
      <c r="M345" s="276"/>
      <c r="N345" s="276"/>
      <c r="O345" s="276"/>
      <c r="P345" s="276"/>
      <c r="Q345" s="276"/>
      <c r="R345" s="276"/>
      <c r="S345" s="276"/>
    </row>
    <row r="346">
      <c r="A346" s="279"/>
      <c r="B346" s="279"/>
      <c r="C346" s="279"/>
      <c r="D346" s="274"/>
      <c r="E346" s="279"/>
      <c r="F346" s="279"/>
      <c r="G346" s="275"/>
      <c r="H346" s="275"/>
      <c r="I346" s="279"/>
      <c r="J346" s="274"/>
      <c r="K346" s="279"/>
      <c r="L346" s="276"/>
      <c r="M346" s="276"/>
      <c r="N346" s="276"/>
      <c r="O346" s="276"/>
      <c r="P346" s="276"/>
      <c r="Q346" s="276"/>
      <c r="R346" s="276"/>
      <c r="S346" s="276"/>
    </row>
    <row r="347">
      <c r="A347" s="279"/>
      <c r="B347" s="279"/>
      <c r="C347" s="279"/>
      <c r="D347" s="274"/>
      <c r="E347" s="279"/>
      <c r="F347" s="279"/>
      <c r="G347" s="275"/>
      <c r="H347" s="275"/>
      <c r="I347" s="279"/>
      <c r="J347" s="274"/>
      <c r="K347" s="279"/>
      <c r="L347" s="276"/>
      <c r="M347" s="276"/>
      <c r="N347" s="276"/>
      <c r="O347" s="276"/>
      <c r="P347" s="276"/>
      <c r="Q347" s="276"/>
      <c r="R347" s="276"/>
      <c r="S347" s="276"/>
    </row>
    <row r="348">
      <c r="A348" s="279"/>
      <c r="B348" s="279"/>
      <c r="C348" s="279"/>
      <c r="D348" s="274"/>
      <c r="E348" s="279"/>
      <c r="F348" s="279"/>
      <c r="G348" s="275"/>
      <c r="H348" s="275"/>
      <c r="I348" s="279"/>
      <c r="J348" s="274"/>
      <c r="K348" s="279"/>
      <c r="L348" s="276"/>
      <c r="M348" s="276"/>
      <c r="N348" s="276"/>
      <c r="O348" s="276"/>
      <c r="P348" s="276"/>
      <c r="Q348" s="276"/>
      <c r="R348" s="276"/>
      <c r="S348" s="276"/>
    </row>
    <row r="349">
      <c r="A349" s="279"/>
      <c r="B349" s="279"/>
      <c r="C349" s="279"/>
      <c r="D349" s="274"/>
      <c r="E349" s="279"/>
      <c r="F349" s="279"/>
      <c r="G349" s="275"/>
      <c r="H349" s="275"/>
      <c r="I349" s="279"/>
      <c r="J349" s="274"/>
      <c r="K349" s="279"/>
      <c r="L349" s="276"/>
      <c r="M349" s="276"/>
      <c r="N349" s="276"/>
      <c r="O349" s="276"/>
      <c r="P349" s="276"/>
      <c r="Q349" s="276"/>
      <c r="R349" s="276"/>
      <c r="S349" s="276"/>
    </row>
    <row r="350">
      <c r="A350" s="279"/>
      <c r="B350" s="279"/>
      <c r="C350" s="279"/>
      <c r="D350" s="274"/>
      <c r="E350" s="279"/>
      <c r="F350" s="279"/>
      <c r="G350" s="275"/>
      <c r="H350" s="275"/>
      <c r="I350" s="279"/>
      <c r="J350" s="274"/>
      <c r="K350" s="279"/>
      <c r="L350" s="276"/>
      <c r="M350" s="276"/>
      <c r="N350" s="276"/>
      <c r="O350" s="276"/>
      <c r="P350" s="276"/>
      <c r="Q350" s="276"/>
      <c r="R350" s="276"/>
      <c r="S350" s="276"/>
    </row>
    <row r="351">
      <c r="A351" s="279"/>
      <c r="B351" s="279"/>
      <c r="C351" s="279"/>
      <c r="D351" s="274"/>
      <c r="E351" s="279"/>
      <c r="F351" s="279"/>
      <c r="G351" s="275"/>
      <c r="H351" s="275"/>
      <c r="I351" s="279"/>
      <c r="J351" s="274"/>
      <c r="K351" s="279"/>
      <c r="L351" s="276"/>
      <c r="M351" s="276"/>
      <c r="N351" s="276"/>
      <c r="O351" s="276"/>
      <c r="P351" s="276"/>
      <c r="Q351" s="276"/>
      <c r="R351" s="276"/>
      <c r="S351" s="276"/>
    </row>
    <row r="352">
      <c r="A352" s="279"/>
      <c r="B352" s="279"/>
      <c r="C352" s="279"/>
      <c r="D352" s="274"/>
      <c r="E352" s="279"/>
      <c r="F352" s="279"/>
      <c r="G352" s="275"/>
      <c r="H352" s="275"/>
      <c r="I352" s="279"/>
      <c r="J352" s="274"/>
      <c r="K352" s="279"/>
      <c r="L352" s="276"/>
      <c r="M352" s="276"/>
      <c r="N352" s="276"/>
      <c r="O352" s="276"/>
      <c r="P352" s="276"/>
      <c r="Q352" s="276"/>
      <c r="R352" s="276"/>
      <c r="S352" s="276"/>
    </row>
    <row r="353">
      <c r="A353" s="279"/>
      <c r="B353" s="279"/>
      <c r="C353" s="279"/>
      <c r="D353" s="274"/>
      <c r="E353" s="279"/>
      <c r="F353" s="279"/>
      <c r="G353" s="275"/>
      <c r="H353" s="275"/>
      <c r="I353" s="279"/>
      <c r="J353" s="274"/>
      <c r="K353" s="279"/>
      <c r="L353" s="276"/>
      <c r="M353" s="276"/>
      <c r="N353" s="276"/>
      <c r="O353" s="276"/>
      <c r="P353" s="276"/>
      <c r="Q353" s="276"/>
      <c r="R353" s="276"/>
      <c r="S353" s="276"/>
    </row>
    <row r="354">
      <c r="A354" s="279"/>
      <c r="B354" s="279"/>
      <c r="C354" s="279"/>
      <c r="D354" s="274"/>
      <c r="E354" s="279"/>
      <c r="F354" s="279"/>
      <c r="G354" s="275"/>
      <c r="H354" s="275"/>
      <c r="I354" s="279"/>
      <c r="J354" s="274"/>
      <c r="K354" s="279"/>
      <c r="L354" s="276"/>
      <c r="M354" s="276"/>
      <c r="N354" s="276"/>
      <c r="O354" s="276"/>
      <c r="P354" s="276"/>
      <c r="Q354" s="276"/>
      <c r="R354" s="276"/>
      <c r="S354" s="276"/>
    </row>
    <row r="355">
      <c r="A355" s="279"/>
      <c r="B355" s="279"/>
      <c r="C355" s="279"/>
      <c r="D355" s="274"/>
      <c r="E355" s="279"/>
      <c r="F355" s="279"/>
      <c r="G355" s="275"/>
      <c r="H355" s="275"/>
      <c r="I355" s="279"/>
      <c r="J355" s="274"/>
      <c r="K355" s="279"/>
      <c r="L355" s="276"/>
      <c r="M355" s="276"/>
      <c r="N355" s="276"/>
      <c r="O355" s="276"/>
      <c r="P355" s="276"/>
      <c r="Q355" s="276"/>
      <c r="R355" s="276"/>
      <c r="S355" s="276"/>
    </row>
    <row r="356">
      <c r="A356" s="279"/>
      <c r="B356" s="279"/>
      <c r="C356" s="279"/>
      <c r="D356" s="274"/>
      <c r="E356" s="279"/>
      <c r="F356" s="279"/>
      <c r="G356" s="275"/>
      <c r="H356" s="275"/>
      <c r="I356" s="279"/>
      <c r="J356" s="274"/>
      <c r="K356" s="279"/>
      <c r="L356" s="276"/>
      <c r="M356" s="276"/>
      <c r="N356" s="276"/>
      <c r="O356" s="276"/>
      <c r="P356" s="276"/>
      <c r="Q356" s="276"/>
      <c r="R356" s="276"/>
      <c r="S356" s="276"/>
    </row>
    <row r="357">
      <c r="A357" s="279"/>
      <c r="B357" s="279"/>
      <c r="C357" s="279"/>
      <c r="D357" s="274"/>
      <c r="E357" s="279"/>
      <c r="F357" s="279"/>
      <c r="G357" s="275"/>
      <c r="H357" s="275"/>
      <c r="I357" s="279"/>
      <c r="J357" s="274"/>
      <c r="K357" s="279"/>
      <c r="L357" s="276"/>
      <c r="M357" s="276"/>
      <c r="N357" s="276"/>
      <c r="O357" s="276"/>
      <c r="P357" s="276"/>
      <c r="Q357" s="276"/>
      <c r="R357" s="276"/>
      <c r="S357" s="276"/>
    </row>
    <row r="358">
      <c r="A358" s="279"/>
      <c r="B358" s="279"/>
      <c r="C358" s="279"/>
      <c r="D358" s="274"/>
      <c r="E358" s="279"/>
      <c r="F358" s="279"/>
      <c r="G358" s="275"/>
      <c r="H358" s="275"/>
      <c r="I358" s="279"/>
      <c r="J358" s="274"/>
      <c r="K358" s="279"/>
      <c r="L358" s="276"/>
      <c r="M358" s="276"/>
      <c r="N358" s="276"/>
      <c r="O358" s="276"/>
      <c r="P358" s="276"/>
      <c r="Q358" s="276"/>
      <c r="R358" s="276"/>
      <c r="S358" s="276"/>
    </row>
    <row r="359">
      <c r="A359" s="279"/>
      <c r="B359" s="279"/>
      <c r="C359" s="279"/>
      <c r="D359" s="274"/>
      <c r="E359" s="279"/>
      <c r="F359" s="279"/>
      <c r="G359" s="275"/>
      <c r="H359" s="275"/>
      <c r="I359" s="279"/>
      <c r="J359" s="274"/>
      <c r="K359" s="279"/>
      <c r="L359" s="276"/>
      <c r="M359" s="276"/>
      <c r="N359" s="276"/>
      <c r="O359" s="276"/>
      <c r="P359" s="276"/>
      <c r="Q359" s="276"/>
      <c r="R359" s="276"/>
      <c r="S359" s="276"/>
    </row>
    <row r="360">
      <c r="A360" s="279"/>
      <c r="B360" s="279"/>
      <c r="C360" s="279"/>
      <c r="D360" s="274"/>
      <c r="E360" s="279"/>
      <c r="F360" s="279"/>
      <c r="G360" s="275"/>
      <c r="H360" s="275"/>
      <c r="I360" s="279"/>
      <c r="J360" s="274"/>
      <c r="K360" s="279"/>
      <c r="L360" s="276"/>
      <c r="M360" s="276"/>
      <c r="N360" s="276"/>
      <c r="O360" s="276"/>
      <c r="P360" s="276"/>
      <c r="Q360" s="276"/>
      <c r="R360" s="276"/>
      <c r="S360" s="276"/>
    </row>
    <row r="361">
      <c r="A361" s="279"/>
      <c r="B361" s="279"/>
      <c r="C361" s="279"/>
      <c r="D361" s="274"/>
      <c r="E361" s="279"/>
      <c r="F361" s="279"/>
      <c r="G361" s="275"/>
      <c r="H361" s="275"/>
      <c r="I361" s="279"/>
      <c r="J361" s="274"/>
      <c r="K361" s="279"/>
      <c r="L361" s="276"/>
      <c r="M361" s="276"/>
      <c r="N361" s="276"/>
      <c r="O361" s="276"/>
      <c r="P361" s="276"/>
      <c r="Q361" s="276"/>
      <c r="R361" s="276"/>
      <c r="S361" s="276"/>
    </row>
    <row r="362">
      <c r="A362" s="279"/>
      <c r="B362" s="279"/>
      <c r="C362" s="279"/>
      <c r="D362" s="274"/>
      <c r="E362" s="279"/>
      <c r="F362" s="279"/>
      <c r="G362" s="275"/>
      <c r="H362" s="275"/>
      <c r="I362" s="279"/>
      <c r="J362" s="274"/>
      <c r="K362" s="279"/>
      <c r="L362" s="276"/>
      <c r="M362" s="276"/>
      <c r="N362" s="276"/>
      <c r="O362" s="276"/>
      <c r="P362" s="276"/>
      <c r="Q362" s="276"/>
      <c r="R362" s="276"/>
      <c r="S362" s="276"/>
    </row>
    <row r="363">
      <c r="A363" s="279"/>
      <c r="B363" s="279"/>
      <c r="C363" s="279"/>
      <c r="D363" s="274"/>
      <c r="E363" s="279"/>
      <c r="F363" s="279"/>
      <c r="G363" s="275"/>
      <c r="H363" s="275"/>
      <c r="I363" s="279"/>
      <c r="J363" s="274"/>
      <c r="K363" s="279"/>
      <c r="L363" s="276"/>
      <c r="M363" s="276"/>
      <c r="N363" s="276"/>
      <c r="O363" s="276"/>
      <c r="P363" s="276"/>
      <c r="Q363" s="276"/>
      <c r="R363" s="276"/>
      <c r="S363" s="276"/>
    </row>
    <row r="364">
      <c r="A364" s="279"/>
      <c r="B364" s="279"/>
      <c r="C364" s="279"/>
      <c r="D364" s="274"/>
      <c r="E364" s="279"/>
      <c r="F364" s="279"/>
      <c r="G364" s="275"/>
      <c r="H364" s="275"/>
      <c r="I364" s="279"/>
      <c r="J364" s="274"/>
      <c r="K364" s="279"/>
      <c r="L364" s="276"/>
      <c r="M364" s="276"/>
      <c r="N364" s="276"/>
      <c r="O364" s="276"/>
      <c r="P364" s="276"/>
      <c r="Q364" s="276"/>
      <c r="R364" s="276"/>
      <c r="S364" s="276"/>
    </row>
    <row r="365">
      <c r="A365" s="279"/>
      <c r="B365" s="279"/>
      <c r="C365" s="279"/>
      <c r="D365" s="274"/>
      <c r="E365" s="279"/>
      <c r="F365" s="279"/>
      <c r="G365" s="275"/>
      <c r="H365" s="275"/>
      <c r="I365" s="279"/>
      <c r="J365" s="274"/>
      <c r="K365" s="279"/>
      <c r="L365" s="276"/>
      <c r="M365" s="276"/>
      <c r="N365" s="276"/>
      <c r="O365" s="276"/>
      <c r="P365" s="276"/>
      <c r="Q365" s="276"/>
      <c r="R365" s="276"/>
      <c r="S365" s="276"/>
    </row>
    <row r="366">
      <c r="A366" s="279"/>
      <c r="B366" s="279"/>
      <c r="C366" s="279"/>
      <c r="D366" s="274"/>
      <c r="E366" s="279"/>
      <c r="F366" s="279"/>
      <c r="G366" s="275"/>
      <c r="H366" s="275"/>
      <c r="I366" s="279"/>
      <c r="J366" s="274"/>
      <c r="K366" s="279"/>
      <c r="L366" s="276"/>
      <c r="M366" s="276"/>
      <c r="N366" s="276"/>
      <c r="O366" s="276"/>
      <c r="P366" s="276"/>
      <c r="Q366" s="276"/>
      <c r="R366" s="276"/>
      <c r="S366" s="276"/>
    </row>
    <row r="367">
      <c r="A367" s="279"/>
      <c r="B367" s="279"/>
      <c r="C367" s="279"/>
      <c r="D367" s="274"/>
      <c r="E367" s="279"/>
      <c r="F367" s="279"/>
      <c r="G367" s="275"/>
      <c r="H367" s="275"/>
      <c r="I367" s="279"/>
      <c r="J367" s="274"/>
      <c r="K367" s="279"/>
      <c r="L367" s="276"/>
      <c r="M367" s="276"/>
      <c r="N367" s="276"/>
      <c r="O367" s="276"/>
      <c r="P367" s="276"/>
      <c r="Q367" s="276"/>
      <c r="R367" s="276"/>
      <c r="S367" s="276"/>
    </row>
    <row r="368">
      <c r="A368" s="279"/>
      <c r="B368" s="279"/>
      <c r="C368" s="279"/>
      <c r="D368" s="274"/>
      <c r="E368" s="279"/>
      <c r="F368" s="279"/>
      <c r="G368" s="275"/>
      <c r="H368" s="275"/>
      <c r="I368" s="279"/>
      <c r="J368" s="274"/>
      <c r="K368" s="279"/>
      <c r="L368" s="276"/>
      <c r="M368" s="276"/>
      <c r="N368" s="276"/>
      <c r="O368" s="276"/>
      <c r="P368" s="276"/>
      <c r="Q368" s="276"/>
      <c r="R368" s="276"/>
      <c r="S368" s="276"/>
    </row>
    <row r="369">
      <c r="A369" s="279"/>
      <c r="B369" s="279"/>
      <c r="C369" s="279"/>
      <c r="D369" s="274"/>
      <c r="E369" s="279"/>
      <c r="F369" s="279"/>
      <c r="G369" s="275"/>
      <c r="H369" s="275"/>
      <c r="I369" s="279"/>
      <c r="J369" s="274"/>
      <c r="K369" s="279"/>
      <c r="L369" s="276"/>
      <c r="M369" s="276"/>
      <c r="N369" s="276"/>
      <c r="O369" s="276"/>
      <c r="P369" s="276"/>
      <c r="Q369" s="276"/>
      <c r="R369" s="276"/>
      <c r="S369" s="276"/>
    </row>
    <row r="370">
      <c r="A370" s="279"/>
      <c r="B370" s="279"/>
      <c r="C370" s="279"/>
      <c r="D370" s="274"/>
      <c r="E370" s="279"/>
      <c r="F370" s="279"/>
      <c r="G370" s="275"/>
      <c r="H370" s="275"/>
      <c r="I370" s="279"/>
      <c r="J370" s="274"/>
      <c r="K370" s="279"/>
      <c r="L370" s="276"/>
      <c r="M370" s="276"/>
      <c r="N370" s="276"/>
      <c r="O370" s="276"/>
      <c r="P370" s="276"/>
      <c r="Q370" s="276"/>
      <c r="R370" s="276"/>
      <c r="S370" s="276"/>
    </row>
    <row r="371">
      <c r="A371" s="279"/>
      <c r="B371" s="279"/>
      <c r="C371" s="279"/>
      <c r="D371" s="274"/>
      <c r="E371" s="279"/>
      <c r="F371" s="279"/>
      <c r="G371" s="275"/>
      <c r="H371" s="275"/>
      <c r="I371" s="279"/>
      <c r="J371" s="274"/>
      <c r="K371" s="279"/>
      <c r="L371" s="276"/>
      <c r="M371" s="276"/>
      <c r="N371" s="276"/>
      <c r="O371" s="276"/>
      <c r="P371" s="276"/>
      <c r="Q371" s="276"/>
      <c r="R371" s="276"/>
      <c r="S371" s="276"/>
    </row>
    <row r="372">
      <c r="A372" s="279"/>
      <c r="B372" s="279"/>
      <c r="C372" s="279"/>
      <c r="D372" s="274"/>
      <c r="E372" s="279"/>
      <c r="F372" s="279"/>
      <c r="G372" s="275"/>
      <c r="H372" s="275"/>
      <c r="I372" s="279"/>
      <c r="J372" s="274"/>
      <c r="K372" s="279"/>
      <c r="L372" s="276"/>
      <c r="M372" s="276"/>
      <c r="N372" s="276"/>
      <c r="O372" s="276"/>
      <c r="P372" s="276"/>
      <c r="Q372" s="276"/>
      <c r="R372" s="276"/>
      <c r="S372" s="276"/>
    </row>
    <row r="373">
      <c r="A373" s="279"/>
      <c r="B373" s="279"/>
      <c r="C373" s="279"/>
      <c r="D373" s="274"/>
      <c r="E373" s="279"/>
      <c r="F373" s="279"/>
      <c r="G373" s="275"/>
      <c r="H373" s="275"/>
      <c r="I373" s="279"/>
      <c r="J373" s="274"/>
      <c r="K373" s="279"/>
      <c r="L373" s="276"/>
      <c r="M373" s="276"/>
      <c r="N373" s="276"/>
      <c r="O373" s="276"/>
      <c r="P373" s="276"/>
      <c r="Q373" s="276"/>
      <c r="R373" s="276"/>
      <c r="S373" s="276"/>
    </row>
    <row r="374">
      <c r="A374" s="279"/>
      <c r="B374" s="279"/>
      <c r="C374" s="279"/>
      <c r="D374" s="274"/>
      <c r="E374" s="279"/>
      <c r="F374" s="279"/>
      <c r="G374" s="275"/>
      <c r="H374" s="275"/>
      <c r="I374" s="279"/>
      <c r="J374" s="274"/>
      <c r="K374" s="279"/>
      <c r="L374" s="276"/>
      <c r="M374" s="276"/>
      <c r="N374" s="276"/>
      <c r="O374" s="276"/>
      <c r="P374" s="276"/>
      <c r="Q374" s="276"/>
      <c r="R374" s="276"/>
      <c r="S374" s="276"/>
    </row>
    <row r="375">
      <c r="A375" s="279"/>
      <c r="B375" s="279"/>
      <c r="C375" s="279"/>
      <c r="D375" s="274"/>
      <c r="E375" s="279"/>
      <c r="F375" s="279"/>
      <c r="G375" s="275"/>
      <c r="H375" s="275"/>
      <c r="I375" s="279"/>
      <c r="J375" s="274"/>
      <c r="K375" s="279"/>
      <c r="L375" s="276"/>
      <c r="M375" s="276"/>
      <c r="N375" s="276"/>
      <c r="O375" s="276"/>
      <c r="P375" s="276"/>
      <c r="Q375" s="276"/>
      <c r="R375" s="276"/>
      <c r="S375" s="276"/>
    </row>
    <row r="376">
      <c r="A376" s="279"/>
      <c r="B376" s="279"/>
      <c r="C376" s="279"/>
      <c r="D376" s="274"/>
      <c r="E376" s="279"/>
      <c r="F376" s="279"/>
      <c r="G376" s="275"/>
      <c r="H376" s="275"/>
      <c r="I376" s="279"/>
      <c r="J376" s="274"/>
      <c r="K376" s="279"/>
      <c r="L376" s="276"/>
      <c r="M376" s="276"/>
      <c r="N376" s="276"/>
      <c r="O376" s="276"/>
      <c r="P376" s="276"/>
      <c r="Q376" s="276"/>
      <c r="R376" s="276"/>
      <c r="S376" s="276"/>
    </row>
    <row r="377">
      <c r="A377" s="279"/>
      <c r="B377" s="279"/>
      <c r="C377" s="279"/>
      <c r="D377" s="274"/>
      <c r="E377" s="279"/>
      <c r="F377" s="279"/>
      <c r="G377" s="275"/>
      <c r="H377" s="275"/>
      <c r="I377" s="279"/>
      <c r="J377" s="274"/>
      <c r="K377" s="279"/>
      <c r="L377" s="276"/>
      <c r="M377" s="276"/>
      <c r="N377" s="276"/>
      <c r="O377" s="276"/>
      <c r="P377" s="276"/>
      <c r="Q377" s="276"/>
      <c r="R377" s="276"/>
      <c r="S377" s="276"/>
    </row>
    <row r="378">
      <c r="A378" s="279"/>
      <c r="B378" s="279"/>
      <c r="C378" s="279"/>
      <c r="D378" s="274"/>
      <c r="E378" s="279"/>
      <c r="F378" s="279"/>
      <c r="G378" s="275"/>
      <c r="H378" s="275"/>
      <c r="I378" s="279"/>
      <c r="J378" s="274"/>
      <c r="K378" s="279"/>
      <c r="L378" s="276"/>
      <c r="M378" s="276"/>
      <c r="N378" s="276"/>
      <c r="O378" s="276"/>
      <c r="P378" s="276"/>
      <c r="Q378" s="276"/>
      <c r="R378" s="276"/>
      <c r="S378" s="276"/>
    </row>
    <row r="379">
      <c r="A379" s="279"/>
      <c r="B379" s="279"/>
      <c r="C379" s="279"/>
      <c r="D379" s="274"/>
      <c r="E379" s="279"/>
      <c r="F379" s="279"/>
      <c r="G379" s="275"/>
      <c r="H379" s="275"/>
      <c r="I379" s="279"/>
      <c r="J379" s="274"/>
      <c r="K379" s="279"/>
      <c r="L379" s="276"/>
      <c r="M379" s="276"/>
      <c r="N379" s="276"/>
      <c r="O379" s="276"/>
      <c r="P379" s="276"/>
      <c r="Q379" s="276"/>
      <c r="R379" s="276"/>
      <c r="S379" s="276"/>
    </row>
    <row r="380">
      <c r="A380" s="279"/>
      <c r="B380" s="279"/>
      <c r="C380" s="279"/>
      <c r="D380" s="274"/>
      <c r="E380" s="279"/>
      <c r="F380" s="279"/>
      <c r="G380" s="275"/>
      <c r="H380" s="275"/>
      <c r="I380" s="279"/>
      <c r="J380" s="274"/>
      <c r="K380" s="279"/>
      <c r="L380" s="276"/>
      <c r="M380" s="276"/>
      <c r="N380" s="276"/>
      <c r="O380" s="276"/>
      <c r="P380" s="276"/>
      <c r="Q380" s="276"/>
      <c r="R380" s="276"/>
      <c r="S380" s="276"/>
    </row>
    <row r="381">
      <c r="A381" s="279"/>
      <c r="B381" s="279"/>
      <c r="C381" s="279"/>
      <c r="D381" s="274"/>
      <c r="E381" s="279"/>
      <c r="F381" s="279"/>
      <c r="G381" s="275"/>
      <c r="H381" s="275"/>
      <c r="I381" s="279"/>
      <c r="J381" s="274"/>
      <c r="K381" s="279"/>
      <c r="L381" s="276"/>
      <c r="M381" s="276"/>
      <c r="N381" s="276"/>
      <c r="O381" s="276"/>
      <c r="P381" s="276"/>
      <c r="Q381" s="276"/>
      <c r="R381" s="276"/>
      <c r="S381" s="276"/>
    </row>
    <row r="382">
      <c r="A382" s="279"/>
      <c r="B382" s="279"/>
      <c r="C382" s="279"/>
      <c r="D382" s="274"/>
      <c r="E382" s="279"/>
      <c r="F382" s="279"/>
      <c r="G382" s="275"/>
      <c r="H382" s="275"/>
      <c r="I382" s="279"/>
      <c r="J382" s="274"/>
      <c r="K382" s="279"/>
      <c r="L382" s="276"/>
      <c r="M382" s="276"/>
      <c r="N382" s="276"/>
      <c r="O382" s="276"/>
      <c r="P382" s="276"/>
      <c r="Q382" s="276"/>
      <c r="R382" s="276"/>
      <c r="S382" s="276"/>
    </row>
    <row r="383">
      <c r="A383" s="279"/>
      <c r="B383" s="279"/>
      <c r="C383" s="279"/>
      <c r="D383" s="274"/>
      <c r="E383" s="279"/>
      <c r="F383" s="279"/>
      <c r="G383" s="275"/>
      <c r="H383" s="275"/>
      <c r="I383" s="279"/>
      <c r="J383" s="274"/>
      <c r="K383" s="279"/>
      <c r="L383" s="276"/>
      <c r="M383" s="276"/>
      <c r="N383" s="276"/>
      <c r="O383" s="276"/>
      <c r="P383" s="276"/>
      <c r="Q383" s="276"/>
      <c r="R383" s="276"/>
      <c r="S383" s="276"/>
    </row>
    <row r="384">
      <c r="A384" s="279"/>
      <c r="B384" s="279"/>
      <c r="C384" s="279"/>
      <c r="D384" s="274"/>
      <c r="E384" s="279"/>
      <c r="F384" s="279"/>
      <c r="G384" s="275"/>
      <c r="H384" s="275"/>
      <c r="I384" s="279"/>
      <c r="J384" s="274"/>
      <c r="K384" s="279"/>
      <c r="L384" s="276"/>
      <c r="M384" s="276"/>
      <c r="N384" s="276"/>
      <c r="O384" s="276"/>
      <c r="P384" s="276"/>
      <c r="Q384" s="276"/>
      <c r="R384" s="276"/>
      <c r="S384" s="276"/>
    </row>
    <row r="385">
      <c r="A385" s="279"/>
      <c r="B385" s="279"/>
      <c r="C385" s="279"/>
      <c r="D385" s="274"/>
      <c r="E385" s="279"/>
      <c r="F385" s="279"/>
      <c r="G385" s="275"/>
      <c r="H385" s="275"/>
      <c r="I385" s="279"/>
      <c r="J385" s="274"/>
      <c r="K385" s="279"/>
      <c r="L385" s="276"/>
      <c r="M385" s="276"/>
      <c r="N385" s="276"/>
      <c r="O385" s="276"/>
      <c r="P385" s="276"/>
      <c r="Q385" s="276"/>
      <c r="R385" s="276"/>
      <c r="S385" s="276"/>
    </row>
    <row r="386">
      <c r="A386" s="279"/>
      <c r="B386" s="279"/>
      <c r="C386" s="279"/>
      <c r="D386" s="274"/>
      <c r="E386" s="279"/>
      <c r="F386" s="279"/>
      <c r="G386" s="275"/>
      <c r="H386" s="275"/>
      <c r="I386" s="279"/>
      <c r="J386" s="274"/>
      <c r="K386" s="279"/>
      <c r="L386" s="276"/>
      <c r="M386" s="276"/>
      <c r="N386" s="276"/>
      <c r="O386" s="276"/>
      <c r="P386" s="276"/>
      <c r="Q386" s="276"/>
      <c r="R386" s="276"/>
      <c r="S386" s="276"/>
    </row>
    <row r="387">
      <c r="A387" s="279"/>
      <c r="B387" s="279"/>
      <c r="C387" s="279"/>
      <c r="D387" s="274"/>
      <c r="E387" s="279"/>
      <c r="F387" s="279"/>
      <c r="G387" s="275"/>
      <c r="H387" s="275"/>
      <c r="I387" s="279"/>
      <c r="J387" s="274"/>
      <c r="K387" s="279"/>
      <c r="L387" s="276"/>
      <c r="M387" s="276"/>
      <c r="N387" s="276"/>
      <c r="O387" s="276"/>
      <c r="P387" s="276"/>
      <c r="Q387" s="276"/>
      <c r="R387" s="276"/>
      <c r="S387" s="276"/>
    </row>
    <row r="388">
      <c r="A388" s="279"/>
      <c r="B388" s="279"/>
      <c r="C388" s="279"/>
      <c r="D388" s="274"/>
      <c r="E388" s="279"/>
      <c r="F388" s="279"/>
      <c r="G388" s="275"/>
      <c r="H388" s="275"/>
      <c r="I388" s="279"/>
      <c r="J388" s="274"/>
      <c r="K388" s="279"/>
      <c r="L388" s="276"/>
      <c r="M388" s="276"/>
      <c r="N388" s="276"/>
      <c r="O388" s="276"/>
      <c r="P388" s="276"/>
      <c r="Q388" s="276"/>
      <c r="R388" s="276"/>
      <c r="S388" s="276"/>
    </row>
    <row r="389">
      <c r="A389" s="279"/>
      <c r="B389" s="279"/>
      <c r="C389" s="279"/>
      <c r="D389" s="274"/>
      <c r="E389" s="279"/>
      <c r="F389" s="279"/>
      <c r="G389" s="275"/>
      <c r="H389" s="275"/>
      <c r="I389" s="279"/>
      <c r="J389" s="274"/>
      <c r="K389" s="279"/>
      <c r="L389" s="276"/>
      <c r="M389" s="276"/>
      <c r="N389" s="276"/>
      <c r="O389" s="276"/>
      <c r="P389" s="276"/>
      <c r="Q389" s="276"/>
      <c r="R389" s="276"/>
      <c r="S389" s="276"/>
    </row>
    <row r="390">
      <c r="A390" s="279"/>
      <c r="B390" s="279"/>
      <c r="C390" s="279"/>
      <c r="D390" s="274"/>
      <c r="E390" s="279"/>
      <c r="F390" s="279"/>
      <c r="G390" s="275"/>
      <c r="H390" s="275"/>
      <c r="I390" s="279"/>
      <c r="J390" s="274"/>
      <c r="K390" s="279"/>
      <c r="L390" s="276"/>
      <c r="M390" s="276"/>
      <c r="N390" s="276"/>
      <c r="O390" s="276"/>
      <c r="P390" s="276"/>
      <c r="Q390" s="276"/>
      <c r="R390" s="276"/>
      <c r="S390" s="276"/>
    </row>
    <row r="391">
      <c r="A391" s="279"/>
      <c r="B391" s="279"/>
      <c r="C391" s="279"/>
      <c r="D391" s="274"/>
      <c r="E391" s="279"/>
      <c r="F391" s="279"/>
      <c r="G391" s="275"/>
      <c r="H391" s="275"/>
      <c r="I391" s="279"/>
      <c r="J391" s="274"/>
      <c r="K391" s="279"/>
      <c r="L391" s="276"/>
      <c r="M391" s="276"/>
      <c r="N391" s="276"/>
      <c r="O391" s="276"/>
      <c r="P391" s="276"/>
      <c r="Q391" s="276"/>
      <c r="R391" s="276"/>
      <c r="S391" s="276"/>
    </row>
    <row r="392">
      <c r="A392" s="279"/>
      <c r="B392" s="279"/>
      <c r="C392" s="279"/>
      <c r="D392" s="274"/>
      <c r="E392" s="279"/>
      <c r="F392" s="279"/>
      <c r="G392" s="275"/>
      <c r="H392" s="275"/>
      <c r="I392" s="279"/>
      <c r="J392" s="274"/>
      <c r="K392" s="279"/>
      <c r="L392" s="276"/>
      <c r="M392" s="276"/>
      <c r="N392" s="276"/>
      <c r="O392" s="276"/>
      <c r="P392" s="276"/>
      <c r="Q392" s="276"/>
      <c r="R392" s="276"/>
      <c r="S392" s="276"/>
    </row>
    <row r="393">
      <c r="A393" s="279"/>
      <c r="B393" s="279"/>
      <c r="C393" s="279"/>
      <c r="D393" s="274"/>
      <c r="E393" s="279"/>
      <c r="F393" s="279"/>
      <c r="G393" s="275"/>
      <c r="H393" s="275"/>
      <c r="I393" s="279"/>
      <c r="J393" s="274"/>
      <c r="K393" s="279"/>
      <c r="L393" s="276"/>
      <c r="M393" s="276"/>
      <c r="N393" s="276"/>
      <c r="O393" s="276"/>
      <c r="P393" s="276"/>
      <c r="Q393" s="276"/>
      <c r="R393" s="276"/>
      <c r="S393" s="276"/>
    </row>
    <row r="394">
      <c r="A394" s="279"/>
      <c r="B394" s="279"/>
      <c r="C394" s="279"/>
      <c r="D394" s="274"/>
      <c r="E394" s="279"/>
      <c r="F394" s="279"/>
      <c r="G394" s="275"/>
      <c r="H394" s="275"/>
      <c r="I394" s="279"/>
      <c r="J394" s="274"/>
      <c r="K394" s="279"/>
      <c r="L394" s="276"/>
      <c r="M394" s="276"/>
      <c r="N394" s="276"/>
      <c r="O394" s="276"/>
      <c r="P394" s="276"/>
      <c r="Q394" s="276"/>
      <c r="R394" s="276"/>
      <c r="S394" s="276"/>
    </row>
    <row r="395">
      <c r="A395" s="279"/>
      <c r="B395" s="279"/>
      <c r="C395" s="279"/>
      <c r="D395" s="274"/>
      <c r="E395" s="279"/>
      <c r="F395" s="279"/>
      <c r="G395" s="275"/>
      <c r="H395" s="275"/>
      <c r="I395" s="279"/>
      <c r="J395" s="274"/>
      <c r="K395" s="279"/>
      <c r="L395" s="276"/>
      <c r="M395" s="276"/>
      <c r="N395" s="276"/>
      <c r="O395" s="276"/>
      <c r="P395" s="276"/>
      <c r="Q395" s="276"/>
      <c r="R395" s="276"/>
      <c r="S395" s="276"/>
    </row>
    <row r="396">
      <c r="A396" s="279"/>
      <c r="B396" s="279"/>
      <c r="C396" s="279"/>
      <c r="D396" s="274"/>
      <c r="E396" s="279"/>
      <c r="F396" s="279"/>
      <c r="G396" s="275"/>
      <c r="H396" s="275"/>
      <c r="I396" s="279"/>
      <c r="J396" s="274"/>
      <c r="K396" s="279"/>
      <c r="L396" s="276"/>
      <c r="M396" s="276"/>
      <c r="N396" s="276"/>
      <c r="O396" s="276"/>
      <c r="P396" s="276"/>
      <c r="Q396" s="276"/>
      <c r="R396" s="276"/>
      <c r="S396" s="276"/>
    </row>
    <row r="397">
      <c r="A397" s="279"/>
      <c r="B397" s="279"/>
      <c r="C397" s="279"/>
      <c r="D397" s="274"/>
      <c r="E397" s="279"/>
      <c r="F397" s="279"/>
      <c r="G397" s="275"/>
      <c r="H397" s="275"/>
      <c r="I397" s="279"/>
      <c r="J397" s="274"/>
      <c r="K397" s="279"/>
      <c r="L397" s="276"/>
      <c r="M397" s="276"/>
      <c r="N397" s="276"/>
      <c r="O397" s="276"/>
      <c r="P397" s="276"/>
      <c r="Q397" s="276"/>
      <c r="R397" s="276"/>
      <c r="S397" s="276"/>
    </row>
    <row r="398">
      <c r="A398" s="279"/>
      <c r="B398" s="279"/>
      <c r="C398" s="279"/>
      <c r="D398" s="274"/>
      <c r="E398" s="279"/>
      <c r="F398" s="279"/>
      <c r="G398" s="275"/>
      <c r="H398" s="275"/>
      <c r="I398" s="279"/>
      <c r="J398" s="274"/>
      <c r="K398" s="279"/>
      <c r="L398" s="276"/>
      <c r="M398" s="276"/>
      <c r="N398" s="276"/>
      <c r="O398" s="276"/>
      <c r="P398" s="276"/>
      <c r="Q398" s="276"/>
      <c r="R398" s="276"/>
      <c r="S398" s="276"/>
    </row>
    <row r="399">
      <c r="A399" s="279"/>
      <c r="B399" s="279"/>
      <c r="C399" s="279"/>
      <c r="D399" s="274"/>
      <c r="E399" s="279"/>
      <c r="F399" s="279"/>
      <c r="G399" s="275"/>
      <c r="H399" s="275"/>
      <c r="I399" s="279"/>
      <c r="J399" s="274"/>
      <c r="K399" s="279"/>
      <c r="L399" s="276"/>
      <c r="M399" s="276"/>
      <c r="N399" s="276"/>
      <c r="O399" s="276"/>
      <c r="P399" s="276"/>
      <c r="Q399" s="276"/>
      <c r="R399" s="276"/>
      <c r="S399" s="276"/>
    </row>
    <row r="400">
      <c r="A400" s="279"/>
      <c r="B400" s="279"/>
      <c r="C400" s="279"/>
      <c r="D400" s="274"/>
      <c r="E400" s="279"/>
      <c r="F400" s="279"/>
      <c r="G400" s="275"/>
      <c r="H400" s="275"/>
      <c r="I400" s="279"/>
      <c r="J400" s="274"/>
      <c r="K400" s="279"/>
      <c r="L400" s="276"/>
      <c r="M400" s="276"/>
      <c r="N400" s="276"/>
      <c r="O400" s="276"/>
      <c r="P400" s="276"/>
      <c r="Q400" s="276"/>
      <c r="R400" s="276"/>
      <c r="S400" s="276"/>
    </row>
    <row r="401">
      <c r="A401" s="279"/>
      <c r="B401" s="279"/>
      <c r="C401" s="279"/>
      <c r="D401" s="274"/>
      <c r="E401" s="279"/>
      <c r="F401" s="279"/>
      <c r="G401" s="275"/>
      <c r="H401" s="275"/>
      <c r="I401" s="279"/>
      <c r="J401" s="274"/>
      <c r="K401" s="279"/>
      <c r="L401" s="276"/>
      <c r="M401" s="276"/>
      <c r="N401" s="276"/>
      <c r="O401" s="276"/>
      <c r="P401" s="276"/>
      <c r="Q401" s="276"/>
      <c r="R401" s="276"/>
      <c r="S401" s="276"/>
    </row>
    <row r="402">
      <c r="A402" s="279"/>
      <c r="B402" s="279"/>
      <c r="C402" s="279"/>
      <c r="D402" s="274"/>
      <c r="E402" s="279"/>
      <c r="F402" s="279"/>
      <c r="G402" s="275"/>
      <c r="H402" s="275"/>
      <c r="I402" s="279"/>
      <c r="J402" s="274"/>
      <c r="K402" s="279"/>
      <c r="L402" s="276"/>
      <c r="M402" s="276"/>
      <c r="N402" s="276"/>
      <c r="O402" s="276"/>
      <c r="P402" s="276"/>
      <c r="Q402" s="276"/>
      <c r="R402" s="276"/>
      <c r="S402" s="276"/>
    </row>
    <row r="403">
      <c r="A403" s="279"/>
      <c r="B403" s="279"/>
      <c r="C403" s="279"/>
      <c r="D403" s="274"/>
      <c r="E403" s="279"/>
      <c r="F403" s="279"/>
      <c r="G403" s="275"/>
      <c r="H403" s="275"/>
      <c r="I403" s="279"/>
      <c r="J403" s="274"/>
      <c r="K403" s="279"/>
      <c r="L403" s="276"/>
      <c r="M403" s="276"/>
      <c r="N403" s="276"/>
      <c r="O403" s="276"/>
      <c r="P403" s="276"/>
      <c r="Q403" s="276"/>
      <c r="R403" s="276"/>
      <c r="S403" s="276"/>
    </row>
    <row r="404">
      <c r="A404" s="279"/>
      <c r="B404" s="279"/>
      <c r="C404" s="279"/>
      <c r="D404" s="274"/>
      <c r="E404" s="279"/>
      <c r="F404" s="279"/>
      <c r="G404" s="275"/>
      <c r="H404" s="275"/>
      <c r="I404" s="279"/>
      <c r="J404" s="274"/>
      <c r="K404" s="279"/>
      <c r="L404" s="276"/>
      <c r="M404" s="276"/>
      <c r="N404" s="276"/>
      <c r="O404" s="276"/>
      <c r="P404" s="276"/>
      <c r="Q404" s="276"/>
      <c r="R404" s="276"/>
      <c r="S404" s="276"/>
    </row>
    <row r="405">
      <c r="A405" s="279"/>
      <c r="B405" s="279"/>
      <c r="C405" s="279"/>
      <c r="D405" s="274"/>
      <c r="E405" s="279"/>
      <c r="F405" s="279"/>
      <c r="G405" s="275"/>
      <c r="H405" s="275"/>
      <c r="I405" s="279"/>
      <c r="J405" s="274"/>
      <c r="K405" s="279"/>
      <c r="L405" s="276"/>
      <c r="M405" s="276"/>
      <c r="N405" s="276"/>
      <c r="O405" s="276"/>
      <c r="P405" s="276"/>
      <c r="Q405" s="276"/>
      <c r="R405" s="276"/>
      <c r="S405" s="276"/>
    </row>
    <row r="406">
      <c r="A406" s="279"/>
      <c r="B406" s="279"/>
      <c r="C406" s="279"/>
      <c r="D406" s="274"/>
      <c r="E406" s="279"/>
      <c r="F406" s="279"/>
      <c r="G406" s="275"/>
      <c r="H406" s="275"/>
      <c r="I406" s="279"/>
      <c r="J406" s="274"/>
      <c r="K406" s="279"/>
      <c r="L406" s="276"/>
      <c r="M406" s="276"/>
      <c r="N406" s="276"/>
      <c r="O406" s="276"/>
      <c r="P406" s="276"/>
      <c r="Q406" s="276"/>
      <c r="R406" s="276"/>
      <c r="S406" s="276"/>
    </row>
    <row r="407">
      <c r="A407" s="279"/>
      <c r="B407" s="279"/>
      <c r="C407" s="279"/>
      <c r="D407" s="274"/>
      <c r="E407" s="279"/>
      <c r="F407" s="279"/>
      <c r="G407" s="275"/>
      <c r="H407" s="275"/>
      <c r="I407" s="279"/>
      <c r="J407" s="274"/>
      <c r="K407" s="279"/>
      <c r="L407" s="276"/>
      <c r="M407" s="276"/>
      <c r="N407" s="276"/>
      <c r="O407" s="276"/>
      <c r="P407" s="276"/>
      <c r="Q407" s="276"/>
      <c r="R407" s="276"/>
      <c r="S407" s="276"/>
    </row>
    <row r="408">
      <c r="A408" s="279"/>
      <c r="B408" s="279"/>
      <c r="C408" s="279"/>
      <c r="D408" s="274"/>
      <c r="E408" s="279"/>
      <c r="F408" s="279"/>
      <c r="G408" s="275"/>
      <c r="H408" s="275"/>
      <c r="I408" s="279"/>
      <c r="J408" s="274"/>
      <c r="K408" s="279"/>
      <c r="L408" s="276"/>
      <c r="M408" s="276"/>
      <c r="N408" s="276"/>
      <c r="O408" s="276"/>
      <c r="P408" s="276"/>
      <c r="Q408" s="276"/>
      <c r="R408" s="276"/>
      <c r="S408" s="276"/>
    </row>
    <row r="409">
      <c r="A409" s="279"/>
      <c r="B409" s="279"/>
      <c r="C409" s="279"/>
      <c r="D409" s="274"/>
      <c r="E409" s="279"/>
      <c r="F409" s="279"/>
      <c r="G409" s="275"/>
      <c r="H409" s="275"/>
      <c r="I409" s="279"/>
      <c r="J409" s="274"/>
      <c r="K409" s="279"/>
      <c r="L409" s="276"/>
      <c r="M409" s="276"/>
      <c r="N409" s="276"/>
      <c r="O409" s="276"/>
      <c r="P409" s="276"/>
      <c r="Q409" s="276"/>
      <c r="R409" s="276"/>
      <c r="S409" s="276"/>
    </row>
    <row r="410">
      <c r="A410" s="279"/>
      <c r="B410" s="279"/>
      <c r="C410" s="279"/>
      <c r="D410" s="274"/>
      <c r="E410" s="279"/>
      <c r="F410" s="279"/>
      <c r="G410" s="275"/>
      <c r="H410" s="275"/>
      <c r="I410" s="279"/>
      <c r="J410" s="274"/>
      <c r="K410" s="279"/>
      <c r="L410" s="276"/>
      <c r="M410" s="276"/>
      <c r="N410" s="276"/>
      <c r="O410" s="276"/>
      <c r="P410" s="276"/>
      <c r="Q410" s="276"/>
      <c r="R410" s="276"/>
      <c r="S410" s="276"/>
    </row>
    <row r="411">
      <c r="A411" s="279"/>
      <c r="B411" s="279"/>
      <c r="C411" s="279"/>
      <c r="D411" s="274"/>
      <c r="E411" s="279"/>
      <c r="F411" s="279"/>
      <c r="G411" s="275"/>
      <c r="H411" s="275"/>
      <c r="I411" s="279"/>
      <c r="J411" s="274"/>
      <c r="K411" s="279"/>
      <c r="L411" s="276"/>
      <c r="M411" s="276"/>
      <c r="N411" s="276"/>
      <c r="O411" s="276"/>
      <c r="P411" s="276"/>
      <c r="Q411" s="276"/>
      <c r="R411" s="276"/>
      <c r="S411" s="276"/>
    </row>
    <row r="412">
      <c r="A412" s="279"/>
      <c r="B412" s="279"/>
      <c r="C412" s="279"/>
      <c r="D412" s="274"/>
      <c r="E412" s="279"/>
      <c r="F412" s="279"/>
      <c r="G412" s="275"/>
      <c r="H412" s="275"/>
      <c r="I412" s="279"/>
      <c r="J412" s="274"/>
      <c r="K412" s="279"/>
      <c r="L412" s="276"/>
      <c r="M412" s="276"/>
      <c r="N412" s="276"/>
      <c r="O412" s="276"/>
      <c r="P412" s="276"/>
      <c r="Q412" s="276"/>
      <c r="R412" s="276"/>
      <c r="S412" s="276"/>
    </row>
    <row r="413">
      <c r="A413" s="279"/>
      <c r="B413" s="279"/>
      <c r="C413" s="279"/>
      <c r="D413" s="274"/>
      <c r="E413" s="279"/>
      <c r="F413" s="279"/>
      <c r="G413" s="275"/>
      <c r="H413" s="275"/>
      <c r="I413" s="279"/>
      <c r="J413" s="274"/>
      <c r="K413" s="279"/>
      <c r="L413" s="276"/>
      <c r="M413" s="276"/>
      <c r="N413" s="276"/>
      <c r="O413" s="276"/>
      <c r="P413" s="276"/>
      <c r="Q413" s="276"/>
      <c r="R413" s="276"/>
      <c r="S413" s="276"/>
    </row>
    <row r="414">
      <c r="A414" s="279"/>
      <c r="B414" s="279"/>
      <c r="C414" s="279"/>
      <c r="D414" s="274"/>
      <c r="E414" s="279"/>
      <c r="F414" s="279"/>
      <c r="G414" s="275"/>
      <c r="H414" s="275"/>
      <c r="I414" s="279"/>
      <c r="J414" s="274"/>
      <c r="K414" s="279"/>
      <c r="L414" s="276"/>
      <c r="M414" s="276"/>
      <c r="N414" s="276"/>
      <c r="O414" s="276"/>
      <c r="P414" s="276"/>
      <c r="Q414" s="276"/>
      <c r="R414" s="276"/>
      <c r="S414" s="276"/>
    </row>
    <row r="415">
      <c r="A415" s="279"/>
      <c r="B415" s="279"/>
      <c r="C415" s="279"/>
      <c r="D415" s="274"/>
      <c r="E415" s="279"/>
      <c r="F415" s="279"/>
      <c r="G415" s="275"/>
      <c r="H415" s="275"/>
      <c r="I415" s="279"/>
      <c r="J415" s="274"/>
      <c r="K415" s="279"/>
      <c r="L415" s="276"/>
      <c r="M415" s="276"/>
      <c r="N415" s="276"/>
      <c r="O415" s="276"/>
      <c r="P415" s="276"/>
      <c r="Q415" s="276"/>
      <c r="R415" s="276"/>
      <c r="S415" s="276"/>
    </row>
    <row r="416">
      <c r="A416" s="279"/>
      <c r="B416" s="279"/>
      <c r="C416" s="279"/>
      <c r="D416" s="274"/>
      <c r="E416" s="279"/>
      <c r="F416" s="279"/>
      <c r="G416" s="275"/>
      <c r="H416" s="275"/>
      <c r="I416" s="279"/>
      <c r="J416" s="274"/>
      <c r="K416" s="279"/>
      <c r="L416" s="276"/>
      <c r="M416" s="276"/>
      <c r="N416" s="276"/>
      <c r="O416" s="276"/>
      <c r="P416" s="276"/>
      <c r="Q416" s="276"/>
      <c r="R416" s="276"/>
      <c r="S416" s="276"/>
    </row>
    <row r="417">
      <c r="A417" s="279"/>
      <c r="B417" s="279"/>
      <c r="C417" s="279"/>
      <c r="D417" s="274"/>
      <c r="E417" s="279"/>
      <c r="F417" s="279"/>
      <c r="G417" s="275"/>
      <c r="H417" s="275"/>
      <c r="I417" s="279"/>
      <c r="J417" s="274"/>
      <c r="K417" s="279"/>
      <c r="L417" s="276"/>
      <c r="M417" s="276"/>
      <c r="N417" s="276"/>
      <c r="O417" s="276"/>
      <c r="P417" s="276"/>
      <c r="Q417" s="276"/>
      <c r="R417" s="276"/>
      <c r="S417" s="276"/>
    </row>
    <row r="418">
      <c r="A418" s="279"/>
      <c r="B418" s="279"/>
      <c r="C418" s="279"/>
      <c r="D418" s="274"/>
      <c r="E418" s="279"/>
      <c r="F418" s="279"/>
      <c r="G418" s="275"/>
      <c r="H418" s="275"/>
      <c r="I418" s="279"/>
      <c r="J418" s="274"/>
      <c r="K418" s="279"/>
      <c r="L418" s="276"/>
      <c r="M418" s="276"/>
      <c r="N418" s="276"/>
      <c r="O418" s="276"/>
      <c r="P418" s="276"/>
      <c r="Q418" s="276"/>
      <c r="R418" s="276"/>
      <c r="S418" s="276"/>
    </row>
    <row r="419">
      <c r="A419" s="279"/>
      <c r="B419" s="279"/>
      <c r="C419" s="279"/>
      <c r="D419" s="274"/>
      <c r="E419" s="279"/>
      <c r="F419" s="279"/>
      <c r="G419" s="275"/>
      <c r="H419" s="275"/>
      <c r="I419" s="279"/>
      <c r="J419" s="274"/>
      <c r="K419" s="279"/>
      <c r="L419" s="276"/>
      <c r="M419" s="276"/>
      <c r="N419" s="276"/>
      <c r="O419" s="276"/>
      <c r="P419" s="276"/>
      <c r="Q419" s="276"/>
      <c r="R419" s="276"/>
      <c r="S419" s="276"/>
    </row>
    <row r="420">
      <c r="A420" s="279"/>
      <c r="B420" s="279"/>
      <c r="C420" s="279"/>
      <c r="D420" s="274"/>
      <c r="E420" s="279"/>
      <c r="F420" s="279"/>
      <c r="G420" s="275"/>
      <c r="H420" s="275"/>
      <c r="I420" s="279"/>
      <c r="J420" s="274"/>
      <c r="K420" s="279"/>
      <c r="L420" s="276"/>
      <c r="M420" s="276"/>
      <c r="N420" s="276"/>
      <c r="O420" s="276"/>
      <c r="P420" s="276"/>
      <c r="Q420" s="276"/>
      <c r="R420" s="276"/>
      <c r="S420" s="276"/>
    </row>
    <row r="421">
      <c r="A421" s="279"/>
      <c r="B421" s="279"/>
      <c r="C421" s="279"/>
      <c r="D421" s="274"/>
      <c r="E421" s="279"/>
      <c r="F421" s="279"/>
      <c r="G421" s="275"/>
      <c r="H421" s="275"/>
      <c r="I421" s="279"/>
      <c r="J421" s="274"/>
      <c r="K421" s="279"/>
      <c r="L421" s="276"/>
      <c r="M421" s="276"/>
      <c r="N421" s="276"/>
      <c r="O421" s="276"/>
      <c r="P421" s="276"/>
      <c r="Q421" s="276"/>
      <c r="R421" s="276"/>
      <c r="S421" s="276"/>
    </row>
    <row r="422">
      <c r="A422" s="279"/>
      <c r="B422" s="279"/>
      <c r="C422" s="279"/>
      <c r="D422" s="274"/>
      <c r="E422" s="279"/>
      <c r="F422" s="279"/>
      <c r="G422" s="275"/>
      <c r="H422" s="275"/>
      <c r="I422" s="279"/>
      <c r="J422" s="274"/>
      <c r="K422" s="279"/>
      <c r="L422" s="276"/>
      <c r="M422" s="276"/>
      <c r="N422" s="276"/>
      <c r="O422" s="276"/>
      <c r="P422" s="276"/>
      <c r="Q422" s="276"/>
      <c r="R422" s="276"/>
      <c r="S422" s="276"/>
    </row>
    <row r="423">
      <c r="A423" s="279"/>
      <c r="B423" s="279"/>
      <c r="C423" s="279"/>
      <c r="D423" s="274"/>
      <c r="E423" s="279"/>
      <c r="F423" s="279"/>
      <c r="G423" s="275"/>
      <c r="H423" s="275"/>
      <c r="I423" s="279"/>
      <c r="J423" s="274"/>
      <c r="K423" s="279"/>
      <c r="L423" s="276"/>
      <c r="M423" s="276"/>
      <c r="N423" s="276"/>
      <c r="O423" s="276"/>
      <c r="P423" s="276"/>
      <c r="Q423" s="276"/>
      <c r="R423" s="276"/>
      <c r="S423" s="276"/>
    </row>
    <row r="424">
      <c r="A424" s="279"/>
      <c r="B424" s="279"/>
      <c r="C424" s="279"/>
      <c r="D424" s="274"/>
      <c r="E424" s="279"/>
      <c r="F424" s="279"/>
      <c r="G424" s="275"/>
      <c r="H424" s="275"/>
      <c r="I424" s="279"/>
      <c r="J424" s="274"/>
      <c r="K424" s="279"/>
      <c r="L424" s="276"/>
      <c r="M424" s="276"/>
      <c r="N424" s="276"/>
      <c r="O424" s="276"/>
      <c r="P424" s="276"/>
      <c r="Q424" s="276"/>
      <c r="R424" s="276"/>
      <c r="S424" s="276"/>
    </row>
    <row r="425">
      <c r="A425" s="279"/>
      <c r="B425" s="279"/>
      <c r="C425" s="279"/>
      <c r="D425" s="274"/>
      <c r="E425" s="279"/>
      <c r="F425" s="279"/>
      <c r="G425" s="275"/>
      <c r="H425" s="275"/>
      <c r="I425" s="279"/>
      <c r="J425" s="274"/>
      <c r="K425" s="279"/>
      <c r="L425" s="276"/>
      <c r="M425" s="276"/>
      <c r="N425" s="276"/>
      <c r="O425" s="276"/>
      <c r="P425" s="276"/>
      <c r="Q425" s="276"/>
      <c r="R425" s="276"/>
      <c r="S425" s="276"/>
    </row>
    <row r="426">
      <c r="A426" s="279"/>
      <c r="B426" s="279"/>
      <c r="C426" s="279"/>
      <c r="D426" s="274"/>
      <c r="E426" s="279"/>
      <c r="F426" s="279"/>
      <c r="G426" s="275"/>
      <c r="H426" s="275"/>
      <c r="I426" s="279"/>
      <c r="J426" s="274"/>
      <c r="K426" s="279"/>
      <c r="L426" s="276"/>
      <c r="M426" s="276"/>
      <c r="N426" s="276"/>
      <c r="O426" s="276"/>
      <c r="P426" s="276"/>
      <c r="Q426" s="276"/>
      <c r="R426" s="276"/>
      <c r="S426" s="276"/>
    </row>
    <row r="427">
      <c r="A427" s="279"/>
      <c r="B427" s="279"/>
      <c r="C427" s="279"/>
      <c r="D427" s="274"/>
      <c r="E427" s="279"/>
      <c r="F427" s="279"/>
      <c r="G427" s="275"/>
      <c r="H427" s="275"/>
      <c r="I427" s="279"/>
      <c r="J427" s="274"/>
      <c r="K427" s="279"/>
      <c r="L427" s="276"/>
      <c r="M427" s="276"/>
      <c r="N427" s="276"/>
      <c r="O427" s="276"/>
      <c r="P427" s="276"/>
      <c r="Q427" s="276"/>
      <c r="R427" s="276"/>
      <c r="S427" s="276"/>
    </row>
    <row r="428">
      <c r="A428" s="279"/>
      <c r="B428" s="279"/>
      <c r="C428" s="279"/>
      <c r="D428" s="274"/>
      <c r="E428" s="279"/>
      <c r="F428" s="279"/>
      <c r="G428" s="275"/>
      <c r="H428" s="275"/>
      <c r="I428" s="279"/>
      <c r="J428" s="274"/>
      <c r="K428" s="279"/>
      <c r="L428" s="276"/>
      <c r="M428" s="276"/>
      <c r="N428" s="276"/>
      <c r="O428" s="276"/>
      <c r="P428" s="276"/>
      <c r="Q428" s="276"/>
      <c r="R428" s="276"/>
      <c r="S428" s="276"/>
    </row>
    <row r="429">
      <c r="A429" s="279"/>
      <c r="B429" s="279"/>
      <c r="C429" s="279"/>
      <c r="D429" s="274"/>
      <c r="E429" s="279"/>
      <c r="F429" s="279"/>
      <c r="G429" s="275"/>
      <c r="H429" s="275"/>
      <c r="I429" s="279"/>
      <c r="J429" s="274"/>
      <c r="K429" s="279"/>
      <c r="L429" s="276"/>
      <c r="M429" s="276"/>
      <c r="N429" s="276"/>
      <c r="O429" s="276"/>
      <c r="P429" s="276"/>
      <c r="Q429" s="276"/>
      <c r="R429" s="276"/>
      <c r="S429" s="276"/>
    </row>
    <row r="430">
      <c r="A430" s="279"/>
      <c r="B430" s="279"/>
      <c r="C430" s="279"/>
      <c r="D430" s="274"/>
      <c r="E430" s="279"/>
      <c r="F430" s="279"/>
      <c r="G430" s="275"/>
      <c r="H430" s="275"/>
      <c r="I430" s="279"/>
      <c r="J430" s="274"/>
      <c r="K430" s="279"/>
      <c r="L430" s="276"/>
      <c r="M430" s="276"/>
      <c r="N430" s="276"/>
      <c r="O430" s="276"/>
      <c r="P430" s="276"/>
      <c r="Q430" s="276"/>
      <c r="R430" s="276"/>
      <c r="S430" s="276"/>
    </row>
    <row r="431">
      <c r="A431" s="279"/>
      <c r="B431" s="279"/>
      <c r="C431" s="279"/>
      <c r="D431" s="274"/>
      <c r="E431" s="279"/>
      <c r="F431" s="279"/>
      <c r="G431" s="275"/>
      <c r="H431" s="275"/>
      <c r="I431" s="279"/>
      <c r="J431" s="274"/>
      <c r="K431" s="279"/>
      <c r="L431" s="276"/>
      <c r="M431" s="276"/>
      <c r="N431" s="276"/>
      <c r="O431" s="276"/>
      <c r="P431" s="276"/>
      <c r="Q431" s="276"/>
      <c r="R431" s="276"/>
      <c r="S431" s="276"/>
    </row>
    <row r="432">
      <c r="A432" s="279"/>
      <c r="B432" s="279"/>
      <c r="C432" s="279"/>
      <c r="D432" s="274"/>
      <c r="E432" s="279"/>
      <c r="F432" s="279"/>
      <c r="G432" s="275"/>
      <c r="H432" s="275"/>
      <c r="I432" s="279"/>
      <c r="J432" s="274"/>
      <c r="K432" s="279"/>
      <c r="L432" s="276"/>
      <c r="M432" s="276"/>
      <c r="N432" s="276"/>
      <c r="O432" s="276"/>
      <c r="P432" s="276"/>
      <c r="Q432" s="276"/>
      <c r="R432" s="276"/>
      <c r="S432" s="276"/>
    </row>
    <row r="433">
      <c r="A433" s="279"/>
      <c r="B433" s="279"/>
      <c r="C433" s="279"/>
      <c r="D433" s="274"/>
      <c r="E433" s="279"/>
      <c r="F433" s="279"/>
      <c r="G433" s="275"/>
      <c r="H433" s="275"/>
      <c r="I433" s="279"/>
      <c r="J433" s="274"/>
      <c r="K433" s="279"/>
      <c r="L433" s="276"/>
      <c r="M433" s="276"/>
      <c r="N433" s="276"/>
      <c r="O433" s="276"/>
      <c r="P433" s="276"/>
      <c r="Q433" s="276"/>
      <c r="R433" s="276"/>
      <c r="S433" s="276"/>
    </row>
    <row r="434">
      <c r="A434" s="279"/>
      <c r="B434" s="279"/>
      <c r="C434" s="279"/>
      <c r="D434" s="274"/>
      <c r="E434" s="279"/>
      <c r="F434" s="279"/>
      <c r="G434" s="275"/>
      <c r="H434" s="275"/>
      <c r="I434" s="279"/>
      <c r="J434" s="274"/>
      <c r="K434" s="279"/>
      <c r="L434" s="276"/>
      <c r="M434" s="276"/>
      <c r="N434" s="276"/>
      <c r="O434" s="276"/>
      <c r="P434" s="276"/>
      <c r="Q434" s="276"/>
      <c r="R434" s="276"/>
      <c r="S434" s="276"/>
    </row>
    <row r="435">
      <c r="A435" s="279"/>
      <c r="B435" s="279"/>
      <c r="C435" s="279"/>
      <c r="D435" s="274"/>
      <c r="E435" s="279"/>
      <c r="F435" s="279"/>
      <c r="G435" s="275"/>
      <c r="H435" s="275"/>
      <c r="I435" s="279"/>
      <c r="J435" s="274"/>
      <c r="K435" s="279"/>
      <c r="L435" s="276"/>
      <c r="M435" s="276"/>
      <c r="N435" s="276"/>
      <c r="O435" s="276"/>
      <c r="P435" s="276"/>
      <c r="Q435" s="276"/>
      <c r="R435" s="276"/>
      <c r="S435" s="276"/>
    </row>
    <row r="436">
      <c r="A436" s="279"/>
      <c r="B436" s="279"/>
      <c r="C436" s="279"/>
      <c r="D436" s="274"/>
      <c r="E436" s="279"/>
      <c r="F436" s="279"/>
      <c r="G436" s="275"/>
      <c r="H436" s="275"/>
      <c r="I436" s="279"/>
      <c r="J436" s="274"/>
      <c r="K436" s="279"/>
      <c r="L436" s="276"/>
      <c r="M436" s="276"/>
      <c r="N436" s="276"/>
      <c r="O436" s="276"/>
      <c r="P436" s="276"/>
      <c r="Q436" s="276"/>
      <c r="R436" s="276"/>
      <c r="S436" s="276"/>
    </row>
    <row r="437">
      <c r="A437" s="279"/>
      <c r="B437" s="279"/>
      <c r="C437" s="279"/>
      <c r="D437" s="274"/>
      <c r="E437" s="279"/>
      <c r="F437" s="279"/>
      <c r="G437" s="275"/>
      <c r="H437" s="275"/>
      <c r="I437" s="279"/>
      <c r="J437" s="274"/>
      <c r="K437" s="279"/>
      <c r="L437" s="276"/>
      <c r="M437" s="276"/>
      <c r="N437" s="276"/>
      <c r="O437" s="276"/>
      <c r="P437" s="276"/>
      <c r="Q437" s="276"/>
      <c r="R437" s="276"/>
      <c r="S437" s="276"/>
    </row>
    <row r="438">
      <c r="A438" s="279"/>
      <c r="B438" s="279"/>
      <c r="C438" s="279"/>
      <c r="D438" s="274"/>
      <c r="E438" s="279"/>
      <c r="F438" s="279"/>
      <c r="G438" s="275"/>
      <c r="H438" s="275"/>
      <c r="I438" s="279"/>
      <c r="J438" s="274"/>
      <c r="K438" s="279"/>
      <c r="L438" s="276"/>
      <c r="M438" s="276"/>
      <c r="N438" s="276"/>
      <c r="O438" s="276"/>
      <c r="P438" s="276"/>
      <c r="Q438" s="276"/>
      <c r="R438" s="276"/>
      <c r="S438" s="276"/>
    </row>
    <row r="439">
      <c r="A439" s="279"/>
      <c r="B439" s="279"/>
      <c r="C439" s="279"/>
      <c r="D439" s="274"/>
      <c r="E439" s="279"/>
      <c r="F439" s="279"/>
      <c r="G439" s="275"/>
      <c r="H439" s="275"/>
      <c r="I439" s="279"/>
      <c r="J439" s="274"/>
      <c r="K439" s="279"/>
      <c r="L439" s="276"/>
      <c r="M439" s="276"/>
      <c r="N439" s="276"/>
      <c r="O439" s="276"/>
      <c r="P439" s="276"/>
      <c r="Q439" s="276"/>
      <c r="R439" s="276"/>
      <c r="S439" s="276"/>
    </row>
    <row r="440">
      <c r="A440" s="279"/>
      <c r="B440" s="279"/>
      <c r="C440" s="279"/>
      <c r="D440" s="274"/>
      <c r="E440" s="279"/>
      <c r="F440" s="279"/>
      <c r="G440" s="275"/>
      <c r="H440" s="275"/>
      <c r="I440" s="279"/>
      <c r="J440" s="274"/>
      <c r="K440" s="279"/>
      <c r="L440" s="276"/>
      <c r="M440" s="276"/>
      <c r="N440" s="276"/>
      <c r="O440" s="276"/>
      <c r="P440" s="276"/>
      <c r="Q440" s="276"/>
      <c r="R440" s="276"/>
      <c r="S440" s="276"/>
    </row>
    <row r="441">
      <c r="A441" s="279"/>
      <c r="B441" s="279"/>
      <c r="C441" s="279"/>
      <c r="D441" s="274"/>
      <c r="E441" s="279"/>
      <c r="F441" s="279"/>
      <c r="G441" s="275"/>
      <c r="H441" s="275"/>
      <c r="I441" s="279"/>
      <c r="J441" s="274"/>
      <c r="K441" s="279"/>
      <c r="L441" s="276"/>
      <c r="M441" s="276"/>
      <c r="N441" s="276"/>
      <c r="O441" s="276"/>
      <c r="P441" s="276"/>
      <c r="Q441" s="276"/>
      <c r="R441" s="276"/>
      <c r="S441" s="276"/>
    </row>
    <row r="442">
      <c r="A442" s="279"/>
      <c r="B442" s="279"/>
      <c r="C442" s="279"/>
      <c r="D442" s="274"/>
      <c r="E442" s="279"/>
      <c r="F442" s="279"/>
      <c r="G442" s="275"/>
      <c r="H442" s="275"/>
      <c r="I442" s="279"/>
      <c r="J442" s="274"/>
      <c r="K442" s="279"/>
      <c r="L442" s="276"/>
      <c r="M442" s="276"/>
      <c r="N442" s="276"/>
      <c r="O442" s="276"/>
      <c r="P442" s="276"/>
      <c r="Q442" s="276"/>
      <c r="R442" s="276"/>
      <c r="S442" s="276"/>
    </row>
    <row r="443">
      <c r="A443" s="279"/>
      <c r="B443" s="279"/>
      <c r="C443" s="279"/>
      <c r="D443" s="274"/>
      <c r="E443" s="279"/>
      <c r="F443" s="279"/>
      <c r="G443" s="275"/>
      <c r="H443" s="275"/>
      <c r="I443" s="279"/>
      <c r="J443" s="274"/>
      <c r="K443" s="279"/>
      <c r="L443" s="276"/>
      <c r="M443" s="276"/>
      <c r="N443" s="276"/>
      <c r="O443" s="276"/>
      <c r="P443" s="276"/>
      <c r="Q443" s="276"/>
      <c r="R443" s="276"/>
      <c r="S443" s="276"/>
    </row>
    <row r="444">
      <c r="A444" s="279"/>
      <c r="B444" s="279"/>
      <c r="C444" s="279"/>
      <c r="D444" s="274"/>
      <c r="E444" s="279"/>
      <c r="F444" s="279"/>
      <c r="G444" s="275"/>
      <c r="H444" s="275"/>
      <c r="I444" s="279"/>
      <c r="J444" s="274"/>
      <c r="K444" s="279"/>
      <c r="L444" s="276"/>
      <c r="M444" s="276"/>
      <c r="N444" s="276"/>
      <c r="O444" s="276"/>
      <c r="P444" s="276"/>
      <c r="Q444" s="276"/>
      <c r="R444" s="276"/>
      <c r="S444" s="276"/>
    </row>
    <row r="445">
      <c r="A445" s="279"/>
      <c r="B445" s="279"/>
      <c r="C445" s="279"/>
      <c r="D445" s="274"/>
      <c r="E445" s="279"/>
      <c r="F445" s="279"/>
      <c r="G445" s="275"/>
      <c r="H445" s="275"/>
      <c r="I445" s="279"/>
      <c r="J445" s="274"/>
      <c r="K445" s="279"/>
      <c r="L445" s="276"/>
      <c r="M445" s="276"/>
      <c r="N445" s="276"/>
      <c r="O445" s="276"/>
      <c r="P445" s="276"/>
      <c r="Q445" s="276"/>
      <c r="R445" s="276"/>
      <c r="S445" s="276"/>
    </row>
    <row r="446">
      <c r="A446" s="279"/>
      <c r="B446" s="279"/>
      <c r="C446" s="279"/>
      <c r="D446" s="274"/>
      <c r="E446" s="279"/>
      <c r="F446" s="279"/>
      <c r="G446" s="275"/>
      <c r="H446" s="275"/>
      <c r="I446" s="279"/>
      <c r="J446" s="274"/>
      <c r="K446" s="279"/>
      <c r="L446" s="276"/>
      <c r="M446" s="276"/>
      <c r="N446" s="276"/>
      <c r="O446" s="276"/>
      <c r="P446" s="276"/>
      <c r="Q446" s="276"/>
      <c r="R446" s="276"/>
      <c r="S446" s="276"/>
    </row>
    <row r="447">
      <c r="A447" s="279"/>
      <c r="B447" s="279"/>
      <c r="C447" s="279"/>
      <c r="D447" s="274"/>
      <c r="E447" s="279"/>
      <c r="F447" s="279"/>
      <c r="G447" s="275"/>
      <c r="H447" s="275"/>
      <c r="I447" s="279"/>
      <c r="J447" s="274"/>
      <c r="K447" s="279"/>
      <c r="L447" s="276"/>
      <c r="M447" s="276"/>
      <c r="N447" s="276"/>
      <c r="O447" s="276"/>
      <c r="P447" s="276"/>
      <c r="Q447" s="276"/>
      <c r="R447" s="276"/>
      <c r="S447" s="276"/>
    </row>
    <row r="448">
      <c r="A448" s="279"/>
      <c r="B448" s="279"/>
      <c r="C448" s="279"/>
      <c r="D448" s="274"/>
      <c r="E448" s="279"/>
      <c r="F448" s="279"/>
      <c r="G448" s="275"/>
      <c r="H448" s="275"/>
      <c r="I448" s="279"/>
      <c r="J448" s="274"/>
      <c r="K448" s="279"/>
      <c r="L448" s="276"/>
      <c r="M448" s="276"/>
      <c r="N448" s="276"/>
      <c r="O448" s="276"/>
      <c r="P448" s="276"/>
      <c r="Q448" s="276"/>
      <c r="R448" s="276"/>
      <c r="S448" s="276"/>
    </row>
    <row r="449">
      <c r="A449" s="279"/>
      <c r="B449" s="279"/>
      <c r="C449" s="279"/>
      <c r="D449" s="274"/>
      <c r="E449" s="279"/>
      <c r="F449" s="279"/>
      <c r="G449" s="275"/>
      <c r="H449" s="275"/>
      <c r="I449" s="279"/>
      <c r="J449" s="274"/>
      <c r="K449" s="279"/>
      <c r="L449" s="276"/>
      <c r="M449" s="276"/>
      <c r="N449" s="276"/>
      <c r="O449" s="276"/>
      <c r="P449" s="276"/>
      <c r="Q449" s="276"/>
      <c r="R449" s="276"/>
      <c r="S449" s="276"/>
    </row>
    <row r="450">
      <c r="A450" s="279"/>
      <c r="B450" s="279"/>
      <c r="C450" s="279"/>
      <c r="D450" s="274"/>
      <c r="E450" s="279"/>
      <c r="F450" s="279"/>
      <c r="G450" s="275"/>
      <c r="H450" s="275"/>
      <c r="I450" s="279"/>
      <c r="J450" s="274"/>
      <c r="K450" s="279"/>
      <c r="L450" s="276"/>
      <c r="M450" s="276"/>
      <c r="N450" s="276"/>
      <c r="O450" s="276"/>
      <c r="P450" s="276"/>
      <c r="Q450" s="276"/>
      <c r="R450" s="276"/>
      <c r="S450" s="276"/>
    </row>
    <row r="451">
      <c r="A451" s="279"/>
      <c r="B451" s="279"/>
      <c r="C451" s="279"/>
      <c r="D451" s="274"/>
      <c r="E451" s="279"/>
      <c r="F451" s="279"/>
      <c r="G451" s="275"/>
      <c r="H451" s="275"/>
      <c r="I451" s="279"/>
      <c r="J451" s="274"/>
      <c r="K451" s="279"/>
      <c r="L451" s="276"/>
      <c r="M451" s="276"/>
      <c r="N451" s="276"/>
      <c r="O451" s="276"/>
      <c r="P451" s="276"/>
      <c r="Q451" s="276"/>
      <c r="R451" s="276"/>
      <c r="S451" s="276"/>
    </row>
    <row r="452">
      <c r="A452" s="279"/>
      <c r="B452" s="279"/>
      <c r="C452" s="279"/>
      <c r="D452" s="274"/>
      <c r="E452" s="279"/>
      <c r="F452" s="279"/>
      <c r="G452" s="275"/>
      <c r="H452" s="275"/>
      <c r="I452" s="279"/>
      <c r="J452" s="274"/>
      <c r="K452" s="279"/>
      <c r="L452" s="276"/>
      <c r="M452" s="276"/>
      <c r="N452" s="276"/>
      <c r="O452" s="276"/>
      <c r="P452" s="276"/>
      <c r="Q452" s="276"/>
      <c r="R452" s="276"/>
      <c r="S452" s="276"/>
    </row>
    <row r="453">
      <c r="A453" s="279"/>
      <c r="B453" s="279"/>
      <c r="C453" s="279"/>
      <c r="D453" s="274"/>
      <c r="E453" s="279"/>
      <c r="F453" s="279"/>
      <c r="G453" s="275"/>
      <c r="H453" s="275"/>
      <c r="I453" s="279"/>
      <c r="J453" s="274"/>
      <c r="K453" s="279"/>
      <c r="L453" s="276"/>
      <c r="M453" s="276"/>
      <c r="N453" s="276"/>
      <c r="O453" s="276"/>
      <c r="P453" s="276"/>
      <c r="Q453" s="276"/>
      <c r="R453" s="276"/>
      <c r="S453" s="276"/>
    </row>
    <row r="454">
      <c r="A454" s="279"/>
      <c r="B454" s="279"/>
      <c r="C454" s="279"/>
      <c r="D454" s="274"/>
      <c r="E454" s="279"/>
      <c r="F454" s="279"/>
      <c r="G454" s="275"/>
      <c r="H454" s="275"/>
      <c r="I454" s="279"/>
      <c r="J454" s="274"/>
      <c r="K454" s="279"/>
      <c r="L454" s="276"/>
      <c r="M454" s="276"/>
      <c r="N454" s="276"/>
      <c r="O454" s="276"/>
      <c r="P454" s="276"/>
      <c r="Q454" s="276"/>
      <c r="R454" s="276"/>
      <c r="S454" s="276"/>
    </row>
    <row r="455">
      <c r="A455" s="279"/>
      <c r="B455" s="279"/>
      <c r="C455" s="279"/>
      <c r="D455" s="274"/>
      <c r="E455" s="279"/>
      <c r="F455" s="279"/>
      <c r="G455" s="275"/>
      <c r="H455" s="275"/>
      <c r="I455" s="279"/>
      <c r="J455" s="274"/>
      <c r="K455" s="279"/>
      <c r="L455" s="276"/>
      <c r="M455" s="276"/>
      <c r="N455" s="276"/>
      <c r="O455" s="276"/>
      <c r="P455" s="276"/>
      <c r="Q455" s="276"/>
      <c r="R455" s="276"/>
      <c r="S455" s="276"/>
    </row>
    <row r="456">
      <c r="A456" s="279"/>
      <c r="B456" s="279"/>
      <c r="C456" s="279"/>
      <c r="D456" s="274"/>
      <c r="E456" s="279"/>
      <c r="F456" s="279"/>
      <c r="G456" s="275"/>
      <c r="H456" s="275"/>
      <c r="I456" s="279"/>
      <c r="J456" s="274"/>
      <c r="K456" s="279"/>
      <c r="L456" s="276"/>
      <c r="M456" s="276"/>
      <c r="N456" s="276"/>
      <c r="O456" s="276"/>
      <c r="P456" s="276"/>
      <c r="Q456" s="276"/>
      <c r="R456" s="276"/>
      <c r="S456" s="276"/>
    </row>
    <row r="457">
      <c r="A457" s="279"/>
      <c r="B457" s="279"/>
      <c r="C457" s="279"/>
      <c r="D457" s="274"/>
      <c r="E457" s="279"/>
      <c r="F457" s="279"/>
      <c r="G457" s="275"/>
      <c r="H457" s="275"/>
      <c r="I457" s="279"/>
      <c r="J457" s="274"/>
      <c r="K457" s="279"/>
      <c r="L457" s="276"/>
      <c r="M457" s="276"/>
      <c r="N457" s="276"/>
      <c r="O457" s="276"/>
      <c r="P457" s="276"/>
      <c r="Q457" s="276"/>
      <c r="R457" s="276"/>
      <c r="S457" s="276"/>
    </row>
    <row r="458">
      <c r="A458" s="279"/>
      <c r="B458" s="279"/>
      <c r="C458" s="279"/>
      <c r="D458" s="274"/>
      <c r="E458" s="279"/>
      <c r="F458" s="279"/>
      <c r="G458" s="275"/>
      <c r="H458" s="275"/>
      <c r="I458" s="279"/>
      <c r="J458" s="274"/>
      <c r="K458" s="279"/>
      <c r="L458" s="276"/>
      <c r="M458" s="276"/>
      <c r="N458" s="276"/>
      <c r="O458" s="276"/>
      <c r="P458" s="276"/>
      <c r="Q458" s="276"/>
      <c r="R458" s="276"/>
      <c r="S458" s="276"/>
    </row>
    <row r="459">
      <c r="A459" s="279"/>
      <c r="B459" s="279"/>
      <c r="C459" s="279"/>
      <c r="D459" s="274"/>
      <c r="E459" s="279"/>
      <c r="F459" s="279"/>
      <c r="G459" s="275"/>
      <c r="H459" s="275"/>
      <c r="I459" s="279"/>
      <c r="J459" s="274"/>
      <c r="K459" s="279"/>
      <c r="L459" s="276"/>
      <c r="M459" s="276"/>
      <c r="N459" s="276"/>
      <c r="O459" s="276"/>
      <c r="P459" s="276"/>
      <c r="Q459" s="276"/>
      <c r="R459" s="276"/>
      <c r="S459" s="276"/>
    </row>
    <row r="460">
      <c r="A460" s="279"/>
      <c r="B460" s="279"/>
      <c r="C460" s="279"/>
      <c r="D460" s="274"/>
      <c r="E460" s="279"/>
      <c r="F460" s="279"/>
      <c r="G460" s="275"/>
      <c r="H460" s="275"/>
      <c r="I460" s="279"/>
      <c r="J460" s="274"/>
      <c r="K460" s="279"/>
      <c r="L460" s="276"/>
      <c r="M460" s="276"/>
      <c r="N460" s="276"/>
      <c r="O460" s="276"/>
      <c r="P460" s="276"/>
      <c r="Q460" s="276"/>
      <c r="R460" s="276"/>
      <c r="S460" s="276"/>
    </row>
    <row r="461">
      <c r="A461" s="279"/>
      <c r="B461" s="279"/>
      <c r="C461" s="279"/>
      <c r="D461" s="274"/>
      <c r="E461" s="279"/>
      <c r="F461" s="279"/>
      <c r="G461" s="275"/>
      <c r="H461" s="275"/>
      <c r="I461" s="279"/>
      <c r="J461" s="274"/>
      <c r="K461" s="279"/>
      <c r="L461" s="276"/>
      <c r="M461" s="276"/>
      <c r="N461" s="276"/>
      <c r="O461" s="276"/>
      <c r="P461" s="276"/>
      <c r="Q461" s="276"/>
      <c r="R461" s="276"/>
      <c r="S461" s="276"/>
    </row>
    <row r="462">
      <c r="A462" s="279"/>
      <c r="B462" s="279"/>
      <c r="C462" s="279"/>
      <c r="D462" s="274"/>
      <c r="E462" s="279"/>
      <c r="F462" s="279"/>
      <c r="G462" s="275"/>
      <c r="H462" s="275"/>
      <c r="I462" s="279"/>
      <c r="J462" s="274"/>
      <c r="K462" s="279"/>
      <c r="L462" s="276"/>
      <c r="M462" s="276"/>
      <c r="N462" s="276"/>
      <c r="O462" s="276"/>
      <c r="P462" s="276"/>
      <c r="Q462" s="276"/>
      <c r="R462" s="276"/>
      <c r="S462" s="276"/>
    </row>
    <row r="463">
      <c r="A463" s="279"/>
      <c r="B463" s="279"/>
      <c r="C463" s="279"/>
      <c r="D463" s="274"/>
      <c r="E463" s="279"/>
      <c r="F463" s="279"/>
      <c r="G463" s="275"/>
      <c r="H463" s="275"/>
      <c r="I463" s="279"/>
      <c r="J463" s="274"/>
      <c r="K463" s="279"/>
      <c r="L463" s="276"/>
      <c r="M463" s="276"/>
      <c r="N463" s="276"/>
      <c r="O463" s="276"/>
      <c r="P463" s="276"/>
      <c r="Q463" s="276"/>
      <c r="R463" s="276"/>
      <c r="S463" s="276"/>
    </row>
    <row r="464">
      <c r="A464" s="279"/>
      <c r="B464" s="279"/>
      <c r="C464" s="279"/>
      <c r="D464" s="274"/>
      <c r="E464" s="279"/>
      <c r="F464" s="279"/>
      <c r="G464" s="275"/>
      <c r="H464" s="275"/>
      <c r="I464" s="279"/>
      <c r="J464" s="274"/>
      <c r="K464" s="279"/>
      <c r="L464" s="276"/>
      <c r="M464" s="276"/>
      <c r="N464" s="276"/>
      <c r="O464" s="276"/>
      <c r="P464" s="276"/>
      <c r="Q464" s="276"/>
      <c r="R464" s="276"/>
      <c r="S464" s="276"/>
    </row>
    <row r="465">
      <c r="A465" s="279"/>
      <c r="B465" s="279"/>
      <c r="C465" s="279"/>
      <c r="D465" s="274"/>
      <c r="E465" s="279"/>
      <c r="F465" s="279"/>
      <c r="G465" s="275"/>
      <c r="H465" s="275"/>
      <c r="I465" s="279"/>
      <c r="J465" s="274"/>
      <c r="K465" s="279"/>
      <c r="L465" s="276"/>
      <c r="M465" s="276"/>
      <c r="N465" s="276"/>
      <c r="O465" s="276"/>
      <c r="P465" s="276"/>
      <c r="Q465" s="276"/>
      <c r="R465" s="276"/>
      <c r="S465" s="276"/>
    </row>
    <row r="466">
      <c r="A466" s="279"/>
      <c r="B466" s="279"/>
      <c r="C466" s="279"/>
      <c r="D466" s="274"/>
      <c r="E466" s="279"/>
      <c r="F466" s="279"/>
      <c r="G466" s="275"/>
      <c r="H466" s="275"/>
      <c r="I466" s="279"/>
      <c r="J466" s="274"/>
      <c r="K466" s="279"/>
      <c r="L466" s="276"/>
      <c r="M466" s="276"/>
      <c r="N466" s="276"/>
      <c r="O466" s="276"/>
      <c r="P466" s="276"/>
      <c r="Q466" s="276"/>
      <c r="R466" s="276"/>
      <c r="S466" s="276"/>
    </row>
    <row r="467">
      <c r="A467" s="279"/>
      <c r="B467" s="279"/>
      <c r="C467" s="279"/>
      <c r="D467" s="274"/>
      <c r="E467" s="279"/>
      <c r="F467" s="279"/>
      <c r="G467" s="275"/>
      <c r="H467" s="275"/>
      <c r="I467" s="279"/>
      <c r="J467" s="274"/>
      <c r="K467" s="279"/>
      <c r="L467" s="276"/>
      <c r="M467" s="276"/>
      <c r="N467" s="276"/>
      <c r="O467" s="276"/>
      <c r="P467" s="276"/>
      <c r="Q467" s="276"/>
      <c r="R467" s="276"/>
      <c r="S467" s="276"/>
    </row>
    <row r="468">
      <c r="A468" s="279"/>
      <c r="B468" s="279"/>
      <c r="C468" s="279"/>
      <c r="D468" s="274"/>
      <c r="E468" s="279"/>
      <c r="F468" s="279"/>
      <c r="G468" s="275"/>
      <c r="H468" s="275"/>
      <c r="I468" s="279"/>
      <c r="J468" s="274"/>
      <c r="K468" s="279"/>
      <c r="L468" s="276"/>
      <c r="M468" s="276"/>
      <c r="N468" s="276"/>
      <c r="O468" s="276"/>
      <c r="P468" s="276"/>
      <c r="Q468" s="276"/>
      <c r="R468" s="276"/>
      <c r="S468" s="276"/>
    </row>
    <row r="469">
      <c r="A469" s="279"/>
      <c r="B469" s="279"/>
      <c r="C469" s="279"/>
      <c r="D469" s="274"/>
      <c r="E469" s="279"/>
      <c r="F469" s="279"/>
      <c r="G469" s="275"/>
      <c r="H469" s="275"/>
      <c r="I469" s="279"/>
      <c r="J469" s="274"/>
      <c r="K469" s="279"/>
      <c r="L469" s="276"/>
      <c r="M469" s="276"/>
      <c r="N469" s="276"/>
      <c r="O469" s="276"/>
      <c r="P469" s="276"/>
      <c r="Q469" s="276"/>
      <c r="R469" s="276"/>
      <c r="S469" s="276"/>
    </row>
    <row r="470">
      <c r="A470" s="279"/>
      <c r="B470" s="279"/>
      <c r="C470" s="279"/>
      <c r="D470" s="274"/>
      <c r="E470" s="279"/>
      <c r="F470" s="279"/>
      <c r="G470" s="275"/>
      <c r="H470" s="275"/>
      <c r="I470" s="279"/>
      <c r="J470" s="274"/>
      <c r="K470" s="279"/>
      <c r="L470" s="276"/>
      <c r="M470" s="276"/>
      <c r="N470" s="276"/>
      <c r="O470" s="276"/>
      <c r="P470" s="276"/>
      <c r="Q470" s="276"/>
      <c r="R470" s="276"/>
      <c r="S470" s="276"/>
    </row>
    <row r="471">
      <c r="A471" s="279"/>
      <c r="B471" s="279"/>
      <c r="C471" s="279"/>
      <c r="D471" s="274"/>
      <c r="E471" s="279"/>
      <c r="F471" s="279"/>
      <c r="G471" s="275"/>
      <c r="H471" s="275"/>
      <c r="I471" s="279"/>
      <c r="J471" s="274"/>
      <c r="K471" s="279"/>
      <c r="L471" s="276"/>
      <c r="M471" s="276"/>
      <c r="N471" s="276"/>
      <c r="O471" s="276"/>
      <c r="P471" s="276"/>
      <c r="Q471" s="276"/>
      <c r="R471" s="276"/>
      <c r="S471" s="276"/>
    </row>
    <row r="472">
      <c r="A472" s="279"/>
      <c r="B472" s="279"/>
      <c r="C472" s="279"/>
      <c r="D472" s="274"/>
      <c r="E472" s="279"/>
      <c r="F472" s="279"/>
      <c r="G472" s="275"/>
      <c r="H472" s="275"/>
      <c r="I472" s="279"/>
      <c r="J472" s="274"/>
      <c r="K472" s="279"/>
      <c r="L472" s="276"/>
      <c r="M472" s="276"/>
      <c r="N472" s="276"/>
      <c r="O472" s="276"/>
      <c r="P472" s="276"/>
      <c r="Q472" s="276"/>
      <c r="R472" s="276"/>
      <c r="S472" s="276"/>
    </row>
    <row r="473">
      <c r="A473" s="279"/>
      <c r="B473" s="279"/>
      <c r="C473" s="279"/>
      <c r="D473" s="274"/>
      <c r="E473" s="279"/>
      <c r="F473" s="279"/>
      <c r="G473" s="275"/>
      <c r="H473" s="275"/>
      <c r="I473" s="279"/>
      <c r="J473" s="274"/>
      <c r="K473" s="279"/>
      <c r="L473" s="276"/>
      <c r="M473" s="276"/>
      <c r="N473" s="276"/>
      <c r="O473" s="276"/>
      <c r="P473" s="276"/>
      <c r="Q473" s="276"/>
      <c r="R473" s="276"/>
      <c r="S473" s="276"/>
    </row>
    <row r="474">
      <c r="A474" s="279"/>
      <c r="B474" s="279"/>
      <c r="C474" s="279"/>
      <c r="D474" s="274"/>
      <c r="E474" s="279"/>
      <c r="F474" s="279"/>
      <c r="G474" s="275"/>
      <c r="H474" s="275"/>
      <c r="I474" s="279"/>
      <c r="J474" s="274"/>
      <c r="K474" s="279"/>
      <c r="L474" s="276"/>
      <c r="M474" s="276"/>
      <c r="N474" s="276"/>
      <c r="O474" s="276"/>
      <c r="P474" s="276"/>
      <c r="Q474" s="276"/>
      <c r="R474" s="276"/>
      <c r="S474" s="276"/>
    </row>
    <row r="475">
      <c r="A475" s="279"/>
      <c r="B475" s="279"/>
      <c r="C475" s="279"/>
      <c r="D475" s="274"/>
      <c r="E475" s="279"/>
      <c r="F475" s="279"/>
      <c r="G475" s="275"/>
      <c r="H475" s="275"/>
      <c r="I475" s="279"/>
      <c r="J475" s="274"/>
      <c r="K475" s="279"/>
      <c r="L475" s="276"/>
      <c r="M475" s="276"/>
      <c r="N475" s="276"/>
      <c r="O475" s="276"/>
      <c r="P475" s="276"/>
      <c r="Q475" s="276"/>
      <c r="R475" s="276"/>
      <c r="S475" s="276"/>
    </row>
    <row r="476">
      <c r="A476" s="279"/>
      <c r="B476" s="279"/>
      <c r="C476" s="279"/>
      <c r="D476" s="274"/>
      <c r="E476" s="279"/>
      <c r="F476" s="279"/>
      <c r="G476" s="275"/>
      <c r="H476" s="275"/>
      <c r="I476" s="279"/>
      <c r="J476" s="274"/>
      <c r="K476" s="279"/>
      <c r="L476" s="276"/>
      <c r="M476" s="276"/>
      <c r="N476" s="276"/>
      <c r="O476" s="276"/>
      <c r="P476" s="276"/>
      <c r="Q476" s="276"/>
      <c r="R476" s="276"/>
      <c r="S476" s="276"/>
    </row>
    <row r="477">
      <c r="A477" s="279"/>
      <c r="B477" s="279"/>
      <c r="C477" s="279"/>
      <c r="D477" s="274"/>
      <c r="E477" s="279"/>
      <c r="F477" s="279"/>
      <c r="G477" s="275"/>
      <c r="H477" s="275"/>
      <c r="I477" s="279"/>
      <c r="J477" s="274"/>
      <c r="K477" s="279"/>
      <c r="L477" s="276"/>
      <c r="M477" s="276"/>
      <c r="N477" s="276"/>
      <c r="O477" s="276"/>
      <c r="P477" s="276"/>
      <c r="Q477" s="276"/>
      <c r="R477" s="276"/>
      <c r="S477" s="276"/>
    </row>
    <row r="478">
      <c r="A478" s="279"/>
      <c r="B478" s="279"/>
      <c r="C478" s="279"/>
      <c r="D478" s="274"/>
      <c r="E478" s="279"/>
      <c r="F478" s="279"/>
      <c r="G478" s="275"/>
      <c r="H478" s="275"/>
      <c r="I478" s="279"/>
      <c r="J478" s="274"/>
      <c r="K478" s="279"/>
      <c r="L478" s="276"/>
      <c r="M478" s="276"/>
      <c r="N478" s="276"/>
      <c r="O478" s="276"/>
      <c r="P478" s="276"/>
      <c r="Q478" s="276"/>
      <c r="R478" s="276"/>
      <c r="S478" s="276"/>
    </row>
    <row r="479">
      <c r="A479" s="279"/>
      <c r="B479" s="279"/>
      <c r="C479" s="279"/>
      <c r="D479" s="274"/>
      <c r="E479" s="279"/>
      <c r="F479" s="279"/>
      <c r="G479" s="275"/>
      <c r="H479" s="275"/>
      <c r="I479" s="279"/>
      <c r="J479" s="274"/>
      <c r="K479" s="279"/>
      <c r="L479" s="276"/>
      <c r="M479" s="276"/>
      <c r="N479" s="276"/>
      <c r="O479" s="276"/>
      <c r="P479" s="276"/>
      <c r="Q479" s="276"/>
      <c r="R479" s="276"/>
      <c r="S479" s="276"/>
    </row>
    <row r="480">
      <c r="A480" s="279"/>
      <c r="B480" s="279"/>
      <c r="C480" s="279"/>
      <c r="D480" s="274"/>
      <c r="E480" s="279"/>
      <c r="F480" s="279"/>
      <c r="G480" s="275"/>
      <c r="H480" s="275"/>
      <c r="I480" s="279"/>
      <c r="J480" s="274"/>
      <c r="K480" s="279"/>
      <c r="L480" s="276"/>
      <c r="M480" s="276"/>
      <c r="N480" s="276"/>
      <c r="O480" s="276"/>
      <c r="P480" s="276"/>
      <c r="Q480" s="276"/>
      <c r="R480" s="276"/>
      <c r="S480" s="276"/>
    </row>
    <row r="481">
      <c r="A481" s="279"/>
      <c r="B481" s="279"/>
      <c r="C481" s="279"/>
      <c r="D481" s="274"/>
      <c r="E481" s="279"/>
      <c r="F481" s="279"/>
      <c r="G481" s="275"/>
      <c r="H481" s="275"/>
      <c r="I481" s="279"/>
      <c r="J481" s="274"/>
      <c r="K481" s="279"/>
      <c r="L481" s="276"/>
      <c r="M481" s="276"/>
      <c r="N481" s="276"/>
      <c r="O481" s="276"/>
      <c r="P481" s="276"/>
      <c r="Q481" s="276"/>
      <c r="R481" s="276"/>
      <c r="S481" s="276"/>
    </row>
    <row r="482">
      <c r="A482" s="279"/>
      <c r="B482" s="279"/>
      <c r="C482" s="279"/>
      <c r="D482" s="274"/>
      <c r="E482" s="279"/>
      <c r="F482" s="279"/>
      <c r="G482" s="275"/>
      <c r="H482" s="275"/>
      <c r="I482" s="279"/>
      <c r="J482" s="274"/>
      <c r="K482" s="279"/>
      <c r="L482" s="276"/>
      <c r="M482" s="276"/>
      <c r="N482" s="276"/>
      <c r="O482" s="276"/>
      <c r="P482" s="276"/>
      <c r="Q482" s="276"/>
      <c r="R482" s="276"/>
      <c r="S482" s="276"/>
    </row>
    <row r="483">
      <c r="A483" s="279"/>
      <c r="B483" s="279"/>
      <c r="C483" s="279"/>
      <c r="D483" s="274"/>
      <c r="E483" s="279"/>
      <c r="F483" s="279"/>
      <c r="G483" s="275"/>
      <c r="H483" s="275"/>
      <c r="I483" s="279"/>
      <c r="J483" s="274"/>
      <c r="K483" s="279"/>
      <c r="L483" s="276"/>
      <c r="M483" s="276"/>
      <c r="N483" s="276"/>
      <c r="O483" s="276"/>
      <c r="P483" s="276"/>
      <c r="Q483" s="276"/>
      <c r="R483" s="276"/>
      <c r="S483" s="276"/>
    </row>
    <row r="484">
      <c r="A484" s="279"/>
      <c r="B484" s="279"/>
      <c r="C484" s="279"/>
      <c r="D484" s="274"/>
      <c r="E484" s="279"/>
      <c r="F484" s="279"/>
      <c r="G484" s="275"/>
      <c r="H484" s="275"/>
      <c r="I484" s="279"/>
      <c r="J484" s="274"/>
      <c r="K484" s="279"/>
      <c r="L484" s="276"/>
      <c r="M484" s="276"/>
      <c r="N484" s="276"/>
      <c r="O484" s="276"/>
      <c r="P484" s="276"/>
      <c r="Q484" s="276"/>
      <c r="R484" s="276"/>
      <c r="S484" s="276"/>
    </row>
    <row r="485">
      <c r="A485" s="279"/>
      <c r="B485" s="279"/>
      <c r="C485" s="279"/>
      <c r="D485" s="274"/>
      <c r="E485" s="279"/>
      <c r="F485" s="279"/>
      <c r="G485" s="275"/>
      <c r="H485" s="275"/>
      <c r="I485" s="279"/>
      <c r="J485" s="274"/>
      <c r="K485" s="279"/>
      <c r="L485" s="276"/>
      <c r="M485" s="276"/>
      <c r="N485" s="276"/>
      <c r="O485" s="276"/>
      <c r="P485" s="276"/>
      <c r="Q485" s="276"/>
      <c r="R485" s="276"/>
      <c r="S485" s="276"/>
    </row>
    <row r="486">
      <c r="A486" s="279"/>
      <c r="B486" s="279"/>
      <c r="C486" s="279"/>
      <c r="D486" s="274"/>
      <c r="E486" s="279"/>
      <c r="F486" s="279"/>
      <c r="G486" s="275"/>
      <c r="H486" s="275"/>
      <c r="I486" s="279"/>
      <c r="J486" s="274"/>
      <c r="K486" s="279"/>
      <c r="L486" s="276"/>
      <c r="M486" s="276"/>
      <c r="N486" s="276"/>
      <c r="O486" s="276"/>
      <c r="P486" s="276"/>
      <c r="Q486" s="276"/>
      <c r="R486" s="276"/>
      <c r="S486" s="276"/>
    </row>
    <row r="487">
      <c r="A487" s="279"/>
      <c r="B487" s="279"/>
      <c r="C487" s="279"/>
      <c r="D487" s="274"/>
      <c r="E487" s="279"/>
      <c r="F487" s="279"/>
      <c r="G487" s="275"/>
      <c r="H487" s="275"/>
      <c r="I487" s="279"/>
      <c r="J487" s="274"/>
      <c r="K487" s="279"/>
      <c r="L487" s="276"/>
      <c r="M487" s="276"/>
      <c r="N487" s="276"/>
      <c r="O487" s="276"/>
      <c r="P487" s="276"/>
      <c r="Q487" s="276"/>
      <c r="R487" s="276"/>
      <c r="S487" s="276"/>
    </row>
    <row r="488">
      <c r="A488" s="279"/>
      <c r="B488" s="279"/>
      <c r="C488" s="279"/>
      <c r="D488" s="274"/>
      <c r="E488" s="279"/>
      <c r="F488" s="279"/>
      <c r="G488" s="275"/>
      <c r="H488" s="275"/>
      <c r="I488" s="279"/>
      <c r="J488" s="274"/>
      <c r="K488" s="279"/>
      <c r="L488" s="276"/>
      <c r="M488" s="276"/>
      <c r="N488" s="276"/>
      <c r="O488" s="276"/>
      <c r="P488" s="276"/>
      <c r="Q488" s="276"/>
      <c r="R488" s="276"/>
      <c r="S488" s="276"/>
    </row>
    <row r="489">
      <c r="A489" s="279"/>
      <c r="B489" s="279"/>
      <c r="C489" s="279"/>
      <c r="D489" s="274"/>
      <c r="E489" s="279"/>
      <c r="F489" s="279"/>
      <c r="G489" s="275"/>
      <c r="H489" s="275"/>
      <c r="I489" s="279"/>
      <c r="J489" s="274"/>
      <c r="K489" s="279"/>
      <c r="L489" s="276"/>
      <c r="M489" s="276"/>
      <c r="N489" s="276"/>
      <c r="O489" s="276"/>
      <c r="P489" s="276"/>
      <c r="Q489" s="276"/>
      <c r="R489" s="276"/>
      <c r="S489" s="276"/>
    </row>
    <row r="490">
      <c r="A490" s="279"/>
      <c r="B490" s="279"/>
      <c r="C490" s="279"/>
      <c r="D490" s="274"/>
      <c r="E490" s="279"/>
      <c r="F490" s="279"/>
      <c r="G490" s="275"/>
      <c r="H490" s="275"/>
      <c r="I490" s="279"/>
      <c r="J490" s="274"/>
      <c r="K490" s="279"/>
      <c r="L490" s="276"/>
      <c r="M490" s="276"/>
      <c r="N490" s="276"/>
      <c r="O490" s="276"/>
      <c r="P490" s="276"/>
      <c r="Q490" s="276"/>
      <c r="R490" s="276"/>
      <c r="S490" s="276"/>
    </row>
    <row r="491">
      <c r="A491" s="279"/>
      <c r="B491" s="279"/>
      <c r="C491" s="279"/>
      <c r="D491" s="274"/>
      <c r="E491" s="279"/>
      <c r="F491" s="279"/>
      <c r="G491" s="275"/>
      <c r="H491" s="275"/>
      <c r="I491" s="279"/>
      <c r="J491" s="274"/>
      <c r="K491" s="279"/>
      <c r="L491" s="276"/>
      <c r="M491" s="276"/>
      <c r="N491" s="276"/>
      <c r="O491" s="276"/>
      <c r="P491" s="276"/>
      <c r="Q491" s="276"/>
      <c r="R491" s="276"/>
      <c r="S491" s="276"/>
    </row>
    <row r="492">
      <c r="A492" s="279"/>
      <c r="B492" s="279"/>
      <c r="C492" s="279"/>
      <c r="D492" s="274"/>
      <c r="E492" s="279"/>
      <c r="F492" s="279"/>
      <c r="G492" s="275"/>
      <c r="H492" s="275"/>
      <c r="I492" s="279"/>
      <c r="J492" s="274"/>
      <c r="K492" s="279"/>
      <c r="L492" s="276"/>
      <c r="M492" s="276"/>
      <c r="N492" s="276"/>
      <c r="O492" s="276"/>
      <c r="P492" s="276"/>
      <c r="Q492" s="276"/>
      <c r="R492" s="276"/>
      <c r="S492" s="276"/>
    </row>
    <row r="493">
      <c r="A493" s="279"/>
      <c r="B493" s="279"/>
      <c r="C493" s="279"/>
      <c r="D493" s="274"/>
      <c r="E493" s="279"/>
      <c r="F493" s="279"/>
      <c r="G493" s="275"/>
      <c r="H493" s="275"/>
      <c r="I493" s="279"/>
      <c r="J493" s="274"/>
      <c r="K493" s="279"/>
      <c r="L493" s="276"/>
      <c r="M493" s="276"/>
      <c r="N493" s="276"/>
      <c r="O493" s="276"/>
      <c r="P493" s="276"/>
      <c r="Q493" s="276"/>
      <c r="R493" s="276"/>
      <c r="S493" s="276"/>
    </row>
    <row r="494">
      <c r="A494" s="279"/>
      <c r="B494" s="279"/>
      <c r="C494" s="279"/>
      <c r="D494" s="274"/>
      <c r="E494" s="279"/>
      <c r="F494" s="279"/>
      <c r="G494" s="275"/>
      <c r="H494" s="275"/>
      <c r="I494" s="279"/>
      <c r="J494" s="274"/>
      <c r="K494" s="279"/>
      <c r="L494" s="276"/>
      <c r="M494" s="276"/>
      <c r="N494" s="276"/>
      <c r="O494" s="276"/>
      <c r="P494" s="276"/>
      <c r="Q494" s="276"/>
      <c r="R494" s="276"/>
      <c r="S494" s="276"/>
    </row>
    <row r="495">
      <c r="A495" s="279"/>
      <c r="B495" s="279"/>
      <c r="C495" s="279"/>
      <c r="D495" s="274"/>
      <c r="E495" s="279"/>
      <c r="F495" s="279"/>
      <c r="G495" s="275"/>
      <c r="H495" s="275"/>
      <c r="I495" s="279"/>
      <c r="J495" s="274"/>
      <c r="K495" s="279"/>
      <c r="L495" s="276"/>
      <c r="M495" s="276"/>
      <c r="N495" s="276"/>
      <c r="O495" s="276"/>
      <c r="P495" s="276"/>
      <c r="Q495" s="276"/>
      <c r="R495" s="276"/>
      <c r="S495" s="276"/>
    </row>
    <row r="496">
      <c r="A496" s="279"/>
      <c r="B496" s="279"/>
      <c r="C496" s="279"/>
      <c r="D496" s="274"/>
      <c r="E496" s="279"/>
      <c r="F496" s="279"/>
      <c r="G496" s="275"/>
      <c r="H496" s="275"/>
      <c r="I496" s="279"/>
      <c r="J496" s="274"/>
      <c r="K496" s="279"/>
      <c r="L496" s="276"/>
      <c r="M496" s="276"/>
      <c r="N496" s="276"/>
      <c r="O496" s="276"/>
      <c r="P496" s="276"/>
      <c r="Q496" s="276"/>
      <c r="R496" s="276"/>
      <c r="S496" s="276"/>
    </row>
    <row r="497">
      <c r="A497" s="279"/>
      <c r="B497" s="279"/>
      <c r="C497" s="279"/>
      <c r="D497" s="274"/>
      <c r="E497" s="279"/>
      <c r="F497" s="279"/>
      <c r="G497" s="275"/>
      <c r="H497" s="275"/>
      <c r="I497" s="279"/>
      <c r="J497" s="274"/>
      <c r="K497" s="279"/>
      <c r="L497" s="276"/>
      <c r="M497" s="276"/>
      <c r="N497" s="276"/>
      <c r="O497" s="276"/>
      <c r="P497" s="276"/>
      <c r="Q497" s="276"/>
      <c r="R497" s="276"/>
      <c r="S497" s="276"/>
    </row>
    <row r="498">
      <c r="A498" s="279"/>
      <c r="B498" s="279"/>
      <c r="C498" s="279"/>
      <c r="D498" s="274"/>
      <c r="E498" s="279"/>
      <c r="F498" s="279"/>
      <c r="G498" s="275"/>
      <c r="H498" s="275"/>
      <c r="I498" s="279"/>
      <c r="J498" s="274"/>
      <c r="K498" s="279"/>
      <c r="L498" s="276"/>
      <c r="M498" s="276"/>
      <c r="N498" s="276"/>
      <c r="O498" s="276"/>
      <c r="P498" s="276"/>
      <c r="Q498" s="276"/>
      <c r="R498" s="276"/>
      <c r="S498" s="276"/>
    </row>
    <row r="499">
      <c r="A499" s="279"/>
      <c r="B499" s="279"/>
      <c r="C499" s="279"/>
      <c r="D499" s="274"/>
      <c r="E499" s="279"/>
      <c r="F499" s="279"/>
      <c r="G499" s="275"/>
      <c r="H499" s="275"/>
      <c r="I499" s="279"/>
      <c r="J499" s="274"/>
      <c r="K499" s="279"/>
      <c r="L499" s="276"/>
      <c r="M499" s="276"/>
      <c r="N499" s="276"/>
      <c r="O499" s="276"/>
      <c r="P499" s="276"/>
      <c r="Q499" s="276"/>
      <c r="R499" s="276"/>
      <c r="S499" s="276"/>
    </row>
    <row r="500">
      <c r="A500" s="279"/>
      <c r="B500" s="279"/>
      <c r="C500" s="279"/>
      <c r="D500" s="274"/>
      <c r="E500" s="279"/>
      <c r="F500" s="279"/>
      <c r="G500" s="275"/>
      <c r="H500" s="275"/>
      <c r="I500" s="279"/>
      <c r="J500" s="274"/>
      <c r="K500" s="279"/>
      <c r="L500" s="276"/>
      <c r="M500" s="276"/>
      <c r="N500" s="276"/>
      <c r="O500" s="276"/>
      <c r="P500" s="276"/>
      <c r="Q500" s="276"/>
      <c r="R500" s="276"/>
      <c r="S500" s="276"/>
    </row>
    <row r="501">
      <c r="A501" s="279"/>
      <c r="B501" s="279"/>
      <c r="C501" s="279"/>
      <c r="D501" s="274"/>
      <c r="E501" s="279"/>
      <c r="F501" s="279"/>
      <c r="G501" s="275"/>
      <c r="H501" s="275"/>
      <c r="I501" s="279"/>
      <c r="J501" s="274"/>
      <c r="K501" s="279"/>
      <c r="L501" s="276"/>
      <c r="M501" s="276"/>
      <c r="N501" s="276"/>
      <c r="O501" s="276"/>
      <c r="P501" s="276"/>
      <c r="Q501" s="276"/>
      <c r="R501" s="276"/>
      <c r="S501" s="276"/>
    </row>
    <row r="502">
      <c r="A502" s="279"/>
      <c r="B502" s="279"/>
      <c r="C502" s="279"/>
      <c r="D502" s="274"/>
      <c r="E502" s="279"/>
      <c r="F502" s="279"/>
      <c r="G502" s="275"/>
      <c r="H502" s="275"/>
      <c r="I502" s="279"/>
      <c r="J502" s="274"/>
      <c r="K502" s="279"/>
      <c r="L502" s="276"/>
      <c r="M502" s="276"/>
      <c r="N502" s="276"/>
      <c r="O502" s="276"/>
      <c r="P502" s="276"/>
      <c r="Q502" s="276"/>
      <c r="R502" s="276"/>
      <c r="S502" s="276"/>
    </row>
    <row r="503">
      <c r="A503" s="279"/>
      <c r="B503" s="279"/>
      <c r="C503" s="279"/>
      <c r="D503" s="274"/>
      <c r="E503" s="279"/>
      <c r="F503" s="279"/>
      <c r="G503" s="275"/>
      <c r="H503" s="275"/>
      <c r="I503" s="279"/>
      <c r="J503" s="274"/>
      <c r="K503" s="279"/>
      <c r="L503" s="276"/>
      <c r="M503" s="276"/>
      <c r="N503" s="276"/>
      <c r="O503" s="276"/>
      <c r="P503" s="276"/>
      <c r="Q503" s="276"/>
      <c r="R503" s="276"/>
      <c r="S503" s="276"/>
    </row>
    <row r="504">
      <c r="A504" s="279"/>
      <c r="B504" s="279"/>
      <c r="C504" s="279"/>
      <c r="D504" s="274"/>
      <c r="E504" s="279"/>
      <c r="F504" s="279"/>
      <c r="G504" s="275"/>
      <c r="H504" s="275"/>
      <c r="I504" s="279"/>
      <c r="J504" s="274"/>
      <c r="K504" s="279"/>
      <c r="L504" s="276"/>
      <c r="M504" s="276"/>
      <c r="N504" s="276"/>
      <c r="O504" s="276"/>
      <c r="P504" s="276"/>
      <c r="Q504" s="276"/>
      <c r="R504" s="276"/>
      <c r="S504" s="276"/>
    </row>
    <row r="505">
      <c r="A505" s="279"/>
      <c r="B505" s="279"/>
      <c r="C505" s="279"/>
      <c r="D505" s="274"/>
      <c r="E505" s="279"/>
      <c r="F505" s="279"/>
      <c r="G505" s="275"/>
      <c r="H505" s="275"/>
      <c r="I505" s="279"/>
      <c r="J505" s="274"/>
      <c r="K505" s="279"/>
      <c r="L505" s="276"/>
      <c r="M505" s="276"/>
      <c r="N505" s="276"/>
      <c r="O505" s="276"/>
      <c r="P505" s="276"/>
      <c r="Q505" s="276"/>
      <c r="R505" s="276"/>
      <c r="S505" s="276"/>
    </row>
    <row r="506">
      <c r="A506" s="279"/>
      <c r="B506" s="279"/>
      <c r="C506" s="279"/>
      <c r="D506" s="274"/>
      <c r="E506" s="279"/>
      <c r="F506" s="279"/>
      <c r="G506" s="275"/>
      <c r="H506" s="275"/>
      <c r="I506" s="279"/>
      <c r="J506" s="274"/>
      <c r="K506" s="279"/>
      <c r="L506" s="276"/>
      <c r="M506" s="276"/>
      <c r="N506" s="276"/>
      <c r="O506" s="276"/>
      <c r="P506" s="276"/>
      <c r="Q506" s="276"/>
      <c r="R506" s="276"/>
      <c r="S506" s="276"/>
    </row>
    <row r="507">
      <c r="A507" s="279"/>
      <c r="B507" s="279"/>
      <c r="C507" s="279"/>
      <c r="D507" s="274"/>
      <c r="E507" s="279"/>
      <c r="F507" s="279"/>
      <c r="G507" s="275"/>
      <c r="H507" s="275"/>
      <c r="I507" s="279"/>
      <c r="J507" s="274"/>
      <c r="K507" s="279"/>
      <c r="L507" s="276"/>
      <c r="M507" s="276"/>
      <c r="N507" s="276"/>
      <c r="O507" s="276"/>
      <c r="P507" s="276"/>
      <c r="Q507" s="276"/>
      <c r="R507" s="276"/>
      <c r="S507" s="276"/>
    </row>
    <row r="508">
      <c r="A508" s="279"/>
      <c r="B508" s="279"/>
      <c r="C508" s="279"/>
      <c r="D508" s="274"/>
      <c r="E508" s="279"/>
      <c r="F508" s="279"/>
      <c r="G508" s="275"/>
      <c r="H508" s="275"/>
      <c r="I508" s="279"/>
      <c r="J508" s="274"/>
      <c r="K508" s="279"/>
      <c r="L508" s="276"/>
      <c r="M508" s="276"/>
      <c r="N508" s="276"/>
      <c r="O508" s="276"/>
      <c r="P508" s="276"/>
      <c r="Q508" s="276"/>
      <c r="R508" s="276"/>
      <c r="S508" s="276"/>
    </row>
    <row r="509">
      <c r="A509" s="279"/>
      <c r="B509" s="279"/>
      <c r="C509" s="279"/>
      <c r="D509" s="274"/>
      <c r="E509" s="279"/>
      <c r="F509" s="279"/>
      <c r="G509" s="275"/>
      <c r="H509" s="275"/>
      <c r="I509" s="279"/>
      <c r="J509" s="274"/>
      <c r="K509" s="279"/>
      <c r="L509" s="276"/>
      <c r="M509" s="276"/>
      <c r="N509" s="276"/>
      <c r="O509" s="276"/>
      <c r="P509" s="276"/>
      <c r="Q509" s="276"/>
      <c r="R509" s="276"/>
      <c r="S509" s="276"/>
    </row>
    <row r="510">
      <c r="A510" s="279"/>
      <c r="B510" s="279"/>
      <c r="C510" s="279"/>
      <c r="D510" s="274"/>
      <c r="E510" s="279"/>
      <c r="F510" s="279"/>
      <c r="G510" s="275"/>
      <c r="H510" s="275"/>
      <c r="I510" s="279"/>
      <c r="J510" s="274"/>
      <c r="K510" s="279"/>
      <c r="L510" s="276"/>
      <c r="M510" s="276"/>
      <c r="N510" s="276"/>
      <c r="O510" s="276"/>
      <c r="P510" s="276"/>
      <c r="Q510" s="276"/>
      <c r="R510" s="276"/>
      <c r="S510" s="276"/>
    </row>
    <row r="511">
      <c r="A511" s="279"/>
      <c r="B511" s="279"/>
      <c r="C511" s="279"/>
      <c r="D511" s="274"/>
      <c r="E511" s="279"/>
      <c r="F511" s="279"/>
      <c r="G511" s="275"/>
      <c r="H511" s="275"/>
      <c r="I511" s="279"/>
      <c r="J511" s="274"/>
      <c r="K511" s="279"/>
      <c r="L511" s="276"/>
      <c r="M511" s="276"/>
      <c r="N511" s="276"/>
      <c r="O511" s="276"/>
      <c r="P511" s="276"/>
      <c r="Q511" s="276"/>
      <c r="R511" s="276"/>
      <c r="S511" s="276"/>
    </row>
    <row r="512">
      <c r="A512" s="279"/>
      <c r="B512" s="279"/>
      <c r="C512" s="279"/>
      <c r="D512" s="274"/>
      <c r="E512" s="279"/>
      <c r="F512" s="279"/>
      <c r="G512" s="275"/>
      <c r="H512" s="275"/>
      <c r="I512" s="279"/>
      <c r="J512" s="274"/>
      <c r="K512" s="279"/>
      <c r="L512" s="276"/>
      <c r="M512" s="276"/>
      <c r="N512" s="276"/>
      <c r="O512" s="276"/>
      <c r="P512" s="276"/>
      <c r="Q512" s="276"/>
      <c r="R512" s="276"/>
      <c r="S512" s="276"/>
    </row>
    <row r="513">
      <c r="A513" s="279"/>
      <c r="B513" s="279"/>
      <c r="C513" s="279"/>
      <c r="D513" s="274"/>
      <c r="E513" s="279"/>
      <c r="F513" s="279"/>
      <c r="G513" s="275"/>
      <c r="H513" s="275"/>
      <c r="I513" s="279"/>
      <c r="J513" s="274"/>
      <c r="K513" s="279"/>
      <c r="L513" s="276"/>
      <c r="M513" s="276"/>
      <c r="N513" s="276"/>
      <c r="O513" s="276"/>
      <c r="P513" s="276"/>
      <c r="Q513" s="276"/>
      <c r="R513" s="276"/>
      <c r="S513" s="276"/>
    </row>
    <row r="514">
      <c r="A514" s="279"/>
      <c r="B514" s="279"/>
      <c r="C514" s="279"/>
      <c r="D514" s="274"/>
      <c r="E514" s="279"/>
      <c r="F514" s="279"/>
      <c r="G514" s="275"/>
      <c r="H514" s="275"/>
      <c r="I514" s="279"/>
      <c r="J514" s="274"/>
      <c r="K514" s="279"/>
      <c r="L514" s="276"/>
      <c r="M514" s="276"/>
      <c r="N514" s="276"/>
      <c r="O514" s="276"/>
      <c r="P514" s="276"/>
      <c r="Q514" s="276"/>
      <c r="R514" s="276"/>
      <c r="S514" s="276"/>
    </row>
    <row r="515">
      <c r="A515" s="279"/>
      <c r="B515" s="279"/>
      <c r="C515" s="279"/>
      <c r="D515" s="274"/>
      <c r="E515" s="279"/>
      <c r="F515" s="279"/>
      <c r="G515" s="275"/>
      <c r="H515" s="275"/>
      <c r="I515" s="279"/>
      <c r="J515" s="274"/>
      <c r="K515" s="279"/>
      <c r="L515" s="276"/>
      <c r="M515" s="276"/>
      <c r="N515" s="276"/>
      <c r="O515" s="276"/>
      <c r="P515" s="276"/>
      <c r="Q515" s="276"/>
      <c r="R515" s="276"/>
      <c r="S515" s="276"/>
    </row>
    <row r="516">
      <c r="A516" s="279"/>
      <c r="B516" s="279"/>
      <c r="C516" s="279"/>
      <c r="D516" s="274"/>
      <c r="E516" s="279"/>
      <c r="F516" s="279"/>
      <c r="G516" s="275"/>
      <c r="H516" s="275"/>
      <c r="I516" s="279"/>
      <c r="J516" s="274"/>
      <c r="K516" s="279"/>
      <c r="L516" s="276"/>
      <c r="M516" s="276"/>
      <c r="N516" s="276"/>
      <c r="O516" s="276"/>
      <c r="P516" s="276"/>
      <c r="Q516" s="276"/>
      <c r="R516" s="276"/>
      <c r="S516" s="276"/>
    </row>
    <row r="517">
      <c r="A517" s="279"/>
      <c r="B517" s="279"/>
      <c r="C517" s="279"/>
      <c r="D517" s="274"/>
      <c r="E517" s="279"/>
      <c r="F517" s="279"/>
      <c r="G517" s="275"/>
      <c r="H517" s="275"/>
      <c r="I517" s="279"/>
      <c r="J517" s="274"/>
      <c r="K517" s="279"/>
      <c r="L517" s="276"/>
      <c r="M517" s="276"/>
      <c r="N517" s="276"/>
      <c r="O517" s="276"/>
      <c r="P517" s="276"/>
      <c r="Q517" s="276"/>
      <c r="R517" s="276"/>
      <c r="S517" s="276"/>
    </row>
    <row r="518">
      <c r="A518" s="279"/>
      <c r="B518" s="279"/>
      <c r="C518" s="279"/>
      <c r="D518" s="274"/>
      <c r="E518" s="279"/>
      <c r="F518" s="279"/>
      <c r="G518" s="275"/>
      <c r="H518" s="275"/>
      <c r="I518" s="279"/>
      <c r="J518" s="274"/>
      <c r="K518" s="279"/>
      <c r="L518" s="276"/>
      <c r="M518" s="276"/>
      <c r="N518" s="276"/>
      <c r="O518" s="276"/>
      <c r="P518" s="276"/>
      <c r="Q518" s="276"/>
      <c r="R518" s="276"/>
      <c r="S518" s="276"/>
    </row>
    <row r="519">
      <c r="A519" s="279"/>
      <c r="B519" s="279"/>
      <c r="C519" s="279"/>
      <c r="D519" s="274"/>
      <c r="E519" s="279"/>
      <c r="F519" s="279"/>
      <c r="G519" s="275"/>
      <c r="H519" s="275"/>
      <c r="I519" s="279"/>
      <c r="J519" s="274"/>
      <c r="K519" s="279"/>
      <c r="L519" s="276"/>
      <c r="M519" s="276"/>
      <c r="N519" s="276"/>
      <c r="O519" s="276"/>
      <c r="P519" s="276"/>
      <c r="Q519" s="276"/>
      <c r="R519" s="276"/>
      <c r="S519" s="276"/>
    </row>
    <row r="520">
      <c r="A520" s="279"/>
      <c r="B520" s="279"/>
      <c r="C520" s="279"/>
      <c r="D520" s="274"/>
      <c r="E520" s="279"/>
      <c r="F520" s="279"/>
      <c r="G520" s="275"/>
      <c r="H520" s="275"/>
      <c r="I520" s="279"/>
      <c r="J520" s="274"/>
      <c r="K520" s="279"/>
      <c r="L520" s="276"/>
      <c r="M520" s="276"/>
      <c r="N520" s="276"/>
      <c r="O520" s="276"/>
      <c r="P520" s="276"/>
      <c r="Q520" s="276"/>
      <c r="R520" s="276"/>
      <c r="S520" s="276"/>
    </row>
    <row r="521">
      <c r="A521" s="279"/>
      <c r="B521" s="279"/>
      <c r="C521" s="279"/>
      <c r="D521" s="274"/>
      <c r="E521" s="279"/>
      <c r="F521" s="279"/>
      <c r="G521" s="275"/>
      <c r="H521" s="275"/>
      <c r="I521" s="279"/>
      <c r="J521" s="274"/>
      <c r="K521" s="279"/>
      <c r="L521" s="276"/>
      <c r="M521" s="276"/>
      <c r="N521" s="276"/>
      <c r="O521" s="276"/>
      <c r="P521" s="276"/>
      <c r="Q521" s="276"/>
      <c r="R521" s="276"/>
      <c r="S521" s="276"/>
    </row>
    <row r="522">
      <c r="A522" s="279"/>
      <c r="B522" s="279"/>
      <c r="C522" s="279"/>
      <c r="D522" s="274"/>
      <c r="E522" s="279"/>
      <c r="F522" s="279"/>
      <c r="G522" s="275"/>
      <c r="H522" s="275"/>
      <c r="I522" s="279"/>
      <c r="J522" s="274"/>
      <c r="K522" s="279"/>
      <c r="L522" s="276"/>
      <c r="M522" s="276"/>
      <c r="N522" s="276"/>
      <c r="O522" s="276"/>
      <c r="P522" s="276"/>
      <c r="Q522" s="276"/>
      <c r="R522" s="276"/>
      <c r="S522" s="276"/>
    </row>
    <row r="523">
      <c r="A523" s="279"/>
      <c r="B523" s="279"/>
      <c r="C523" s="279"/>
      <c r="D523" s="274"/>
      <c r="E523" s="279"/>
      <c r="F523" s="279"/>
      <c r="G523" s="275"/>
      <c r="H523" s="275"/>
      <c r="I523" s="279"/>
      <c r="J523" s="274"/>
      <c r="K523" s="279"/>
      <c r="L523" s="276"/>
      <c r="M523" s="276"/>
      <c r="N523" s="276"/>
      <c r="O523" s="276"/>
      <c r="P523" s="276"/>
      <c r="Q523" s="276"/>
      <c r="R523" s="276"/>
      <c r="S523" s="276"/>
    </row>
    <row r="524">
      <c r="A524" s="279"/>
      <c r="B524" s="279"/>
      <c r="C524" s="279"/>
      <c r="D524" s="274"/>
      <c r="E524" s="279"/>
      <c r="F524" s="279"/>
      <c r="G524" s="275"/>
      <c r="H524" s="275"/>
      <c r="I524" s="279"/>
      <c r="J524" s="274"/>
      <c r="K524" s="279"/>
      <c r="L524" s="276"/>
      <c r="M524" s="276"/>
      <c r="N524" s="276"/>
      <c r="O524" s="276"/>
      <c r="P524" s="276"/>
      <c r="Q524" s="276"/>
      <c r="R524" s="276"/>
      <c r="S524" s="276"/>
    </row>
    <row r="525">
      <c r="A525" s="279"/>
      <c r="B525" s="279"/>
      <c r="C525" s="279"/>
      <c r="D525" s="274"/>
      <c r="E525" s="279"/>
      <c r="F525" s="279"/>
      <c r="G525" s="275"/>
      <c r="H525" s="275"/>
      <c r="I525" s="279"/>
      <c r="J525" s="274"/>
      <c r="K525" s="279"/>
      <c r="L525" s="276"/>
      <c r="M525" s="276"/>
      <c r="N525" s="276"/>
      <c r="O525" s="276"/>
      <c r="P525" s="276"/>
      <c r="Q525" s="276"/>
      <c r="R525" s="276"/>
      <c r="S525" s="276"/>
    </row>
    <row r="526">
      <c r="A526" s="279"/>
      <c r="B526" s="279"/>
      <c r="C526" s="279"/>
      <c r="D526" s="274"/>
      <c r="E526" s="279"/>
      <c r="F526" s="279"/>
      <c r="G526" s="275"/>
      <c r="H526" s="275"/>
      <c r="I526" s="279"/>
      <c r="J526" s="274"/>
      <c r="K526" s="279"/>
      <c r="L526" s="276"/>
      <c r="M526" s="276"/>
      <c r="N526" s="276"/>
      <c r="O526" s="276"/>
      <c r="P526" s="276"/>
      <c r="Q526" s="276"/>
      <c r="R526" s="276"/>
      <c r="S526" s="276"/>
    </row>
    <row r="527">
      <c r="A527" s="279"/>
      <c r="B527" s="279"/>
      <c r="C527" s="279"/>
      <c r="D527" s="274"/>
      <c r="E527" s="279"/>
      <c r="F527" s="279"/>
      <c r="G527" s="275"/>
      <c r="H527" s="275"/>
      <c r="I527" s="279"/>
      <c r="J527" s="274"/>
      <c r="K527" s="279"/>
      <c r="L527" s="276"/>
      <c r="M527" s="276"/>
      <c r="N527" s="276"/>
      <c r="O527" s="276"/>
      <c r="P527" s="276"/>
      <c r="Q527" s="276"/>
      <c r="R527" s="276"/>
      <c r="S527" s="276"/>
    </row>
    <row r="528">
      <c r="A528" s="279"/>
      <c r="B528" s="279"/>
      <c r="C528" s="279"/>
      <c r="D528" s="274"/>
      <c r="E528" s="279"/>
      <c r="F528" s="279"/>
      <c r="G528" s="275"/>
      <c r="H528" s="275"/>
      <c r="I528" s="279"/>
      <c r="J528" s="274"/>
      <c r="K528" s="279"/>
      <c r="L528" s="276"/>
      <c r="M528" s="276"/>
      <c r="N528" s="276"/>
      <c r="O528" s="276"/>
      <c r="P528" s="276"/>
      <c r="Q528" s="276"/>
      <c r="R528" s="276"/>
      <c r="S528" s="276"/>
    </row>
    <row r="529">
      <c r="A529" s="279"/>
      <c r="B529" s="279"/>
      <c r="C529" s="279"/>
      <c r="D529" s="274"/>
      <c r="E529" s="279"/>
      <c r="F529" s="279"/>
      <c r="G529" s="275"/>
      <c r="H529" s="275"/>
      <c r="I529" s="279"/>
      <c r="J529" s="274"/>
      <c r="K529" s="279"/>
      <c r="L529" s="276"/>
      <c r="M529" s="276"/>
      <c r="N529" s="276"/>
      <c r="O529" s="276"/>
      <c r="P529" s="276"/>
      <c r="Q529" s="276"/>
      <c r="R529" s="276"/>
      <c r="S529" s="276"/>
    </row>
    <row r="530">
      <c r="A530" s="279"/>
      <c r="B530" s="279"/>
      <c r="C530" s="279"/>
      <c r="D530" s="274"/>
      <c r="E530" s="279"/>
      <c r="F530" s="279"/>
      <c r="G530" s="275"/>
      <c r="H530" s="275"/>
      <c r="I530" s="279"/>
      <c r="J530" s="274"/>
      <c r="K530" s="279"/>
      <c r="L530" s="276"/>
      <c r="M530" s="276"/>
      <c r="N530" s="276"/>
      <c r="O530" s="276"/>
      <c r="P530" s="276"/>
      <c r="Q530" s="276"/>
      <c r="R530" s="276"/>
      <c r="S530" s="276"/>
    </row>
    <row r="531">
      <c r="A531" s="279"/>
      <c r="B531" s="279"/>
      <c r="C531" s="279"/>
      <c r="D531" s="274"/>
      <c r="E531" s="279"/>
      <c r="F531" s="279"/>
      <c r="G531" s="275"/>
      <c r="H531" s="275"/>
      <c r="I531" s="279"/>
      <c r="J531" s="274"/>
      <c r="K531" s="279"/>
      <c r="L531" s="276"/>
      <c r="M531" s="276"/>
      <c r="N531" s="276"/>
      <c r="O531" s="276"/>
      <c r="P531" s="276"/>
      <c r="Q531" s="276"/>
      <c r="R531" s="276"/>
      <c r="S531" s="276"/>
    </row>
    <row r="532">
      <c r="A532" s="279"/>
      <c r="B532" s="279"/>
      <c r="C532" s="279"/>
      <c r="D532" s="274"/>
      <c r="E532" s="279"/>
      <c r="F532" s="279"/>
      <c r="G532" s="275"/>
      <c r="H532" s="275"/>
      <c r="I532" s="279"/>
      <c r="J532" s="274"/>
      <c r="K532" s="279"/>
      <c r="L532" s="276"/>
      <c r="M532" s="276"/>
      <c r="N532" s="276"/>
      <c r="O532" s="276"/>
      <c r="P532" s="276"/>
      <c r="Q532" s="276"/>
      <c r="R532" s="276"/>
      <c r="S532" s="276"/>
    </row>
    <row r="533">
      <c r="A533" s="279"/>
      <c r="B533" s="279"/>
      <c r="C533" s="279"/>
      <c r="D533" s="274"/>
      <c r="E533" s="279"/>
      <c r="F533" s="279"/>
      <c r="G533" s="275"/>
      <c r="H533" s="275"/>
      <c r="I533" s="279"/>
      <c r="J533" s="274"/>
      <c r="K533" s="279"/>
      <c r="L533" s="276"/>
      <c r="M533" s="276"/>
      <c r="N533" s="276"/>
      <c r="O533" s="276"/>
      <c r="P533" s="276"/>
      <c r="Q533" s="276"/>
      <c r="R533" s="276"/>
      <c r="S533" s="276"/>
    </row>
    <row r="534">
      <c r="A534" s="279"/>
      <c r="B534" s="279"/>
      <c r="C534" s="279"/>
      <c r="D534" s="274"/>
      <c r="E534" s="279"/>
      <c r="F534" s="279"/>
      <c r="G534" s="275"/>
      <c r="H534" s="275"/>
      <c r="I534" s="279"/>
      <c r="J534" s="274"/>
      <c r="K534" s="279"/>
      <c r="L534" s="276"/>
      <c r="M534" s="276"/>
      <c r="N534" s="276"/>
      <c r="O534" s="276"/>
      <c r="P534" s="276"/>
      <c r="Q534" s="276"/>
      <c r="R534" s="276"/>
      <c r="S534" s="276"/>
    </row>
    <row r="535">
      <c r="A535" s="279"/>
      <c r="B535" s="279"/>
      <c r="C535" s="279"/>
      <c r="D535" s="274"/>
      <c r="E535" s="279"/>
      <c r="F535" s="279"/>
      <c r="G535" s="275"/>
      <c r="H535" s="275"/>
      <c r="I535" s="279"/>
      <c r="J535" s="274"/>
      <c r="K535" s="279"/>
      <c r="L535" s="276"/>
      <c r="M535" s="276"/>
      <c r="N535" s="276"/>
      <c r="O535" s="276"/>
      <c r="P535" s="276"/>
      <c r="Q535" s="276"/>
      <c r="R535" s="276"/>
      <c r="S535" s="276"/>
    </row>
    <row r="536">
      <c r="A536" s="279"/>
      <c r="B536" s="279"/>
      <c r="C536" s="279"/>
      <c r="D536" s="274"/>
      <c r="E536" s="279"/>
      <c r="F536" s="279"/>
      <c r="G536" s="275"/>
      <c r="H536" s="275"/>
      <c r="I536" s="279"/>
      <c r="J536" s="274"/>
      <c r="K536" s="279"/>
      <c r="L536" s="276"/>
      <c r="M536" s="276"/>
      <c r="N536" s="276"/>
      <c r="O536" s="276"/>
      <c r="P536" s="276"/>
      <c r="Q536" s="276"/>
      <c r="R536" s="276"/>
      <c r="S536" s="276"/>
    </row>
    <row r="537">
      <c r="A537" s="279"/>
      <c r="B537" s="279"/>
      <c r="C537" s="279"/>
      <c r="D537" s="274"/>
      <c r="E537" s="279"/>
      <c r="F537" s="279"/>
      <c r="G537" s="275"/>
      <c r="H537" s="275"/>
      <c r="I537" s="279"/>
      <c r="J537" s="274"/>
      <c r="K537" s="279"/>
      <c r="L537" s="276"/>
      <c r="M537" s="276"/>
      <c r="N537" s="276"/>
      <c r="O537" s="276"/>
      <c r="P537" s="276"/>
      <c r="Q537" s="276"/>
      <c r="R537" s="276"/>
      <c r="S537" s="276"/>
    </row>
    <row r="538">
      <c r="A538" s="279"/>
      <c r="B538" s="279"/>
      <c r="C538" s="279"/>
      <c r="D538" s="274"/>
      <c r="E538" s="279"/>
      <c r="F538" s="279"/>
      <c r="G538" s="275"/>
      <c r="H538" s="275"/>
      <c r="I538" s="279"/>
      <c r="J538" s="274"/>
      <c r="K538" s="279"/>
      <c r="L538" s="276"/>
      <c r="M538" s="276"/>
      <c r="N538" s="276"/>
      <c r="O538" s="276"/>
      <c r="P538" s="276"/>
      <c r="Q538" s="276"/>
      <c r="R538" s="276"/>
      <c r="S538" s="276"/>
    </row>
  </sheetData>
  <drawing r:id="rId1"/>
</worksheet>
</file>